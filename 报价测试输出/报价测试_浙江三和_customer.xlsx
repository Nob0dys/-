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多方案报价明细" sheetId="2" state="visible" r:id="rId2"/>
  </sheets>
  <definedNames>
    <definedName name="产品名称">#REF!</definedName>
    <definedName name="_xlnm._FilterDatabase" localSheetId="1" hidden="1">'多方案报价明细'!$A$1:$P$90</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5">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E8F5EE"/>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4" borderId="1" applyAlignment="1" pivotButton="0" quotePrefix="0" xfId="2">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P3" s="40" t="n">
        <v>80</v>
      </c>
      <c r="Q3" s="40" t="inlineStr"/>
      <c r="R3" s="40" t="n">
        <v>120</v>
      </c>
      <c r="S3" s="40" t="inlineStr"/>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260</v>
      </c>
      <c r="G4" s="37" t="n">
        <v>520</v>
      </c>
      <c r="H4" s="10">
        <f>_xlfn.DISPIMG("ID_5B024DFC190E4303BC6F137C7B190659",1)</f>
        <v/>
      </c>
      <c r="I4" s="18" t="n"/>
      <c r="J4" s="40" t="n">
        <v>286</v>
      </c>
      <c r="K4" s="40" t="n">
        <v>572</v>
      </c>
      <c r="L4" s="40" t="inlineStr">
        <is>
          <t>群信</t>
        </is>
      </c>
      <c r="M4" s="40" t="inlineStr">
        <is>
          <t>宁波凯迪科教仪器有限公司</t>
        </is>
      </c>
      <c r="N4" s="40" t="inlineStr">
        <is>
          <t>2020</t>
        </is>
      </c>
      <c r="O4" s="40" t="inlineStr"/>
    </row>
    <row r="5" ht="26.1" customFormat="1" customHeight="1" s="1">
      <c r="A5" s="10" t="n">
        <v>3</v>
      </c>
      <c r="B5" s="10" t="inlineStr">
        <is>
          <t>一字螺丝刀</t>
        </is>
      </c>
      <c r="C5" s="23" t="inlineStr">
        <is>
          <t>一字螺丝刀由旋杆、手柄等组成。</t>
        </is>
      </c>
      <c r="D5" s="37" t="inlineStr">
        <is>
          <t>支</t>
        </is>
      </c>
      <c r="E5" s="37" t="n">
        <v>50</v>
      </c>
      <c r="F5" s="37" t="n">
        <v>4.4</v>
      </c>
      <c r="G5" s="37" t="n">
        <v>220</v>
      </c>
      <c r="H5" s="10" t="n"/>
      <c r="I5" s="18" t="n"/>
      <c r="J5" s="40" t="n">
        <v>4.84</v>
      </c>
      <c r="K5" s="40" t="n">
        <v>242</v>
      </c>
      <c r="L5" s="40" t="inlineStr"/>
      <c r="M5" s="40" t="inlineStr"/>
      <c r="N5" s="40" t="inlineStr"/>
      <c r="O5" s="40" t="inlineStr"/>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row>
    <row r="7" ht="26.1" customFormat="1" customHeight="1" s="1">
      <c r="A7" s="10" t="n">
        <v>5</v>
      </c>
      <c r="B7" s="10" t="inlineStr">
        <is>
          <t>红液温度计</t>
        </is>
      </c>
      <c r="C7" s="10" t="inlineStr">
        <is>
          <t>量程-20℃～100℃，分度值1℃，示值误差&lt;±1.5℃</t>
        </is>
      </c>
      <c r="D7" s="37" t="inlineStr">
        <is>
          <t>支</t>
        </is>
      </c>
      <c r="E7" s="37" t="n">
        <v>60</v>
      </c>
      <c r="F7" s="37" t="n">
        <v>2</v>
      </c>
      <c r="G7" s="37" t="n">
        <v>120</v>
      </c>
      <c r="H7" s="23">
        <f>_xlfn.DISPIMG("ID_3BA81F423B704786B321221E9A4B2B83",1)</f>
        <v/>
      </c>
      <c r="I7" s="39" t="n"/>
      <c r="J7" s="40" t="n">
        <v>2.2</v>
      </c>
      <c r="K7" s="40" t="n">
        <v>132</v>
      </c>
      <c r="L7" s="40" t="inlineStr"/>
      <c r="M7" s="40" t="inlineStr"/>
      <c r="N7" s="40" t="inlineStr"/>
      <c r="O7" s="40" t="inlineStr"/>
      <c r="P7" s="40" t="n">
        <v>2</v>
      </c>
      <c r="Q7" s="40" t="inlineStr"/>
      <c r="R7" s="40" t="n">
        <v>2</v>
      </c>
      <c r="S7" s="40" t="inlineStr"/>
    </row>
    <row r="8" ht="26.1" customFormat="1" customHeight="1" s="1">
      <c r="A8" s="10" t="n">
        <v>6</v>
      </c>
      <c r="B8" s="10" t="inlineStr">
        <is>
          <t>烧杯</t>
        </is>
      </c>
      <c r="C8" s="19" t="inlineStr">
        <is>
          <t>100ml 高硼硅玻璃制</t>
        </is>
      </c>
      <c r="D8" s="42" t="inlineStr">
        <is>
          <t>个</t>
        </is>
      </c>
      <c r="E8" s="37" t="n">
        <v>60</v>
      </c>
      <c r="F8" s="41" t="n">
        <v>3.85</v>
      </c>
      <c r="G8" s="37" t="n">
        <v>231</v>
      </c>
      <c r="H8" s="19" t="n"/>
      <c r="I8" s="19" t="n"/>
      <c r="J8" s="40" t="n">
        <v>4.24</v>
      </c>
      <c r="K8" s="40" t="n">
        <v>254.4</v>
      </c>
      <c r="L8" s="40" t="inlineStr"/>
      <c r="M8" s="40" t="inlineStr"/>
      <c r="N8" s="40" t="inlineStr"/>
      <c r="O8" s="40" t="inlineStr"/>
      <c r="P8" s="40" t="n">
        <v>3.5</v>
      </c>
      <c r="Q8" s="40" t="inlineStr"/>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c r="P9" s="40" t="n">
        <v>2.5</v>
      </c>
      <c r="Q9" s="40" t="inlineStr"/>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is>
          <t>苏创</t>
        </is>
      </c>
      <c r="M10" s="40" t="inlineStr">
        <is>
          <t>江苏省苏创教学设备有限公司</t>
        </is>
      </c>
      <c r="N10" s="40" t="inlineStr"/>
      <c r="O10" s="40" t="inlineStr">
        <is>
          <t>62032</t>
        </is>
      </c>
      <c r="P10" s="40" t="n">
        <v>6.6</v>
      </c>
      <c r="Q10" s="40" t="inlineStr"/>
      <c r="R10" s="40" t="n">
        <v>6</v>
      </c>
      <c r="S10" s="40" t="inlineStr"/>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8</v>
      </c>
      <c r="G11" s="37" t="n">
        <v>224</v>
      </c>
      <c r="H11" s="10">
        <f>_xlfn.DISPIMG("ID_924BE3FD017640508C420430F2BECFF4",1)</f>
        <v/>
      </c>
      <c r="I11" s="18" t="n"/>
      <c r="J11" s="40" t="n">
        <v>8.800000000000001</v>
      </c>
      <c r="K11" s="40" t="n">
        <v>246.4</v>
      </c>
      <c r="L11" s="40" t="inlineStr"/>
      <c r="M11" s="40" t="inlineStr"/>
      <c r="N11" s="40" t="inlineStr"/>
      <c r="O11" s="40" t="inlineStr"/>
      <c r="P11" s="40" t="n">
        <v>9</v>
      </c>
      <c r="Q11" s="40" t="inlineStr">
        <is>
          <t>江阴市医疗器械有限公司</t>
        </is>
      </c>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P12" s="40" t="n">
        <v>1.4</v>
      </c>
      <c r="Q12" s="40" t="inlineStr"/>
      <c r="R12" s="40" t="n">
        <v>1.4</v>
      </c>
      <c r="S12" s="40" t="inlineStr"/>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is>
          <t>群信</t>
        </is>
      </c>
      <c r="M13" s="40" t="inlineStr">
        <is>
          <t>宁波凯迪科教仪器有限公司</t>
        </is>
      </c>
      <c r="N13" s="40" t="inlineStr"/>
      <c r="O13" s="40" t="inlineStr">
        <is>
          <t>02125</t>
        </is>
      </c>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is>
          <t>群信</t>
        </is>
      </c>
      <c r="M14" s="40" t="inlineStr">
        <is>
          <t>宁波凯迪科教仪器有限公司</t>
        </is>
      </c>
      <c r="N14" s="40" t="inlineStr"/>
      <c r="O14" s="40" t="inlineStr">
        <is>
          <t>11003</t>
        </is>
      </c>
    </row>
    <row r="15" ht="26.1" customFormat="1" customHeight="1" s="1">
      <c r="A15" s="10" t="n">
        <v>13</v>
      </c>
      <c r="B15" s="10" t="inlineStr">
        <is>
          <t>量筒</t>
        </is>
      </c>
      <c r="C15" s="17" t="inlineStr">
        <is>
          <t>100ml  高硼硅玻璃制</t>
        </is>
      </c>
      <c r="D15" s="41" t="inlineStr">
        <is>
          <t>个</t>
        </is>
      </c>
      <c r="E15" s="37" t="n">
        <v>60</v>
      </c>
      <c r="F15" s="41" t="n">
        <v>7.7</v>
      </c>
      <c r="G15" s="37" t="n">
        <v>462</v>
      </c>
      <c r="H15" s="19" t="n"/>
      <c r="I15" s="19" t="n"/>
      <c r="J15" s="40" t="n">
        <v>8.470000000000001</v>
      </c>
      <c r="K15" s="40" t="n">
        <v>508.2</v>
      </c>
      <c r="L15" s="40" t="inlineStr"/>
      <c r="M15" s="40" t="inlineStr"/>
      <c r="N15" s="40" t="inlineStr"/>
      <c r="O15" s="40" t="inlineStr"/>
      <c r="P15" s="40" t="n">
        <v>7</v>
      </c>
      <c r="Q15" s="40" t="inlineStr"/>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row>
    <row r="17" ht="26.1" customFormat="1" customHeight="1" s="1">
      <c r="A17" s="10" t="n">
        <v>15</v>
      </c>
      <c r="B17" s="10" t="inlineStr">
        <is>
          <t>望远镜</t>
        </is>
      </c>
      <c r="C17" s="10" t="inlineStr">
        <is>
          <t>双筒，7×35</t>
        </is>
      </c>
      <c r="D17" s="37" t="inlineStr">
        <is>
          <t>个</t>
        </is>
      </c>
      <c r="E17" s="37" t="n">
        <v>1</v>
      </c>
      <c r="F17" s="37" t="n">
        <v>60.5</v>
      </c>
      <c r="G17" s="37" t="n">
        <v>60.5</v>
      </c>
      <c r="H17" s="23">
        <f>_xlfn.DISPIMG("ID_7D9060A674F54876B66FC551C9021007",1)</f>
        <v/>
      </c>
      <c r="I17" s="39" t="n"/>
      <c r="J17" s="40" t="n">
        <v>66.55</v>
      </c>
      <c r="K17" s="40" t="n">
        <v>66.55</v>
      </c>
      <c r="L17" s="40" t="inlineStr"/>
      <c r="M17" s="40" t="inlineStr"/>
      <c r="N17" s="40" t="inlineStr"/>
      <c r="O17" s="40" t="inlineStr"/>
      <c r="P17" s="40" t="n">
        <v>55</v>
      </c>
      <c r="Q17" s="40" t="inlineStr"/>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row>
    <row r="19" ht="26.1" customFormat="1" customHeight="1" s="1">
      <c r="A19" s="10" t="n">
        <v>17</v>
      </c>
      <c r="B19" s="10" t="inlineStr">
        <is>
          <t>直尺</t>
        </is>
      </c>
      <c r="C19" s="20" t="inlineStr">
        <is>
          <t>1000mm塑料米尺cm、mm两种单位</t>
        </is>
      </c>
      <c r="D19" s="37" t="inlineStr">
        <is>
          <t>只</t>
        </is>
      </c>
      <c r="E19" s="37" t="n">
        <v>28</v>
      </c>
      <c r="F19" s="37" t="n">
        <v>18</v>
      </c>
      <c r="G19" s="37" t="n">
        <v>504</v>
      </c>
      <c r="H19" s="18" t="n"/>
      <c r="I19" s="43" t="n"/>
      <c r="J19" s="40" t="n">
        <v>19.8</v>
      </c>
      <c r="K19" s="40" t="n">
        <v>554.4</v>
      </c>
      <c r="L19" s="40" t="inlineStr"/>
      <c r="M19" s="40" t="inlineStr"/>
      <c r="N19" s="40" t="inlineStr"/>
      <c r="O19" s="40" t="inlineStr"/>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37" t="inlineStr">
        <is>
          <t>块</t>
        </is>
      </c>
      <c r="E20" s="44" t="n">
        <v>28</v>
      </c>
      <c r="F20" s="37" t="n">
        <v>220</v>
      </c>
      <c r="G20" s="37" t="n">
        <v>6160</v>
      </c>
      <c r="H20" s="23" t="n"/>
      <c r="I20" s="18" t="n"/>
      <c r="J20" s="40" t="n">
        <v>242</v>
      </c>
      <c r="K20" s="40" t="n">
        <v>6776</v>
      </c>
      <c r="L20" s="40" t="inlineStr"/>
      <c r="M20" s="40" t="inlineStr"/>
      <c r="N20" s="40" t="inlineStr"/>
      <c r="O20" s="40" t="inlineStr"/>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46</v>
      </c>
      <c r="G21" s="37" t="n">
        <v>2576</v>
      </c>
      <c r="H21" s="10">
        <f>_xlfn.DISPIMG("ID_EEBD8E67922441BBB2004A6A1A99CF52",1)</f>
        <v/>
      </c>
      <c r="I21" s="43" t="n"/>
      <c r="J21" s="40" t="n">
        <v>50.6</v>
      </c>
      <c r="K21" s="40" t="n">
        <v>2833.6</v>
      </c>
      <c r="L21" s="40" t="inlineStr">
        <is>
          <t>群信</t>
        </is>
      </c>
      <c r="M21" s="40" t="inlineStr">
        <is>
          <t>宁波凯迪科教仪器有限公司</t>
        </is>
      </c>
      <c r="N21" s="40" t="inlineStr"/>
      <c r="O21" s="40" t="inlineStr">
        <is>
          <t>21054</t>
        </is>
      </c>
    </row>
    <row r="22" ht="26.1" customFormat="1" customHeight="1" s="1">
      <c r="A22" s="10" t="n">
        <v>20</v>
      </c>
      <c r="B22" s="10" t="inlineStr">
        <is>
          <t>演示测力计</t>
        </is>
      </c>
      <c r="C22" s="10" t="inlineStr">
        <is>
          <t>平板式；不少于5N、2N、20N等规格</t>
        </is>
      </c>
      <c r="D22" s="37" t="inlineStr">
        <is>
          <t>套</t>
        </is>
      </c>
      <c r="E22" s="37" t="n">
        <v>1</v>
      </c>
      <c r="F22" s="37" t="n">
        <v>16.5</v>
      </c>
      <c r="G22" s="37" t="n">
        <v>16.5</v>
      </c>
      <c r="H22" s="18">
        <f>_xlfn.DISPIMG("ID_0F91FBF4F599485A953F1903C7F5FFEB",1)</f>
        <v/>
      </c>
      <c r="I22" s="18" t="n"/>
      <c r="J22" s="40" t="n">
        <v>18.15</v>
      </c>
      <c r="K22" s="40" t="n">
        <v>18.15</v>
      </c>
      <c r="L22" s="40" t="inlineStr"/>
      <c r="M22" s="40" t="inlineStr"/>
      <c r="N22" s="40" t="inlineStr"/>
      <c r="O22" s="40" t="inlineStr"/>
    </row>
    <row r="23" ht="26.1" customFormat="1" customHeight="1" s="1">
      <c r="A23" s="10" t="n">
        <v>21</v>
      </c>
      <c r="B23" s="10" t="inlineStr">
        <is>
          <t>条形盒测力计</t>
        </is>
      </c>
      <c r="C23" s="20" t="inlineStr">
        <is>
          <t>5N，最小分度值0.1N</t>
        </is>
      </c>
      <c r="D23" s="37" t="inlineStr">
        <is>
          <t>个</t>
        </is>
      </c>
      <c r="E23" s="37" t="n">
        <v>56</v>
      </c>
      <c r="F23" s="37" t="n">
        <v>6.6</v>
      </c>
      <c r="G23" s="37" t="n">
        <v>369.6</v>
      </c>
      <c r="H23" s="18">
        <f>_xlfn.DISPIMG("ID_358D079025764845A5259520DBF7BFA3",1)</f>
        <v/>
      </c>
      <c r="I23" s="18" t="n"/>
      <c r="J23" s="40" t="n">
        <v>7.26</v>
      </c>
      <c r="K23" s="40" t="n">
        <v>406.56</v>
      </c>
      <c r="L23" s="40" t="inlineStr"/>
      <c r="M23" s="40" t="inlineStr"/>
      <c r="N23" s="40" t="inlineStr"/>
      <c r="O23" s="40" t="inlineStr"/>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c r="P24" s="40" t="n">
        <v>16</v>
      </c>
      <c r="Q24" s="40" t="inlineStr">
        <is>
          <t>宁波凯迪科教仪器有限公司</t>
        </is>
      </c>
      <c r="R24" s="40" t="n">
        <v>16.5</v>
      </c>
      <c r="S24" s="40" t="inlineStr"/>
    </row>
    <row r="25" ht="26.1" customFormat="1" customHeight="1" s="1">
      <c r="A25" s="10" t="n">
        <v>23</v>
      </c>
      <c r="B25" s="10" t="inlineStr">
        <is>
          <t>摩擦力演示器</t>
        </is>
      </c>
      <c r="C25" s="10" t="inlineStr">
        <is>
          <t>摩擦板长：0.5米。
  测力计：2N。</t>
        </is>
      </c>
      <c r="D25" s="37" t="inlineStr">
        <is>
          <t>套</t>
        </is>
      </c>
      <c r="E25" s="37" t="n">
        <v>1</v>
      </c>
      <c r="F25" s="37" t="n">
        <v>220</v>
      </c>
      <c r="G25" s="37" t="n">
        <v>220</v>
      </c>
      <c r="H25" s="10">
        <f>_xlfn.DISPIMG("ID_E287411BDA054086BECEA286156ED9C3",1)</f>
        <v/>
      </c>
      <c r="I25" s="39" t="n"/>
      <c r="J25" s="40" t="n">
        <v>242</v>
      </c>
      <c r="K25" s="40" t="n">
        <v>242</v>
      </c>
      <c r="L25" s="40" t="inlineStr">
        <is>
          <t>群信</t>
        </is>
      </c>
      <c r="M25" s="40" t="inlineStr">
        <is>
          <t>宁波凯迪科教仪器有限公司</t>
        </is>
      </c>
      <c r="N25" s="40" t="inlineStr"/>
      <c r="O25" s="40" t="inlineStr">
        <is>
          <t>21024</t>
        </is>
      </c>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49.5</v>
      </c>
      <c r="G26" s="37" t="n">
        <v>99</v>
      </c>
      <c r="H26" s="10">
        <f>_xlfn.DISPIMG("ID_4230B6EC211F47B4A055F04AC1FB278D",1)</f>
        <v/>
      </c>
      <c r="I26" s="18" t="n"/>
      <c r="J26" s="40" t="n">
        <v>54.45</v>
      </c>
      <c r="K26" s="40" t="n">
        <v>108.9</v>
      </c>
      <c r="L26" s="40" t="inlineStr"/>
      <c r="M26" s="40" t="inlineStr"/>
      <c r="N26" s="40" t="inlineStr"/>
      <c r="O26" s="40" t="inlineStr"/>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13.2</v>
      </c>
      <c r="G27" s="37" t="n">
        <v>739.2</v>
      </c>
      <c r="H27" s="10">
        <f>_xlfn.DISPIMG("ID_88843D17BC434817BF6CD869800407F2",1)</f>
        <v/>
      </c>
      <c r="I27" s="18" t="n"/>
      <c r="J27" s="40" t="n">
        <v>14.52</v>
      </c>
      <c r="K27" s="40" t="n">
        <v>813.12</v>
      </c>
      <c r="L27" s="40" t="inlineStr"/>
      <c r="M27" s="40" t="inlineStr"/>
      <c r="N27" s="40" t="inlineStr"/>
      <c r="O27" s="40" t="inlineStr"/>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35</v>
      </c>
      <c r="G28" s="37" t="n">
        <v>70</v>
      </c>
      <c r="H28" s="18">
        <f>_xlfn.DISPIMG("ID_6A7B31479CB643FC96A1A169AEAC2573",1)</f>
        <v/>
      </c>
      <c r="I28" s="39" t="n"/>
      <c r="J28" s="40" t="n">
        <v>38.5</v>
      </c>
      <c r="K28" s="40" t="n">
        <v>77</v>
      </c>
      <c r="L28" s="40" t="inlineStr">
        <is>
          <t>群信</t>
        </is>
      </c>
      <c r="M28" s="40" t="inlineStr">
        <is>
          <t>宁波凯迪科教仪器有限公司</t>
        </is>
      </c>
      <c r="N28" s="40" t="inlineStr"/>
      <c r="O28" s="40" t="inlineStr">
        <is>
          <t>21012</t>
        </is>
      </c>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22</v>
      </c>
      <c r="G29" s="37" t="n">
        <v>44</v>
      </c>
      <c r="H29" s="23">
        <f>_xlfn.DISPIMG("ID_C70F4B613BEB4A2E86D01F563DBFFFF7",1)</f>
        <v/>
      </c>
      <c r="I29" s="39" t="n"/>
      <c r="J29" s="40" t="n">
        <v>24.2</v>
      </c>
      <c r="K29" s="40" t="n">
        <v>48.4</v>
      </c>
      <c r="L29" s="40" t="inlineStr"/>
      <c r="M29" s="40" t="inlineStr"/>
      <c r="N29" s="40" t="inlineStr"/>
      <c r="O29" s="40" t="inlineStr"/>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20</v>
      </c>
      <c r="G31" s="37" t="n">
        <v>40</v>
      </c>
      <c r="H31" s="23">
        <f>_xlfn.DISPIMG("ID_F1DD92B1ABE2476EA7839E4DDC99E43C",1)</f>
        <v/>
      </c>
      <c r="I31" s="39" t="n"/>
      <c r="J31" s="40" t="n">
        <v>22</v>
      </c>
      <c r="K31" s="40" t="n">
        <v>44</v>
      </c>
      <c r="L31" s="40" t="inlineStr"/>
      <c r="M31" s="40" t="inlineStr"/>
      <c r="N31" s="40" t="inlineStr"/>
      <c r="O31" s="40" t="inlineStr"/>
      <c r="P31" s="40" t="n">
        <v>9</v>
      </c>
      <c r="Q31" s="40" t="inlineStr">
        <is>
          <t>宁波凯迪科教仪器有限公司</t>
        </is>
      </c>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40</v>
      </c>
      <c r="G34" s="37" t="n">
        <v>80</v>
      </c>
      <c r="H34" s="10">
        <f>_xlfn.DISPIMG("ID_9CB874C1E062451DBC590075F1BDF0F0",1)</f>
        <v/>
      </c>
      <c r="I34" s="18" t="n"/>
      <c r="J34" s="40" t="n">
        <v>44</v>
      </c>
      <c r="K34" s="40" t="n">
        <v>88</v>
      </c>
      <c r="L34" s="40" t="inlineStr"/>
      <c r="M34" s="40" t="inlineStr"/>
      <c r="N34" s="40" t="inlineStr"/>
      <c r="O34" s="40" t="inlineStr"/>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c r="P35" s="40" t="n">
        <v>21</v>
      </c>
      <c r="Q35" s="40" t="inlineStr"/>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is>
          <t>群信</t>
        </is>
      </c>
      <c r="M36" s="40" t="inlineStr">
        <is>
          <t>宁波凯迪科教仪器有限公司</t>
        </is>
      </c>
      <c r="N36" s="40" t="inlineStr"/>
      <c r="O36" s="40" t="inlineStr">
        <is>
          <t>22007</t>
        </is>
      </c>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5" t="n">
        <v>9.9</v>
      </c>
      <c r="G37" s="37" t="n">
        <v>19.8</v>
      </c>
      <c r="H37" s="10">
        <f>_xlfn.DISPIMG("ID_FCE657F28CB548559FBB6B7E62FBEF56",1)</f>
        <v/>
      </c>
      <c r="I37" s="18" t="n"/>
      <c r="J37" s="40" t="n">
        <v>10.89</v>
      </c>
      <c r="K37" s="40" t="n">
        <v>21.78</v>
      </c>
      <c r="L37" s="40" t="inlineStr"/>
      <c r="M37" s="40" t="inlineStr"/>
      <c r="N37" s="40" t="inlineStr"/>
      <c r="O37" s="40" t="inlineStr"/>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5" t="n">
        <v>9.9</v>
      </c>
      <c r="G38" s="37" t="n">
        <v>19.8</v>
      </c>
      <c r="H38" s="10">
        <f>_xlfn.DISPIMG("ID_4A319AC1E7EB482AB8001A4A4FE8B484",1)</f>
        <v/>
      </c>
      <c r="I38" s="39" t="n"/>
      <c r="J38" s="40" t="n">
        <v>10.89</v>
      </c>
      <c r="K38" s="40" t="n">
        <v>21.78</v>
      </c>
      <c r="L38" s="40" t="inlineStr"/>
      <c r="M38" s="40" t="inlineStr"/>
      <c r="N38" s="40" t="inlineStr"/>
      <c r="O38" s="40" t="inlineStr"/>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5" t="n">
        <v>12.1</v>
      </c>
      <c r="G39" s="37" t="n">
        <v>677.6</v>
      </c>
      <c r="H39" s="10">
        <f>_xlfn.DISPIMG("ID_1D1C63B2E7FB418EB633D8DD9144F50F",1)</f>
        <v/>
      </c>
      <c r="I39" s="39" t="n"/>
      <c r="J39" s="40" t="n">
        <v>13.31</v>
      </c>
      <c r="K39" s="40" t="n">
        <v>745.36</v>
      </c>
      <c r="L39" s="40" t="inlineStr"/>
      <c r="M39" s="40" t="inlineStr"/>
      <c r="N39" s="40" t="inlineStr"/>
      <c r="O39" s="40" t="inlineStr"/>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5" t="n">
        <v>35</v>
      </c>
      <c r="G40" s="37" t="n">
        <v>70</v>
      </c>
      <c r="H40" s="10">
        <f>_xlfn.DISPIMG("ID_05FE6D79844B46F189E911A5BCA64D15",1)</f>
        <v/>
      </c>
      <c r="I40" s="18" t="n"/>
      <c r="J40" s="40" t="n">
        <v>38.5</v>
      </c>
      <c r="K40" s="40" t="n">
        <v>77</v>
      </c>
      <c r="L40" s="40" t="inlineStr">
        <is>
          <t>群信</t>
        </is>
      </c>
      <c r="M40" s="40" t="inlineStr">
        <is>
          <t>宁波凯迪科教仪器有限公司</t>
        </is>
      </c>
      <c r="N40" s="40" t="inlineStr"/>
      <c r="O40" s="40" t="inlineStr">
        <is>
          <t>25008</t>
        </is>
      </c>
      <c r="P40" s="40" t="n">
        <v>38.5</v>
      </c>
      <c r="Q40" s="40" t="inlineStr"/>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5" t="n">
        <v>58</v>
      </c>
      <c r="G41" s="37" t="n">
        <v>3248</v>
      </c>
      <c r="H41" s="10">
        <f>_xlfn.DISPIMG("ID_D268CE11BA9446E48011A0C890EDB037",1)</f>
        <v/>
      </c>
      <c r="I41" s="18" t="n"/>
      <c r="J41" s="40" t="n">
        <v>63.8</v>
      </c>
      <c r="K41" s="40" t="n">
        <v>3572.8</v>
      </c>
      <c r="L41" s="40" t="inlineStr">
        <is>
          <t>群信</t>
        </is>
      </c>
      <c r="M41" s="40" t="inlineStr">
        <is>
          <t>宁波凯迪科教仪器有限公司</t>
        </is>
      </c>
      <c r="N41" s="40" t="inlineStr"/>
      <c r="O41" s="40" t="inlineStr">
        <is>
          <t>25005</t>
        </is>
      </c>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5" t="n">
        <v>28</v>
      </c>
      <c r="G42" s="37" t="n">
        <v>56</v>
      </c>
      <c r="H42" s="10">
        <f>_xlfn.DISPIMG("ID_34FFE86DE94140169C92970CCF63EA5F",1)</f>
        <v/>
      </c>
      <c r="I42" s="18" t="n"/>
      <c r="J42" s="40" t="n">
        <v>30.8</v>
      </c>
      <c r="K42" s="40" t="n">
        <v>61.6</v>
      </c>
      <c r="L42" s="40" t="inlineStr">
        <is>
          <t>群信</t>
        </is>
      </c>
      <c r="M42" s="40" t="inlineStr">
        <is>
          <t>宁波凯迪科教仪器有限公司</t>
        </is>
      </c>
      <c r="N42" s="40" t="inlineStr"/>
      <c r="O42" s="40" t="inlineStr">
        <is>
          <t>25006</t>
        </is>
      </c>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v>
      </c>
      <c r="G43" s="37" t="n">
        <v>168</v>
      </c>
      <c r="H43" s="10">
        <f>_xlfn.DISPIMG("ID_3678C06213784AD8958BB126F49163BA",1)</f>
        <v/>
      </c>
      <c r="I43" s="18" t="n"/>
      <c r="J43" s="40" t="n">
        <v>6.6</v>
      </c>
      <c r="K43" s="40" t="n">
        <v>184.8</v>
      </c>
      <c r="L43" s="40" t="inlineStr"/>
      <c r="M43" s="40" t="inlineStr"/>
      <c r="N43" s="40" t="inlineStr"/>
      <c r="O43" s="40" t="inlineStr"/>
      <c r="P43" s="40" t="n">
        <v>6.5</v>
      </c>
      <c r="Q43" s="40" t="inlineStr"/>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3</v>
      </c>
      <c r="G44" s="37" t="n">
        <v>84</v>
      </c>
      <c r="H44" s="10">
        <f>_xlfn.DISPIMG("ID_748914FAD9C74E98858945739C82FAFB",1)</f>
        <v/>
      </c>
      <c r="I44" s="18" t="n"/>
      <c r="J44" s="40" t="n">
        <v>3.3</v>
      </c>
      <c r="K44" s="40" t="n">
        <v>92.40000000000001</v>
      </c>
      <c r="L44" s="40" t="inlineStr">
        <is>
          <t>群信</t>
        </is>
      </c>
      <c r="M44" s="40" t="inlineStr">
        <is>
          <t>宁波凯迪科教仪器有限公司</t>
        </is>
      </c>
      <c r="N44" s="40" t="inlineStr"/>
      <c r="O44" s="40" t="inlineStr">
        <is>
          <t>23003</t>
        </is>
      </c>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6" t="n"/>
      <c r="J45" s="40" t="n">
        <v>17.6</v>
      </c>
      <c r="K45" s="40" t="n">
        <v>492.8</v>
      </c>
      <c r="L45" s="40" t="inlineStr"/>
      <c r="M45" s="40" t="inlineStr"/>
      <c r="N45" s="40" t="inlineStr"/>
      <c r="O45" s="40" t="inlineStr"/>
      <c r="P45" s="40" t="n">
        <v>17.6</v>
      </c>
      <c r="Q45" s="40" t="inlineStr"/>
      <c r="R45" s="40" t="n">
        <v>26</v>
      </c>
      <c r="S45" s="40" t="inlineStr">
        <is>
          <t>宁波凯迪科教仪器有限公司</t>
        </is>
      </c>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6" t="n"/>
      <c r="J46" s="40" t="n">
        <v>15.4</v>
      </c>
      <c r="K46" s="40" t="n">
        <v>431.2</v>
      </c>
      <c r="L46" s="40" t="inlineStr"/>
      <c r="M46" s="40" t="inlineStr"/>
      <c r="N46" s="40" t="inlineStr"/>
      <c r="O46" s="40" t="inlineStr"/>
      <c r="P46" s="40" t="n">
        <v>24</v>
      </c>
      <c r="Q46" s="40" t="inlineStr">
        <is>
          <t>宁波凯迪科教仪器有限公司</t>
        </is>
      </c>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35.2</v>
      </c>
      <c r="G47" s="37" t="n">
        <v>70.40000000000001</v>
      </c>
      <c r="H47" s="23">
        <f>_xlfn.DISPIMG("ID_3B71C1A9147B44F985D7A55181573695",1)</f>
        <v/>
      </c>
      <c r="I47" s="39" t="n"/>
      <c r="J47" s="40" t="n">
        <v>38.72</v>
      </c>
      <c r="K47" s="40" t="n">
        <v>77.44</v>
      </c>
      <c r="L47" s="40" t="inlineStr"/>
      <c r="M47" s="40" t="inlineStr"/>
      <c r="N47" s="40" t="inlineStr"/>
      <c r="O47" s="40" t="inlineStr"/>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82.5</v>
      </c>
      <c r="G48" s="37" t="n">
        <v>165</v>
      </c>
      <c r="H48" s="10">
        <f>_xlfn.DISPIMG("ID_532E731BB2894051B32558BD6C57E08D",1)</f>
        <v/>
      </c>
      <c r="I48" s="10" t="n"/>
      <c r="J48" s="40" t="n">
        <v>90.75</v>
      </c>
      <c r="K48" s="40" t="n">
        <v>181.5</v>
      </c>
      <c r="L48" s="40" t="inlineStr"/>
      <c r="M48" s="40" t="inlineStr"/>
      <c r="N48" s="40" t="inlineStr"/>
      <c r="O48" s="40" t="inlineStr"/>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44</v>
      </c>
      <c r="G50" s="37" t="n">
        <v>88</v>
      </c>
      <c r="H50" s="10">
        <f>_xlfn.DISPIMG("ID_7C5EDEA4F5D24E2BBFBE7C65C7AAC03D",1)</f>
        <v/>
      </c>
      <c r="I50" s="39" t="n"/>
      <c r="J50" s="40" t="n">
        <v>48.4</v>
      </c>
      <c r="K50" s="40" t="n">
        <v>96.8</v>
      </c>
      <c r="L50" s="40" t="inlineStr"/>
      <c r="M50" s="40" t="inlineStr"/>
      <c r="N50" s="40" t="inlineStr"/>
      <c r="O50" s="40" t="inlineStr"/>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90</v>
      </c>
      <c r="G51" s="37" t="n">
        <v>180</v>
      </c>
      <c r="H51" s="18">
        <f>_xlfn.DISPIMG("ID_34DE81E0C3D544B08A8E6A71577ABDDF",1)</f>
        <v/>
      </c>
      <c r="I51" s="18" t="n"/>
      <c r="J51" s="40" t="n">
        <v>99</v>
      </c>
      <c r="K51" s="40" t="n">
        <v>198</v>
      </c>
      <c r="L51" s="40" t="inlineStr"/>
      <c r="M51" s="40" t="inlineStr"/>
      <c r="N51" s="40" t="inlineStr"/>
      <c r="O51" s="40" t="inlineStr"/>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is>
          <t>群信</t>
        </is>
      </c>
      <c r="M52" s="40" t="inlineStr">
        <is>
          <t>宁波凯迪科教仪器有限公司</t>
        </is>
      </c>
      <c r="N52" s="40" t="inlineStr"/>
      <c r="O52" s="40" t="inlineStr">
        <is>
          <t>21033</t>
        </is>
      </c>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is>
          <t>群信</t>
        </is>
      </c>
      <c r="M53" s="40" t="inlineStr">
        <is>
          <t>宁波凯迪科教仪器有限公司</t>
        </is>
      </c>
      <c r="N53" s="40" t="inlineStr"/>
      <c r="O53" s="40" t="inlineStr">
        <is>
          <t>31008</t>
        </is>
      </c>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is>
          <t>群信</t>
        </is>
      </c>
      <c r="M54" s="40" t="inlineStr">
        <is>
          <t>宁波凯迪科教仪器有限公司</t>
        </is>
      </c>
      <c r="N54" s="40" t="inlineStr"/>
      <c r="O54" s="40" t="inlineStr">
        <is>
          <t>31009</t>
        </is>
      </c>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is>
          <t>群信</t>
        </is>
      </c>
      <c r="M55" s="40" t="inlineStr">
        <is>
          <t>宁波凯迪科教仪器有限公司</t>
        </is>
      </c>
      <c r="N55" s="40" t="inlineStr"/>
      <c r="O55" s="40" t="inlineStr">
        <is>
          <t>15009</t>
        </is>
      </c>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row>
    <row r="57" ht="26.1" customFormat="1" customHeight="1" s="1">
      <c r="A57" s="10" t="n">
        <v>55</v>
      </c>
      <c r="B57" s="10" t="inlineStr">
        <is>
          <t>电珠(小灯泡)</t>
        </is>
      </c>
      <c r="C57" s="10" t="inlineStr">
        <is>
          <t>1.5V、0.3A，钠钙玻璃</t>
        </is>
      </c>
      <c r="D57" s="37" t="inlineStr">
        <is>
          <t>个</t>
        </is>
      </c>
      <c r="E57" s="37" t="n">
        <v>100</v>
      </c>
      <c r="F57" s="37" t="n">
        <v>0.5</v>
      </c>
      <c r="G57" s="37" t="n">
        <v>50</v>
      </c>
      <c r="H57" s="10">
        <f>_xlfn.DISPIMG("ID_8B03B14080A24E9B8DEAA04021B1C266",1)</f>
        <v/>
      </c>
      <c r="I57" s="18" t="n"/>
      <c r="J57" s="40" t="n">
        <v>0.55</v>
      </c>
      <c r="K57" s="40" t="n">
        <v>55</v>
      </c>
      <c r="L57" s="40" t="inlineStr"/>
      <c r="M57" s="40" t="inlineStr"/>
      <c r="N57" s="40" t="inlineStr"/>
      <c r="O57" s="40" t="inlineStr"/>
      <c r="P57" s="40" t="n">
        <v>0.5</v>
      </c>
      <c r="Q57" s="40" t="inlineStr"/>
      <c r="R57" s="40" t="n">
        <v>0.5</v>
      </c>
      <c r="S57" s="40" t="inlineStr"/>
    </row>
    <row r="58" ht="26.1" customFormat="1" customHeight="1" s="1">
      <c r="A58" s="10" t="n">
        <v>56</v>
      </c>
      <c r="B58" s="10" t="inlineStr">
        <is>
          <t>电珠(小灯泡)</t>
        </is>
      </c>
      <c r="C58" s="10" t="inlineStr">
        <is>
          <t>2.5V、0.3A，钠钙玻璃</t>
        </is>
      </c>
      <c r="D58" s="37" t="inlineStr">
        <is>
          <t>个</t>
        </is>
      </c>
      <c r="E58" s="37" t="n">
        <v>100</v>
      </c>
      <c r="F58" s="37" t="n">
        <v>0.5</v>
      </c>
      <c r="G58" s="37" t="n">
        <v>50</v>
      </c>
      <c r="H58" s="10">
        <f>_xlfn.DISPIMG("ID_50F8CDEBF10D4F72A667B15525C4BB6B",1)</f>
        <v/>
      </c>
      <c r="I58" s="18" t="n"/>
      <c r="J58" s="40" t="n">
        <v>0.55</v>
      </c>
      <c r="K58" s="40" t="n">
        <v>55</v>
      </c>
      <c r="L58" s="40" t="inlineStr"/>
      <c r="M58" s="40" t="inlineStr"/>
      <c r="N58" s="40" t="inlineStr"/>
      <c r="O58" s="40" t="inlineStr"/>
      <c r="P58" s="40" t="n">
        <v>0.5</v>
      </c>
      <c r="Q58" s="40" t="inlineStr"/>
      <c r="R58" s="40" t="n">
        <v>0.45</v>
      </c>
      <c r="S58" s="40" t="inlineStr">
        <is>
          <t>宁波凯迪科教仪器有限公司</t>
        </is>
      </c>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row>
    <row r="60" ht="26.1" customFormat="1" customHeight="1" s="1">
      <c r="A60" s="10" t="n">
        <v>58</v>
      </c>
      <c r="B60" s="10" t="inlineStr">
        <is>
          <t>滑动变阻器</t>
        </is>
      </c>
      <c r="C60" s="10" t="inlineStr">
        <is>
          <t>20Ω，2A</t>
        </is>
      </c>
      <c r="D60" s="37" t="inlineStr">
        <is>
          <t>个</t>
        </is>
      </c>
      <c r="E60" s="37" t="n">
        <v>112</v>
      </c>
      <c r="F60" s="37" t="n">
        <v>16.5</v>
      </c>
      <c r="G60" s="37" t="n">
        <v>1848</v>
      </c>
      <c r="H60" s="10">
        <f>_xlfn.DISPIMG("ID_8C328994BBF64DA7AD8A9C95A1664E76",1)</f>
        <v/>
      </c>
      <c r="I60" s="43" t="n"/>
      <c r="J60" s="40" t="n">
        <v>18.15</v>
      </c>
      <c r="K60" s="40" t="n">
        <v>2032.8</v>
      </c>
      <c r="L60" s="40" t="inlineStr"/>
      <c r="M60" s="40" t="inlineStr"/>
      <c r="N60" s="40" t="inlineStr"/>
      <c r="O60" s="40" t="inlineStr"/>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9.9</v>
      </c>
      <c r="G61" s="37" t="n">
        <v>594</v>
      </c>
      <c r="H61" s="10">
        <f>_xlfn.DISPIMG("ID_4CFFCE1B777E4111AC9EDCB8868D13E2",1)</f>
        <v/>
      </c>
      <c r="I61" s="18" t="n"/>
      <c r="J61" s="40" t="n">
        <v>10.89</v>
      </c>
      <c r="K61" s="40" t="n">
        <v>653.4</v>
      </c>
      <c r="L61" s="40" t="inlineStr"/>
      <c r="M61" s="40" t="inlineStr"/>
      <c r="N61" s="40" t="inlineStr"/>
      <c r="O61" s="40" t="inlineStr"/>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66</v>
      </c>
      <c r="G62" s="37" t="n">
        <v>132</v>
      </c>
      <c r="H62" s="10">
        <f>_xlfn.DISPIMG("ID_2A95E36A8630444F80549A9622F103AF",1)</f>
        <v/>
      </c>
      <c r="I62" s="10" t="n"/>
      <c r="J62" s="40" t="n">
        <v>72.59999999999999</v>
      </c>
      <c r="K62" s="40" t="n">
        <v>145.2</v>
      </c>
      <c r="L62" s="40" t="inlineStr"/>
      <c r="M62" s="40" t="inlineStr"/>
      <c r="N62" s="40" t="inlineStr"/>
      <c r="O62" s="40" t="inlineStr"/>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0"/>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8" customWidth="1" style="47" min="4" max="4"/>
    <col width="30" customWidth="1" style="47" min="5" max="5"/>
    <col width="18" customWidth="1" style="47" min="6" max="6"/>
    <col width="18" customWidth="1" style="47" min="7" max="7"/>
    <col width="58" customWidth="1" style="47" min="8" max="8"/>
    <col width="10" customWidth="1" style="47" min="9" max="9"/>
    <col width="10" customWidth="1" style="47" min="10" max="10"/>
    <col width="14" customWidth="1" style="47" min="11" max="11"/>
    <col width="14" customWidth="1" style="47" min="12" max="12"/>
    <col width="14" customWidth="1" style="47" min="13" max="13"/>
    <col width="12" customWidth="1" style="47" min="14" max="14"/>
    <col width="42" customWidth="1" style="47" min="15" max="15"/>
    <col width="42" customWidth="1" style="47" min="16" max="16"/>
  </cols>
  <sheetData>
    <row r="1">
      <c r="A1" s="48" t="inlineStr">
        <is>
          <t>原表页</t>
        </is>
      </c>
      <c r="B1" s="48" t="inlineStr">
        <is>
          <t>原表行</t>
        </is>
      </c>
      <c r="C1" s="48" t="inlineStr">
        <is>
          <t>产品名称</t>
        </is>
      </c>
      <c r="D1" s="48" t="inlineStr">
        <is>
          <t>方案</t>
        </is>
      </c>
      <c r="E1" s="48" t="inlineStr">
        <is>
          <t>制造商</t>
        </is>
      </c>
      <c r="F1" s="48" t="inlineStr">
        <is>
          <t>品牌</t>
        </is>
      </c>
      <c r="G1" s="48" t="inlineStr">
        <is>
          <t>型号</t>
        </is>
      </c>
      <c r="H1" s="48" t="inlineStr">
        <is>
          <t>产品编码</t>
        </is>
      </c>
      <c r="I1" s="48" t="inlineStr">
        <is>
          <t>规格</t>
        </is>
      </c>
      <c r="J1" s="48" t="inlineStr">
        <is>
          <t>单位</t>
        </is>
      </c>
      <c r="K1" s="48" t="inlineStr">
        <is>
          <t>数量</t>
        </is>
      </c>
      <c r="L1" s="48" t="inlineStr">
        <is>
          <t>报价</t>
        </is>
      </c>
      <c r="M1" s="48" t="inlineStr">
        <is>
          <t>税后单价</t>
        </is>
      </c>
      <c r="N1" s="48" t="inlineStr">
        <is>
          <t>小计</t>
        </is>
      </c>
      <c r="O1" s="48" t="inlineStr">
        <is>
          <t>税后总价</t>
        </is>
      </c>
      <c r="P1" s="48" t="inlineStr">
        <is>
          <t>报价日期</t>
        </is>
      </c>
    </row>
    <row r="2">
      <c r="A2" s="49" t="inlineStr">
        <is>
          <t>Sheet1</t>
        </is>
      </c>
      <c r="B2" s="49" t="n">
        <v>3</v>
      </c>
      <c r="C2" s="49" t="inlineStr">
        <is>
          <t>简易急救箱</t>
        </is>
      </c>
      <c r="D2" s="49" t="n">
        <v>1</v>
      </c>
      <c r="E2" s="49" t="inlineStr">
        <is>
          <t>未记录制造商</t>
        </is>
      </c>
      <c r="F2" s="49" t="inlineStr"/>
      <c r="G2" s="49" t="inlineStr"/>
      <c r="H2" s="49" t="inlineStr"/>
      <c r="I2" s="49" t="inlineStr">
        <is>
          <t>箱内包括：烧伤药膏，医用酒精，碘伏，创可贴，胶布，绷带，卫生棉签，剪刀，镊子，止血带（长度≥30cm）</t>
        </is>
      </c>
      <c r="J2" s="49" t="inlineStr">
        <is>
          <t>个</t>
        </is>
      </c>
      <c r="K2" s="49" t="n">
        <v>1</v>
      </c>
      <c r="L2" s="49" t="n">
        <v>80</v>
      </c>
      <c r="M2" s="49" t="n">
        <v>88</v>
      </c>
      <c r="N2" s="49" t="n">
        <v>80</v>
      </c>
      <c r="O2" s="49" t="n">
        <v>88</v>
      </c>
      <c r="P2" s="49" t="inlineStr"/>
    </row>
    <row r="3">
      <c r="A3" s="49" t="inlineStr">
        <is>
          <t>Sheet1</t>
        </is>
      </c>
      <c r="B3" s="49" t="n">
        <v>3</v>
      </c>
      <c r="C3" s="49" t="inlineStr">
        <is>
          <t>简易急救箱</t>
        </is>
      </c>
      <c r="D3" s="49" t="n">
        <v>2</v>
      </c>
      <c r="E3" s="49" t="inlineStr">
        <is>
          <t>未记录制造商</t>
        </is>
      </c>
      <c r="F3" s="49" t="inlineStr"/>
      <c r="G3" s="49" t="inlineStr"/>
      <c r="H3" s="49" t="inlineStr"/>
      <c r="I3" s="49" t="inlineStr">
        <is>
          <t>箱内包括：烧伤药膏，医用酒精，碘伏，创可贴，胶布，绷带，卫生棉签，剪刀，镊子，止血带（长度≥30 cm）等</t>
        </is>
      </c>
      <c r="J3" s="49" t="inlineStr"/>
      <c r="K3" s="49" t="n">
        <v>1</v>
      </c>
      <c r="L3" s="49" t="n">
        <v>80</v>
      </c>
      <c r="M3" s="49" t="n">
        <v>88</v>
      </c>
      <c r="N3" s="49" t="n">
        <v>80</v>
      </c>
      <c r="O3" s="49" t="n">
        <v>88</v>
      </c>
      <c r="P3" s="49" t="inlineStr"/>
    </row>
    <row r="4">
      <c r="A4" s="49" t="inlineStr">
        <is>
          <t>Sheet1</t>
        </is>
      </c>
      <c r="B4" s="49" t="n">
        <v>3</v>
      </c>
      <c r="C4" s="49" t="inlineStr">
        <is>
          <t>简易急救箱</t>
        </is>
      </c>
      <c r="D4" s="49" t="n">
        <v>3</v>
      </c>
      <c r="E4" s="49" t="inlineStr">
        <is>
          <t>未记录制造商</t>
        </is>
      </c>
      <c r="F4" s="49" t="inlineStr"/>
      <c r="G4" s="49" t="inlineStr"/>
      <c r="H4" s="49" t="inlineStr"/>
      <c r="I4" s="49" t="inlineStr">
        <is>
          <t>箱内至少包括：医用酒精、饱和碳酸氢钠溶液、饱和硼酸溶液、创可贴、灭菌结晶磺胺、碘伏、胶布、医用纱布、药棉、手术剪、镊子、止血带（长度≥30 cm）、烫伤膏、甘油等。箱体采用中号铝合金材质</t>
        </is>
      </c>
      <c r="J4" s="49" t="inlineStr"/>
      <c r="K4" s="49" t="n">
        <v>1</v>
      </c>
      <c r="L4" s="49" t="n">
        <v>120</v>
      </c>
      <c r="M4" s="49" t="n">
        <v>132</v>
      </c>
      <c r="N4" s="49" t="n">
        <v>120</v>
      </c>
      <c r="O4" s="49" t="n">
        <v>132</v>
      </c>
      <c r="P4" s="49" t="inlineStr"/>
    </row>
    <row r="5">
      <c r="A5" s="49" t="inlineStr">
        <is>
          <t>Sheet1</t>
        </is>
      </c>
      <c r="B5" s="49" t="n">
        <v>4</v>
      </c>
      <c r="C5" s="49" t="inlineStr">
        <is>
          <t>仪器车</t>
        </is>
      </c>
      <c r="D5" s="49" t="n">
        <v>1</v>
      </c>
      <c r="E5" s="49" t="inlineStr">
        <is>
          <t>宁波凯迪科教仪器有限公司</t>
        </is>
      </c>
      <c r="F5" s="49" t="inlineStr">
        <is>
          <t>群信</t>
        </is>
      </c>
      <c r="G5" s="49" t="inlineStr">
        <is>
          <t>2020</t>
        </is>
      </c>
      <c r="H5" s="49" t="inlineStr"/>
      <c r="I5" s="49" t="inlineStr">
        <is>
          <t>采用优质不锈钢材质,钢材厚度不小于1.0mm。1、产品由搁盘2个，车架2个；2、 支架底部用万向轮组装，规格不小于Ф25mm×360mm×660mm；3、规格不小于800mm×500mm×1100mm，表面涂复；4、脚杆表面油漆涂复；5、附件由M6×30螺杆8个，M6螺帽8个，弹簧垫圈8个，Ф6平垫8个构成；6、整套产品组装后应有足够的平稳度和牢固度，其结构为货车式；7、其它应符合JY0001—2003《教学仪器设备产品一般质量要求》有关规定。</t>
        </is>
      </c>
      <c r="J5" s="49" t="inlineStr">
        <is>
          <t>辆</t>
        </is>
      </c>
      <c r="K5" s="49" t="n">
        <v>2</v>
      </c>
      <c r="L5" s="49" t="n">
        <v>260</v>
      </c>
      <c r="M5" s="49" t="n">
        <v>286</v>
      </c>
      <c r="N5" s="49" t="n">
        <v>520</v>
      </c>
      <c r="O5" s="49" t="n">
        <v>572</v>
      </c>
      <c r="P5" s="49" t="inlineStr"/>
    </row>
    <row r="6">
      <c r="A6" s="49" t="inlineStr">
        <is>
          <t>Sheet1</t>
        </is>
      </c>
      <c r="B6" s="49" t="n">
        <v>5</v>
      </c>
      <c r="C6" s="49" t="inlineStr">
        <is>
          <t>一字螺丝刀</t>
        </is>
      </c>
      <c r="D6" s="49" t="n">
        <v>1</v>
      </c>
      <c r="E6" s="49" t="inlineStr">
        <is>
          <t>未记录制造商</t>
        </is>
      </c>
      <c r="F6" s="49" t="inlineStr"/>
      <c r="G6" s="49" t="inlineStr"/>
      <c r="H6" s="49" t="inlineStr"/>
      <c r="I6" s="49" t="inlineStr">
        <is>
          <t>5*75mm,塑料手柄</t>
        </is>
      </c>
      <c r="J6" s="49" t="inlineStr">
        <is>
          <t>支</t>
        </is>
      </c>
      <c r="K6" s="49" t="n">
        <v>50</v>
      </c>
      <c r="L6" s="49" t="n">
        <v>4.4</v>
      </c>
      <c r="M6" s="49" t="n">
        <v>4.84</v>
      </c>
      <c r="N6" s="49" t="n">
        <v>220</v>
      </c>
      <c r="O6" s="49" t="n">
        <v>242</v>
      </c>
      <c r="P6" s="49" t="inlineStr"/>
    </row>
    <row r="7">
      <c r="A7" s="49" t="inlineStr">
        <is>
          <t>Sheet1</t>
        </is>
      </c>
      <c r="B7" s="49" t="n">
        <v>6</v>
      </c>
      <c r="C7" s="49" t="inlineStr">
        <is>
          <t>镊子</t>
        </is>
      </c>
      <c r="D7" s="49" t="n">
        <v>1</v>
      </c>
      <c r="E7" s="49" t="inlineStr">
        <is>
          <t>未记录制造商</t>
        </is>
      </c>
      <c r="F7" s="49" t="inlineStr"/>
      <c r="G7" s="49" t="inlineStr"/>
      <c r="H7" s="49" t="inlineStr"/>
      <c r="I7" s="49" t="inlineStr">
        <is>
          <t>弯尖头，整体长度122mm(弯头部分40mm)</t>
        </is>
      </c>
      <c r="J7" s="49" t="inlineStr">
        <is>
          <t>个</t>
        </is>
      </c>
      <c r="K7" s="49" t="n">
        <v>50</v>
      </c>
      <c r="L7" s="49" t="n">
        <v>2.5</v>
      </c>
      <c r="M7" s="49" t="n">
        <v>2.75</v>
      </c>
      <c r="N7" s="49" t="n">
        <v>125</v>
      </c>
      <c r="O7" s="49" t="n">
        <v>137.5</v>
      </c>
      <c r="P7" s="49" t="inlineStr"/>
    </row>
    <row r="8">
      <c r="A8" s="49" t="inlineStr">
        <is>
          <t>Sheet1</t>
        </is>
      </c>
      <c r="B8" s="49" t="n">
        <v>7</v>
      </c>
      <c r="C8" s="49" t="inlineStr">
        <is>
          <t>红液温度计</t>
        </is>
      </c>
      <c r="D8" s="49" t="n">
        <v>1</v>
      </c>
      <c r="E8" s="49" t="inlineStr">
        <is>
          <t>未记录制造商</t>
        </is>
      </c>
      <c r="F8" s="49" t="inlineStr"/>
      <c r="G8" s="49" t="inlineStr"/>
      <c r="H8" s="49" t="inlineStr"/>
      <c r="I8" s="49" t="inlineStr">
        <is>
          <t>量程-20℃~+100℃,分度值1℃,示值误差&lt;1.5℃</t>
        </is>
      </c>
      <c r="J8" s="49" t="inlineStr">
        <is>
          <t>支</t>
        </is>
      </c>
      <c r="K8" s="49" t="n">
        <v>60</v>
      </c>
      <c r="L8" s="49" t="n">
        <v>2</v>
      </c>
      <c r="M8" s="49" t="n">
        <v>2.2</v>
      </c>
      <c r="N8" s="49" t="n">
        <v>120</v>
      </c>
      <c r="O8" s="49" t="n">
        <v>132</v>
      </c>
      <c r="P8" s="49" t="inlineStr"/>
    </row>
    <row r="9">
      <c r="A9" s="49" t="inlineStr">
        <is>
          <t>Sheet1</t>
        </is>
      </c>
      <c r="B9" s="49" t="n">
        <v>7</v>
      </c>
      <c r="C9" s="49" t="inlineStr">
        <is>
          <t>红液温度计</t>
        </is>
      </c>
      <c r="D9" s="49" t="n">
        <v>2</v>
      </c>
      <c r="E9" s="49" t="inlineStr">
        <is>
          <t>未记录制造商</t>
        </is>
      </c>
      <c r="F9" s="49" t="inlineStr"/>
      <c r="G9" s="49" t="inlineStr"/>
      <c r="H9" s="49" t="inlineStr"/>
      <c r="I9" s="49" t="inlineStr">
        <is>
          <t>量程-20 ℃～100 ℃，分度值 1 ℃，示值误差&lt;±1.5 ℃</t>
        </is>
      </c>
      <c r="J9" s="49" t="inlineStr"/>
      <c r="K9" s="49" t="n">
        <v>60</v>
      </c>
      <c r="L9" s="49" t="n">
        <v>2</v>
      </c>
      <c r="M9" s="49" t="n">
        <v>2.2</v>
      </c>
      <c r="N9" s="49" t="n">
        <v>120</v>
      </c>
      <c r="O9" s="49" t="n">
        <v>132</v>
      </c>
      <c r="P9" s="49" t="inlineStr"/>
    </row>
    <row r="10">
      <c r="A10" s="49" t="inlineStr">
        <is>
          <t>Sheet1</t>
        </is>
      </c>
      <c r="B10" s="49" t="n">
        <v>7</v>
      </c>
      <c r="C10" s="49" t="inlineStr">
        <is>
          <t>红液温度计</t>
        </is>
      </c>
      <c r="D10" s="49" t="n">
        <v>3</v>
      </c>
      <c r="E10" s="49" t="inlineStr">
        <is>
          <t>未记录制造商</t>
        </is>
      </c>
      <c r="F10" s="49" t="inlineStr"/>
      <c r="G10" s="49" t="inlineStr"/>
      <c r="H10" s="49" t="inlineStr"/>
      <c r="I10" s="49" t="inlineStr">
        <is>
          <t>0 ℃～100 ℃，分度值 1 ℃，示值误差＜1.5 ℃</t>
        </is>
      </c>
      <c r="J10" s="49" t="inlineStr"/>
      <c r="K10" s="49" t="n">
        <v>60</v>
      </c>
      <c r="L10" s="49" t="n">
        <v>2</v>
      </c>
      <c r="M10" s="49" t="n">
        <v>2.2</v>
      </c>
      <c r="N10" s="49" t="n">
        <v>120</v>
      </c>
      <c r="O10" s="49" t="n">
        <v>132</v>
      </c>
      <c r="P10" s="49" t="inlineStr"/>
    </row>
    <row r="11">
      <c r="A11" s="49" t="inlineStr">
        <is>
          <t>Sheet1</t>
        </is>
      </c>
      <c r="B11" s="49" t="n">
        <v>8</v>
      </c>
      <c r="C11" s="49" t="inlineStr">
        <is>
          <t>烧杯</t>
        </is>
      </c>
      <c r="D11" s="49" t="n">
        <v>1</v>
      </c>
      <c r="E11" s="49" t="inlineStr">
        <is>
          <t>未记录制造商</t>
        </is>
      </c>
      <c r="F11" s="49" t="inlineStr"/>
      <c r="G11" s="49" t="inlineStr"/>
      <c r="H11" s="49" t="inlineStr"/>
      <c r="I11" s="49" t="inlineStr">
        <is>
          <t>100mL</t>
        </is>
      </c>
      <c r="J11" s="49" t="inlineStr">
        <is>
          <t>个</t>
        </is>
      </c>
      <c r="K11" s="49" t="n">
        <v>60</v>
      </c>
      <c r="L11" s="49" t="n">
        <v>3.85</v>
      </c>
      <c r="M11" s="49" t="n">
        <v>4.24</v>
      </c>
      <c r="N11" s="49" t="n">
        <v>231</v>
      </c>
      <c r="O11" s="49" t="n">
        <v>254.4</v>
      </c>
      <c r="P11" s="49" t="inlineStr"/>
    </row>
    <row r="12">
      <c r="A12" s="49" t="inlineStr">
        <is>
          <t>Sheet1</t>
        </is>
      </c>
      <c r="B12" s="49" t="n">
        <v>8</v>
      </c>
      <c r="C12" s="49" t="inlineStr">
        <is>
          <t>烧杯</t>
        </is>
      </c>
      <c r="D12" s="49" t="n">
        <v>2</v>
      </c>
      <c r="E12" s="49" t="inlineStr">
        <is>
          <t>未记录制造商</t>
        </is>
      </c>
      <c r="F12" s="49" t="inlineStr"/>
      <c r="G12" s="49" t="inlineStr"/>
      <c r="H12" s="49" t="inlineStr"/>
      <c r="I12" s="49" t="inlineStr">
        <is>
          <t>100 mL透明，硼硅酸盐玻璃制，刻度应清晰耐久，应在容量标志下有记号面积</t>
        </is>
      </c>
      <c r="J12" s="49" t="inlineStr"/>
      <c r="K12" s="49" t="n">
        <v>60</v>
      </c>
      <c r="L12" s="49" t="n">
        <v>3.5</v>
      </c>
      <c r="M12" s="49" t="n">
        <v>3.85</v>
      </c>
      <c r="N12" s="49" t="n">
        <v>210</v>
      </c>
      <c r="O12" s="49" t="n">
        <v>231</v>
      </c>
      <c r="P12" s="49" t="inlineStr"/>
    </row>
    <row r="13">
      <c r="A13" s="49" t="inlineStr">
        <is>
          <t>Sheet1</t>
        </is>
      </c>
      <c r="B13" s="49" t="n">
        <v>9</v>
      </c>
      <c r="C13" s="49" t="inlineStr">
        <is>
          <t>酒精灯</t>
        </is>
      </c>
      <c r="D13" s="49" t="n">
        <v>1</v>
      </c>
      <c r="E13" s="49" t="inlineStr">
        <is>
          <t>未记录制造商</t>
        </is>
      </c>
      <c r="F13" s="49" t="inlineStr"/>
      <c r="G13" s="49" t="inlineStr"/>
      <c r="H13" s="49" t="inlineStr"/>
      <c r="I13" s="49"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13" s="49" t="inlineStr">
        <is>
          <t>个</t>
        </is>
      </c>
      <c r="K13" s="49" t="n">
        <v>30</v>
      </c>
      <c r="L13" s="49" t="n">
        <v>2.5</v>
      </c>
      <c r="M13" s="49" t="n">
        <v>2.75</v>
      </c>
      <c r="N13" s="49" t="n">
        <v>75</v>
      </c>
      <c r="O13" s="49" t="n">
        <v>82.5</v>
      </c>
      <c r="P13" s="49" t="inlineStr"/>
    </row>
    <row r="14">
      <c r="A14" s="49" t="inlineStr">
        <is>
          <t>Sheet1</t>
        </is>
      </c>
      <c r="B14" s="49" t="n">
        <v>9</v>
      </c>
      <c r="C14" s="49" t="inlineStr">
        <is>
          <t>酒精灯</t>
        </is>
      </c>
      <c r="D14" s="49" t="n">
        <v>2</v>
      </c>
      <c r="E14" s="49" t="inlineStr">
        <is>
          <t>未记录制造商</t>
        </is>
      </c>
      <c r="F14" s="49" t="inlineStr"/>
      <c r="G14" s="49" t="inlineStr"/>
      <c r="H14" s="49" t="inlineStr"/>
      <c r="I14" s="49" t="inlineStr">
        <is>
          <t>150 mL 透明钠钙玻璃制，无明显黄绿色。灯口应平整，瓷灯头与灯口平面间隙不应超过 1.5 mm。玻璃灯罩应磨口。瓷灯头应为白色，完全覆盖灯口，表面无缺陷。配置与灯口孔径相适应的整齐完整的棉线灯芯</t>
        </is>
      </c>
      <c r="J14" s="49" t="inlineStr"/>
      <c r="K14" s="49" t="n">
        <v>30</v>
      </c>
      <c r="L14" s="49" t="n">
        <v>2.5</v>
      </c>
      <c r="M14" s="49" t="n">
        <v>2.75</v>
      </c>
      <c r="N14" s="49" t="n">
        <v>75</v>
      </c>
      <c r="O14" s="49" t="n">
        <v>82.5</v>
      </c>
      <c r="P14" s="49" t="inlineStr"/>
    </row>
    <row r="15">
      <c r="A15" s="49" t="inlineStr">
        <is>
          <t>Sheet1</t>
        </is>
      </c>
      <c r="B15" s="49" t="n">
        <v>10</v>
      </c>
      <c r="C15" s="49" t="inlineStr">
        <is>
          <t>漏斗</t>
        </is>
      </c>
      <c r="D15" s="49" t="n">
        <v>1</v>
      </c>
      <c r="E15" s="49" t="inlineStr">
        <is>
          <t>江苏省苏创教学设备有限公司</t>
        </is>
      </c>
      <c r="F15" s="49" t="inlineStr">
        <is>
          <t>苏创</t>
        </is>
      </c>
      <c r="G15" s="49" t="inlineStr"/>
      <c r="H15" s="49" t="inlineStr">
        <is>
          <t>62032</t>
        </is>
      </c>
      <c r="I15" s="49" t="inlineStr">
        <is>
          <t>90mm</t>
        </is>
      </c>
      <c r="J15" s="49" t="inlineStr">
        <is>
          <t>个</t>
        </is>
      </c>
      <c r="K15" s="49" t="n">
        <v>5</v>
      </c>
      <c r="L15" s="49" t="n">
        <v>6</v>
      </c>
      <c r="M15" s="49" t="n">
        <v>6.6</v>
      </c>
      <c r="N15" s="49" t="n">
        <v>30</v>
      </c>
      <c r="O15" s="49" t="n">
        <v>33</v>
      </c>
      <c r="P15" s="49" t="inlineStr"/>
    </row>
    <row r="16">
      <c r="A16" s="49" t="inlineStr">
        <is>
          <t>Sheet1</t>
        </is>
      </c>
      <c r="B16" s="49" t="n">
        <v>10</v>
      </c>
      <c r="C16" s="49" t="inlineStr">
        <is>
          <t>漏斗</t>
        </is>
      </c>
      <c r="D16" s="49" t="n">
        <v>2</v>
      </c>
      <c r="E16" s="49" t="inlineStr">
        <is>
          <t>未记录制造商</t>
        </is>
      </c>
      <c r="F16" s="49" t="inlineStr"/>
      <c r="G16" s="49" t="inlineStr"/>
      <c r="H16" s="49" t="inlineStr"/>
      <c r="I16" s="49" t="inlineStr">
        <is>
          <t>90mm</t>
        </is>
      </c>
      <c r="J16" s="49" t="inlineStr">
        <is>
          <t>个</t>
        </is>
      </c>
      <c r="K16" s="49" t="n">
        <v>5</v>
      </c>
      <c r="L16" s="49" t="n">
        <v>6.6</v>
      </c>
      <c r="M16" s="49" t="n">
        <v>7.26</v>
      </c>
      <c r="N16" s="49" t="n">
        <v>33</v>
      </c>
      <c r="O16" s="49" t="n">
        <v>36.3</v>
      </c>
      <c r="P16" s="49" t="inlineStr"/>
    </row>
    <row r="17">
      <c r="A17" s="49" t="inlineStr">
        <is>
          <t>Sheet1</t>
        </is>
      </c>
      <c r="B17" s="49" t="n">
        <v>10</v>
      </c>
      <c r="C17" s="49" t="inlineStr">
        <is>
          <t>漏斗</t>
        </is>
      </c>
      <c r="D17" s="49" t="n">
        <v>3</v>
      </c>
      <c r="E17" s="49" t="inlineStr">
        <is>
          <t>未记录制造商</t>
        </is>
      </c>
      <c r="F17" s="49" t="inlineStr"/>
      <c r="G17" s="49" t="inlineStr"/>
      <c r="H17" s="49" t="inlineStr"/>
      <c r="I17" s="49" t="inlineStr">
        <is>
          <t>90 mm 直径准确，锥度适中</t>
        </is>
      </c>
      <c r="J17" s="49" t="inlineStr"/>
      <c r="K17" s="49" t="n">
        <v>5</v>
      </c>
      <c r="L17" s="49" t="n">
        <v>6</v>
      </c>
      <c r="M17" s="49" t="n">
        <v>6.6</v>
      </c>
      <c r="N17" s="49" t="n">
        <v>30</v>
      </c>
      <c r="O17" s="49" t="n">
        <v>33</v>
      </c>
      <c r="P17" s="49" t="inlineStr"/>
    </row>
    <row r="18">
      <c r="A18" s="49" t="inlineStr">
        <is>
          <t>Sheet1</t>
        </is>
      </c>
      <c r="B18" s="49" t="n">
        <v>11</v>
      </c>
      <c r="C18" s="49" t="inlineStr">
        <is>
          <t>注射器</t>
        </is>
      </c>
      <c r="D18" s="49" t="n">
        <v>1</v>
      </c>
      <c r="E18" s="49" t="inlineStr">
        <is>
          <t>未记录制造商</t>
        </is>
      </c>
      <c r="F18" s="49" t="inlineStr"/>
      <c r="G18" s="49" t="inlineStr"/>
      <c r="H18" s="49" t="inlineStr"/>
      <c r="I18" s="49" t="inlineStr">
        <is>
          <t>100 mL，分度值 10 mL，刻度清晰。加帽或塞，密闭性好，防止液体泄漏，清晰度高</t>
        </is>
      </c>
      <c r="J18" s="49" t="inlineStr"/>
      <c r="K18" s="49" t="n">
        <v>28</v>
      </c>
      <c r="L18" s="49" t="n">
        <v>8</v>
      </c>
      <c r="M18" s="49" t="n">
        <v>8.800000000000001</v>
      </c>
      <c r="N18" s="49" t="n">
        <v>224</v>
      </c>
      <c r="O18" s="49" t="n">
        <v>246.4</v>
      </c>
      <c r="P18" s="49" t="inlineStr"/>
    </row>
    <row r="19">
      <c r="A19" s="49" t="inlineStr">
        <is>
          <t>Sheet1</t>
        </is>
      </c>
      <c r="B19" s="49" t="n">
        <v>11</v>
      </c>
      <c r="C19" s="49" t="inlineStr">
        <is>
          <t>注射器</t>
        </is>
      </c>
      <c r="D19" s="49" t="n">
        <v>2</v>
      </c>
      <c r="E19" s="49" t="inlineStr">
        <is>
          <t>江阴市医疗器械有限公司</t>
        </is>
      </c>
      <c r="F19" s="49" t="inlineStr">
        <is>
          <t>锋利</t>
        </is>
      </c>
      <c r="G19" s="49" t="inlineStr">
        <is>
          <t>2102</t>
        </is>
      </c>
      <c r="H19" s="49" t="inlineStr"/>
      <c r="I19" s="49" t="inlineStr">
        <is>
          <t>规格：100ml。塑料制成。密封性好，滑动灵活。刻度标线规整、清晰。</t>
        </is>
      </c>
      <c r="J19" s="49" t="inlineStr">
        <is>
          <t>个</t>
        </is>
      </c>
      <c r="K19" s="49" t="n">
        <v>28</v>
      </c>
      <c r="L19" s="49" t="n">
        <v>9</v>
      </c>
      <c r="M19" s="49" t="n">
        <v>9.9</v>
      </c>
      <c r="N19" s="49" t="n">
        <v>252</v>
      </c>
      <c r="O19" s="49" t="n">
        <v>277.2</v>
      </c>
      <c r="P19" s="49" t="inlineStr"/>
    </row>
    <row r="20">
      <c r="A20" s="49" t="inlineStr">
        <is>
          <t>Sheet1</t>
        </is>
      </c>
      <c r="B20" s="49" t="n">
        <v>12</v>
      </c>
      <c r="C20" s="49" t="inlineStr">
        <is>
          <t>陶土网</t>
        </is>
      </c>
      <c r="D20" s="49" t="n">
        <v>1</v>
      </c>
      <c r="E20" s="49" t="inlineStr">
        <is>
          <t>未记录制造商</t>
        </is>
      </c>
      <c r="F20" s="49" t="inlineStr"/>
      <c r="G20" s="49" t="inlineStr"/>
      <c r="H20" s="49" t="inlineStr"/>
      <c r="I20" s="49" t="inlineStr">
        <is>
          <t>功能同石棉网，陶土材质，尺寸不小于 125 mm×125 mm，0.8 mm 钢丝制成</t>
        </is>
      </c>
      <c r="J20" s="49" t="inlineStr"/>
      <c r="K20" s="49" t="n">
        <v>28</v>
      </c>
      <c r="L20" s="49" t="n">
        <v>1.4</v>
      </c>
      <c r="M20" s="49" t="n">
        <v>1.54</v>
      </c>
      <c r="N20" s="49" t="n">
        <v>39.2</v>
      </c>
      <c r="O20" s="49" t="n">
        <v>43.12</v>
      </c>
      <c r="P20" s="49" t="inlineStr"/>
    </row>
    <row r="21">
      <c r="A21" s="49" t="inlineStr">
        <is>
          <t>Sheet1</t>
        </is>
      </c>
      <c r="B21" s="49" t="n">
        <v>12</v>
      </c>
      <c r="C21" s="49" t="inlineStr">
        <is>
          <t>陶土网</t>
        </is>
      </c>
      <c r="D21" s="49" t="n">
        <v>2</v>
      </c>
      <c r="E21" s="49" t="inlineStr">
        <is>
          <t>未记录制造商</t>
        </is>
      </c>
      <c r="F21" s="49" t="inlineStr"/>
      <c r="G21" s="49" t="inlineStr"/>
      <c r="H21" s="49" t="inlineStr"/>
      <c r="I21" s="49" t="inlineStr">
        <is>
          <t>金属网尺寸≥125mm×125mm，耐火材料为陶土，功能等同于石棉网</t>
        </is>
      </c>
      <c r="J21" s="49" t="inlineStr">
        <is>
          <t>个</t>
        </is>
      </c>
      <c r="K21" s="49" t="n">
        <v>28</v>
      </c>
      <c r="L21" s="49" t="n">
        <v>1.4</v>
      </c>
      <c r="M21" s="49" t="n">
        <v>1.54</v>
      </c>
      <c r="N21" s="49" t="n">
        <v>39.2</v>
      </c>
      <c r="O21" s="49" t="n">
        <v>43.12</v>
      </c>
      <c r="P21" s="49" t="inlineStr"/>
    </row>
    <row r="22">
      <c r="A22" s="49" t="inlineStr">
        <is>
          <t>Sheet1</t>
        </is>
      </c>
      <c r="B22" s="49" t="n">
        <v>12</v>
      </c>
      <c r="C22" s="49" t="inlineStr">
        <is>
          <t>陶土网</t>
        </is>
      </c>
      <c r="D22" s="49" t="n">
        <v>3</v>
      </c>
      <c r="E22" s="49" t="inlineStr">
        <is>
          <t>未记录制造商</t>
        </is>
      </c>
      <c r="F22" s="49" t="inlineStr"/>
      <c r="G22" s="49" t="inlineStr"/>
      <c r="H22" s="49" t="inlineStr"/>
      <c r="I22" s="49" t="inlineStr">
        <is>
          <t>功能等同于石棉网，尺寸≥125 mm×125 mm，耐火材料为陶土</t>
        </is>
      </c>
      <c r="J22" s="49" t="inlineStr"/>
      <c r="K22" s="49" t="n">
        <v>28</v>
      </c>
      <c r="L22" s="49" t="n">
        <v>1.4</v>
      </c>
      <c r="M22" s="49" t="n">
        <v>1.54</v>
      </c>
      <c r="N22" s="49" t="n">
        <v>39.2</v>
      </c>
      <c r="O22" s="49" t="n">
        <v>43.12</v>
      </c>
      <c r="P22" s="49" t="inlineStr"/>
    </row>
    <row r="23">
      <c r="A23" s="49" t="inlineStr">
        <is>
          <t>Sheet1</t>
        </is>
      </c>
      <c r="B23" s="49" t="n">
        <v>13</v>
      </c>
      <c r="C23" s="49" t="inlineStr">
        <is>
          <t>碘升华凝华管</t>
        </is>
      </c>
      <c r="D23" s="49" t="n">
        <v>1</v>
      </c>
      <c r="E23" s="49" t="inlineStr">
        <is>
          <t>宁波凯迪科教仪器有限公司</t>
        </is>
      </c>
      <c r="F23" s="49" t="inlineStr">
        <is>
          <t>群信</t>
        </is>
      </c>
      <c r="G23" s="49" t="inlineStr"/>
      <c r="H23" s="49" t="inlineStr">
        <is>
          <t>02125</t>
        </is>
      </c>
      <c r="I23" s="49" t="inlineStr">
        <is>
          <t>1、由玻璃密封管体和手柄组成，管体和手柄彼此独立，不连通。管的高度≥45mm，直径≥30mm。管内密封碘的质量≥0.1克。2、手柄长≥70mm，直径为Φ6±1mm。3、管体外形端正，玻璃熔接平滑均匀，无气泡、无条纹。管体在90℃热水中检测无泄漏（无气泡溢出）。4、管体应耐80℃温差的急冷骤热。5、升华与凝华的全过程耗时应≤2分钟。</t>
        </is>
      </c>
      <c r="J23" s="49" t="inlineStr">
        <is>
          <t>个</t>
        </is>
      </c>
      <c r="K23" s="49" t="n">
        <v>4</v>
      </c>
      <c r="L23" s="49" t="n">
        <v>4.5</v>
      </c>
      <c r="M23" s="49" t="n">
        <v>4.95</v>
      </c>
      <c r="N23" s="49" t="n">
        <v>18</v>
      </c>
      <c r="O23" s="49" t="n">
        <v>19.8</v>
      </c>
      <c r="P23" s="49" t="inlineStr"/>
    </row>
    <row r="24">
      <c r="A24" s="49" t="inlineStr">
        <is>
          <t>Sheet1</t>
        </is>
      </c>
      <c r="B24" s="49" t="n">
        <v>14</v>
      </c>
      <c r="C24" s="49" t="inlineStr">
        <is>
          <t>托盘天平</t>
        </is>
      </c>
      <c r="D24" s="49" t="n">
        <v>1</v>
      </c>
      <c r="E24" s="49" t="inlineStr">
        <is>
          <t>宁波凯迪科教仪器有限公司</t>
        </is>
      </c>
      <c r="F24" s="49" t="inlineStr">
        <is>
          <t>群信</t>
        </is>
      </c>
      <c r="G24" s="49" t="inlineStr"/>
      <c r="H24" s="49" t="inlineStr">
        <is>
          <t>11003</t>
        </is>
      </c>
      <c r="I24" s="49" t="inlineStr">
        <is>
          <t>1.最大称量200g，分度值0.2g,标尺称量0-5g。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is>
      </c>
      <c r="J24" s="49" t="inlineStr">
        <is>
          <t>台</t>
        </is>
      </c>
      <c r="K24" s="49" t="n">
        <v>56</v>
      </c>
      <c r="L24" s="49" t="n">
        <v>30</v>
      </c>
      <c r="M24" s="49" t="n">
        <v>33</v>
      </c>
      <c r="N24" s="49" t="n">
        <v>1680</v>
      </c>
      <c r="O24" s="49" t="n">
        <v>1848</v>
      </c>
      <c r="P24" s="49" t="inlineStr"/>
    </row>
    <row r="25">
      <c r="A25" s="49" t="inlineStr">
        <is>
          <t>Sheet1</t>
        </is>
      </c>
      <c r="B25" s="49" t="n">
        <v>15</v>
      </c>
      <c r="C25" s="49" t="inlineStr">
        <is>
          <t>量筒</t>
        </is>
      </c>
      <c r="D25" s="49" t="n">
        <v>1</v>
      </c>
      <c r="E25" s="49" t="inlineStr">
        <is>
          <t>未记录制造商</t>
        </is>
      </c>
      <c r="F25" s="49" t="inlineStr"/>
      <c r="G25" s="49" t="inlineStr"/>
      <c r="H25" s="49" t="inlineStr"/>
      <c r="I25" s="49" t="inlineStr">
        <is>
          <t>100mL</t>
        </is>
      </c>
      <c r="J25" s="49" t="inlineStr">
        <is>
          <t>个</t>
        </is>
      </c>
      <c r="K25" s="49" t="n">
        <v>60</v>
      </c>
      <c r="L25" s="49" t="n">
        <v>7.7</v>
      </c>
      <c r="M25" s="49" t="n">
        <v>8.470000000000001</v>
      </c>
      <c r="N25" s="49" t="n">
        <v>462</v>
      </c>
      <c r="O25" s="49" t="n">
        <v>508.2</v>
      </c>
      <c r="P25" s="49" t="inlineStr"/>
    </row>
    <row r="26">
      <c r="A26" s="49" t="inlineStr">
        <is>
          <t>Sheet1</t>
        </is>
      </c>
      <c r="B26" s="49" t="n">
        <v>15</v>
      </c>
      <c r="C26" s="49" t="inlineStr">
        <is>
          <t>量筒</t>
        </is>
      </c>
      <c r="D26" s="49" t="n">
        <v>2</v>
      </c>
      <c r="E26" s="49" t="inlineStr">
        <is>
          <t>未记录制造商</t>
        </is>
      </c>
      <c r="F26" s="49" t="inlineStr"/>
      <c r="G26" s="49" t="inlineStr"/>
      <c r="H26" s="49" t="inlineStr"/>
      <c r="I26" s="49" t="inlineStr">
        <is>
          <t>100mL，同上</t>
        </is>
      </c>
      <c r="J26" s="49" t="inlineStr">
        <is>
          <t>个</t>
        </is>
      </c>
      <c r="K26" s="49" t="n">
        <v>60</v>
      </c>
      <c r="L26" s="49" t="n">
        <v>7</v>
      </c>
      <c r="M26" s="49" t="n">
        <v>7.7</v>
      </c>
      <c r="N26" s="49" t="n">
        <v>420</v>
      </c>
      <c r="O26" s="49" t="n">
        <v>462</v>
      </c>
      <c r="P26" s="49" t="inlineStr"/>
    </row>
    <row r="27">
      <c r="A27" s="49" t="inlineStr">
        <is>
          <t>Sheet1</t>
        </is>
      </c>
      <c r="B27" s="49" t="n">
        <v>16</v>
      </c>
      <c r="C27" s="49" t="inlineStr">
        <is>
          <t>放大镜</t>
        </is>
      </c>
      <c r="D27" s="49" t="n">
        <v>1</v>
      </c>
      <c r="E27" s="49" t="inlineStr">
        <is>
          <t>未记录制造商</t>
        </is>
      </c>
      <c r="F27" s="49" t="inlineStr"/>
      <c r="G27" s="49" t="inlineStr"/>
      <c r="H27" s="49" t="inlineStr"/>
      <c r="I27" s="49" t="inlineStr">
        <is>
          <t>手持式，5×，焦距 50 mm</t>
        </is>
      </c>
      <c r="J27" s="49" t="inlineStr"/>
      <c r="K27" s="49" t="n">
        <v>28</v>
      </c>
      <c r="L27" s="49" t="n">
        <v>2</v>
      </c>
      <c r="M27" s="49" t="n">
        <v>2.2</v>
      </c>
      <c r="N27" s="49" t="n">
        <v>56</v>
      </c>
      <c r="O27" s="49" t="n">
        <v>61.6</v>
      </c>
      <c r="P27" s="49" t="inlineStr"/>
    </row>
    <row r="28">
      <c r="A28" s="49" t="inlineStr">
        <is>
          <t>Sheet1</t>
        </is>
      </c>
      <c r="B28" s="49" t="n">
        <v>17</v>
      </c>
      <c r="C28" s="49" t="inlineStr">
        <is>
          <t>望远镜</t>
        </is>
      </c>
      <c r="D28" s="49" t="n">
        <v>1</v>
      </c>
      <c r="E28" s="49" t="inlineStr">
        <is>
          <t>未记录制造商</t>
        </is>
      </c>
      <c r="F28" s="49" t="inlineStr"/>
      <c r="G28" s="49" t="inlineStr"/>
      <c r="H28" s="49" t="inlineStr"/>
      <c r="I28" s="49" t="inlineStr">
        <is>
          <t>双筒，7×35</t>
        </is>
      </c>
      <c r="J28" s="49" t="inlineStr">
        <is>
          <t>个</t>
        </is>
      </c>
      <c r="K28" s="49" t="n">
        <v>1</v>
      </c>
      <c r="L28" s="49" t="n">
        <v>60.5</v>
      </c>
      <c r="M28" s="49" t="n">
        <v>66.55</v>
      </c>
      <c r="N28" s="49" t="n">
        <v>60.5</v>
      </c>
      <c r="O28" s="49" t="n">
        <v>66.55</v>
      </c>
      <c r="P28" s="49" t="inlineStr"/>
    </row>
    <row r="29">
      <c r="A29" s="49" t="inlineStr">
        <is>
          <t>Sheet1</t>
        </is>
      </c>
      <c r="B29" s="49" t="n">
        <v>17</v>
      </c>
      <c r="C29" s="49" t="inlineStr">
        <is>
          <t>望远镜</t>
        </is>
      </c>
      <c r="D29" s="49" t="n">
        <v>2</v>
      </c>
      <c r="E29" s="49" t="inlineStr">
        <is>
          <t>未记录制造商</t>
        </is>
      </c>
      <c r="F29" s="49" t="inlineStr"/>
      <c r="G29" s="49" t="inlineStr"/>
      <c r="H29" s="49" t="inlineStr"/>
      <c r="I29" s="49" t="inlineStr">
        <is>
          <t>双筒，7×35</t>
        </is>
      </c>
      <c r="J29" s="49" t="inlineStr"/>
      <c r="K29" s="49" t="n">
        <v>1</v>
      </c>
      <c r="L29" s="49" t="n">
        <v>55</v>
      </c>
      <c r="M29" s="49" t="n">
        <v>60.5</v>
      </c>
      <c r="N29" s="49" t="n">
        <v>55</v>
      </c>
      <c r="O29" s="49" t="n">
        <v>60.5</v>
      </c>
      <c r="P29" s="49" t="inlineStr"/>
    </row>
    <row r="30">
      <c r="A30" s="49" t="inlineStr">
        <is>
          <t>Sheet1</t>
        </is>
      </c>
      <c r="B30" s="49" t="n">
        <v>18</v>
      </c>
      <c r="C30" s="49" t="inlineStr">
        <is>
          <t>食用色素</t>
        </is>
      </c>
      <c r="D30" s="49" t="n">
        <v>1</v>
      </c>
      <c r="E30" s="49" t="inlineStr">
        <is>
          <t>未记录制造商</t>
        </is>
      </c>
      <c r="F30" s="49" t="inlineStr"/>
      <c r="G30" s="49" t="inlineStr"/>
      <c r="H30" s="49" t="inlineStr"/>
      <c r="I30" s="49" t="inlineStr">
        <is>
          <t>红色</t>
        </is>
      </c>
      <c r="J30" s="49" t="inlineStr"/>
      <c r="K30" s="49" t="n">
        <v>10</v>
      </c>
      <c r="L30" s="49" t="n">
        <v>0.8</v>
      </c>
      <c r="M30" s="49" t="n">
        <v>0.88</v>
      </c>
      <c r="N30" s="49" t="n">
        <v>8</v>
      </c>
      <c r="O30" s="49" t="n">
        <v>8.800000000000001</v>
      </c>
      <c r="P30" s="49" t="inlineStr"/>
    </row>
    <row r="31">
      <c r="A31" s="49" t="inlineStr">
        <is>
          <t>Sheet1</t>
        </is>
      </c>
      <c r="B31" s="49" t="n">
        <v>19</v>
      </c>
      <c r="C31" s="49" t="inlineStr">
        <is>
          <t>直尺</t>
        </is>
      </c>
      <c r="D31" s="49" t="n">
        <v>1</v>
      </c>
      <c r="E31" s="49" t="inlineStr">
        <is>
          <t>未记录制造商</t>
        </is>
      </c>
      <c r="F31" s="49" t="inlineStr"/>
      <c r="G31" s="49" t="inlineStr"/>
      <c r="H31" s="49" t="inlineStr"/>
      <c r="I31" s="49" t="inlineStr">
        <is>
          <t>演示用；1 m，最小分度值 1 mm，分别有米、分米、厘米、毫米四种单位，刻度清晰，宜采用工程塑料制</t>
        </is>
      </c>
      <c r="J31" s="49" t="inlineStr">
        <is>
          <t>个</t>
        </is>
      </c>
      <c r="K31" s="49" t="n">
        <v>28</v>
      </c>
      <c r="L31" s="49" t="n">
        <v>18</v>
      </c>
      <c r="M31" s="49" t="n">
        <v>19.8</v>
      </c>
      <c r="N31" s="49" t="n">
        <v>504</v>
      </c>
      <c r="O31" s="49" t="n">
        <v>554.4</v>
      </c>
      <c r="P31" s="49" t="inlineStr"/>
    </row>
    <row r="32">
      <c r="A32" s="49" t="inlineStr">
        <is>
          <t>Sheet1</t>
        </is>
      </c>
      <c r="B32" s="49" t="n">
        <v>20</v>
      </c>
      <c r="C32" s="49" t="inlineStr">
        <is>
          <t>机械秒表</t>
        </is>
      </c>
      <c r="D32" s="49" t="n">
        <v>1</v>
      </c>
      <c r="E32" s="49" t="inlineStr">
        <is>
          <t>未记录制造商</t>
        </is>
      </c>
      <c r="F32" s="49" t="inlineStr"/>
      <c r="G32" s="49" t="inlineStr"/>
      <c r="H32" s="49" t="inlineStr"/>
      <c r="I32" s="49" t="inlineStr">
        <is>
          <t>分度值 0.1 s，一等</t>
        </is>
      </c>
      <c r="J32" s="49" t="inlineStr"/>
      <c r="K32" s="49" t="n">
        <v>28</v>
      </c>
      <c r="L32" s="49" t="n">
        <v>220</v>
      </c>
      <c r="M32" s="49" t="n">
        <v>242</v>
      </c>
      <c r="N32" s="49" t="n">
        <v>6160</v>
      </c>
      <c r="O32" s="49" t="n">
        <v>6776</v>
      </c>
      <c r="P32" s="49" t="inlineStr"/>
    </row>
    <row r="33">
      <c r="A33" s="49" t="inlineStr">
        <is>
          <t>Sheet1</t>
        </is>
      </c>
      <c r="B33" s="49" t="n">
        <v>21</v>
      </c>
      <c r="C33" s="49" t="inlineStr">
        <is>
          <t>斜面小车</t>
        </is>
      </c>
      <c r="D33" s="49" t="n">
        <v>1</v>
      </c>
      <c r="E33" s="49" t="inlineStr">
        <is>
          <t>宁波凯迪科教仪器有限公司</t>
        </is>
      </c>
      <c r="F33" s="49" t="inlineStr">
        <is>
          <t>群信</t>
        </is>
      </c>
      <c r="G33" s="49" t="inlineStr"/>
      <c r="H33" s="49" t="inlineStr">
        <is>
          <t>21054</t>
        </is>
      </c>
      <c r="I33" s="49" t="inlineStr">
        <is>
          <t>产品由斜面板、小车、支撑杆、摩擦块、砝码桶组成。1.斜面板外形尺寸约：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约：100mm×80mm×40mm，摩擦面分别有2个和4个圆孔。</t>
        </is>
      </c>
      <c r="J33" s="49" t="inlineStr">
        <is>
          <t>套</t>
        </is>
      </c>
      <c r="K33" s="49" t="n">
        <v>56</v>
      </c>
      <c r="L33" s="49" t="n">
        <v>46</v>
      </c>
      <c r="M33" s="49" t="n">
        <v>50.6</v>
      </c>
      <c r="N33" s="49" t="n">
        <v>2576</v>
      </c>
      <c r="O33" s="49" t="n">
        <v>2833.6</v>
      </c>
      <c r="P33" s="49" t="inlineStr"/>
    </row>
    <row r="34">
      <c r="A34" s="49" t="inlineStr">
        <is>
          <t>Sheet1</t>
        </is>
      </c>
      <c r="B34" s="49" t="n">
        <v>22</v>
      </c>
      <c r="C34" s="49" t="inlineStr">
        <is>
          <t>演示测力计</t>
        </is>
      </c>
      <c r="D34" s="49" t="n">
        <v>1</v>
      </c>
      <c r="E34" s="49" t="inlineStr">
        <is>
          <t>未记录制造商</t>
        </is>
      </c>
      <c r="F34" s="49" t="inlineStr"/>
      <c r="G34" s="49" t="inlineStr"/>
      <c r="H34" s="49" t="inlineStr"/>
      <c r="I34" s="49" t="inlineStr">
        <is>
          <t>0N～2N</t>
        </is>
      </c>
      <c r="J34" s="49" t="inlineStr">
        <is>
          <t>个</t>
        </is>
      </c>
      <c r="K34" s="49" t="n">
        <v>1</v>
      </c>
      <c r="L34" s="49" t="n">
        <v>16.5</v>
      </c>
      <c r="M34" s="49" t="n">
        <v>18.15</v>
      </c>
      <c r="N34" s="49" t="n">
        <v>16.5</v>
      </c>
      <c r="O34" s="49" t="n">
        <v>18.15</v>
      </c>
      <c r="P34" s="49" t="inlineStr"/>
    </row>
    <row r="35">
      <c r="A35" s="49" t="inlineStr">
        <is>
          <t>Sheet1</t>
        </is>
      </c>
      <c r="B35" s="49" t="n">
        <v>23</v>
      </c>
      <c r="C35" s="49" t="inlineStr">
        <is>
          <t>条形盒测力计</t>
        </is>
      </c>
      <c r="D35" s="49" t="n">
        <v>1</v>
      </c>
      <c r="E35" s="49" t="inlineStr">
        <is>
          <t>未记录制造商</t>
        </is>
      </c>
      <c r="F35" s="49" t="inlineStr"/>
      <c r="G35" s="49" t="inlineStr"/>
      <c r="H35" s="49" t="inlineStr"/>
      <c r="I35" s="49" t="inlineStr">
        <is>
          <t>1N，分度值0.02N</t>
        </is>
      </c>
      <c r="J35" s="49" t="inlineStr">
        <is>
          <t>个</t>
        </is>
      </c>
      <c r="K35" s="49" t="n">
        <v>56</v>
      </c>
      <c r="L35" s="49" t="n">
        <v>6.6</v>
      </c>
      <c r="M35" s="49" t="n">
        <v>7.26</v>
      </c>
      <c r="N35" s="49" t="n">
        <v>369.6</v>
      </c>
      <c r="O35" s="49" t="n">
        <v>406.56</v>
      </c>
      <c r="P35" s="49" t="inlineStr"/>
    </row>
    <row r="36">
      <c r="A36" s="49" t="inlineStr">
        <is>
          <t>Sheet1</t>
        </is>
      </c>
      <c r="B36" s="49" t="n">
        <v>24</v>
      </c>
      <c r="C36" s="49" t="inlineStr">
        <is>
          <t>金属钩码</t>
        </is>
      </c>
      <c r="D36" s="49" t="n">
        <v>1</v>
      </c>
      <c r="E36" s="49" t="inlineStr">
        <is>
          <t>未记录制造商</t>
        </is>
      </c>
      <c r="F36" s="49" t="inlineStr"/>
      <c r="G36" s="49" t="inlineStr"/>
      <c r="H36" s="49" t="inlineStr"/>
      <c r="I36" s="49" t="inlineStr">
        <is>
          <t>10 g（ Φ 22 mm）×l，20 g（ Φ 26 mm）×2，50 g（ Φ 30 mm）×2，200 g（ Φ 48 mm）×1，允许误差：10 g±0.1 g，20 g±0.2 g，50 g±0.5 g，200 g±2.0 g</t>
        </is>
      </c>
      <c r="J36" s="49" t="inlineStr"/>
      <c r="K36" s="49" t="n">
        <v>56</v>
      </c>
      <c r="L36" s="49" t="n">
        <v>15</v>
      </c>
      <c r="M36" s="49" t="n">
        <v>16.5</v>
      </c>
      <c r="N36" s="49" t="n">
        <v>840</v>
      </c>
      <c r="O36" s="49" t="n">
        <v>924</v>
      </c>
      <c r="P36" s="49" t="inlineStr"/>
    </row>
    <row r="37">
      <c r="A37" s="49" t="inlineStr">
        <is>
          <t>Sheet1</t>
        </is>
      </c>
      <c r="B37" s="49" t="n">
        <v>24</v>
      </c>
      <c r="C37" s="49" t="inlineStr">
        <is>
          <t>金属钩码</t>
        </is>
      </c>
      <c r="D37" s="49" t="n">
        <v>2</v>
      </c>
      <c r="E37" s="49" t="inlineStr">
        <is>
          <t>宁波凯迪科教仪器有限公司</t>
        </is>
      </c>
      <c r="F37" s="49" t="inlineStr">
        <is>
          <t>群信</t>
        </is>
      </c>
      <c r="G37" s="49" t="inlineStr"/>
      <c r="H37" s="49" t="inlineStr">
        <is>
          <t>11021</t>
        </is>
      </c>
      <c r="I37" s="49" t="inlineStr">
        <is>
          <t>10g×1,20g×2,50g×2,200g×2。塑料盒包装。</t>
        </is>
      </c>
      <c r="J37" s="49" t="inlineStr">
        <is>
          <t>套</t>
        </is>
      </c>
      <c r="K37" s="49" t="n">
        <v>56</v>
      </c>
      <c r="L37" s="49" t="n">
        <v>16</v>
      </c>
      <c r="M37" s="49" t="n">
        <v>17.6</v>
      </c>
      <c r="N37" s="49" t="n">
        <v>896</v>
      </c>
      <c r="O37" s="49" t="n">
        <v>985.6</v>
      </c>
      <c r="P37" s="49" t="inlineStr"/>
    </row>
    <row r="38">
      <c r="A38" s="49" t="inlineStr">
        <is>
          <t>Sheet1</t>
        </is>
      </c>
      <c r="B38" s="49" t="n">
        <v>24</v>
      </c>
      <c r="C38" s="49" t="inlineStr">
        <is>
          <t>金属钩码</t>
        </is>
      </c>
      <c r="D38" s="49" t="n">
        <v>3</v>
      </c>
      <c r="E38" s="49" t="inlineStr">
        <is>
          <t>未记录制造商</t>
        </is>
      </c>
      <c r="F38" s="49" t="inlineStr"/>
      <c r="G38" s="49" t="inlineStr"/>
      <c r="H38" s="49" t="inlineStr"/>
      <c r="I38" s="49" t="inlineStr">
        <is>
          <t>10g×1，20g×2，50g×2，200g×2</t>
        </is>
      </c>
      <c r="J38" s="49" t="inlineStr">
        <is>
          <t>套</t>
        </is>
      </c>
      <c r="K38" s="49" t="n">
        <v>56</v>
      </c>
      <c r="L38" s="49" t="n">
        <v>16.5</v>
      </c>
      <c r="M38" s="49" t="n">
        <v>18.15</v>
      </c>
      <c r="N38" s="49" t="n">
        <v>924</v>
      </c>
      <c r="O38" s="49" t="n">
        <v>1016.4</v>
      </c>
      <c r="P38" s="49" t="inlineStr"/>
    </row>
    <row r="39">
      <c r="A39" s="49" t="inlineStr">
        <is>
          <t>Sheet1</t>
        </is>
      </c>
      <c r="B39" s="49" t="n">
        <v>25</v>
      </c>
      <c r="C39" s="49" t="inlineStr">
        <is>
          <t>摩擦力演示器</t>
        </is>
      </c>
      <c r="D39" s="49" t="n">
        <v>1</v>
      </c>
      <c r="E39" s="49" t="inlineStr">
        <is>
          <t>宁波凯迪科教仪器有限公司</t>
        </is>
      </c>
      <c r="F39" s="49" t="inlineStr">
        <is>
          <t>群信</t>
        </is>
      </c>
      <c r="G39" s="49" t="inlineStr"/>
      <c r="H39" s="49" t="inlineStr">
        <is>
          <t>21024</t>
        </is>
      </c>
      <c r="I39" s="49" t="inlineStr">
        <is>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is>
      </c>
      <c r="J39" s="49" t="inlineStr">
        <is>
          <t>台</t>
        </is>
      </c>
      <c r="K39" s="49" t="n">
        <v>1</v>
      </c>
      <c r="L39" s="49" t="n">
        <v>220</v>
      </c>
      <c r="M39" s="49" t="n">
        <v>242</v>
      </c>
      <c r="N39" s="49" t="n">
        <v>220</v>
      </c>
      <c r="O39" s="49" t="n">
        <v>242</v>
      </c>
      <c r="P39" s="49" t="inlineStr"/>
    </row>
    <row r="40">
      <c r="A40" s="49" t="inlineStr">
        <is>
          <t>Sheet1</t>
        </is>
      </c>
      <c r="B40" s="49" t="n">
        <v>26</v>
      </c>
      <c r="C40" s="49" t="inlineStr">
        <is>
          <t>运动和力实验器</t>
        </is>
      </c>
      <c r="D40" s="49" t="n">
        <v>1</v>
      </c>
      <c r="E40" s="49" t="inlineStr">
        <is>
          <t>未记录制造商</t>
        </is>
      </c>
      <c r="F40" s="49" t="inlineStr"/>
      <c r="G40" s="49" t="inlineStr"/>
      <c r="H40" s="49" t="inlineStr"/>
      <c r="I40" s="49" t="inlineStr">
        <is>
          <t>长、短斜面，小车，小球2个，硬盒，毛巾，布</t>
        </is>
      </c>
      <c r="J40" s="49" t="inlineStr">
        <is>
          <t>套</t>
        </is>
      </c>
      <c r="K40" s="49" t="n">
        <v>2</v>
      </c>
      <c r="L40" s="49" t="n">
        <v>49.5</v>
      </c>
      <c r="M40" s="49" t="n">
        <v>54.45</v>
      </c>
      <c r="N40" s="49" t="n">
        <v>99</v>
      </c>
      <c r="O40" s="49" t="n">
        <v>108.9</v>
      </c>
      <c r="P40" s="49" t="inlineStr"/>
    </row>
    <row r="41">
      <c r="A41" s="49" t="inlineStr">
        <is>
          <t>Sheet1</t>
        </is>
      </c>
      <c r="B41" s="49" t="n">
        <v>27</v>
      </c>
      <c r="C41" s="49" t="inlineStr">
        <is>
          <t>阿基米德原理实验器</t>
        </is>
      </c>
      <c r="D41" s="49" t="n">
        <v>1</v>
      </c>
      <c r="E41" s="49" t="inlineStr">
        <is>
          <t>未记录制造商</t>
        </is>
      </c>
      <c r="F41" s="49" t="inlineStr"/>
      <c r="G41" s="49" t="inlineStr"/>
      <c r="H41" s="49" t="inlineStr"/>
      <c r="I41" s="49" t="inlineStr">
        <is>
          <t>1．由塑料吊桶、塑料圆柱体、溢液杯组成。 3． 塑料桶和塑料圆柱体的总质量为140g，在桶、柱臂上均有三条容积、体积等分线，线宽1mm。塑料圆柱的体积为100ml,有等分刻度线，质量≥120g，直径不小于φ35mm；塑料吊桶透明,外直径不小于φ40mm，容积为100ml 4． 溢水杯溢液管下口高度不应低于70mm。 5． 产品应符合JY175-84《阿基米德定律演示器》的要求。</t>
        </is>
      </c>
      <c r="J41" s="49" t="inlineStr">
        <is>
          <t>套</t>
        </is>
      </c>
      <c r="K41" s="49" t="n">
        <v>56</v>
      </c>
      <c r="L41" s="49" t="n">
        <v>13.2</v>
      </c>
      <c r="M41" s="49" t="n">
        <v>14.52</v>
      </c>
      <c r="N41" s="49" t="n">
        <v>739.2</v>
      </c>
      <c r="O41" s="49" t="n">
        <v>813.12</v>
      </c>
      <c r="P41" s="49" t="inlineStr"/>
    </row>
    <row r="42">
      <c r="A42" s="49" t="inlineStr">
        <is>
          <t>Sheet1</t>
        </is>
      </c>
      <c r="B42" s="49" t="n">
        <v>28</v>
      </c>
      <c r="C42" s="49" t="inlineStr">
        <is>
          <t>浮力原理演示器</t>
        </is>
      </c>
      <c r="D42" s="49" t="n">
        <v>1</v>
      </c>
      <c r="E42" s="49" t="inlineStr">
        <is>
          <t>宁波凯迪科教仪器有限公司</t>
        </is>
      </c>
      <c r="F42" s="49" t="inlineStr">
        <is>
          <t>群信</t>
        </is>
      </c>
      <c r="G42" s="49" t="inlineStr"/>
      <c r="H42" s="49" t="inlineStr">
        <is>
          <t>21012</t>
        </is>
      </c>
      <c r="I42" s="49" t="inlineStr">
        <is>
          <t>产品由大水箱、小水箱、浮子、连通管、接头等组成。水箱采用透明性好的塑料制成，大水箱外径100mm，壁厚不小于2mm；小水箱容积不小于60ml；大水箱外壁标有指示深度的刻度线，分度为5mm；浮子采用工程塑料制作，直径不小于50mm，色泽鲜艳、醒目；浮子上配有重物，体积能做微量调节；产品的连接软管为乳胶管。</t>
        </is>
      </c>
      <c r="J42" s="49" t="inlineStr">
        <is>
          <t>套</t>
        </is>
      </c>
      <c r="K42" s="49" t="n">
        <v>2</v>
      </c>
      <c r="L42" s="49" t="n">
        <v>35</v>
      </c>
      <c r="M42" s="49" t="n">
        <v>38.5</v>
      </c>
      <c r="N42" s="49" t="n">
        <v>70</v>
      </c>
      <c r="O42" s="49" t="n">
        <v>77</v>
      </c>
      <c r="P42" s="49" t="inlineStr"/>
    </row>
    <row r="43">
      <c r="A43" s="49" t="inlineStr">
        <is>
          <t>Sheet1</t>
        </is>
      </c>
      <c r="B43" s="49" t="n">
        <v>29</v>
      </c>
      <c r="C43" s="49" t="inlineStr">
        <is>
          <t>压力和压强演示器</t>
        </is>
      </c>
      <c r="D43" s="49" t="n">
        <v>1</v>
      </c>
      <c r="E43" s="49" t="inlineStr">
        <is>
          <t>未记录制造商</t>
        </is>
      </c>
      <c r="F43" s="49" t="inlineStr"/>
      <c r="G43" s="49" t="inlineStr"/>
      <c r="H43" s="49" t="inlineStr"/>
      <c r="I43" s="49" t="inlineStr">
        <is>
          <t>压强小桌，尺寸≥200 mm×100 mm×100 mm；配套多孔弹性材料，尺寸≥220 mm×120 mm×50 mm</t>
        </is>
      </c>
      <c r="J43" s="49" t="inlineStr"/>
      <c r="K43" s="49" t="n">
        <v>2</v>
      </c>
      <c r="L43" s="49" t="n">
        <v>22</v>
      </c>
      <c r="M43" s="49" t="n">
        <v>24.2</v>
      </c>
      <c r="N43" s="49" t="n">
        <v>44</v>
      </c>
      <c r="O43" s="49" t="n">
        <v>48.4</v>
      </c>
      <c r="P43" s="49" t="inlineStr"/>
    </row>
    <row r="44">
      <c r="A44" s="49" t="inlineStr">
        <is>
          <t>Sheet1</t>
        </is>
      </c>
      <c r="B44" s="49" t="n">
        <v>30</v>
      </c>
      <c r="C44" s="49" t="inlineStr">
        <is>
          <t>微小压强计</t>
        </is>
      </c>
      <c r="D44" s="49" t="n">
        <v>1</v>
      </c>
      <c r="E44" s="49" t="inlineStr">
        <is>
          <t>未记录制造商</t>
        </is>
      </c>
      <c r="F44" s="49" t="inlineStr"/>
      <c r="G44" s="49" t="inlineStr"/>
      <c r="H44" s="49" t="inlineStr"/>
      <c r="I44" s="49" t="inlineStr">
        <is>
          <t>由 U 形管、标度板、三通连接管、硅橡胶管、弹簧止水夹和连有塑料管的注射器组成；U形管外径 6 mm，高不小于 380 mm，能沿标度方向移动不小于 10 mm，能固定；标尺长 300mm，0 分度在中间，最小分度线为 5 mm；系统气密性好</t>
        </is>
      </c>
      <c r="J44" s="49" t="inlineStr"/>
      <c r="K44" s="49" t="n">
        <v>28</v>
      </c>
      <c r="L44" s="49" t="n">
        <v>6</v>
      </c>
      <c r="M44" s="49" t="n">
        <v>6.6</v>
      </c>
      <c r="N44" s="49" t="n">
        <v>168</v>
      </c>
      <c r="O44" s="49" t="n">
        <v>184.8</v>
      </c>
      <c r="P44" s="49" t="inlineStr"/>
    </row>
    <row r="45">
      <c r="A45" s="49" t="inlineStr">
        <is>
          <t>Sheet1</t>
        </is>
      </c>
      <c r="B45" s="49" t="n">
        <v>31</v>
      </c>
      <c r="C45" s="49" t="inlineStr">
        <is>
          <t>液体对器壁压强演示器</t>
        </is>
      </c>
      <c r="D45" s="49" t="n">
        <v>1</v>
      </c>
      <c r="E45" s="49" t="inlineStr">
        <is>
          <t>未记录制造商</t>
        </is>
      </c>
      <c r="F45" s="49" t="inlineStr"/>
      <c r="G45" s="49" t="inlineStr"/>
      <c r="H45" s="49" t="inlineStr"/>
      <c r="I45" s="49" t="inlineStr">
        <is>
          <t>透明圆筒壁同一直线上不同高度处应有 3 个喷嘴，对面应有 1 个喷嘴；配 4 个喷嘴塞或盖，有表示深度的标尺</t>
        </is>
      </c>
      <c r="J45" s="49" t="inlineStr"/>
      <c r="K45" s="49" t="n">
        <v>2</v>
      </c>
      <c r="L45" s="49" t="n">
        <v>20</v>
      </c>
      <c r="M45" s="49" t="n">
        <v>22</v>
      </c>
      <c r="N45" s="49" t="n">
        <v>40</v>
      </c>
      <c r="O45" s="49" t="n">
        <v>44</v>
      </c>
      <c r="P45" s="49" t="inlineStr"/>
    </row>
    <row r="46">
      <c r="A46" s="49" t="inlineStr">
        <is>
          <t>Sheet1</t>
        </is>
      </c>
      <c r="B46" s="49" t="n">
        <v>31</v>
      </c>
      <c r="C46" s="49" t="inlineStr">
        <is>
          <t>液体对器壁压强演示器</t>
        </is>
      </c>
      <c r="D46" s="49" t="n">
        <v>2</v>
      </c>
      <c r="E46" s="49" t="inlineStr">
        <is>
          <t>宁波凯迪科教仪器有限公司</t>
        </is>
      </c>
      <c r="F46" s="49" t="inlineStr">
        <is>
          <t>群信</t>
        </is>
      </c>
      <c r="G46" s="49" t="inlineStr"/>
      <c r="H46" s="49" t="inlineStr">
        <is>
          <t>21017</t>
        </is>
      </c>
      <c r="I46" s="49" t="inlineStr">
        <is>
          <t>透明圆筒壁同一直线上不同高度处应有3个喷嘴，有表示深度的标尺</t>
        </is>
      </c>
      <c r="J46" s="49" t="inlineStr">
        <is>
          <t>台</t>
        </is>
      </c>
      <c r="K46" s="49" t="n">
        <v>2</v>
      </c>
      <c r="L46" s="49" t="n">
        <v>9</v>
      </c>
      <c r="M46" s="49" t="n">
        <v>9.9</v>
      </c>
      <c r="N46" s="49" t="n">
        <v>18</v>
      </c>
      <c r="O46" s="49" t="n">
        <v>19.8</v>
      </c>
      <c r="P46" s="49" t="inlineStr"/>
    </row>
    <row r="47">
      <c r="A47" s="49" t="inlineStr">
        <is>
          <t>Sheet1</t>
        </is>
      </c>
      <c r="B47" s="49" t="n">
        <v>32</v>
      </c>
      <c r="C47" s="49" t="inlineStr">
        <is>
          <t>连通器</t>
        </is>
      </c>
      <c r="D47" s="49" t="n">
        <v>1</v>
      </c>
      <c r="E47" s="49" t="inlineStr">
        <is>
          <t>未记录制造商</t>
        </is>
      </c>
      <c r="F47" s="49" t="inlineStr"/>
      <c r="G47" s="49" t="inlineStr"/>
      <c r="H47" s="49" t="inlineStr"/>
      <c r="I47" s="49" t="inlineStr">
        <is>
          <t>由粗直管、细直管、细弯折管、细带球管等组成，尺寸 210 mm×210 mm×120 mm，底座应平稳；粗管外径 30 mm，细管外径 12 mm，无色透明材料透光率≥90％</t>
        </is>
      </c>
      <c r="J47" s="49" t="inlineStr"/>
      <c r="K47" s="49" t="n">
        <v>2</v>
      </c>
      <c r="L47" s="49" t="n">
        <v>12</v>
      </c>
      <c r="M47" s="49" t="n">
        <v>13.2</v>
      </c>
      <c r="N47" s="49" t="n">
        <v>24</v>
      </c>
      <c r="O47" s="49" t="n">
        <v>26.4</v>
      </c>
      <c r="P47" s="49" t="inlineStr"/>
    </row>
    <row r="48">
      <c r="A48" s="49" t="inlineStr">
        <is>
          <t>Sheet1</t>
        </is>
      </c>
      <c r="B48" s="49" t="n">
        <v>33</v>
      </c>
      <c r="C48" s="49" t="inlineStr">
        <is>
          <t>杠杆</t>
        </is>
      </c>
      <c r="D48" s="49" t="n">
        <v>1</v>
      </c>
      <c r="E48" s="49" t="inlineStr">
        <is>
          <t>未记录制造商</t>
        </is>
      </c>
      <c r="F48" s="49" t="inlineStr"/>
      <c r="G48" s="49" t="inlineStr"/>
      <c r="H48" s="49" t="inlineStr"/>
      <c r="I48" s="49" t="inlineStr">
        <is>
          <t>由杠杆、轴、调平装置和6个挂钩组成，挂钩在标尺上能连续移动，杠杆长≥500mm，木杠杆尺端需包头加固</t>
        </is>
      </c>
      <c r="J48" s="49" t="inlineStr">
        <is>
          <t>套</t>
        </is>
      </c>
      <c r="K48" s="49" t="n">
        <v>56</v>
      </c>
      <c r="L48" s="49" t="n">
        <v>8</v>
      </c>
      <c r="M48" s="49" t="n">
        <v>8.800000000000001</v>
      </c>
      <c r="N48" s="49" t="n">
        <v>448</v>
      </c>
      <c r="O48" s="49" t="n">
        <v>492.8</v>
      </c>
      <c r="P48" s="49" t="inlineStr"/>
    </row>
    <row r="49">
      <c r="A49" s="49" t="inlineStr">
        <is>
          <t>Sheet1</t>
        </is>
      </c>
      <c r="B49" s="49" t="n">
        <v>34</v>
      </c>
      <c r="C49" s="49" t="inlineStr">
        <is>
          <t>演示滑轮组</t>
        </is>
      </c>
      <c r="D49" s="49" t="n">
        <v>1</v>
      </c>
      <c r="E49" s="49" t="inlineStr">
        <is>
          <t>未记录制造商</t>
        </is>
      </c>
      <c r="F49" s="49" t="inlineStr"/>
      <c r="G49" s="49" t="inlineStr"/>
      <c r="H49" s="49" t="inlineStr"/>
      <c r="I49" s="49" t="inlineStr">
        <is>
          <t>由单滑轮 2 件、三并滑轮 2 件、三串滑轮 2件、支杆滑轮 2 件组成，附滑轮绳；额定负荷：单滑轮 9.8 N，串及并滑轮为 19.6 N，支杆滑轮为 9.8 N；满负荷时，单、支杆滑轮的效率不应低于 90％，并、串滑轮的效率不应低于 75％</t>
        </is>
      </c>
      <c r="J49" s="49" t="inlineStr"/>
      <c r="K49" s="49" t="n">
        <v>2</v>
      </c>
      <c r="L49" s="49" t="n">
        <v>40</v>
      </c>
      <c r="M49" s="49" t="n">
        <v>44</v>
      </c>
      <c r="N49" s="49" t="n">
        <v>80</v>
      </c>
      <c r="O49" s="49" t="n">
        <v>88</v>
      </c>
      <c r="P49" s="49" t="inlineStr"/>
    </row>
    <row r="50">
      <c r="A50" s="49" t="inlineStr">
        <is>
          <t>Sheet1</t>
        </is>
      </c>
      <c r="B50" s="49" t="n">
        <v>35</v>
      </c>
      <c r="C50" s="49" t="inlineStr">
        <is>
          <t>音叉</t>
        </is>
      </c>
      <c r="D50" s="49" t="n">
        <v>1</v>
      </c>
      <c r="E50" s="49" t="inlineStr">
        <is>
          <t>未记录制造商</t>
        </is>
      </c>
      <c r="F50" s="49" t="inlineStr"/>
      <c r="G50" s="49" t="inlineStr"/>
      <c r="H50" s="49" t="inlineStr"/>
      <c r="I50" s="49" t="inlineStr">
        <is>
          <t>256 Hz±0.3 Hz；由音叉、共鸣箱、音叉槌等组成；松木共鸣箱，尺寸 300 mm×80 mm×40 mm；在环境噪声不大于 30 dB 的室内，用音叉槌敲击音叉，距音叉 1000 mm 处声强应不小于 90 dB</t>
        </is>
      </c>
      <c r="J50" s="49" t="inlineStr"/>
      <c r="K50" s="49" t="n">
        <v>28</v>
      </c>
      <c r="L50" s="49" t="n">
        <v>21</v>
      </c>
      <c r="M50" s="49" t="n">
        <v>23.1</v>
      </c>
      <c r="N50" s="49" t="n">
        <v>588</v>
      </c>
      <c r="O50" s="49" t="n">
        <v>646.8</v>
      </c>
      <c r="P50" s="49" t="inlineStr"/>
    </row>
    <row r="51">
      <c r="A51" s="49" t="inlineStr">
        <is>
          <t>Sheet1</t>
        </is>
      </c>
      <c r="B51" s="49" t="n">
        <v>35</v>
      </c>
      <c r="C51" s="49" t="inlineStr">
        <is>
          <t>音叉</t>
        </is>
      </c>
      <c r="D51" s="49" t="n">
        <v>2</v>
      </c>
      <c r="E51" s="49" t="inlineStr">
        <is>
          <t>未记录制造商</t>
        </is>
      </c>
      <c r="F51" s="49" t="inlineStr"/>
      <c r="G51" s="49" t="inlineStr"/>
      <c r="H51" s="49" t="inlineStr"/>
      <c r="I51" s="49" t="inlineStr">
        <is>
          <t>512 Hz±0.4 Hz；由音叉、共鸣箱、音叉槌等组成；松木共鸣箱，尺寸 140 mm×80 mm×40 mm；在环境噪声不大于 30 dB 的室内，用音叉槌敲击音叉，距音叉 1000 mm 处声强应不小于 90 dB</t>
        </is>
      </c>
      <c r="J51" s="49" t="inlineStr"/>
      <c r="K51" s="49" t="n">
        <v>28</v>
      </c>
      <c r="L51" s="49" t="n">
        <v>21</v>
      </c>
      <c r="M51" s="49" t="n">
        <v>23.1</v>
      </c>
      <c r="N51" s="49" t="n">
        <v>588</v>
      </c>
      <c r="O51" s="49" t="n">
        <v>646.8</v>
      </c>
      <c r="P51" s="49" t="inlineStr"/>
    </row>
    <row r="52">
      <c r="A52" s="49" t="inlineStr">
        <is>
          <t>Sheet1</t>
        </is>
      </c>
      <c r="B52" s="49" t="n">
        <v>36</v>
      </c>
      <c r="C52" s="49" t="inlineStr">
        <is>
          <t>声传播演示器</t>
        </is>
      </c>
      <c r="D52" s="49" t="n">
        <v>1</v>
      </c>
      <c r="E52" s="49" t="inlineStr">
        <is>
          <t>宁波凯迪科教仪器有限公司</t>
        </is>
      </c>
      <c r="F52" s="49" t="inlineStr">
        <is>
          <t>群信</t>
        </is>
      </c>
      <c r="G52" s="49" t="inlineStr"/>
      <c r="H52" s="49" t="inlineStr">
        <is>
          <t>22007</t>
        </is>
      </c>
      <c r="I52" s="49" t="inlineStr">
        <is>
          <t>1. 仪器由底板、透明管、密封上盖、发声声源、固体传声棒、喇叭、声源接受器、密封下盖、气阀门、电源输入端、抽气管、放气管组成。2. 仪器密封后用抽气管抽气，应使透明管内极限压强≤6.7×103Pa。3. 当管内压强被抽至6.7×103Pa时，放置30秒钟，其漏气引起的压强变化应小于2.6×102Pa.。4. 当管内压强被抽至6.7×103Pa时，实验声音传播音量应明显小于在充满空气时的传播音量。5. 用液体或固体实验声音传播时，音量明显大于空气稀薄时的音量。6. 管内注入适量的水，无漏水现象。符合JY/T0371-2004《声传播演示器》标准。</t>
        </is>
      </c>
      <c r="J52" s="49" t="inlineStr">
        <is>
          <t>套</t>
        </is>
      </c>
      <c r="K52" s="49" t="n">
        <v>2</v>
      </c>
      <c r="L52" s="49" t="n">
        <v>130</v>
      </c>
      <c r="M52" s="49" t="n">
        <v>143</v>
      </c>
      <c r="N52" s="49" t="n">
        <v>260</v>
      </c>
      <c r="O52" s="49" t="n">
        <v>286</v>
      </c>
      <c r="P52" s="49" t="inlineStr"/>
    </row>
    <row r="53">
      <c r="A53" s="49" t="inlineStr">
        <is>
          <t>Sheet1</t>
        </is>
      </c>
      <c r="B53" s="49" t="n">
        <v>37</v>
      </c>
      <c r="C53" s="49" t="inlineStr">
        <is>
          <t>凹面镜</t>
        </is>
      </c>
      <c r="D53" s="49" t="n">
        <v>1</v>
      </c>
      <c r="E53" s="49" t="inlineStr">
        <is>
          <t>未记录制造商</t>
        </is>
      </c>
      <c r="F53" s="49" t="inlineStr"/>
      <c r="G53" s="49" t="inlineStr"/>
      <c r="H53" s="49" t="inlineStr"/>
      <c r="I53" s="49" t="inlineStr">
        <is>
          <t>1． 本仪器由凹面镜、镜框、支架、镜座等组成。 2． 凹面镜的直径为100±2mm。 3． 凹面镜的焦距为65±10mm。 4． 凹面镜的基片采用普通玻璃制成，在距基片中心三分之二半径范围内，不得有目测到的气泡、结石和条纹。 5． 反射膜镀层应均匀，在距中心三分之二半径范围内不得有色斑、擦痕、印迹等疵病，并应有牢固的保护层。 6． 凹面镜对平行于主光轴的光束在焦平面上的光斑直径应不大于6mm。 7． 镜框、支架、镜座均为金属结构，整机应有足够的稳度。 8． 镜面可按需要在任意方向止动，升降范围不小于50mm。 9． 本产品应符合JY138-82《凹凸面镜》的规定。</t>
        </is>
      </c>
      <c r="J53" s="49" t="inlineStr">
        <is>
          <t>个</t>
        </is>
      </c>
      <c r="K53" s="49" t="n">
        <v>2</v>
      </c>
      <c r="L53" s="49" t="n">
        <v>9.9</v>
      </c>
      <c r="M53" s="49" t="n">
        <v>10.89</v>
      </c>
      <c r="N53" s="49" t="n">
        <v>19.8</v>
      </c>
      <c r="O53" s="49" t="n">
        <v>21.78</v>
      </c>
      <c r="P53" s="49" t="inlineStr"/>
    </row>
    <row r="54">
      <c r="A54" s="49" t="inlineStr">
        <is>
          <t>Sheet1</t>
        </is>
      </c>
      <c r="B54" s="49" t="n">
        <v>38</v>
      </c>
      <c r="C54" s="49" t="inlineStr">
        <is>
          <t>凸面镜</t>
        </is>
      </c>
      <c r="D54" s="49" t="n">
        <v>1</v>
      </c>
      <c r="E54" s="49" t="inlineStr">
        <is>
          <t>未记录制造商</t>
        </is>
      </c>
      <c r="F54" s="49" t="inlineStr"/>
      <c r="G54" s="49" t="inlineStr"/>
      <c r="H54" s="49" t="inlineStr"/>
      <c r="I54" s="49" t="inlineStr">
        <is>
          <t>1． 本仪器由面镜、镜框、支架、镜座等组成，两套成对。 2． 凸面镜的直径为100±2mm。 3． 凸面镜的焦距为－65±10mm。 4． 凸面镜的基片采用普通玻璃制成，在距基片中心三分之二半径范围内，不得有目测到的气泡、结石和条纹。 5． 反射膜镀层应均匀，在距中心三分之二半径范围内不得有色斑、擦痕、印迹等疵病，并应有牢固的保护层。 6． 镜框、支架、镜座均为金属结构，整机应有足够的稳度。 7． 镜面可按需要在任意方向止动，升降范围不小于50mm。 8． 本产品应符合JY138-82《凹凸面镜》的规定。</t>
        </is>
      </c>
      <c r="J54" s="49" t="inlineStr">
        <is>
          <t>个</t>
        </is>
      </c>
      <c r="K54" s="49" t="n">
        <v>2</v>
      </c>
      <c r="L54" s="49" t="n">
        <v>9.9</v>
      </c>
      <c r="M54" s="49" t="n">
        <v>10.89</v>
      </c>
      <c r="N54" s="49" t="n">
        <v>19.8</v>
      </c>
      <c r="O54" s="49" t="n">
        <v>21.78</v>
      </c>
      <c r="P54" s="49" t="inlineStr"/>
    </row>
    <row r="55">
      <c r="A55" s="49" t="inlineStr">
        <is>
          <t>Sheet1</t>
        </is>
      </c>
      <c r="B55" s="49" t="n">
        <v>39</v>
      </c>
      <c r="C55" s="49" t="inlineStr">
        <is>
          <t>平面镜成像实验器</t>
        </is>
      </c>
      <c r="D55" s="49" t="n">
        <v>1</v>
      </c>
      <c r="E55" s="49" t="inlineStr">
        <is>
          <t>未记录制造商</t>
        </is>
      </c>
      <c r="F55" s="49" t="inlineStr"/>
      <c r="G55" s="49" t="inlineStr"/>
      <c r="H55" s="49" t="inlineStr"/>
      <c r="I55" s="49" t="inlineStr">
        <is>
          <t>1、由平面镜、平面镜支架、直角尺、蜡烛组成； 2、平面镜：（1）平面镜外形尺寸不小于100mm×80mm。（2）玻璃平面镜应符合JY0001—2003中7.1、7.2、7.4的要求。（3）表面镀层应致密、均匀、与镜面有足够的结合强度，平面镜既能反射又有一定透光能力。 3、支架应能支持平面镜稳定可靠。 4、蜡烛总高度不小于60mm，左右应完全对称，火焰为红色。 5、外观及其它应符合JY0001—2003中有关要求。</t>
        </is>
      </c>
      <c r="J55" s="49" t="inlineStr">
        <is>
          <t>套</t>
        </is>
      </c>
      <c r="K55" s="49" t="n">
        <v>56</v>
      </c>
      <c r="L55" s="49" t="n">
        <v>12.1</v>
      </c>
      <c r="M55" s="49" t="n">
        <v>13.31</v>
      </c>
      <c r="N55" s="49" t="n">
        <v>677.6</v>
      </c>
      <c r="O55" s="49" t="n">
        <v>745.36</v>
      </c>
      <c r="P55" s="49" t="inlineStr"/>
    </row>
    <row r="56">
      <c r="A56" s="49" t="inlineStr">
        <is>
          <t>Sheet1</t>
        </is>
      </c>
      <c r="B56" s="49" t="n">
        <v>40</v>
      </c>
      <c r="C56" s="49" t="inlineStr">
        <is>
          <t>白光的色散与合成演示器</t>
        </is>
      </c>
      <c r="D56" s="49" t="n">
        <v>1</v>
      </c>
      <c r="E56" s="49" t="inlineStr">
        <is>
          <t>宁波凯迪科教仪器有限公司</t>
        </is>
      </c>
      <c r="F56" s="49" t="inlineStr">
        <is>
          <t>群信</t>
        </is>
      </c>
      <c r="G56" s="49" t="inlineStr"/>
      <c r="H56" s="49" t="inlineStr">
        <is>
          <t>25008</t>
        </is>
      </c>
      <c r="I56" s="49" t="inlineStr">
        <is>
          <t>1．产品由三棱镜2个（一对）、光源、光屏及底座等组成。2．两块棱镜应配对，其折射率之差不大于0.003，中部色散之差不大于0.0004。3．三棱镜的顶角为60±0.5°，有效边长≥25mm，高度≥25mm，非工作面磨砂。应有保护性倒角。4．产品应符合的要求JY0310-91《白光的色散与合成演示器技术备件》的规定。</t>
        </is>
      </c>
      <c r="J56" s="49" t="inlineStr">
        <is>
          <t>套</t>
        </is>
      </c>
      <c r="K56" s="49" t="n">
        <v>2</v>
      </c>
      <c r="L56" s="49" t="n">
        <v>35</v>
      </c>
      <c r="M56" s="49" t="n">
        <v>38.5</v>
      </c>
      <c r="N56" s="49" t="n">
        <v>70</v>
      </c>
      <c r="O56" s="49" t="n">
        <v>77</v>
      </c>
      <c r="P56" s="49" t="inlineStr"/>
    </row>
    <row r="57">
      <c r="A57" s="49" t="inlineStr">
        <is>
          <t>Sheet1</t>
        </is>
      </c>
      <c r="B57" s="49" t="n">
        <v>40</v>
      </c>
      <c r="C57" s="49" t="inlineStr">
        <is>
          <t>白光的色散与合成演示器</t>
        </is>
      </c>
      <c r="D57" s="49" t="n">
        <v>2</v>
      </c>
      <c r="E57" s="49" t="inlineStr">
        <is>
          <t>未记录制造商</t>
        </is>
      </c>
      <c r="F57" s="49" t="inlineStr"/>
      <c r="G57" s="49" t="inlineStr"/>
      <c r="H57" s="49" t="inlineStr"/>
      <c r="I57" s="49" t="inlineStr">
        <is>
          <t>1． 产品由三棱镜2个（一对）、光源、光屏及底座等组成。 2． 两块棱镜应配对，其折射率之差不大于0.003，中部色散之差不大于0.0004。 3． 三棱镜的顶角为60±0.5°，有效边长不小于40mm，高度不小于40mm，非工作面磨砂。应有保护性倒角。 4． 棱镜固定可靠，装卸方便。 5． 产品应符合的要求JY0310-91《白光的色散与合成演示器技术备件》的规定。</t>
        </is>
      </c>
      <c r="J57" s="49" t="inlineStr">
        <is>
          <t>套</t>
        </is>
      </c>
      <c r="K57" s="49" t="n">
        <v>2</v>
      </c>
      <c r="L57" s="49" t="n">
        <v>38.5</v>
      </c>
      <c r="M57" s="49" t="n">
        <v>42.35</v>
      </c>
      <c r="N57" s="49" t="n">
        <v>77</v>
      </c>
      <c r="O57" s="49" t="n">
        <v>84.7</v>
      </c>
      <c r="P57" s="49" t="inlineStr"/>
    </row>
    <row r="58">
      <c r="A58" s="49" t="inlineStr">
        <is>
          <t>Sheet1</t>
        </is>
      </c>
      <c r="B58" s="49" t="n">
        <v>41</v>
      </c>
      <c r="C58" s="49" t="inlineStr">
        <is>
          <t>光具座</t>
        </is>
      </c>
      <c r="D58" s="49" t="n">
        <v>1</v>
      </c>
      <c r="E58" s="49" t="inlineStr">
        <is>
          <t>宁波凯迪科教仪器有限公司</t>
        </is>
      </c>
      <c r="F58" s="49" t="inlineStr">
        <is>
          <t>群信</t>
        </is>
      </c>
      <c r="G58" s="49" t="inlineStr"/>
      <c r="H58" s="49" t="inlineStr">
        <is>
          <t>25005</t>
        </is>
      </c>
      <c r="I58" s="49" t="inlineStr">
        <is>
          <t>1.导轨采用铝合金结构。2、主机由铝合金导轨，支脚、滑块、刻度尺组成。3、导轨全长1000mm。4、附件：光源筒∽6v-8v3w;双凸透镜≥35mmf=100mm、≥25mmf=50mm;平凸透镜≥45mm，双凹透镜≥25mm;一字屏100×80mm2;白色光屏100×80mm2;毛玻璃120×80mm2；烛台φ26mm；插杆φ6×110mm2。5、导轨上附刻度尺总长1000mm,滑块上应有一中央刻线,利于学生读数。6、符合JY0034要求。</t>
        </is>
      </c>
      <c r="J58" s="49" t="inlineStr">
        <is>
          <t>套</t>
        </is>
      </c>
      <c r="K58" s="49" t="n">
        <v>56</v>
      </c>
      <c r="L58" s="49" t="n">
        <v>58</v>
      </c>
      <c r="M58" s="49" t="n">
        <v>63.8</v>
      </c>
      <c r="N58" s="49" t="n">
        <v>3248</v>
      </c>
      <c r="O58" s="49" t="n">
        <v>3572.8</v>
      </c>
      <c r="P58" s="49" t="inlineStr"/>
    </row>
    <row r="59">
      <c r="A59" s="49" t="inlineStr">
        <is>
          <t>Sheet1</t>
        </is>
      </c>
      <c r="B59" s="49" t="n">
        <v>42</v>
      </c>
      <c r="C59" s="49" t="inlineStr">
        <is>
          <t>光具组</t>
        </is>
      </c>
      <c r="D59" s="49" t="n">
        <v>1</v>
      </c>
      <c r="E59" s="49" t="inlineStr">
        <is>
          <t>宁波凯迪科教仪器有限公司</t>
        </is>
      </c>
      <c r="F59" s="49" t="inlineStr">
        <is>
          <t>群信</t>
        </is>
      </c>
      <c r="G59" s="49" t="inlineStr"/>
      <c r="H59" s="49" t="inlineStr">
        <is>
          <t>25006</t>
        </is>
      </c>
      <c r="I59" s="49" t="inlineStr">
        <is>
          <t>附件双凸透镜2块、凸透镜1块、双凹透镜1块、“1”字屏1块、白屏1块、插杆5根、毛玻璃屏（带屏架）1块、光源1套、1件；导轨与基准平面的平行度误差应不大于1.00mm。双导轨光具座的两根导轨，其轴线平等度误差应不大于0.50mm。 2.3导轨前端支架与滑块上的插孔为6+0.15mm，插孔指示标线应清晰，且指示插孔纵向中心位置。铝铸件支架带刻度；光源（6v3w）；白屏；1字屏；凸透镜直径3cm 焦距5cm；凹透镜直径3cm焦距-7.5cm；凸透镜直径4cm焦距10cm；凸透镜直径5cm焦距3</t>
        </is>
      </c>
      <c r="J59" s="49" t="inlineStr">
        <is>
          <t>套</t>
        </is>
      </c>
      <c r="K59" s="49" t="n">
        <v>2</v>
      </c>
      <c r="L59" s="49" t="n">
        <v>28</v>
      </c>
      <c r="M59" s="49" t="n">
        <v>30.8</v>
      </c>
      <c r="N59" s="49" t="n">
        <v>56</v>
      </c>
      <c r="O59" s="49" t="n">
        <v>61.6</v>
      </c>
      <c r="P59" s="49" t="inlineStr"/>
    </row>
    <row r="60">
      <c r="A60" s="49" t="inlineStr">
        <is>
          <t>Sheet1</t>
        </is>
      </c>
      <c r="B60" s="49" t="n">
        <v>43</v>
      </c>
      <c r="C60" s="49" t="inlineStr">
        <is>
          <t>玻棒(附丝绸)</t>
        </is>
      </c>
      <c r="D60" s="49" t="n">
        <v>1</v>
      </c>
      <c r="E60" s="49" t="inlineStr">
        <is>
          <t>未记录制造商</t>
        </is>
      </c>
      <c r="F60" s="49" t="inlineStr"/>
      <c r="G60" s="49" t="inlineStr"/>
      <c r="H60" s="49" t="inlineStr"/>
      <c r="I60" s="49" t="inlineStr">
        <is>
          <t>或有机玻棒(附丝绸)，丝绸面积≥350 mm×350 mm。在规定工作条件下，用丝绸裹住玻棒（或有机玻棒），做一次快速拉出，棒上所带的电荷用 D－YDQ－Z－ 100 型指针验电器检验张角≥30°（≥50°）。</t>
        </is>
      </c>
      <c r="J60" s="49" t="inlineStr">
        <is>
          <t>对</t>
        </is>
      </c>
      <c r="K60" s="49" t="n">
        <v>28</v>
      </c>
      <c r="L60" s="49" t="n">
        <v>6</v>
      </c>
      <c r="M60" s="49" t="n">
        <v>6.6</v>
      </c>
      <c r="N60" s="49" t="n">
        <v>168</v>
      </c>
      <c r="O60" s="49" t="n">
        <v>184.8</v>
      </c>
      <c r="P60" s="49" t="inlineStr"/>
    </row>
    <row r="61">
      <c r="A61" s="49" t="inlineStr">
        <is>
          <t>Sheet1</t>
        </is>
      </c>
      <c r="B61" s="49" t="n">
        <v>43</v>
      </c>
      <c r="C61" s="49" t="inlineStr">
        <is>
          <t>玻棒(附丝绸)</t>
        </is>
      </c>
      <c r="D61" s="49" t="n">
        <v>2</v>
      </c>
      <c r="E61" s="49" t="inlineStr">
        <is>
          <t>未记录制造商</t>
        </is>
      </c>
      <c r="F61" s="49" t="inlineStr"/>
      <c r="G61" s="49" t="inlineStr"/>
      <c r="H61" s="49" t="inlineStr"/>
      <c r="I61" s="49" t="inlineStr">
        <is>
          <t>或有机玻棒(附丝绸)，丝绸面积≥350 mm×350 mm。在规定工作条件下，用丝绸裹住玻棒（或有机玻棒），做一次快速拉出，棒上所带的电荷用 D－YDQ－Z－100 型指针验电器检验张角≥30°（≥50°）</t>
        </is>
      </c>
      <c r="J61" s="49" t="inlineStr"/>
      <c r="K61" s="49" t="n">
        <v>28</v>
      </c>
      <c r="L61" s="49" t="n">
        <v>6.5</v>
      </c>
      <c r="M61" s="49" t="n">
        <v>7.15</v>
      </c>
      <c r="N61" s="49" t="n">
        <v>182</v>
      </c>
      <c r="O61" s="49" t="n">
        <v>200.2</v>
      </c>
      <c r="P61" s="49" t="inlineStr"/>
    </row>
    <row r="62">
      <c r="A62" s="49" t="inlineStr">
        <is>
          <t>Sheet1</t>
        </is>
      </c>
      <c r="B62" s="49" t="n">
        <v>44</v>
      </c>
      <c r="C62" s="49" t="inlineStr">
        <is>
          <t>胶棒(附毛皮)</t>
        </is>
      </c>
      <c r="D62" s="49" t="n">
        <v>1</v>
      </c>
      <c r="E62" s="49" t="inlineStr">
        <is>
          <t>宁波凯迪科教仪器有限公司</t>
        </is>
      </c>
      <c r="F62" s="49" t="inlineStr">
        <is>
          <t>群信</t>
        </is>
      </c>
      <c r="G62" s="49" t="inlineStr"/>
      <c r="H62" s="49" t="inlineStr">
        <is>
          <t>23003</t>
        </is>
      </c>
      <c r="I62" s="49" t="inlineStr">
        <is>
          <t>产品由两根胶棒及一块毛皮组成。胶棒材质为聚碳酸脂，胶棒尺寸为φ12.5×300mm，胶棒的一端成圆弧形，圆弧尺寸约为SR4mm；毛皮为经过鞣制的动物毛皮，尺寸不小于150×150mm。</t>
        </is>
      </c>
      <c r="J62" s="49" t="inlineStr">
        <is>
          <t>对</t>
        </is>
      </c>
      <c r="K62" s="49" t="n">
        <v>28</v>
      </c>
      <c r="L62" s="49" t="n">
        <v>3</v>
      </c>
      <c r="M62" s="49" t="n">
        <v>3.3</v>
      </c>
      <c r="N62" s="49" t="n">
        <v>84</v>
      </c>
      <c r="O62" s="49" t="n">
        <v>92.40000000000001</v>
      </c>
      <c r="P62" s="49" t="inlineStr"/>
    </row>
    <row r="63">
      <c r="A63" s="49" t="inlineStr">
        <is>
          <t>Sheet1</t>
        </is>
      </c>
      <c r="B63" s="49" t="n">
        <v>45</v>
      </c>
      <c r="C63" s="49" t="inlineStr">
        <is>
          <t>条形磁铁</t>
        </is>
      </c>
      <c r="D63" s="49" t="n">
        <v>1</v>
      </c>
      <c r="E63" s="49" t="inlineStr">
        <is>
          <t>未记录制造商</t>
        </is>
      </c>
      <c r="F63" s="49" t="inlineStr"/>
      <c r="G63" s="49" t="inlineStr"/>
      <c r="H63" s="49" t="inlineStr"/>
      <c r="I63" s="49" t="inlineStr">
        <is>
          <t>D-CG-LT-180，表面磁感应强度≥0.07 T</t>
        </is>
      </c>
      <c r="J63" s="49" t="inlineStr"/>
      <c r="K63" s="49" t="n">
        <v>28</v>
      </c>
      <c r="L63" s="49" t="n">
        <v>16</v>
      </c>
      <c r="M63" s="49" t="n">
        <v>17.6</v>
      </c>
      <c r="N63" s="49" t="n">
        <v>448</v>
      </c>
      <c r="O63" s="49" t="n">
        <v>492.8</v>
      </c>
      <c r="P63" s="49" t="inlineStr"/>
    </row>
    <row r="64">
      <c r="A64" s="49" t="inlineStr">
        <is>
          <t>Sheet1</t>
        </is>
      </c>
      <c r="B64" s="49" t="n">
        <v>45</v>
      </c>
      <c r="C64" s="49" t="inlineStr">
        <is>
          <t>条形磁铁</t>
        </is>
      </c>
      <c r="D64" s="49" t="n">
        <v>2</v>
      </c>
      <c r="E64" s="49" t="inlineStr">
        <is>
          <t>未记录制造商</t>
        </is>
      </c>
      <c r="F64" s="49" t="inlineStr"/>
      <c r="G64" s="49" t="inlineStr"/>
      <c r="H64" s="49" t="inlineStr"/>
      <c r="I64" s="49" t="inlineStr">
        <is>
          <t>D-CG-LT-180</t>
        </is>
      </c>
      <c r="J64" s="49" t="inlineStr">
        <is>
          <t>对</t>
        </is>
      </c>
      <c r="K64" s="49" t="n">
        <v>28</v>
      </c>
      <c r="L64" s="49" t="n">
        <v>17.6</v>
      </c>
      <c r="M64" s="49" t="n">
        <v>19.36</v>
      </c>
      <c r="N64" s="49" t="n">
        <v>492.8</v>
      </c>
      <c r="O64" s="49" t="n">
        <v>542.08</v>
      </c>
      <c r="P64" s="49" t="inlineStr"/>
    </row>
    <row r="65">
      <c r="A65" s="49" t="inlineStr">
        <is>
          <t>Sheet1</t>
        </is>
      </c>
      <c r="B65" s="49" t="n">
        <v>45</v>
      </c>
      <c r="C65" s="49" t="inlineStr">
        <is>
          <t>条形磁铁</t>
        </is>
      </c>
      <c r="D65" s="49" t="n">
        <v>3</v>
      </c>
      <c r="E65" s="49" t="inlineStr">
        <is>
          <t>宁波凯迪科教仪器有限公司</t>
        </is>
      </c>
      <c r="F65" s="49" t="inlineStr">
        <is>
          <t>群信</t>
        </is>
      </c>
      <c r="G65" s="49" t="inlineStr"/>
      <c r="H65" s="49" t="inlineStr">
        <is>
          <t>24001</t>
        </is>
      </c>
      <c r="I65" s="49" t="inlineStr">
        <is>
          <t>D-CG-LT-180D-CG-LT-180尺寸≥180×20×10mm。磁铁经高温老化处理后两磁极磁感应强度平均值≥60mT。</t>
        </is>
      </c>
      <c r="J65" s="49" t="inlineStr">
        <is>
          <t>对</t>
        </is>
      </c>
      <c r="K65" s="49" t="n">
        <v>28</v>
      </c>
      <c r="L65" s="49" t="n">
        <v>26</v>
      </c>
      <c r="M65" s="49" t="n">
        <v>28.6</v>
      </c>
      <c r="N65" s="49" t="n">
        <v>728</v>
      </c>
      <c r="O65" s="49" t="n">
        <v>800.8</v>
      </c>
      <c r="P65" s="49" t="inlineStr"/>
    </row>
    <row r="66">
      <c r="A66" s="49" t="inlineStr">
        <is>
          <t>Sheet1</t>
        </is>
      </c>
      <c r="B66" s="49" t="n">
        <v>46</v>
      </c>
      <c r="C66" s="49" t="inlineStr">
        <is>
          <t>蹄形磁铁</t>
        </is>
      </c>
      <c r="D66" s="49" t="n">
        <v>1</v>
      </c>
      <c r="E66" s="49" t="inlineStr">
        <is>
          <t>未记录制造商</t>
        </is>
      </c>
      <c r="F66" s="49" t="inlineStr"/>
      <c r="G66" s="49" t="inlineStr"/>
      <c r="H66" s="49" t="inlineStr"/>
      <c r="I66" s="49" t="inlineStr">
        <is>
          <t>D-CG-LU-100，表面磁感应强度≥0.055 T</t>
        </is>
      </c>
      <c r="J66" s="49" t="inlineStr"/>
      <c r="K66" s="49" t="n">
        <v>28</v>
      </c>
      <c r="L66" s="49" t="n">
        <v>14</v>
      </c>
      <c r="M66" s="49" t="n">
        <v>15.4</v>
      </c>
      <c r="N66" s="49" t="n">
        <v>392</v>
      </c>
      <c r="O66" s="49" t="n">
        <v>431.2</v>
      </c>
      <c r="P66" s="49" t="inlineStr"/>
    </row>
    <row r="67">
      <c r="A67" s="49" t="inlineStr">
        <is>
          <t>Sheet1</t>
        </is>
      </c>
      <c r="B67" s="49" t="n">
        <v>46</v>
      </c>
      <c r="C67" s="49" t="inlineStr">
        <is>
          <t>蹄形磁铁</t>
        </is>
      </c>
      <c r="D67" s="49" t="n">
        <v>2</v>
      </c>
      <c r="E67" s="49" t="inlineStr">
        <is>
          <t>宁波凯迪科教仪器有限公司</t>
        </is>
      </c>
      <c r="F67" s="49" t="inlineStr">
        <is>
          <t>群信</t>
        </is>
      </c>
      <c r="G67" s="49" t="inlineStr"/>
      <c r="H67" s="49" t="inlineStr">
        <is>
          <t>24002</t>
        </is>
      </c>
      <c r="I67" s="49" t="inlineStr">
        <is>
          <t>D-CG-LU-80D-CG-LU-80主参数（高度）≥80mm，磁极横截面积200平方毫米、磁感应强度应≥0.055T。</t>
        </is>
      </c>
      <c r="J67" s="49" t="inlineStr">
        <is>
          <t>个</t>
        </is>
      </c>
      <c r="K67" s="49" t="n">
        <v>28</v>
      </c>
      <c r="L67" s="49" t="n">
        <v>24</v>
      </c>
      <c r="M67" s="49" t="n">
        <v>26.4</v>
      </c>
      <c r="N67" s="49" t="n">
        <v>672</v>
      </c>
      <c r="O67" s="49" t="n">
        <v>739.2</v>
      </c>
      <c r="P67" s="49" t="inlineStr"/>
    </row>
    <row r="68">
      <c r="A68" s="49" t="inlineStr">
        <is>
          <t>Sheet1</t>
        </is>
      </c>
      <c r="B68" s="49" t="n">
        <v>47</v>
      </c>
      <c r="C68" s="49" t="inlineStr">
        <is>
          <t>磁感线演示器</t>
        </is>
      </c>
      <c r="D68" s="49" t="n">
        <v>1</v>
      </c>
      <c r="E68" s="49" t="inlineStr">
        <is>
          <t>未记录制造商</t>
        </is>
      </c>
      <c r="F68" s="49" t="inlineStr"/>
      <c r="G68" s="49" t="inlineStr"/>
      <c r="H68" s="49" t="inlineStr"/>
      <c r="I68" s="49" t="inlineStr">
        <is>
          <t>条形、蹄形</t>
        </is>
      </c>
      <c r="J68" s="49" t="inlineStr">
        <is>
          <t>套</t>
        </is>
      </c>
      <c r="K68" s="49" t="n">
        <v>2</v>
      </c>
      <c r="L68" s="49" t="n">
        <v>35.2</v>
      </c>
      <c r="M68" s="49" t="n">
        <v>38.72</v>
      </c>
      <c r="N68" s="49" t="n">
        <v>70.40000000000001</v>
      </c>
      <c r="O68" s="49" t="n">
        <v>77.44</v>
      </c>
      <c r="P68" s="49" t="inlineStr"/>
    </row>
    <row r="69">
      <c r="A69" s="49" t="inlineStr">
        <is>
          <t>Sheet1</t>
        </is>
      </c>
      <c r="B69" s="49" t="n">
        <v>48</v>
      </c>
      <c r="C69" s="49" t="inlineStr">
        <is>
          <t>立体磁感线演示器</t>
        </is>
      </c>
      <c r="D69" s="49" t="n">
        <v>1</v>
      </c>
      <c r="E69" s="49" t="inlineStr">
        <is>
          <t>未记录制造商</t>
        </is>
      </c>
      <c r="F69" s="49" t="inlineStr"/>
      <c r="G69" s="49" t="inlineStr"/>
      <c r="H69" s="49" t="inlineStr"/>
      <c r="I69" s="49" t="inlineStr">
        <is>
          <t>永磁、电磁场</t>
        </is>
      </c>
      <c r="J69" s="49" t="inlineStr">
        <is>
          <t>套</t>
        </is>
      </c>
      <c r="K69" s="49" t="n">
        <v>2</v>
      </c>
      <c r="L69" s="49" t="n">
        <v>82.5</v>
      </c>
      <c r="M69" s="49" t="n">
        <v>90.75</v>
      </c>
      <c r="N69" s="49" t="n">
        <v>165</v>
      </c>
      <c r="O69" s="49" t="n">
        <v>181.5</v>
      </c>
      <c r="P69" s="49" t="inlineStr"/>
    </row>
    <row r="70">
      <c r="A70" s="49" t="inlineStr">
        <is>
          <t>Sheet1</t>
        </is>
      </c>
      <c r="B70" s="49" t="n">
        <v>49</v>
      </c>
      <c r="C70" s="49" t="inlineStr">
        <is>
          <t>磁感线演示板</t>
        </is>
      </c>
      <c r="D70" s="49" t="n">
        <v>1</v>
      </c>
      <c r="E70" s="49" t="inlineStr">
        <is>
          <t>未记录制造商</t>
        </is>
      </c>
      <c r="F70" s="49" t="inlineStr"/>
      <c r="G70" s="49" t="inlineStr"/>
      <c r="H70" s="49" t="inlineStr"/>
      <c r="I70" s="49" t="inlineStr">
        <is>
          <t>每块板上有 130 以上个空穴，内含自由活动小铁棒</t>
        </is>
      </c>
      <c r="J70" s="49" t="inlineStr"/>
      <c r="K70" s="49" t="n">
        <v>1</v>
      </c>
      <c r="L70" s="49" t="n">
        <v>38</v>
      </c>
      <c r="M70" s="49" t="n">
        <v>41.8</v>
      </c>
      <c r="N70" s="49" t="n">
        <v>38</v>
      </c>
      <c r="O70" s="49" t="n">
        <v>41.8</v>
      </c>
      <c r="P70" s="49" t="inlineStr"/>
    </row>
    <row r="71">
      <c r="A71" s="49" t="inlineStr">
        <is>
          <t>Sheet1</t>
        </is>
      </c>
      <c r="B71" s="49" t="n">
        <v>50</v>
      </c>
      <c r="C71" s="49" t="inlineStr">
        <is>
          <t>演示电磁继电器</t>
        </is>
      </c>
      <c r="D71" s="49" t="n">
        <v>1</v>
      </c>
      <c r="E71" s="49" t="inlineStr">
        <is>
          <t>未记录制造商</t>
        </is>
      </c>
      <c r="F71" s="49" t="inlineStr"/>
      <c r="G71" s="49" t="inlineStr"/>
      <c r="H71" s="49" t="inlineStr"/>
      <c r="I71" s="49" t="inlineStr">
        <is>
          <t>本产品主要由电磁系统和触点系统两部分组成。电磁系统包括：电磁线圈，铁芯衔铁；触点系统包括：常开、常闭触点各一对。本产品动作灵敏醒目，直观性强。</t>
        </is>
      </c>
      <c r="J71" s="49" t="inlineStr">
        <is>
          <t>个</t>
        </is>
      </c>
      <c r="K71" s="49" t="n">
        <v>2</v>
      </c>
      <c r="L71" s="49" t="n">
        <v>44</v>
      </c>
      <c r="M71" s="49" t="n">
        <v>48.4</v>
      </c>
      <c r="N71" s="49" t="n">
        <v>88</v>
      </c>
      <c r="O71" s="49" t="n">
        <v>96.8</v>
      </c>
      <c r="P71" s="49" t="inlineStr"/>
    </row>
    <row r="72">
      <c r="A72" s="49" t="inlineStr">
        <is>
          <t>Sheet1</t>
        </is>
      </c>
      <c r="B72" s="49" t="n">
        <v>51</v>
      </c>
      <c r="C72" s="49" t="inlineStr">
        <is>
          <t>手摇交直流发电机</t>
        </is>
      </c>
      <c r="D72" s="49" t="n">
        <v>1</v>
      </c>
      <c r="E72" s="49" t="inlineStr">
        <is>
          <t>未记录制造商</t>
        </is>
      </c>
      <c r="F72" s="49" t="inlineStr"/>
      <c r="G72" s="49" t="inlineStr"/>
      <c r="H72" s="49" t="inlineStr"/>
      <c r="I72" s="49"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72" s="49" t="inlineStr"/>
      <c r="K72" s="49" t="n">
        <v>2</v>
      </c>
      <c r="L72" s="49" t="n">
        <v>90</v>
      </c>
      <c r="M72" s="49" t="n">
        <v>99</v>
      </c>
      <c r="N72" s="49" t="n">
        <v>180</v>
      </c>
      <c r="O72" s="49" t="n">
        <v>198</v>
      </c>
      <c r="P72" s="49" t="inlineStr"/>
    </row>
    <row r="73">
      <c r="A73" s="49" t="inlineStr">
        <is>
          <t>Sheet1</t>
        </is>
      </c>
      <c r="B73" s="49" t="n">
        <v>52</v>
      </c>
      <c r="C73" s="49" t="inlineStr">
        <is>
          <t>滚摆</t>
        </is>
      </c>
      <c r="D73" s="49" t="n">
        <v>1</v>
      </c>
      <c r="E73" s="49" t="inlineStr">
        <is>
          <t>宁波凯迪科教仪器有限公司</t>
        </is>
      </c>
      <c r="F73" s="49" t="inlineStr">
        <is>
          <t>群信</t>
        </is>
      </c>
      <c r="G73" s="49" t="inlineStr"/>
      <c r="H73" s="49" t="inlineStr">
        <is>
          <t>21033</t>
        </is>
      </c>
      <c r="I73" s="49" t="inlineStr">
        <is>
          <t>1． 滚摆由摆体（摆轮和摆轴）、悬线、支柱、横梁和底座组成。2． 摆轮直径Φ125mm。摆轴直径Φ8mm，长160mm，轴上两个穿线孔距离140mm，穿线孔径Φ1.5mm。支柱高400mm，横梁长240mm。3． 摆体（摆轮和摆轴）重0.65Kg。4． 摆轴对摆轮的垂直度公差为0.25mm。5． 摆轴应粗细均匀。轴上二穿线孔对于摆轮的对称公差为0.5mm。6． 摆体重心偏移轴线公差为0.45mm。7． 摆轴镀铬。底座应稳固、表面涂漆，支柱表面应作防锈处理。8． 产品应符合JY110-82《滚摆》的要求。</t>
        </is>
      </c>
      <c r="J73" s="49" t="inlineStr">
        <is>
          <t>个</t>
        </is>
      </c>
      <c r="K73" s="49" t="n">
        <v>2</v>
      </c>
      <c r="L73" s="49" t="n">
        <v>45</v>
      </c>
      <c r="M73" s="49" t="n">
        <v>49.5</v>
      </c>
      <c r="N73" s="49" t="n">
        <v>90</v>
      </c>
      <c r="O73" s="49" t="n">
        <v>99</v>
      </c>
      <c r="P73" s="49" t="inlineStr"/>
    </row>
    <row r="74">
      <c r="A74" s="49" t="inlineStr">
        <is>
          <t>Sheet1</t>
        </is>
      </c>
      <c r="B74" s="49" t="n">
        <v>53</v>
      </c>
      <c r="C74" s="49" t="inlineStr">
        <is>
          <t>汽油机模型</t>
        </is>
      </c>
      <c r="D74" s="49" t="n">
        <v>1</v>
      </c>
      <c r="E74" s="49" t="inlineStr">
        <is>
          <t>宁波凯迪科教仪器有限公司</t>
        </is>
      </c>
      <c r="F74" s="49" t="inlineStr">
        <is>
          <t>群信</t>
        </is>
      </c>
      <c r="G74" s="49" t="inlineStr"/>
      <c r="H74" s="49" t="inlineStr">
        <is>
          <t>31008</t>
        </is>
      </c>
      <c r="I74" s="49" t="inlineStr">
        <is>
          <t>金属或硬塑料制成，高度≥300mm。由进气管、进气阀、排气管、排气阀、气缸、活塞、连杆、曲轴、火花塞、齿轮组、主动轮、挺杆等组成。模型能直观地演示出吸气过程、压缩过程、做功过程及排气过程，在做功冲程时活塞到达上止点时，演示火花点火的灯泡应发光，点火完成后灯熄灭。</t>
        </is>
      </c>
      <c r="J74" s="49" t="inlineStr">
        <is>
          <t>个</t>
        </is>
      </c>
      <c r="K74" s="49" t="n">
        <v>1</v>
      </c>
      <c r="L74" s="49" t="n">
        <v>48</v>
      </c>
      <c r="M74" s="49" t="n">
        <v>52.8</v>
      </c>
      <c r="N74" s="49" t="n">
        <v>48</v>
      </c>
      <c r="O74" s="49" t="n">
        <v>52.8</v>
      </c>
      <c r="P74" s="49" t="inlineStr"/>
    </row>
    <row r="75">
      <c r="A75" s="49" t="inlineStr">
        <is>
          <t>Sheet1</t>
        </is>
      </c>
      <c r="B75" s="49" t="n">
        <v>54</v>
      </c>
      <c r="C75" s="49" t="inlineStr">
        <is>
          <t>柴油机模型</t>
        </is>
      </c>
      <c r="D75" s="49" t="n">
        <v>1</v>
      </c>
      <c r="E75" s="49" t="inlineStr">
        <is>
          <t>宁波凯迪科教仪器有限公司</t>
        </is>
      </c>
      <c r="F75" s="49" t="inlineStr">
        <is>
          <t>群信</t>
        </is>
      </c>
      <c r="G75" s="49" t="inlineStr"/>
      <c r="H75" s="49" t="inlineStr">
        <is>
          <t>31009</t>
        </is>
      </c>
      <c r="I75" s="49" t="inlineStr">
        <is>
          <t>金属或硬塑料制成，高度≥300mm。由进气管、进气阀、排气管、排气阀、气缸、活塞、连杆、曲轴、喷油嘴、油针、齿轮、凸轮总成、手柄齿轮、介轮、挺杆等组成，外壳剖开，能看清内部结构。模型能直观地演示出吸气过程、压缩过程、做功过程及排气过程，在做功冲程时，油针应开启。</t>
        </is>
      </c>
      <c r="J75" s="49" t="inlineStr">
        <is>
          <t>个</t>
        </is>
      </c>
      <c r="K75" s="49" t="n">
        <v>1</v>
      </c>
      <c r="L75" s="49" t="n">
        <v>48</v>
      </c>
      <c r="M75" s="49" t="n">
        <v>52.8</v>
      </c>
      <c r="N75" s="49" t="n">
        <v>48</v>
      </c>
      <c r="O75" s="49" t="n">
        <v>52.8</v>
      </c>
      <c r="P75" s="49" t="inlineStr"/>
    </row>
    <row r="76">
      <c r="A76" s="49" t="inlineStr">
        <is>
          <t>Sheet1</t>
        </is>
      </c>
      <c r="B76" s="49" t="n">
        <v>55</v>
      </c>
      <c r="C76" s="49" t="inlineStr">
        <is>
          <t>直流电压表</t>
        </is>
      </c>
      <c r="D76" s="49" t="n">
        <v>1</v>
      </c>
      <c r="E76" s="49" t="inlineStr">
        <is>
          <t>宁波凯迪科教仪器有限公司</t>
        </is>
      </c>
      <c r="F76" s="49" t="inlineStr">
        <is>
          <t>群信</t>
        </is>
      </c>
      <c r="G76" s="49" t="inlineStr"/>
      <c r="H76" s="49" t="inlineStr">
        <is>
          <t>15009</t>
        </is>
      </c>
      <c r="I76" s="49" t="inlineStr">
        <is>
          <t>2.5 级，3V，15V等级指数2.5级，量程3V、15V。</t>
        </is>
      </c>
      <c r="J76" s="49" t="inlineStr">
        <is>
          <t>只</t>
        </is>
      </c>
      <c r="K76" s="49" t="n">
        <v>56</v>
      </c>
      <c r="L76" s="49" t="n">
        <v>17</v>
      </c>
      <c r="M76" s="49" t="n">
        <v>18.7</v>
      </c>
      <c r="N76" s="49" t="n">
        <v>952</v>
      </c>
      <c r="O76" s="49" t="n">
        <v>1047.2</v>
      </c>
      <c r="P76" s="49" t="inlineStr"/>
    </row>
    <row r="77">
      <c r="A77" s="49" t="inlineStr">
        <is>
          <t>Sheet1</t>
        </is>
      </c>
      <c r="B77" s="49" t="n">
        <v>56</v>
      </c>
      <c r="C77" s="49" t="inlineStr">
        <is>
          <t>教学用 E10 螺口灯座</t>
        </is>
      </c>
      <c r="D77" s="49" t="n">
        <v>1</v>
      </c>
      <c r="E77" s="49" t="inlineStr">
        <is>
          <t>未记录制造商</t>
        </is>
      </c>
      <c r="F77" s="49" t="inlineStr"/>
      <c r="G77" s="49" t="inlineStr"/>
      <c r="H77" s="49" t="inlineStr"/>
      <c r="I77" s="49"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77" s="49" t="inlineStr"/>
      <c r="K77" s="49" t="n">
        <v>56</v>
      </c>
      <c r="L77" s="49" t="n">
        <v>1.5</v>
      </c>
      <c r="M77" s="49" t="n">
        <v>1.65</v>
      </c>
      <c r="N77" s="49" t="n">
        <v>84</v>
      </c>
      <c r="O77" s="49" t="n">
        <v>92.40000000000001</v>
      </c>
      <c r="P77" s="49" t="inlineStr"/>
    </row>
    <row r="78">
      <c r="A78" s="49" t="inlineStr">
        <is>
          <t>Sheet1</t>
        </is>
      </c>
      <c r="B78" s="49" t="n">
        <v>57</v>
      </c>
      <c r="C78" s="49" t="inlineStr">
        <is>
          <t>电珠(小灯泡)</t>
        </is>
      </c>
      <c r="D78" s="49" t="n">
        <v>1</v>
      </c>
      <c r="E78" s="49" t="inlineStr">
        <is>
          <t>未记录制造商</t>
        </is>
      </c>
      <c r="F78" s="49" t="inlineStr"/>
      <c r="G78" s="49" t="inlineStr"/>
      <c r="H78" s="49" t="inlineStr"/>
      <c r="I78" s="49" t="inlineStr">
        <is>
          <t>1.5 V、0.3 A</t>
        </is>
      </c>
      <c r="J78" s="49" t="inlineStr"/>
      <c r="K78" s="49" t="n">
        <v>100</v>
      </c>
      <c r="L78" s="49" t="n">
        <v>0.5</v>
      </c>
      <c r="M78" s="49" t="n">
        <v>0.55</v>
      </c>
      <c r="N78" s="49" t="n">
        <v>50</v>
      </c>
      <c r="O78" s="49" t="n">
        <v>55</v>
      </c>
      <c r="P78" s="49" t="inlineStr"/>
    </row>
    <row r="79">
      <c r="A79" s="49" t="inlineStr">
        <is>
          <t>Sheet1</t>
        </is>
      </c>
      <c r="B79" s="49" t="n">
        <v>57</v>
      </c>
      <c r="C79" s="49" t="inlineStr">
        <is>
          <t>电珠(小灯泡)</t>
        </is>
      </c>
      <c r="D79" s="49" t="n">
        <v>2</v>
      </c>
      <c r="E79" s="49" t="inlineStr">
        <is>
          <t>未记录制造商</t>
        </is>
      </c>
      <c r="F79" s="49" t="inlineStr"/>
      <c r="G79" s="49" t="inlineStr"/>
      <c r="H79" s="49" t="inlineStr"/>
      <c r="I79" s="49" t="inlineStr">
        <is>
          <t>2.5 V、0.3 A</t>
        </is>
      </c>
      <c r="J79" s="49" t="inlineStr"/>
      <c r="K79" s="49" t="n">
        <v>100</v>
      </c>
      <c r="L79" s="49" t="n">
        <v>0.5</v>
      </c>
      <c r="M79" s="49" t="n">
        <v>0.55</v>
      </c>
      <c r="N79" s="49" t="n">
        <v>50</v>
      </c>
      <c r="O79" s="49" t="n">
        <v>55</v>
      </c>
      <c r="P79" s="49" t="inlineStr"/>
    </row>
    <row r="80">
      <c r="A80" s="49" t="inlineStr">
        <is>
          <t>Sheet1</t>
        </is>
      </c>
      <c r="B80" s="49" t="n">
        <v>57</v>
      </c>
      <c r="C80" s="49" t="inlineStr">
        <is>
          <t>电珠(小灯泡)</t>
        </is>
      </c>
      <c r="D80" s="49" t="n">
        <v>3</v>
      </c>
      <c r="E80" s="49" t="inlineStr">
        <is>
          <t>未记录制造商</t>
        </is>
      </c>
      <c r="F80" s="49" t="inlineStr"/>
      <c r="G80" s="49" t="inlineStr"/>
      <c r="H80" s="49" t="inlineStr"/>
      <c r="I80" s="49" t="inlineStr">
        <is>
          <t>3.8 V、0.3 A</t>
        </is>
      </c>
      <c r="J80" s="49" t="inlineStr"/>
      <c r="K80" s="49" t="n">
        <v>100</v>
      </c>
      <c r="L80" s="49" t="n">
        <v>0.5</v>
      </c>
      <c r="M80" s="49" t="n">
        <v>0.55</v>
      </c>
      <c r="N80" s="49" t="n">
        <v>50</v>
      </c>
      <c r="O80" s="49" t="n">
        <v>55</v>
      </c>
      <c r="P80" s="49" t="inlineStr"/>
    </row>
    <row r="81">
      <c r="A81" s="49" t="inlineStr">
        <is>
          <t>Sheet1</t>
        </is>
      </c>
      <c r="B81" s="49" t="n">
        <v>58</v>
      </c>
      <c r="C81" s="49" t="inlineStr">
        <is>
          <t>电珠(小灯泡)</t>
        </is>
      </c>
      <c r="D81" s="49" t="n">
        <v>1</v>
      </c>
      <c r="E81" s="49" t="inlineStr">
        <is>
          <t>未记录制造商</t>
        </is>
      </c>
      <c r="F81" s="49" t="inlineStr"/>
      <c r="G81" s="49" t="inlineStr"/>
      <c r="H81" s="49" t="inlineStr"/>
      <c r="I81" s="49" t="inlineStr">
        <is>
          <t>2.5 V、0.3 A</t>
        </is>
      </c>
      <c r="J81" s="49" t="inlineStr"/>
      <c r="K81" s="49" t="n">
        <v>100</v>
      </c>
      <c r="L81" s="49" t="n">
        <v>0.5</v>
      </c>
      <c r="M81" s="49" t="n">
        <v>0.55</v>
      </c>
      <c r="N81" s="49" t="n">
        <v>50</v>
      </c>
      <c r="O81" s="49" t="n">
        <v>55</v>
      </c>
      <c r="P81" s="49" t="inlineStr"/>
    </row>
    <row r="82">
      <c r="A82" s="49" t="inlineStr">
        <is>
          <t>Sheet1</t>
        </is>
      </c>
      <c r="B82" s="49" t="n">
        <v>58</v>
      </c>
      <c r="C82" s="49" t="inlineStr">
        <is>
          <t>电珠(小灯泡)</t>
        </is>
      </c>
      <c r="D82" s="49" t="n">
        <v>2</v>
      </c>
      <c r="E82" s="49" t="inlineStr">
        <is>
          <t>未记录制造商</t>
        </is>
      </c>
      <c r="F82" s="49" t="inlineStr"/>
      <c r="G82" s="49" t="inlineStr"/>
      <c r="H82" s="49" t="inlineStr"/>
      <c r="I82" s="49" t="inlineStr">
        <is>
          <t>1.5 V、0.3 A</t>
        </is>
      </c>
      <c r="J82" s="49" t="inlineStr"/>
      <c r="K82" s="49" t="n">
        <v>100</v>
      </c>
      <c r="L82" s="49" t="n">
        <v>0.5</v>
      </c>
      <c r="M82" s="49" t="n">
        <v>0.55</v>
      </c>
      <c r="N82" s="49" t="n">
        <v>50</v>
      </c>
      <c r="O82" s="49" t="n">
        <v>55</v>
      </c>
      <c r="P82" s="49" t="inlineStr"/>
    </row>
    <row r="83">
      <c r="A83" s="49" t="inlineStr">
        <is>
          <t>Sheet1</t>
        </is>
      </c>
      <c r="B83" s="49" t="n">
        <v>58</v>
      </c>
      <c r="C83" s="49" t="inlineStr">
        <is>
          <t>电珠(小灯泡)</t>
        </is>
      </c>
      <c r="D83" s="49" t="n">
        <v>3</v>
      </c>
      <c r="E83" s="49" t="inlineStr">
        <is>
          <t>宁波凯迪科教仪器有限公司</t>
        </is>
      </c>
      <c r="F83" s="49" t="inlineStr">
        <is>
          <t>群信</t>
        </is>
      </c>
      <c r="G83" s="49" t="inlineStr"/>
      <c r="H83" s="49" t="inlineStr">
        <is>
          <t>80110</t>
        </is>
      </c>
      <c r="I83" s="49" t="inlineStr">
        <is>
          <t>2.5V或3.8V</t>
        </is>
      </c>
      <c r="J83" s="49" t="inlineStr">
        <is>
          <t>个</t>
        </is>
      </c>
      <c r="K83" s="49" t="n">
        <v>100</v>
      </c>
      <c r="L83" s="49" t="n">
        <v>0.45</v>
      </c>
      <c r="M83" s="49" t="n">
        <v>0.5</v>
      </c>
      <c r="N83" s="49" t="n">
        <v>45</v>
      </c>
      <c r="O83" s="49" t="n">
        <v>50</v>
      </c>
      <c r="P83" s="49" t="inlineStr"/>
    </row>
    <row r="84">
      <c r="A84" s="49" t="inlineStr">
        <is>
          <t>Sheet1</t>
        </is>
      </c>
      <c r="B84" s="49" t="n">
        <v>59</v>
      </c>
      <c r="C84" s="49" t="inlineStr">
        <is>
          <t>单刀开关（黄铜镀镍）</t>
        </is>
      </c>
      <c r="D84" s="49" t="n">
        <v>1</v>
      </c>
      <c r="E84" s="49" t="inlineStr">
        <is>
          <t>未记录制造商</t>
        </is>
      </c>
      <c r="F84" s="49" t="inlineStr"/>
      <c r="G84" s="49" t="inlineStr"/>
      <c r="H84" s="49" t="inlineStr"/>
      <c r="I84" s="49"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J84" s="49" t="inlineStr">
        <is>
          <t>个</t>
        </is>
      </c>
      <c r="K84" s="49" t="n">
        <v>100</v>
      </c>
      <c r="L84" s="49" t="n">
        <v>2.5</v>
      </c>
      <c r="M84" s="49" t="n">
        <v>2.75</v>
      </c>
      <c r="N84" s="49" t="n">
        <v>250</v>
      </c>
      <c r="O84" s="49" t="n">
        <v>275</v>
      </c>
      <c r="P84" s="49" t="inlineStr"/>
    </row>
    <row r="85">
      <c r="A85" s="49" t="inlineStr">
        <is>
          <t>Sheet1</t>
        </is>
      </c>
      <c r="B85" s="49" t="n">
        <v>60</v>
      </c>
      <c r="C85" s="49" t="inlineStr">
        <is>
          <t>滑动变阻器</t>
        </is>
      </c>
      <c r="D85" s="49" t="n">
        <v>1</v>
      </c>
      <c r="E85" s="49" t="inlineStr">
        <is>
          <t>未记录制造商</t>
        </is>
      </c>
      <c r="F85" s="49" t="inlineStr"/>
      <c r="G85" s="49" t="inlineStr"/>
      <c r="H85" s="49" t="inlineStr"/>
      <c r="I85" s="49" t="inlineStr">
        <is>
          <t>20Ω，2A或10Ω，2A</t>
        </is>
      </c>
      <c r="J85" s="49" t="inlineStr">
        <is>
          <t>个</t>
        </is>
      </c>
      <c r="K85" s="49" t="n">
        <v>112</v>
      </c>
      <c r="L85" s="49" t="n">
        <v>16.5</v>
      </c>
      <c r="M85" s="49" t="n">
        <v>18.15</v>
      </c>
      <c r="N85" s="49" t="n">
        <v>1848</v>
      </c>
      <c r="O85" s="49" t="n">
        <v>2032.8</v>
      </c>
      <c r="P85" s="49" t="inlineStr"/>
    </row>
    <row r="86">
      <c r="A86" s="49" t="inlineStr">
        <is>
          <t>Sheet1</t>
        </is>
      </c>
      <c r="B86" s="49" t="n">
        <v>61</v>
      </c>
      <c r="C86" s="49" t="inlineStr">
        <is>
          <t>电阻圈</t>
        </is>
      </c>
      <c r="D86" s="49" t="n">
        <v>1</v>
      </c>
      <c r="E86" s="49" t="inlineStr">
        <is>
          <t>未记录制造商</t>
        </is>
      </c>
      <c r="F86" s="49" t="inlineStr"/>
      <c r="G86" s="49" t="inlineStr"/>
      <c r="H86" s="49" t="inlineStr"/>
      <c r="I86" s="49" t="inlineStr">
        <is>
          <t>5Ω，10Ω，15Ω</t>
        </is>
      </c>
      <c r="J86" s="49" t="inlineStr">
        <is>
          <t>组</t>
        </is>
      </c>
      <c r="K86" s="49" t="n">
        <v>60</v>
      </c>
      <c r="L86" s="49" t="n">
        <v>9.9</v>
      </c>
      <c r="M86" s="49" t="n">
        <v>10.89</v>
      </c>
      <c r="N86" s="49" t="n">
        <v>594</v>
      </c>
      <c r="O86" s="49" t="n">
        <v>653.4</v>
      </c>
      <c r="P86" s="49" t="inlineStr"/>
    </row>
    <row r="87">
      <c r="A87" s="49" t="inlineStr">
        <is>
          <t>Sheet1</t>
        </is>
      </c>
      <c r="B87" s="49" t="n">
        <v>62</v>
      </c>
      <c r="C87" s="49" t="inlineStr">
        <is>
          <t>电阻定律演示器</t>
        </is>
      </c>
      <c r="D87" s="49" t="n">
        <v>1</v>
      </c>
      <c r="E87" s="49" t="inlineStr">
        <is>
          <t>未记录制造商</t>
        </is>
      </c>
      <c r="F87" s="49" t="inlineStr"/>
      <c r="G87" s="49" t="inlineStr"/>
      <c r="H87" s="49" t="inlineStr"/>
      <c r="I87" s="49" t="inlineStr">
        <is>
          <t>产品由镍铬线（2根）、铜丝（1根）、铁丝（1根）、接线柱及金属底板（1块）组成。 镍铬线直径0.5mm±0.04mm,长520mm； 铜丝直径0.5mm±0.04mm,长520mm； 铁丝直径0.5mm±0.04mm,长520mm 金属底板尺寸为565mm×180mm×18mm</t>
        </is>
      </c>
      <c r="J87" s="49" t="inlineStr">
        <is>
          <t>台</t>
        </is>
      </c>
      <c r="K87" s="49" t="n">
        <v>2</v>
      </c>
      <c r="L87" s="49" t="n">
        <v>66</v>
      </c>
      <c r="M87" s="49" t="n">
        <v>72.59999999999999</v>
      </c>
      <c r="N87" s="49" t="n">
        <v>132</v>
      </c>
      <c r="O87" s="49" t="n">
        <v>145.2</v>
      </c>
      <c r="P87" s="49" t="inlineStr"/>
    </row>
    <row r="88">
      <c r="A88" s="49" t="inlineStr">
        <is>
          <t>Sheet1</t>
        </is>
      </c>
      <c r="B88" s="49" t="n">
        <v>63</v>
      </c>
      <c r="C88" s="49" t="inlineStr">
        <is>
          <t>插头导线（全铜焊锡）</t>
        </is>
      </c>
      <c r="D88" s="49" t="n">
        <v>1</v>
      </c>
      <c r="E88" s="49" t="inlineStr">
        <is>
          <t>未记录制造商</t>
        </is>
      </c>
      <c r="F88" s="49" t="inlineStr"/>
      <c r="G88" s="49" t="inlineStr"/>
      <c r="H88" s="49" t="inlineStr"/>
      <c r="I88" s="49" t="inlineStr">
        <is>
          <t>长度分别为 200 mm、300 mm、400 mm；单芯4 mm 纯铜插头，纯铜导线；宜用不同线色</t>
        </is>
      </c>
      <c r="J88" s="49" t="inlineStr"/>
      <c r="K88" s="49" t="n">
        <v>50</v>
      </c>
      <c r="L88" s="49" t="n">
        <v>11</v>
      </c>
      <c r="M88" s="49" t="n">
        <v>12.1</v>
      </c>
      <c r="N88" s="49" t="n">
        <v>550</v>
      </c>
      <c r="O88" s="49" t="n">
        <v>605</v>
      </c>
      <c r="P88" s="49" t="inlineStr"/>
    </row>
    <row r="89">
      <c r="A89" s="49" t="inlineStr">
        <is>
          <t>Sheet1</t>
        </is>
      </c>
      <c r="B89" s="49" t="n">
        <v>64</v>
      </c>
      <c r="C89" s="49" t="inlineStr">
        <is>
          <t>接线夹导线（全铜焊锡6根）</t>
        </is>
      </c>
      <c r="D89" s="49" t="n">
        <v>1</v>
      </c>
      <c r="E89" s="49" t="inlineStr">
        <is>
          <t>未记录制造商</t>
        </is>
      </c>
      <c r="F89" s="49" t="inlineStr"/>
      <c r="G89" s="49" t="inlineStr"/>
      <c r="H89" s="49" t="inlineStr"/>
      <c r="I89" s="49" t="inlineStr">
        <is>
          <t>长度分别为 200 mm、300 mm、400 mm；单芯4 mm 纯铜接线夹，纯铜导线；宜用不同线色</t>
        </is>
      </c>
      <c r="J89" s="49" t="inlineStr"/>
      <c r="K89" s="49" t="n">
        <v>100</v>
      </c>
      <c r="L89" s="49" t="n">
        <v>11</v>
      </c>
      <c r="M89" s="49" t="n">
        <v>12.1</v>
      </c>
      <c r="N89" s="49" t="n">
        <v>1100</v>
      </c>
      <c r="O89" s="49" t="n">
        <v>1210</v>
      </c>
      <c r="P89" s="49" t="inlineStr"/>
    </row>
    <row r="90">
      <c r="A90" s="49" t="inlineStr">
        <is>
          <t>Sheet1</t>
        </is>
      </c>
      <c r="B90" s="49" t="n">
        <v>65</v>
      </c>
      <c r="C90" s="49" t="inlineStr">
        <is>
          <t>家庭电路示教板</t>
        </is>
      </c>
      <c r="D90" s="49" t="n">
        <v>1</v>
      </c>
      <c r="E90" s="49" t="inlineStr">
        <is>
          <t>未记录制造商</t>
        </is>
      </c>
      <c r="F90" s="49" t="inlineStr"/>
      <c r="G90" s="49" t="inlineStr"/>
      <c r="H90" s="49" t="inlineStr"/>
      <c r="I90"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90" s="49" t="inlineStr"/>
      <c r="K90" s="49" t="n">
        <v>2</v>
      </c>
      <c r="L90" s="49" t="n">
        <v>350</v>
      </c>
      <c r="M90" s="49" t="n">
        <v>385</v>
      </c>
      <c r="N90" s="49" t="n">
        <v>700</v>
      </c>
      <c r="O90" s="49" t="n">
        <v>770</v>
      </c>
      <c r="P90" s="49" t="inlineStr"/>
    </row>
  </sheetData>
  <autoFilter ref="A1:P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2026-08-20T11:59:17Z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