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Sheet1" sheetId="1" state="visible" r:id="rId1"/>
    <sheet xmlns:r="http://schemas.openxmlformats.org/officeDocument/2006/relationships" name="多方案报价明细" sheetId="2" state="visible" r:id="rId2"/>
  </sheets>
  <definedNames>
    <definedName name="产品名称">#REF!</definedName>
    <definedName name="_xlnm._FilterDatabase" localSheetId="1" hidden="1">'多方案报价明细'!$A$1:$P$102</definedName>
  </definedNames>
  <calcPr calcId="191029" fullCalcOnLoad="1"/>
</workbook>
</file>

<file path=xl/styles.xml><?xml version="1.0" encoding="utf-8"?>
<styleSheet xmlns="http://schemas.openxmlformats.org/spreadsheetml/2006/main">
  <numFmts count="3">
    <numFmt numFmtId="164" formatCode="###0;###0"/>
    <numFmt numFmtId="165" formatCode="0.00_ "/>
    <numFmt numFmtId="166" formatCode="0.0_);[Red]\(0.0\)"/>
  </numFmts>
  <fonts count="15">
    <font>
      <name val="宋体"/>
      <charset val="134"/>
      <color theme="1"/>
      <sz val="10"/>
      <scheme val="minor"/>
    </font>
    <font>
      <name val="宋体"/>
      <charset val="134"/>
      <family val="3"/>
      <color rgb="FF000000"/>
      <sz val="10"/>
    </font>
    <font>
      <name val="宋体"/>
      <charset val="134"/>
      <family val="3"/>
      <b val="1"/>
      <color rgb="FF000000"/>
      <sz val="10"/>
    </font>
    <font>
      <name val="宋体"/>
      <charset val="134"/>
      <family val="3"/>
      <color theme="1"/>
      <sz val="10"/>
    </font>
    <font>
      <name val="宋体"/>
      <charset val="134"/>
      <family val="3"/>
      <b val="1"/>
      <sz val="10"/>
    </font>
    <font>
      <name val="宋体"/>
      <charset val="134"/>
      <family val="3"/>
      <b val="1"/>
      <sz val="10"/>
    </font>
    <font>
      <name val="宋体"/>
      <charset val="134"/>
      <family val="3"/>
      <sz val="10"/>
    </font>
    <font>
      <name val="宋体"/>
      <charset val="134"/>
      <family val="3"/>
      <sz val="10"/>
    </font>
    <font>
      <name val="宋体"/>
      <charset val="134"/>
      <family val="3"/>
      <sz val="10"/>
    </font>
    <font>
      <name val="宋体"/>
      <charset val="134"/>
      <family val="3"/>
      <sz val="12"/>
    </font>
    <font>
      <name val="宋体"/>
      <charset val="134"/>
      <family val="3"/>
      <color indexed="8"/>
      <sz val="11"/>
    </font>
    <font>
      <name val="宋体"/>
      <charset val="134"/>
      <family val="3"/>
      <color theme="1"/>
      <sz val="11"/>
      <scheme val="minor"/>
    </font>
    <font>
      <name val="宋体"/>
      <charset val="134"/>
      <family val="3"/>
      <sz val="9"/>
    </font>
    <font>
      <name val="宋体"/>
      <charset val="134"/>
      <family val="3"/>
      <sz val="9"/>
      <scheme val="minor"/>
    </font>
    <font>
      <b val="1"/>
      <color rgb="00FFFFFF"/>
    </font>
  </fonts>
  <fills count="6">
    <fill>
      <patternFill/>
    </fill>
    <fill>
      <patternFill patternType="gray125"/>
    </fill>
    <fill>
      <patternFill patternType="solid">
        <fgColor theme="4" tint="0.5999938962981048"/>
        <bgColor indexed="64"/>
      </patternFill>
    </fill>
    <fill>
      <patternFill patternType="solid">
        <fgColor rgb="000F766E"/>
      </patternFill>
    </fill>
    <fill>
      <patternFill patternType="solid">
        <fgColor rgb="00E8F5EE"/>
      </patternFill>
    </fill>
    <fill>
      <patternFill patternType="solid">
        <fgColor rgb="00FFF4CC"/>
      </patternFill>
    </fill>
  </fills>
  <borders count="6">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s>
  <cellStyleXfs count="10">
    <xf numFmtId="0" fontId="0" fillId="0" borderId="0" applyAlignment="1">
      <alignment vertical="center"/>
    </xf>
    <xf numFmtId="0" fontId="9" fillId="0" borderId="0"/>
    <xf numFmtId="0" fontId="10" fillId="0" borderId="0" applyAlignment="1">
      <alignment vertical="center"/>
    </xf>
    <xf numFmtId="0" fontId="11" fillId="0" borderId="0" applyAlignment="1">
      <alignment vertical="center"/>
    </xf>
    <xf numFmtId="0" fontId="11" fillId="0" borderId="0" applyAlignment="1">
      <alignment vertical="center"/>
    </xf>
    <xf numFmtId="0" fontId="10" fillId="0" borderId="0" applyAlignment="1">
      <alignment vertical="center"/>
    </xf>
    <xf numFmtId="0" fontId="11" fillId="0" borderId="0" applyAlignment="1">
      <alignment vertical="center"/>
    </xf>
    <xf numFmtId="0" fontId="11" fillId="0" borderId="0" applyAlignment="1">
      <alignment vertical="center"/>
    </xf>
    <xf numFmtId="0" fontId="10" fillId="0" borderId="0" applyAlignment="1">
      <alignment vertical="center"/>
    </xf>
    <xf numFmtId="0" fontId="12" fillId="0" borderId="0" applyAlignment="1">
      <alignment vertical="center"/>
    </xf>
  </cellStyleXfs>
  <cellXfs count="52">
    <xf numFmtId="0" fontId="0" fillId="0" borderId="0" applyAlignment="1" pivotButton="0" quotePrefix="0" xfId="0">
      <alignment vertical="center"/>
    </xf>
    <xf numFmtId="0" fontId="1" fillId="0" borderId="0" applyAlignment="1" pivotButton="0" quotePrefix="0" xfId="0">
      <alignment horizontal="center" vertical="top"/>
    </xf>
    <xf numFmtId="0" fontId="1" fillId="0" borderId="0" applyAlignment="1" pivotButton="0" quotePrefix="0" xfId="0">
      <alignment horizontal="center" vertical="top" wrapText="1"/>
    </xf>
    <xf numFmtId="0" fontId="2" fillId="0" borderId="0" applyAlignment="1" pivotButton="0" quotePrefix="0" xfId="0">
      <alignment horizontal="center" vertical="center"/>
    </xf>
    <xf numFmtId="0" fontId="1" fillId="0" borderId="0" applyAlignment="1" pivotButton="0" quotePrefix="0" xfId="0">
      <alignment horizontal="left" vertical="center"/>
    </xf>
    <xf numFmtId="0" fontId="3" fillId="0" borderId="0" applyAlignment="1" pivotButton="0" quotePrefix="0" xfId="0">
      <alignment horizontal="center" vertical="center"/>
    </xf>
    <xf numFmtId="0" fontId="4" fillId="2" borderId="1" applyAlignment="1" pivotButton="0" quotePrefix="0" xfId="0">
      <alignment horizontal="center" vertical="center" wrapText="1"/>
    </xf>
    <xf numFmtId="0" fontId="5" fillId="2" borderId="1" applyAlignment="1" pivotButton="0" quotePrefix="0" xfId="0">
      <alignment horizontal="center" vertical="center" wrapText="1"/>
    </xf>
    <xf numFmtId="0" fontId="4"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164" fontId="6" fillId="0" borderId="1" applyAlignment="1" pivotButton="0" quotePrefix="0" xfId="0">
      <alignment horizontal="center" vertical="center" wrapText="1"/>
    </xf>
    <xf numFmtId="165" fontId="8"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6" fillId="0" borderId="1" applyAlignment="1" pivotButton="0" quotePrefix="0" xfId="2">
      <alignment horizontal="center" vertical="center" wrapText="1"/>
    </xf>
    <xf numFmtId="0" fontId="6" fillId="0" borderId="1" applyAlignment="1" pivotButton="0" quotePrefix="0" xfId="1">
      <alignment horizontal="center" vertical="center" wrapText="1"/>
    </xf>
    <xf numFmtId="49" fontId="6" fillId="0" borderId="1" applyAlignment="1" pivotButton="0" quotePrefix="0" xfId="1">
      <alignment horizontal="center" vertical="center" wrapText="1"/>
    </xf>
    <xf numFmtId="0" fontId="8" fillId="0" borderId="1" applyAlignment="1" pivotButton="0" quotePrefix="0" xfId="0">
      <alignment horizontal="center" vertical="center" wrapText="1"/>
    </xf>
    <xf numFmtId="0" fontId="6" fillId="0" borderId="1" applyAlignment="1" pivotButton="0" quotePrefix="0" xfId="1">
      <alignment horizontal="center" vertical="center" wrapText="1"/>
    </xf>
    <xf numFmtId="49" fontId="8" fillId="0" borderId="1" applyAlignment="1" pivotButton="0" quotePrefix="0" xfId="0">
      <alignment horizontal="center" vertical="center" wrapText="1"/>
    </xf>
    <xf numFmtId="165" fontId="6" fillId="0" borderId="1" applyAlignment="1" pivotButton="0" quotePrefix="0" xfId="0">
      <alignment horizontal="center" vertical="center" wrapText="1"/>
    </xf>
    <xf numFmtId="49" fontId="6" fillId="0" borderId="1" applyAlignment="1" pivotButton="0" quotePrefix="0" xfId="0">
      <alignment horizontal="center" vertical="center" wrapText="1"/>
    </xf>
    <xf numFmtId="0" fontId="6" fillId="0" borderId="1" applyAlignment="1" pivotButton="0" quotePrefix="0" xfId="2">
      <alignment horizontal="center" vertical="center" wrapText="1"/>
    </xf>
    <xf numFmtId="0" fontId="6" fillId="0" borderId="1" applyAlignment="1" pivotButton="0" quotePrefix="0" xfId="3">
      <alignment horizontal="center" vertical="center" wrapText="1"/>
    </xf>
    <xf numFmtId="0" fontId="6" fillId="0" borderId="1" applyAlignment="1" pivotButton="0" quotePrefix="0" xfId="4">
      <alignment horizontal="center" vertical="center" wrapText="1"/>
    </xf>
    <xf numFmtId="0" fontId="6" fillId="0" borderId="1" applyAlignment="1" pivotButton="0" quotePrefix="0" xfId="5">
      <alignment horizontal="center" vertical="center" wrapText="1"/>
    </xf>
    <xf numFmtId="49" fontId="6" fillId="0" borderId="1" applyAlignment="1" pivotButton="0" quotePrefix="0" xfId="6">
      <alignment horizontal="center" vertical="center" wrapText="1"/>
    </xf>
    <xf numFmtId="0" fontId="6" fillId="0" borderId="1" applyAlignment="1" pivotButton="0" quotePrefix="0" xfId="7">
      <alignment horizontal="center" vertical="center" wrapText="1"/>
    </xf>
    <xf numFmtId="0" fontId="6" fillId="0" borderId="1" applyAlignment="1" pivotButton="0" quotePrefix="0" xfId="8">
      <alignment horizontal="center" vertical="center" wrapText="1"/>
    </xf>
    <xf numFmtId="166" fontId="8" fillId="0" borderId="1" applyAlignment="1" pivotButton="0" quotePrefix="0" xfId="0">
      <alignment horizontal="center" vertical="center" wrapText="1"/>
    </xf>
    <xf numFmtId="0" fontId="6" fillId="0" borderId="1" applyAlignment="1" pivotButton="0" quotePrefix="0" xfId="9">
      <alignment horizontal="center" vertical="center" wrapText="1"/>
    </xf>
    <xf numFmtId="0" fontId="2" fillId="0" borderId="1" applyAlignment="1" pivotButton="0" quotePrefix="0" xfId="0">
      <alignment horizontal="center" vertical="center"/>
    </xf>
    <xf numFmtId="0" fontId="4" fillId="2" borderId="1" applyAlignment="1" pivotButton="0" quotePrefix="0" xfId="0">
      <alignment horizontal="center" vertical="center" wrapText="1"/>
    </xf>
    <xf numFmtId="0" fontId="0" fillId="0" borderId="4" pivotButton="0" quotePrefix="0" xfId="0"/>
    <xf numFmtId="0" fontId="0" fillId="0" borderId="5" pivotButton="0" quotePrefix="0" xfId="0"/>
    <xf numFmtId="0" fontId="14" fillId="3" borderId="0" applyAlignment="1" pivotButton="0" quotePrefix="0" xfId="0">
      <alignment horizontal="center" vertical="center" wrapText="1"/>
    </xf>
    <xf numFmtId="0" fontId="6" fillId="4" borderId="1" applyAlignment="1" pivotButton="0" quotePrefix="0" xfId="0">
      <alignment vertical="center" wrapText="1"/>
    </xf>
    <xf numFmtId="164" fontId="6" fillId="4" borderId="1" applyAlignment="1" pivotButton="0" quotePrefix="0" xfId="0">
      <alignment vertical="center" wrapText="1"/>
    </xf>
    <xf numFmtId="165" fontId="8" fillId="0" borderId="1" applyAlignment="1" pivotButton="0" quotePrefix="0" xfId="0">
      <alignment horizontal="center" vertical="center" wrapText="1"/>
    </xf>
    <xf numFmtId="0" fontId="0" fillId="4" borderId="0" applyAlignment="1" pivotButton="0" quotePrefix="0" xfId="0">
      <alignment vertical="center" wrapText="1"/>
    </xf>
    <xf numFmtId="0" fontId="6" fillId="4" borderId="1" applyAlignment="1" pivotButton="0" quotePrefix="0" xfId="1">
      <alignment vertical="center" wrapText="1"/>
    </xf>
    <xf numFmtId="49" fontId="6" fillId="4" borderId="1" applyAlignment="1" pivotButton="0" quotePrefix="0" xfId="1">
      <alignment vertical="center" wrapText="1"/>
    </xf>
    <xf numFmtId="165" fontId="6" fillId="0" borderId="1" applyAlignment="1" pivotButton="0" quotePrefix="0" xfId="0">
      <alignment horizontal="center" vertical="center" wrapText="1"/>
    </xf>
    <xf numFmtId="0" fontId="6" fillId="5" borderId="1" applyAlignment="1" pivotButton="0" quotePrefix="0" xfId="0">
      <alignment vertical="center" wrapText="1"/>
    </xf>
    <xf numFmtId="0" fontId="6" fillId="5" borderId="1" applyAlignment="1" pivotButton="0" quotePrefix="0" xfId="2">
      <alignment vertical="center" wrapText="1"/>
    </xf>
    <xf numFmtId="0" fontId="0" fillId="5" borderId="0" applyAlignment="1" pivotButton="0" quotePrefix="0" xfId="0">
      <alignment vertical="center" wrapText="1"/>
    </xf>
    <xf numFmtId="0" fontId="6" fillId="4" borderId="1" applyAlignment="1" pivotButton="0" quotePrefix="0" xfId="4">
      <alignment vertical="center" wrapText="1"/>
    </xf>
    <xf numFmtId="166" fontId="8" fillId="0" borderId="1" applyAlignment="1" pivotButton="0" quotePrefix="0" xfId="0">
      <alignment horizontal="center" vertical="center" wrapText="1"/>
    </xf>
    <xf numFmtId="0" fontId="0" fillId="0" borderId="0" pivotButton="0" quotePrefix="0" xfId="0"/>
    <xf numFmtId="0" fontId="14" fillId="3" borderId="0" applyAlignment="1" pivotButton="0" quotePrefix="0" xfId="0">
      <alignment horizontal="center" vertical="center"/>
    </xf>
    <xf numFmtId="0" fontId="0" fillId="0" borderId="0" applyAlignment="1" pivotButton="0" quotePrefix="0" xfId="0">
      <alignment vertical="top" wrapText="1"/>
    </xf>
  </cellXfs>
  <cellStyles count="10">
    <cellStyle name="常规" xfId="0" builtinId="0"/>
    <cellStyle name="常规_Sheet1" xfId="1"/>
    <cellStyle name="常规 10 10 2 2" xfId="2"/>
    <cellStyle name="常规 31" xfId="3"/>
    <cellStyle name="常规 34" xfId="4"/>
    <cellStyle name="常规 15" xfId="5"/>
    <cellStyle name="常规 13 14" xfId="6"/>
    <cellStyle name="常规 14" xfId="7"/>
    <cellStyle name="常规 18" xfId="8"/>
    <cellStyle name="常规_Sheet1_5" xfId="9"/>
  </cellStyles>
  <dxfs count="19">
    <dxf>
      <font>
        <color rgb="FF9C0006"/>
      </font>
      <fill>
        <patternFill patternType="solid">
          <bgColor rgb="FFFFC7CE"/>
        </patternFill>
      </fill>
    </dxf>
    <dxf>
      <font>
        <color rgb="FF9C0006"/>
      </font>
      <fill>
        <patternFill patternType="solid">
          <bgColor rgb="FFFFC7CE"/>
        </patternFill>
      </fill>
    </dxf>
    <dxf>
      <fill>
        <patternFill patternType="solid">
          <fgColor theme="4" tint="0.7999511703848384"/>
          <bgColor theme="4" tint="0.7999511703848384"/>
        </patternFill>
      </fill>
      <border>
        <bottom style="thin">
          <color theme="4" tint="0.3999450666829432"/>
        </bottom>
      </border>
    </dxf>
    <dxf>
      <font>
        <b val="1"/>
      </font>
      <fill>
        <patternFill patternType="solid">
          <fgColor theme="4" tint="0.7999511703848384"/>
          <bgColor theme="4" tint="0.7999511703848384"/>
        </patternFill>
      </fill>
      <border>
        <bottom style="thin">
          <color theme="4" tint="0.3999450666829432"/>
        </bottom>
      </border>
    </dxf>
    <dxf>
      <font>
        <color theme="1"/>
      </font>
    </dxf>
    <dxf>
      <font>
        <color theme="1"/>
      </font>
      <border>
        <bottom style="thin">
          <color theme="4" tint="0.3999450666829432"/>
        </bottom>
      </border>
    </dxf>
    <dxf>
      <font>
        <b val="1"/>
        <color theme="1"/>
      </font>
    </dxf>
    <dxf>
      <font>
        <b val="1"/>
        <color theme="1"/>
      </font>
      <border>
        <top style="thin">
          <color theme="4"/>
        </top>
        <bottom style="thin">
          <color theme="4"/>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fill>
        <patternFill patternType="solid">
          <fgColor theme="4" tint="0.7999511703848384"/>
          <bgColor theme="4" tint="0.7999511703848384"/>
        </patternFill>
      </fill>
      <border>
        <top style="thin">
          <color theme="4" tint="0.3999450666829432"/>
        </top>
        <bottom style="thin">
          <color theme="4" tint="0.3999450666829432"/>
        </bottom>
      </border>
    </dxf>
    <dxf>
      <font>
        <b val="1"/>
        <color theme="1"/>
      </font>
      <fill>
        <patternFill patternType="solid">
          <fgColor theme="4" tint="0.7999511703848384"/>
          <bgColor theme="4" tint="0.7999511703848384"/>
        </patternFill>
      </fill>
      <border>
        <bottom style="thin">
          <color theme="4" tint="0.3999450666829432"/>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
        </horizontal>
      </border>
    </dxf>
  </dxfs>
  <tableStyles count="2" defaultTableStyle="TableStylePreset3_Accent1" defaultPivotStyle="PivotStylePreset2_Accent1">
    <tableStyle name="TableStylePreset3_Accent1" pivot="0" count="7">
      <tableStyleElement type="wholeTable" dxfId="18"/>
      <tableStyleElement type="headerRow" dxfId="17"/>
      <tableStyleElement type="totalRow" dxfId="16"/>
      <tableStyleElement type="firstColumn" dxfId="15"/>
      <tableStyleElement type="lastColumn" dxfId="14"/>
      <tableStyleElement type="firstRowStripe" dxfId="13"/>
      <tableStyleElement type="firstColumnStripe" dxfId="12"/>
    </tableStyle>
    <tableStyle name="PivotStylePreset2_Accent1" table="0" count="10">
      <tableStyleElement type="headerRow" dxfId="11"/>
      <tableStyleElement type="totalRow" dxfId="10"/>
      <tableStyleElement type="firstRowStripe" dxfId="9"/>
      <tableStyleElement type="firstColumnStripe" dxfId="8"/>
      <tableStyleElement type="firstSubtotalRow" dxfId="7"/>
      <tableStyleElement type="secondSubtotalRow" dxfId="6"/>
      <tableStyleElement type="firstRowSubheading" dxfId="5"/>
      <tableStyleElement type="secondRowSubheading" dxfId="4"/>
      <tableStyleElement type="pageFieldLabels" dxfId="3"/>
      <tableStyleElement type="pageFieldValues" dxfId="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66"/>
  <sheetViews>
    <sheetView tabSelected="1" topLeftCell="A61" workbookViewId="0">
      <selection activeCell="H74" sqref="H74"/>
    </sheetView>
  </sheetViews>
  <sheetFormatPr baseColWidth="8" defaultColWidth="10.28515625" defaultRowHeight="26.1" customHeight="1"/>
  <cols>
    <col width="7.85546875" customWidth="1" style="1" min="1" max="1"/>
    <col width="17.28515625" customWidth="1" style="1" min="2" max="2"/>
    <col width="32" customWidth="1" style="4" min="3" max="3"/>
    <col width="8.7109375" customWidth="1" style="1" min="4" max="5"/>
    <col width="10" customWidth="1" style="1" min="6" max="7"/>
    <col width="77.42578125" customWidth="1" style="1" min="8" max="8"/>
    <col width="9.28515625" customWidth="1" style="1" min="9" max="9"/>
    <col width="10.28515625" customWidth="1" style="1" min="10" max="16303"/>
    <col width="10.28515625" customWidth="1" style="5" min="16304" max="16384"/>
  </cols>
  <sheetData>
    <row r="1" ht="26.1" customFormat="1" customHeight="1" s="1">
      <c r="A1" s="33" t="inlineStr">
        <is>
          <t>初中新物理仪器</t>
        </is>
      </c>
      <c r="B1" s="34" t="n"/>
      <c r="C1" s="34" t="n"/>
      <c r="D1" s="34" t="n"/>
      <c r="E1" s="35" t="n"/>
      <c r="F1" s="7" t="n"/>
      <c r="G1" s="33" t="n"/>
      <c r="H1" s="7" t="n"/>
      <c r="I1" s="7" t="n"/>
    </row>
    <row r="2" ht="26.1" customFormat="1" customHeight="1" s="1">
      <c r="A2" s="33" t="inlineStr">
        <is>
          <t>序号</t>
        </is>
      </c>
      <c r="B2" s="33" t="inlineStr">
        <is>
          <t>器材名称</t>
        </is>
      </c>
      <c r="C2" s="33" t="inlineStr">
        <is>
          <t>技术参数</t>
        </is>
      </c>
      <c r="D2" s="33" t="inlineStr">
        <is>
          <t>单位</t>
        </is>
      </c>
      <c r="E2" s="33" t="inlineStr">
        <is>
          <t>数量</t>
        </is>
      </c>
      <c r="F2" s="7" t="inlineStr">
        <is>
          <t>单价</t>
        </is>
      </c>
      <c r="G2" s="33" t="inlineStr">
        <is>
          <t>总价</t>
        </is>
      </c>
      <c r="H2" s="7" t="inlineStr">
        <is>
          <t>参考图片</t>
        </is>
      </c>
      <c r="I2" s="7" t="inlineStr">
        <is>
          <t>备注</t>
        </is>
      </c>
      <c r="J2" s="36" t="inlineStr">
        <is>
          <t>税后单价</t>
        </is>
      </c>
      <c r="K2" s="36" t="inlineStr">
        <is>
          <t>税后总价</t>
        </is>
      </c>
      <c r="L2" s="36" t="inlineStr">
        <is>
          <t>品牌</t>
        </is>
      </c>
      <c r="M2" s="36" t="inlineStr">
        <is>
          <t>制造商</t>
        </is>
      </c>
      <c r="N2" s="36" t="inlineStr">
        <is>
          <t>型号</t>
        </is>
      </c>
      <c r="O2" s="36" t="inlineStr">
        <is>
          <t>产品编码</t>
        </is>
      </c>
      <c r="P2" s="36" t="inlineStr">
        <is>
          <t>报价2单价</t>
        </is>
      </c>
      <c r="Q2" s="36" t="inlineStr">
        <is>
          <t>报价2制造商</t>
        </is>
      </c>
      <c r="R2" s="36" t="inlineStr">
        <is>
          <t>报价3单价</t>
        </is>
      </c>
      <c r="S2" s="36" t="inlineStr">
        <is>
          <t>报价3制造商</t>
        </is>
      </c>
    </row>
    <row r="3" ht="26.1" customFormat="1" customHeight="1" s="1">
      <c r="A3" s="10" t="n">
        <v>1</v>
      </c>
      <c r="B3" s="10" t="inlineStr">
        <is>
          <t>简易急救箱</t>
        </is>
      </c>
      <c r="C3" s="11" t="inlineStr">
        <is>
          <t>箱内包括：烧伤药膏，医用酒精，碘伏，创可贴，胶布，绷带，卫生棉签，剪刀，镊子止血带（长度≥30 cm）等</t>
        </is>
      </c>
      <c r="D3" s="37" t="inlineStr">
        <is>
          <t>个</t>
        </is>
      </c>
      <c r="E3" s="38" t="n">
        <v>1</v>
      </c>
      <c r="F3" s="37" t="n">
        <v>80</v>
      </c>
      <c r="G3" s="37" t="n">
        <v>80</v>
      </c>
      <c r="H3" s="10">
        <f>_xlfn.DISPIMG("ID_E1E746C54A65400B8C3B527399DF2EE8",1)</f>
        <v/>
      </c>
      <c r="I3" s="39" t="n"/>
      <c r="J3" s="40" t="n">
        <v>88</v>
      </c>
      <c r="K3" s="40" t="n">
        <v>88</v>
      </c>
      <c r="L3" s="40" t="inlineStr"/>
      <c r="M3" s="40" t="inlineStr"/>
      <c r="N3" s="40" t="inlineStr"/>
      <c r="O3" s="40" t="inlineStr"/>
      <c r="P3" s="40" t="n">
        <v>80</v>
      </c>
      <c r="Q3" s="40" t="inlineStr"/>
      <c r="R3" s="40" t="n">
        <v>120</v>
      </c>
      <c r="S3" s="40" t="inlineStr"/>
    </row>
    <row r="4" ht="26.1" customFormat="1" customHeight="1" s="1">
      <c r="A4" s="10" t="n">
        <v>2</v>
      </c>
      <c r="B4" s="10" t="inlineStr">
        <is>
          <t>仪器车</t>
        </is>
      </c>
      <c r="C4" s="10" t="inlineStr">
        <is>
          <t>采用不锈钢材质，钢材厚度不小于1.0mm。                                                                 
1、由搁盘2个，车架2个；                                                                             
2、支架底部用万向轮组装        
3、规格不小于600mm×400mm×800mm；                                                           
4、脚杆不锈钢；                                                                                   
5、附件由M6×35螺杆8个，M6螺帽8个；                                                                     
6、整套组装后应有足够的平稳度和牢固度，其结构为拆卸式；</t>
        </is>
      </c>
      <c r="D4" s="37" t="inlineStr">
        <is>
          <t>辆</t>
        </is>
      </c>
      <c r="E4" s="37" t="n">
        <v>2</v>
      </c>
      <c r="F4" s="37" t="n">
        <v>320</v>
      </c>
      <c r="G4" s="37" t="n">
        <v>640</v>
      </c>
      <c r="H4" s="10">
        <f>_xlfn.DISPIMG("ID_5B024DFC190E4303BC6F137C7B190659",1)</f>
        <v/>
      </c>
      <c r="I4" s="18" t="n"/>
      <c r="J4" s="40" t="n">
        <v>352</v>
      </c>
      <c r="K4" s="40" t="n">
        <v>704</v>
      </c>
      <c r="L4" s="40" t="inlineStr"/>
      <c r="M4" s="40" t="inlineStr"/>
      <c r="N4" s="40" t="inlineStr"/>
      <c r="O4" s="40" t="inlineStr"/>
      <c r="P4" s="40" t="n">
        <v>175</v>
      </c>
      <c r="Q4" s="40" t="inlineStr"/>
    </row>
    <row r="5" ht="26.1" customFormat="1" customHeight="1" s="1">
      <c r="A5" s="10" t="n">
        <v>3</v>
      </c>
      <c r="B5" s="10" t="inlineStr">
        <is>
          <t>一字螺丝刀</t>
        </is>
      </c>
      <c r="C5" s="23" t="inlineStr">
        <is>
          <t>一字螺丝刀由旋杆、手柄等组成。</t>
        </is>
      </c>
      <c r="D5" s="37" t="inlineStr">
        <is>
          <t>支</t>
        </is>
      </c>
      <c r="E5" s="37" t="n">
        <v>50</v>
      </c>
      <c r="F5" s="37" t="n">
        <v>4</v>
      </c>
      <c r="G5" s="37" t="n">
        <v>200</v>
      </c>
      <c r="H5" s="10" t="n"/>
      <c r="I5" s="18" t="n"/>
      <c r="J5" s="40" t="n">
        <v>4.4</v>
      </c>
      <c r="K5" s="40" t="n">
        <v>220</v>
      </c>
      <c r="L5" s="40" t="inlineStr"/>
      <c r="M5" s="40" t="inlineStr"/>
      <c r="N5" s="40" t="inlineStr"/>
      <c r="O5" s="40" t="inlineStr"/>
      <c r="P5" s="40" t="n">
        <v>4</v>
      </c>
      <c r="Q5" s="40" t="inlineStr"/>
      <c r="R5" s="40" t="n">
        <v>4</v>
      </c>
      <c r="S5" s="40" t="inlineStr"/>
    </row>
    <row r="6" ht="26.1" customFormat="1" customHeight="1" s="1">
      <c r="A6" s="10" t="n">
        <v>4</v>
      </c>
      <c r="B6" s="10" t="inlineStr">
        <is>
          <t>镊子</t>
        </is>
      </c>
      <c r="C6" s="19" t="inlineStr">
        <is>
          <t>不锈钢约160mm</t>
        </is>
      </c>
      <c r="D6" s="37" t="inlineStr">
        <is>
          <t>个</t>
        </is>
      </c>
      <c r="E6" s="37" t="n">
        <v>50</v>
      </c>
      <c r="F6" s="41" t="n">
        <v>2.5</v>
      </c>
      <c r="G6" s="37" t="n">
        <v>125</v>
      </c>
      <c r="H6" s="23" t="n"/>
      <c r="I6" s="39" t="n"/>
      <c r="J6" s="40" t="n">
        <v>2.75</v>
      </c>
      <c r="K6" s="40" t="n">
        <v>137.5</v>
      </c>
      <c r="L6" s="40" t="inlineStr"/>
      <c r="M6" s="40" t="inlineStr"/>
      <c r="N6" s="40" t="inlineStr"/>
      <c r="O6" s="40" t="inlineStr"/>
      <c r="P6" s="40" t="n">
        <v>2.5</v>
      </c>
      <c r="Q6" s="40" t="inlineStr"/>
      <c r="R6" s="40" t="n">
        <v>2.5</v>
      </c>
      <c r="S6" s="40" t="inlineStr"/>
    </row>
    <row r="7" ht="26.1" customFormat="1" customHeight="1" s="1">
      <c r="A7" s="10" t="n">
        <v>5</v>
      </c>
      <c r="B7" s="10" t="inlineStr">
        <is>
          <t>红液温度计</t>
        </is>
      </c>
      <c r="C7" s="10" t="inlineStr">
        <is>
          <t>量程-20℃～100℃，分度值1℃，示值误差&lt;±1.5℃</t>
        </is>
      </c>
      <c r="D7" s="37" t="inlineStr">
        <is>
          <t>支</t>
        </is>
      </c>
      <c r="E7" s="37" t="n">
        <v>60</v>
      </c>
      <c r="F7" s="37" t="n">
        <v>2</v>
      </c>
      <c r="G7" s="37" t="n">
        <v>120</v>
      </c>
      <c r="H7" s="23">
        <f>_xlfn.DISPIMG("ID_3BA81F423B704786B321221E9A4B2B83",1)</f>
        <v/>
      </c>
      <c r="I7" s="39" t="n"/>
      <c r="J7" s="40" t="n">
        <v>2.2</v>
      </c>
      <c r="K7" s="40" t="n">
        <v>132</v>
      </c>
      <c r="L7" s="40" t="inlineStr"/>
      <c r="M7" s="40" t="inlineStr"/>
      <c r="N7" s="40" t="inlineStr"/>
      <c r="O7" s="40" t="inlineStr"/>
      <c r="P7" s="40" t="n">
        <v>2</v>
      </c>
      <c r="Q7" s="40" t="inlineStr"/>
      <c r="R7" s="40" t="n">
        <v>2</v>
      </c>
      <c r="S7" s="40" t="inlineStr"/>
    </row>
    <row r="8" ht="26.1" customFormat="1" customHeight="1" s="1">
      <c r="A8" s="10" t="n">
        <v>6</v>
      </c>
      <c r="B8" s="10" t="inlineStr">
        <is>
          <t>烧杯</t>
        </is>
      </c>
      <c r="C8" s="19" t="inlineStr">
        <is>
          <t>100ml 高硼硅玻璃制</t>
        </is>
      </c>
      <c r="D8" s="42" t="inlineStr">
        <is>
          <t>个</t>
        </is>
      </c>
      <c r="E8" s="37" t="n">
        <v>60</v>
      </c>
      <c r="F8" s="41" t="n">
        <v>3.5</v>
      </c>
      <c r="G8" s="37" t="n">
        <v>210</v>
      </c>
      <c r="H8" s="19" t="n"/>
      <c r="I8" s="19" t="n"/>
      <c r="J8" s="40" t="n">
        <v>3.85</v>
      </c>
      <c r="K8" s="40" t="n">
        <v>231</v>
      </c>
      <c r="L8" s="40" t="inlineStr"/>
      <c r="M8" s="40" t="inlineStr"/>
      <c r="N8" s="40" t="inlineStr"/>
      <c r="O8" s="40" t="inlineStr"/>
      <c r="P8" s="40" t="n">
        <v>2</v>
      </c>
      <c r="Q8" s="40" t="inlineStr"/>
    </row>
    <row r="9" ht="26.1" customFormat="1" customHeight="1" s="1">
      <c r="A9" s="10" t="n">
        <v>7</v>
      </c>
      <c r="B9" s="10" t="inlineStr">
        <is>
          <t>酒精灯</t>
        </is>
      </c>
      <c r="C9" s="23" t="inlineStr">
        <is>
          <t>150mL，采用透明钠钙玻璃制造，无明显黄绿色，灯口应平整，瓷灯头与灯口平面间隙不应超过 1.5 mm，玻璃灯罩应磨口，瓷灯头应为白色，表面无气泡，无疵点，无裂纹，无碰损缺口，酒精灯应配置与灯口孔径相适应的整齐完整的棉线灯芯</t>
        </is>
      </c>
      <c r="D9" s="42" t="inlineStr">
        <is>
          <t>个</t>
        </is>
      </c>
      <c r="E9" s="37" t="n">
        <v>30</v>
      </c>
      <c r="F9" s="41" t="n">
        <v>2.5</v>
      </c>
      <c r="G9" s="37" t="n">
        <v>75</v>
      </c>
      <c r="H9" s="19" t="n"/>
      <c r="I9" s="19" t="n"/>
      <c r="J9" s="40" t="n">
        <v>2.75</v>
      </c>
      <c r="K9" s="40" t="n">
        <v>82.5</v>
      </c>
      <c r="L9" s="40" t="inlineStr"/>
      <c r="M9" s="40" t="inlineStr"/>
      <c r="N9" s="40" t="inlineStr"/>
      <c r="O9" s="40" t="inlineStr"/>
      <c r="P9" s="40" t="n">
        <v>2.5</v>
      </c>
      <c r="Q9" s="40" t="inlineStr"/>
    </row>
    <row r="10" ht="26.1" customFormat="1" customHeight="1" s="1">
      <c r="A10" s="10" t="n">
        <v>8</v>
      </c>
      <c r="B10" s="10" t="inlineStr">
        <is>
          <t>漏斗</t>
        </is>
      </c>
      <c r="C10" s="19" t="inlineStr">
        <is>
          <t>90mm 高硼硅玻璃制</t>
        </is>
      </c>
      <c r="D10" s="37" t="inlineStr">
        <is>
          <t>个</t>
        </is>
      </c>
      <c r="E10" s="38" t="n">
        <v>5</v>
      </c>
      <c r="F10" s="41" t="n">
        <v>6</v>
      </c>
      <c r="G10" s="37" t="n">
        <v>30</v>
      </c>
      <c r="H10" s="19" t="n"/>
      <c r="I10" s="19" t="n"/>
      <c r="J10" s="40" t="n">
        <v>6.6</v>
      </c>
      <c r="K10" s="40" t="n">
        <v>33</v>
      </c>
      <c r="L10" s="40" t="inlineStr"/>
      <c r="M10" s="40" t="inlineStr"/>
      <c r="N10" s="40" t="inlineStr"/>
      <c r="O10" s="40" t="inlineStr"/>
      <c r="P10" s="40" t="n">
        <v>4</v>
      </c>
      <c r="Q10" s="40" t="inlineStr"/>
      <c r="R10" s="40" t="n">
        <v>6</v>
      </c>
      <c r="S10" s="40" t="inlineStr"/>
    </row>
    <row r="11" ht="26.1" customFormat="1" customHeight="1" s="1">
      <c r="A11" s="10" t="n">
        <v>9</v>
      </c>
      <c r="B11" s="10" t="inlineStr">
        <is>
          <t>注射器</t>
        </is>
      </c>
      <c r="C11" s="10" t="inlineStr">
        <is>
          <t>100 mL，分度值 10 mL，刻度清晰。加帽或塞，密闭性好，防止液体泄漏，清晰度高</t>
        </is>
      </c>
      <c r="D11" s="37" t="inlineStr">
        <is>
          <t>个</t>
        </is>
      </c>
      <c r="E11" s="37" t="n">
        <v>28</v>
      </c>
      <c r="F11" s="37" t="n">
        <v>2</v>
      </c>
      <c r="G11" s="37" t="n">
        <v>56</v>
      </c>
      <c r="H11" s="10">
        <f>_xlfn.DISPIMG("ID_924BE3FD017640508C420430F2BECFF4",1)</f>
        <v/>
      </c>
      <c r="I11" s="18" t="n"/>
      <c r="J11" s="40" t="n">
        <v>2.2</v>
      </c>
      <c r="K11" s="40" t="n">
        <v>61.6</v>
      </c>
      <c r="L11" s="40" t="inlineStr">
        <is>
          <t>江阴</t>
        </is>
      </c>
      <c r="M11" s="40" t="inlineStr">
        <is>
          <t>江阴市医疗器械有限公司</t>
        </is>
      </c>
      <c r="N11" s="40" t="inlineStr">
        <is>
          <t>100mL</t>
        </is>
      </c>
      <c r="O11" s="40" t="inlineStr"/>
      <c r="P11" s="40" t="n">
        <v>1</v>
      </c>
      <c r="Q11" s="40" t="inlineStr"/>
      <c r="R11" s="40" t="n">
        <v>2.5</v>
      </c>
      <c r="S11" s="40" t="inlineStr"/>
    </row>
    <row r="12" ht="26.1" customFormat="1" customHeight="1" s="1">
      <c r="A12" s="10" t="n">
        <v>10</v>
      </c>
      <c r="B12" s="10" t="inlineStr">
        <is>
          <t>陶土网</t>
        </is>
      </c>
      <c r="C12" s="10" t="inlineStr">
        <is>
          <t>功能同石棉网，陶土材质，尺寸不小于 125 mm
×125 mm，0.8 mm 钢丝制成</t>
        </is>
      </c>
      <c r="D12" s="37" t="inlineStr">
        <is>
          <t>个</t>
        </is>
      </c>
      <c r="E12" s="37" t="n">
        <v>28</v>
      </c>
      <c r="F12" s="41" t="n">
        <v>1.4</v>
      </c>
      <c r="G12" s="37" t="n">
        <v>39.2</v>
      </c>
      <c r="H12" s="18">
        <f>_xlfn.DISPIMG("ID_31BE4C575C8D47F185ED3BE49AD278B0",1)</f>
        <v/>
      </c>
      <c r="I12" s="19" t="n"/>
      <c r="J12" s="40" t="n">
        <v>1.54</v>
      </c>
      <c r="K12" s="40" t="n">
        <v>43.12</v>
      </c>
      <c r="L12" s="40" t="inlineStr"/>
      <c r="M12" s="40" t="inlineStr"/>
      <c r="N12" s="40" t="inlineStr"/>
      <c r="O12" s="40" t="inlineStr"/>
      <c r="P12" s="40" t="n">
        <v>1.4</v>
      </c>
      <c r="Q12" s="40" t="inlineStr"/>
      <c r="R12" s="40" t="n">
        <v>1.4</v>
      </c>
      <c r="S12" s="40" t="inlineStr"/>
    </row>
    <row r="13" ht="26.1" customFormat="1" customHeight="1" s="1">
      <c r="A13" s="10" t="n">
        <v>11</v>
      </c>
      <c r="B13" s="10" t="inlineStr">
        <is>
          <t>碘升华凝华管</t>
        </is>
      </c>
      <c r="C13" s="19" t="inlineStr">
        <is>
          <t>尺寸≥28*50*100mm ；高硼硅玻璃制</t>
        </is>
      </c>
      <c r="D13" s="37" t="inlineStr">
        <is>
          <t>个</t>
        </is>
      </c>
      <c r="E13" s="37" t="n">
        <v>4</v>
      </c>
      <c r="F13" s="37" t="n">
        <v>4.5</v>
      </c>
      <c r="G13" s="37" t="n">
        <v>18</v>
      </c>
      <c r="H13" s="10" t="n"/>
      <c r="I13" s="39" t="n"/>
      <c r="J13" s="40" t="n">
        <v>4.95</v>
      </c>
      <c r="K13" s="40" t="n">
        <v>19.8</v>
      </c>
      <c r="L13" s="40" t="inlineStr"/>
      <c r="M13" s="40" t="inlineStr"/>
      <c r="N13" s="40" t="inlineStr"/>
      <c r="O13" s="40" t="inlineStr"/>
      <c r="P13" s="40" t="n">
        <v>4.5</v>
      </c>
      <c r="Q13" s="40" t="inlineStr"/>
    </row>
    <row r="14" ht="26.1" customFormat="1" customHeight="1" s="2">
      <c r="A14" s="10" t="n">
        <v>12</v>
      </c>
      <c r="B14" s="10" t="inlineStr">
        <is>
          <t>托盘天平</t>
        </is>
      </c>
      <c r="C14" s="10" t="inlineStr">
        <is>
          <t>1.最大称量200g，分度值0.2 g,标尺称量0-5g。
2．底座为金属冲压件。
3．横梁，支架，盘托架为金属制，表面镀铬。
4．两边吊架为锌合金压铸件，刀子为钢制，双向调节螺母。
5.标尺刻度清晰，游码滑动自如。
6.双托盘，托盘为塑胶制成
7．砝码组合的总质量（包括标尺计量值）应不小于天平的最大秤量。 附件：四等砝码一套，镊子一把，专用塑料砝码盒一个，各种砝码定位放置。
8.冲压件及铸件表面应光洁平整，不应有毛刺、锋棱、裂纹和显见砂眼。电镀件的镀层应色泽均匀，不应有露底和显见的麻点、水迹、擦伤等缺陷。油漆件表面应平整光滑，色泽均匀，不应有露底、起泡、挂漆、擦伤等缺陷。</t>
        </is>
      </c>
      <c r="D14" s="37" t="inlineStr">
        <is>
          <t>台</t>
        </is>
      </c>
      <c r="E14" s="37" t="n">
        <v>56</v>
      </c>
      <c r="F14" s="37" t="n">
        <v>30</v>
      </c>
      <c r="G14" s="37" t="n">
        <v>1680</v>
      </c>
      <c r="H14" s="10">
        <f>_xlfn.DISPIMG("ID_29A4025F5BB64379A1224265F768DD7A",1)</f>
        <v/>
      </c>
      <c r="I14" s="18" t="n"/>
      <c r="J14" s="40" t="n">
        <v>33</v>
      </c>
      <c r="K14" s="40" t="n">
        <v>1848</v>
      </c>
      <c r="L14" s="40" t="inlineStr"/>
      <c r="M14" s="40" t="inlineStr"/>
      <c r="N14" s="40" t="inlineStr"/>
      <c r="O14" s="40" t="inlineStr"/>
      <c r="P14" s="40" t="n">
        <v>30</v>
      </c>
      <c r="Q14" s="40" t="inlineStr"/>
    </row>
    <row r="15" ht="26.1" customFormat="1" customHeight="1" s="1">
      <c r="A15" s="10" t="n">
        <v>13</v>
      </c>
      <c r="B15" s="10" t="inlineStr">
        <is>
          <t>量筒</t>
        </is>
      </c>
      <c r="C15" s="17" t="inlineStr">
        <is>
          <t>100ml  高硼硅玻璃制</t>
        </is>
      </c>
      <c r="D15" s="41" t="inlineStr">
        <is>
          <t>个</t>
        </is>
      </c>
      <c r="E15" s="37" t="n">
        <v>60</v>
      </c>
      <c r="F15" s="41" t="n">
        <v>7</v>
      </c>
      <c r="G15" s="37" t="n">
        <v>420</v>
      </c>
      <c r="H15" s="19" t="n"/>
      <c r="I15" s="19" t="n"/>
      <c r="J15" s="40" t="n">
        <v>7.7</v>
      </c>
      <c r="K15" s="40" t="n">
        <v>462</v>
      </c>
      <c r="L15" s="40" t="inlineStr"/>
      <c r="M15" s="40" t="inlineStr"/>
      <c r="N15" s="40" t="inlineStr"/>
      <c r="O15" s="40" t="inlineStr"/>
      <c r="P15" s="40" t="n">
        <v>7</v>
      </c>
      <c r="Q15" s="40" t="inlineStr"/>
      <c r="R15" s="40" t="n">
        <v>7</v>
      </c>
      <c r="S15" s="40" t="inlineStr"/>
    </row>
    <row r="16" ht="26.1" customFormat="1" customHeight="1" s="1">
      <c r="A16" s="10" t="n">
        <v>14</v>
      </c>
      <c r="B16" s="10" t="inlineStr">
        <is>
          <t>放大镜</t>
        </is>
      </c>
      <c r="C16" s="10" t="inlineStr">
        <is>
          <t>手持式，5×，焦距 50 mm</t>
        </is>
      </c>
      <c r="D16" s="37" t="inlineStr">
        <is>
          <t>个</t>
        </is>
      </c>
      <c r="E16" s="37" t="n">
        <v>28</v>
      </c>
      <c r="F16" s="37" t="n">
        <v>2</v>
      </c>
      <c r="G16" s="37" t="n">
        <v>56</v>
      </c>
      <c r="H16" s="10">
        <f>_xlfn.DISPIMG("ID_D7C562907CC24512AEA9B9D8DBA0B570",1)</f>
        <v/>
      </c>
      <c r="I16" s="39" t="n"/>
      <c r="J16" s="40" t="n">
        <v>2.2</v>
      </c>
      <c r="K16" s="40" t="n">
        <v>61.6</v>
      </c>
      <c r="L16" s="40" t="inlineStr"/>
      <c r="M16" s="40" t="inlineStr"/>
      <c r="N16" s="40" t="inlineStr"/>
      <c r="O16" s="40" t="inlineStr"/>
      <c r="P16" s="40" t="n">
        <v>2</v>
      </c>
      <c r="Q16" s="40" t="inlineStr"/>
      <c r="R16" s="40" t="n">
        <v>2</v>
      </c>
      <c r="S16" s="40" t="inlineStr"/>
    </row>
    <row r="17" ht="26.1" customFormat="1" customHeight="1" s="1">
      <c r="A17" s="10" t="n">
        <v>15</v>
      </c>
      <c r="B17" s="10" t="inlineStr">
        <is>
          <t>望远镜</t>
        </is>
      </c>
      <c r="C17" s="10" t="inlineStr">
        <is>
          <t>双筒，7×35</t>
        </is>
      </c>
      <c r="D17" s="37" t="inlineStr">
        <is>
          <t>个</t>
        </is>
      </c>
      <c r="E17" s="37" t="n">
        <v>1</v>
      </c>
      <c r="F17" s="37" t="n">
        <v>55</v>
      </c>
      <c r="G17" s="37" t="n">
        <v>55</v>
      </c>
      <c r="H17" s="23">
        <f>_xlfn.DISPIMG("ID_7D9060A674F54876B66FC551C9021007",1)</f>
        <v/>
      </c>
      <c r="I17" s="39" t="n"/>
      <c r="J17" s="40" t="n">
        <v>60.5</v>
      </c>
      <c r="K17" s="40" t="n">
        <v>60.5</v>
      </c>
      <c r="L17" s="40" t="inlineStr"/>
      <c r="M17" s="40" t="inlineStr"/>
      <c r="N17" s="40" t="inlineStr"/>
      <c r="O17" s="40" t="inlineStr"/>
    </row>
    <row r="18" ht="26.1" customFormat="1" customHeight="1" s="1">
      <c r="A18" s="10" t="n">
        <v>16</v>
      </c>
      <c r="B18" s="10" t="inlineStr">
        <is>
          <t>食用色素</t>
        </is>
      </c>
      <c r="C18" s="10" t="inlineStr">
        <is>
          <t>红色</t>
        </is>
      </c>
      <c r="D18" s="37" t="inlineStr">
        <is>
          <t>毫升</t>
        </is>
      </c>
      <c r="E18" s="38" t="n">
        <v>10</v>
      </c>
      <c r="F18" s="37" t="n">
        <v>0.8</v>
      </c>
      <c r="G18" s="37" t="n">
        <v>8</v>
      </c>
      <c r="H18" s="10" t="n"/>
      <c r="I18" s="39" t="n"/>
      <c r="J18" s="40" t="n">
        <v>0.88</v>
      </c>
      <c r="K18" s="40" t="n">
        <v>8.800000000000001</v>
      </c>
      <c r="L18" s="40" t="inlineStr"/>
      <c r="M18" s="40" t="inlineStr"/>
      <c r="N18" s="40" t="inlineStr"/>
      <c r="O18" s="40" t="inlineStr"/>
    </row>
    <row r="19" ht="26.1" customFormat="1" customHeight="1" s="1">
      <c r="A19" s="10" t="n">
        <v>17</v>
      </c>
      <c r="B19" s="10" t="inlineStr">
        <is>
          <t>直尺</t>
        </is>
      </c>
      <c r="C19" s="20" t="inlineStr">
        <is>
          <t>1000mm塑料米尺cm、mm两种单位</t>
        </is>
      </c>
      <c r="D19" s="37" t="inlineStr">
        <is>
          <t>只</t>
        </is>
      </c>
      <c r="E19" s="37" t="n">
        <v>28</v>
      </c>
      <c r="F19" s="37" t="n">
        <v>18</v>
      </c>
      <c r="G19" s="37" t="n">
        <v>504</v>
      </c>
      <c r="H19" s="18" t="n"/>
      <c r="I19" s="43" t="n"/>
      <c r="J19" s="40" t="n">
        <v>19.8</v>
      </c>
      <c r="K19" s="40" t="n">
        <v>554.4</v>
      </c>
      <c r="L19" s="40" t="inlineStr"/>
      <c r="M19" s="40" t="inlineStr"/>
      <c r="N19" s="40" t="inlineStr"/>
      <c r="O19" s="40" t="inlineStr"/>
      <c r="P19" s="40" t="n">
        <v>6</v>
      </c>
      <c r="Q19" s="40" t="inlineStr"/>
      <c r="R19" s="40" t="n">
        <v>7.5</v>
      </c>
      <c r="S19" s="40" t="inlineStr"/>
    </row>
    <row r="20" ht="26.1" customFormat="1" customHeight="1" s="1">
      <c r="A20" s="10" t="n">
        <v>18</v>
      </c>
      <c r="B20" s="10" t="inlineStr">
        <is>
          <t>机械秒表</t>
        </is>
      </c>
      <c r="C20" s="10" t="inlineStr">
        <is>
          <t>计时精度：1/10秒
表盘刻度：15分/30秒
振动频率：36000
宝石轴承：13颗
说明：Φ 50mm 单键控制/起步 停止 归零</t>
        </is>
      </c>
      <c r="D20" s="44" t="inlineStr"/>
      <c r="E20" s="45" t="n">
        <v>28</v>
      </c>
      <c r="F20" s="44" t="inlineStr"/>
      <c r="G20" s="44" t="inlineStr"/>
      <c r="H20" s="23" t="n"/>
      <c r="I20" s="18" t="n"/>
      <c r="J20" s="46" t="inlineStr"/>
      <c r="K20" s="46" t="inlineStr"/>
      <c r="L20" s="46" t="inlineStr"/>
      <c r="M20" s="46" t="inlineStr"/>
      <c r="N20" s="46" t="inlineStr"/>
      <c r="O20" s="46" t="inlineStr"/>
    </row>
    <row r="21" ht="26.1" customFormat="1" customHeight="1" s="1">
      <c r="A21" s="10" t="n">
        <v>19</v>
      </c>
      <c r="B21" s="10" t="inlineStr">
        <is>
          <t>斜面小车</t>
        </is>
      </c>
      <c r="C21" s="10" t="inlineStr">
        <is>
          <t>1、导轨：采用φ16的无缝钢管镀铬；与基准平面的不平行度&lt;1mm。2、平行光源：光源用电压6-8V，功率不小于3W的灯泡。3、透镜：双凸透镜：F=100±2mm，φ=40mm；F=50±2mm，φ=30mm；F=300±12mm，φ=50mm；F=-75±4.5mm，φ=30mm；4、标尺：总长为≥960mm,宽为≥18mm；刻线长度≥900mm,最小刻度≥1mm,刻线间距误差≤0.1mm，尺全长刻线误差≤±0.5mm；5、滑块：四个滑块和支架的插杆孔中心，应在一条线上，指示刻线与标尺间隙不超过3mm，插杆应准直，表面镀铬。6、双轨。</t>
        </is>
      </c>
      <c r="D21" s="37" t="inlineStr">
        <is>
          <t>套</t>
        </is>
      </c>
      <c r="E21" s="37" t="n">
        <v>56</v>
      </c>
      <c r="F21" s="37" t="n">
        <v>60</v>
      </c>
      <c r="G21" s="37" t="n">
        <v>3360</v>
      </c>
      <c r="H21" s="10">
        <f>_xlfn.DISPIMG("ID_EEBD8E67922441BBB2004A6A1A99CF52",1)</f>
        <v/>
      </c>
      <c r="I21" s="43" t="n"/>
      <c r="J21" s="40" t="n">
        <v>66</v>
      </c>
      <c r="K21" s="40" t="n">
        <v>3696</v>
      </c>
      <c r="L21" s="40" t="inlineStr"/>
      <c r="M21" s="40" t="inlineStr"/>
      <c r="N21" s="40" t="inlineStr"/>
      <c r="O21" s="40" t="inlineStr"/>
    </row>
    <row r="22" ht="26.1" customFormat="1" customHeight="1" s="1">
      <c r="A22" s="10" t="n">
        <v>20</v>
      </c>
      <c r="B22" s="10" t="inlineStr">
        <is>
          <t>演示测力计</t>
        </is>
      </c>
      <c r="C22" s="10" t="inlineStr">
        <is>
          <t>平板式；不少于5N、2N、20N等规格</t>
        </is>
      </c>
      <c r="D22" s="37" t="inlineStr">
        <is>
          <t>套</t>
        </is>
      </c>
      <c r="E22" s="37" t="n">
        <v>1</v>
      </c>
      <c r="F22" s="37" t="n">
        <v>15</v>
      </c>
      <c r="G22" s="37" t="n">
        <v>15</v>
      </c>
      <c r="H22" s="18">
        <f>_xlfn.DISPIMG("ID_0F91FBF4F599485A953F1903C7F5FFEB",1)</f>
        <v/>
      </c>
      <c r="I22" s="18" t="n"/>
      <c r="J22" s="40" t="n">
        <v>16.5</v>
      </c>
      <c r="K22" s="40" t="n">
        <v>16.5</v>
      </c>
      <c r="L22" s="40" t="inlineStr"/>
      <c r="M22" s="40" t="inlineStr"/>
      <c r="N22" s="40" t="inlineStr"/>
      <c r="O22" s="40" t="inlineStr"/>
    </row>
    <row r="23" ht="26.1" customFormat="1" customHeight="1" s="1">
      <c r="A23" s="10" t="n">
        <v>21</v>
      </c>
      <c r="B23" s="10" t="inlineStr">
        <is>
          <t>条形盒测力计</t>
        </is>
      </c>
      <c r="C23" s="20" t="inlineStr">
        <is>
          <t>5N，最小分度值0.1N</t>
        </is>
      </c>
      <c r="D23" s="37" t="inlineStr">
        <is>
          <t>个</t>
        </is>
      </c>
      <c r="E23" s="37" t="n">
        <v>56</v>
      </c>
      <c r="F23" s="37" t="n">
        <v>6</v>
      </c>
      <c r="G23" s="37" t="n">
        <v>336</v>
      </c>
      <c r="H23" s="18">
        <f>_xlfn.DISPIMG("ID_358D079025764845A5259520DBF7BFA3",1)</f>
        <v/>
      </c>
      <c r="I23" s="18" t="n"/>
      <c r="J23" s="40" t="n">
        <v>6.6</v>
      </c>
      <c r="K23" s="40" t="n">
        <v>369.6</v>
      </c>
      <c r="L23" s="40" t="inlineStr"/>
      <c r="M23" s="40" t="inlineStr"/>
      <c r="N23" s="40" t="inlineStr"/>
      <c r="O23" s="40" t="inlineStr"/>
    </row>
    <row r="24" ht="81" customFormat="1" customHeight="1" s="1">
      <c r="A24" s="10" t="n">
        <v>22</v>
      </c>
      <c r="B24" s="10" t="inlineStr">
        <is>
          <t>金属钩码</t>
        </is>
      </c>
      <c r="C24" s="10" t="inlineStr">
        <is>
          <t>10g（Φ22mm）×l，20g（Φ26mm）×2，
50g（Φ30mm）×2，200g（Φ48mm）×1，
允许误差：10g±0.1g，20g±0.2g，50g
±0.5g，200g±2.0g</t>
        </is>
      </c>
      <c r="D24" s="37" t="inlineStr">
        <is>
          <t>套</t>
        </is>
      </c>
      <c r="E24" s="37" t="n">
        <v>56</v>
      </c>
      <c r="F24" s="37" t="n">
        <v>15</v>
      </c>
      <c r="G24" s="37" t="n">
        <v>840</v>
      </c>
      <c r="H24" s="18">
        <f>_xlfn.DISPIMG("ID_C70E55ED392C40399220676A754E0821",1)</f>
        <v/>
      </c>
      <c r="I24" s="39" t="n"/>
      <c r="J24" s="40" t="n">
        <v>16.5</v>
      </c>
      <c r="K24" s="40" t="n">
        <v>924</v>
      </c>
      <c r="L24" s="40" t="inlineStr"/>
      <c r="M24" s="40" t="inlineStr"/>
      <c r="N24" s="40" t="inlineStr"/>
      <c r="O24" s="40" t="inlineStr"/>
    </row>
    <row r="25" ht="26.1" customFormat="1" customHeight="1" s="1">
      <c r="A25" s="10" t="n">
        <v>23</v>
      </c>
      <c r="B25" s="10" t="inlineStr">
        <is>
          <t>摩擦力演示器</t>
        </is>
      </c>
      <c r="C25" s="10" t="inlineStr">
        <is>
          <t>摩擦板长：0.5米。
  测力计：2N。</t>
        </is>
      </c>
      <c r="D25" s="44" t="inlineStr"/>
      <c r="E25" s="44" t="n">
        <v>1</v>
      </c>
      <c r="F25" s="44" t="inlineStr"/>
      <c r="G25" s="44" t="inlineStr"/>
      <c r="H25" s="10">
        <f>_xlfn.DISPIMG("ID_E287411BDA054086BECEA286156ED9C3",1)</f>
        <v/>
      </c>
      <c r="I25" s="39" t="n"/>
      <c r="J25" s="46" t="inlineStr"/>
      <c r="K25" s="46" t="inlineStr"/>
      <c r="L25" s="46" t="inlineStr"/>
      <c r="M25" s="46" t="inlineStr"/>
      <c r="N25" s="46" t="inlineStr"/>
      <c r="O25" s="46" t="inlineStr"/>
    </row>
    <row r="26" ht="26.1" customFormat="1" customHeight="1" s="1">
      <c r="A26" s="10" t="n">
        <v>24</v>
      </c>
      <c r="B26" s="10" t="inlineStr">
        <is>
          <t>运动和力实验器</t>
        </is>
      </c>
      <c r="C26" s="10" t="inlineStr">
        <is>
          <t>由水平板、斜面板、小车、两种粗糙度不同的材料、钢珠、玻璃珠、硬盒、斜面过渡板组成。水平板：A）水平板尺寸≥539×120×12mm ，b）板与水平板用镀锌铰链连接c）背面装有直径3mm的镀锌支架。硬盒≥100×54×27mm。斜面：A）斜面过渡板由塑料压注而成b）≥200×121×12.3mmc）中间有小球滚槽，一端两侧开有缺口</t>
        </is>
      </c>
      <c r="D26" s="37" t="inlineStr">
        <is>
          <t>套</t>
        </is>
      </c>
      <c r="E26" s="37" t="n">
        <v>2</v>
      </c>
      <c r="F26" s="37" t="n">
        <v>62</v>
      </c>
      <c r="G26" s="37" t="n">
        <v>124</v>
      </c>
      <c r="H26" s="10">
        <f>_xlfn.DISPIMG("ID_4230B6EC211F47B4A055F04AC1FB278D",1)</f>
        <v/>
      </c>
      <c r="I26" s="18" t="n"/>
      <c r="J26" s="40" t="n">
        <v>68.2</v>
      </c>
      <c r="K26" s="40" t="n">
        <v>136.4</v>
      </c>
      <c r="L26" s="40" t="inlineStr"/>
      <c r="M26" s="40" t="inlineStr"/>
      <c r="N26" s="40" t="inlineStr"/>
      <c r="O26" s="40" t="inlineStr"/>
    </row>
    <row r="27" ht="26.1" customFormat="1" customHeight="1" s="1">
      <c r="A27" s="10" t="n">
        <v>25</v>
      </c>
      <c r="B27" s="10" t="inlineStr">
        <is>
          <t>阿基米德原理
实验器</t>
        </is>
      </c>
      <c r="C27" s="22" t="inlineStr">
        <is>
          <t>一支2N的演示测力计，一个透明溢水杯，一个直径≥54mm*53mm带钩及环的量桶及一个直径≥50mm*51mm，重约120g的配套量块。</t>
        </is>
      </c>
      <c r="D27" s="37" t="inlineStr">
        <is>
          <t>套</t>
        </is>
      </c>
      <c r="E27" s="37" t="n">
        <v>56</v>
      </c>
      <c r="F27" s="37" t="n">
        <v>12</v>
      </c>
      <c r="G27" s="37" t="n">
        <v>672</v>
      </c>
      <c r="H27" s="10">
        <f>_xlfn.DISPIMG("ID_88843D17BC434817BF6CD869800407F2",1)</f>
        <v/>
      </c>
      <c r="I27" s="18" t="n"/>
      <c r="J27" s="40" t="n">
        <v>13.2</v>
      </c>
      <c r="K27" s="40" t="n">
        <v>739.2</v>
      </c>
      <c r="L27" s="40" t="inlineStr"/>
      <c r="M27" s="40" t="inlineStr"/>
      <c r="N27" s="40" t="inlineStr"/>
      <c r="O27" s="40" t="inlineStr"/>
    </row>
    <row r="28" ht="26.1" customFormat="1" customHeight="1" s="1">
      <c r="A28" s="10" t="n">
        <v>26</v>
      </c>
      <c r="B28" s="10" t="inlineStr">
        <is>
          <t>浮力原理演示器</t>
        </is>
      </c>
      <c r="C28" s="10" t="inlineStr">
        <is>
          <t>由大水箱、小水箱、浮子、连通管、接头等组成。水箱采用透明性好的塑料制成，大水箱外径100mm，壁厚不小于2mm；小水箱容积不小于60ml；大水箱外壁标有指示深度的刻度线，分度5mm；浮子采用工程塑料制作，直径不小于50mm，色泽鲜艳、醒目；浮子上配有重物，体积能做微量调节；的连接软管为乳胶管。</t>
        </is>
      </c>
      <c r="D28" s="37" t="inlineStr">
        <is>
          <t>套</t>
        </is>
      </c>
      <c r="E28" s="37" t="n">
        <v>2</v>
      </c>
      <c r="F28" s="37" t="n">
        <v>42</v>
      </c>
      <c r="G28" s="37" t="n">
        <v>84</v>
      </c>
      <c r="H28" s="18">
        <f>_xlfn.DISPIMG("ID_6A7B31479CB643FC96A1A169AEAC2573",1)</f>
        <v/>
      </c>
      <c r="I28" s="39" t="n"/>
      <c r="J28" s="40" t="n">
        <v>46.2</v>
      </c>
      <c r="K28" s="40" t="n">
        <v>92.40000000000001</v>
      </c>
      <c r="L28" s="40" t="inlineStr"/>
      <c r="M28" s="40" t="inlineStr"/>
      <c r="N28" s="40" t="inlineStr"/>
      <c r="O28" s="40" t="inlineStr"/>
    </row>
    <row r="29" ht="26.1" customFormat="1" customHeight="1" s="1">
      <c r="A29" s="10" t="n">
        <v>27</v>
      </c>
      <c r="B29" s="10" t="inlineStr">
        <is>
          <t>压力和压强演示器</t>
        </is>
      </c>
      <c r="C29" s="10" t="inlineStr">
        <is>
          <t>压强小桌，尺寸≥200mm×100mm×100mm；配套多孔弹性材料</t>
        </is>
      </c>
      <c r="D29" s="37" t="inlineStr">
        <is>
          <t>套</t>
        </is>
      </c>
      <c r="E29" s="37" t="n">
        <v>2</v>
      </c>
      <c r="F29" s="37" t="n">
        <v>22</v>
      </c>
      <c r="G29" s="37" t="n">
        <v>44</v>
      </c>
      <c r="H29" s="23">
        <f>_xlfn.DISPIMG("ID_C70F4B613BEB4A2E86D01F563DBFFFF7",1)</f>
        <v/>
      </c>
      <c r="I29" s="39" t="n"/>
      <c r="J29" s="40" t="n">
        <v>24.2</v>
      </c>
      <c r="K29" s="40" t="n">
        <v>48.4</v>
      </c>
      <c r="L29" s="40" t="inlineStr"/>
      <c r="M29" s="40" t="inlineStr"/>
      <c r="N29" s="40" t="inlineStr"/>
      <c r="O29" s="40" t="inlineStr"/>
    </row>
    <row r="30" ht="26.1" customFormat="1" customHeight="1" s="1">
      <c r="A30" s="10" t="n">
        <v>28</v>
      </c>
      <c r="B30" s="10" t="inlineStr">
        <is>
          <t>微小压强计</t>
        </is>
      </c>
      <c r="C30" s="10" t="inlineStr">
        <is>
          <t>由U形管、标度板、三通连接管、硅橡胶管、弹簧止水夹和连有塑料管的注射器组成；U形管外径≥6mm，高不小于380mm，能沿标度方向移动不小于10mm，能固定；标尺长≥300mm，0分度在中间，最小分度线为5mm；系统气密性好</t>
        </is>
      </c>
      <c r="D30" s="37" t="inlineStr">
        <is>
          <t>台</t>
        </is>
      </c>
      <c r="E30" s="37" t="n">
        <v>28</v>
      </c>
      <c r="F30" s="37" t="n">
        <v>6</v>
      </c>
      <c r="G30" s="37" t="n">
        <v>168</v>
      </c>
      <c r="H30" s="10">
        <f>_xlfn.DISPIMG("ID_A148D7A135C544B297358047D9E321F3",1)</f>
        <v/>
      </c>
      <c r="I30" s="18" t="n"/>
      <c r="J30" s="40" t="n">
        <v>6.6</v>
      </c>
      <c r="K30" s="40" t="n">
        <v>184.8</v>
      </c>
      <c r="L30" s="40" t="inlineStr"/>
      <c r="M30" s="40" t="inlineStr"/>
      <c r="N30" s="40" t="inlineStr"/>
      <c r="O30" s="40" t="inlineStr"/>
    </row>
    <row r="31" ht="26.1" customFormat="1" customHeight="1" s="1">
      <c r="A31" s="10" t="n">
        <v>29</v>
      </c>
      <c r="B31" s="10" t="inlineStr">
        <is>
          <t>液体对器壁压强演示器</t>
        </is>
      </c>
      <c r="C31" s="10" t="inlineStr">
        <is>
          <t>透明圆筒壁同一直线上不同高度处应有 3 个喷嘴，对面应有 1 个喷嘴；配 4 个喷嘴塞或盖，有表示深度的标尺 高硼硅玻璃制</t>
        </is>
      </c>
      <c r="D31" s="37" t="inlineStr">
        <is>
          <t>台</t>
        </is>
      </c>
      <c r="E31" s="37" t="n">
        <v>2</v>
      </c>
      <c r="F31" s="41" t="n">
        <v>20</v>
      </c>
      <c r="G31" s="37" t="n">
        <v>40</v>
      </c>
      <c r="H31" s="23">
        <f>_xlfn.DISPIMG("ID_F1DD92B1ABE2476EA7839E4DDC99E43C",1)</f>
        <v/>
      </c>
      <c r="I31" s="39" t="n"/>
      <c r="J31" s="40" t="n">
        <v>22</v>
      </c>
      <c r="K31" s="40" t="n">
        <v>44</v>
      </c>
      <c r="L31" s="40" t="inlineStr"/>
      <c r="M31" s="40" t="inlineStr"/>
      <c r="N31" s="40" t="inlineStr"/>
      <c r="O31" s="40" t="inlineStr"/>
    </row>
    <row r="32" ht="26.1" customFormat="1" customHeight="1" s="1">
      <c r="A32" s="10" t="n">
        <v>30</v>
      </c>
      <c r="B32" s="10" t="inlineStr">
        <is>
          <t>连通器</t>
        </is>
      </c>
      <c r="C32" s="10" t="inlineStr">
        <is>
          <t>由粗直管、细直管、细弯折管、细带球管等组成，尺寸≥210mm×210mm×120mm，底座应平稳；粗管外径30 mm，细管外径≥12 mm，无色透明材料透光率≥90％ 高硼硅玻璃制</t>
        </is>
      </c>
      <c r="D32" s="37" t="inlineStr">
        <is>
          <t>个</t>
        </is>
      </c>
      <c r="E32" s="37" t="n">
        <v>2</v>
      </c>
      <c r="F32" s="41" t="n">
        <v>12</v>
      </c>
      <c r="G32" s="37" t="n">
        <v>24</v>
      </c>
      <c r="H32" s="10" t="n"/>
      <c r="I32" s="18" t="n"/>
      <c r="J32" s="40" t="n">
        <v>13.2</v>
      </c>
      <c r="K32" s="40" t="n">
        <v>26.4</v>
      </c>
      <c r="L32" s="40" t="inlineStr"/>
      <c r="M32" s="40" t="inlineStr"/>
      <c r="N32" s="40" t="inlineStr"/>
      <c r="O32" s="40" t="inlineStr"/>
    </row>
    <row r="33" ht="26.1" customFormat="1" customHeight="1" s="1">
      <c r="A33" s="10" t="n">
        <v>31</v>
      </c>
      <c r="B33" s="10" t="inlineStr">
        <is>
          <t>杠杆</t>
        </is>
      </c>
      <c r="C33" s="10" t="inlineStr">
        <is>
          <t>由杠杆、轴、调平装置和挂钩组成</t>
        </is>
      </c>
      <c r="D33" s="37" t="inlineStr">
        <is>
          <t>套</t>
        </is>
      </c>
      <c r="E33" s="37" t="n">
        <v>56</v>
      </c>
      <c r="F33" s="37" t="n">
        <v>8</v>
      </c>
      <c r="G33" s="37" t="n">
        <v>448</v>
      </c>
      <c r="H33" s="23">
        <f>_xlfn.DISPIMG("ID_54C6249509354B3EBCC18C839E0C665E",1)</f>
        <v/>
      </c>
      <c r="I33" s="18" t="n"/>
      <c r="J33" s="40" t="n">
        <v>8.800000000000001</v>
      </c>
      <c r="K33" s="40" t="n">
        <v>492.8</v>
      </c>
      <c r="L33" s="40" t="inlineStr"/>
      <c r="M33" s="40" t="inlineStr"/>
      <c r="N33" s="40" t="inlineStr"/>
      <c r="O33" s="40" t="inlineStr"/>
    </row>
    <row r="34" ht="26.1" customFormat="1" customHeight="1" s="1">
      <c r="A34" s="10" t="n">
        <v>32</v>
      </c>
      <c r="B34" s="10" t="inlineStr">
        <is>
          <t>演示滑轮组</t>
        </is>
      </c>
      <c r="C34" s="10" t="inlineStr">
        <is>
          <t>由单滑轮2件、三并滑轮2件、三串滑轮2
件、支杆滑轮2件组成，附滑轮绳；额定负
荷：单滑轮9.8N，串及并滑轮为19.6N，
支杆滑轮为9.8N；满负荷时，单、支杆滑轮的效率不应低于90％，并、串滑轮的效率不应低于75％</t>
        </is>
      </c>
      <c r="D34" s="37" t="inlineStr">
        <is>
          <t>组</t>
        </is>
      </c>
      <c r="E34" s="37" t="n">
        <v>2</v>
      </c>
      <c r="F34" s="37" t="n">
        <v>40</v>
      </c>
      <c r="G34" s="37" t="n">
        <v>80</v>
      </c>
      <c r="H34" s="10">
        <f>_xlfn.DISPIMG("ID_9CB874C1E062451DBC590075F1BDF0F0",1)</f>
        <v/>
      </c>
      <c r="I34" s="18" t="n"/>
      <c r="J34" s="40" t="n">
        <v>44</v>
      </c>
      <c r="K34" s="40" t="n">
        <v>88</v>
      </c>
      <c r="L34" s="40" t="inlineStr"/>
      <c r="M34" s="40" t="inlineStr"/>
      <c r="N34" s="40" t="inlineStr"/>
      <c r="O34" s="40" t="inlineStr"/>
    </row>
    <row r="35" ht="26.1" customFormat="1" customHeight="1" s="1">
      <c r="A35" s="10" t="n">
        <v>33</v>
      </c>
      <c r="B35" s="10" t="inlineStr">
        <is>
          <t>音叉</t>
        </is>
      </c>
      <c r="C35" s="10" t="inlineStr">
        <is>
          <t>256Hz±0.3Hz；由音叉、共鸣箱、音叉槌等组成；松木共鸣箱，尺寸≥300mm×80mm×40mm；在环境噪声不大于30dB的室内，用音叉槌敲击音叉，距音叉1000mm处声强应不小于90dB</t>
        </is>
      </c>
      <c r="D35" s="37" t="inlineStr">
        <is>
          <t>套</t>
        </is>
      </c>
      <c r="E35" s="37" t="n">
        <v>28</v>
      </c>
      <c r="F35" s="37" t="n">
        <v>21</v>
      </c>
      <c r="G35" s="37" t="n">
        <v>588</v>
      </c>
      <c r="H35" s="10" t="n"/>
      <c r="I35" s="18" t="n"/>
      <c r="J35" s="40" t="n">
        <v>23.1</v>
      </c>
      <c r="K35" s="40" t="n">
        <v>646.8</v>
      </c>
      <c r="L35" s="40" t="inlineStr"/>
      <c r="M35" s="40" t="inlineStr"/>
      <c r="N35" s="40" t="inlineStr"/>
      <c r="O35" s="40" t="inlineStr"/>
      <c r="P35" s="40" t="n">
        <v>21</v>
      </c>
      <c r="Q35" s="40" t="inlineStr"/>
    </row>
    <row r="36" ht="26.1" customFormat="1" customHeight="1" s="1">
      <c r="A36" s="10" t="n">
        <v>34</v>
      </c>
      <c r="B36" s="10" t="inlineStr">
        <is>
          <t>声传播演示器</t>
        </is>
      </c>
      <c r="C36" s="10" t="inlineStr">
        <is>
          <t>透明可密封容器、音频发生器、扬声器等组成</t>
        </is>
      </c>
      <c r="D36" s="37" t="inlineStr">
        <is>
          <t>套</t>
        </is>
      </c>
      <c r="E36" s="37" t="n">
        <v>2</v>
      </c>
      <c r="F36" s="37" t="n">
        <v>130</v>
      </c>
      <c r="G36" s="37" t="n">
        <v>260</v>
      </c>
      <c r="H36" s="11">
        <f>_xlfn.DISPIMG("ID_78F5E17F7E01447B9ADFF07DCFCEC8DE",1)</f>
        <v/>
      </c>
      <c r="I36" s="18" t="n"/>
      <c r="J36" s="40" t="n">
        <v>143</v>
      </c>
      <c r="K36" s="40" t="n">
        <v>286</v>
      </c>
      <c r="L36" s="40" t="inlineStr"/>
      <c r="M36" s="40" t="inlineStr"/>
      <c r="N36" s="40" t="inlineStr"/>
      <c r="O36" s="40" t="inlineStr"/>
    </row>
    <row r="37" ht="26.1" customFormat="1" customHeight="1" s="1">
      <c r="A37" s="10" t="n">
        <v>35</v>
      </c>
      <c r="B37" s="10" t="inlineStr">
        <is>
          <t>凹面镜</t>
        </is>
      </c>
      <c r="C37" s="24" t="inlineStr">
        <is>
          <t>1．由凹面镜、镜框、支架、镜座组成。
2．凹面镜的直径为100mm。
3．凹面镜的焦距为65mm。
4．凹面镜的基片采用普通玻璃制成，在距基片中心三分之二半径范围内，无目测到的气泡、结石和条纹。
5．反射膜镀层均匀，在距中心三分之二半径范围内无色斑、擦痕、印迹疵病，并有牢固的保护层。
6．凹面镜对平行于主光轴的光束在焦平面上的光斑直径6mm。
7．支架、镜座均为金属结构，整机有足够的稳度。
8．镜面可在任意方向止动，升降范围20mm.</t>
        </is>
      </c>
      <c r="D37" s="37" t="inlineStr">
        <is>
          <t>块</t>
        </is>
      </c>
      <c r="E37" s="37" t="n">
        <v>2</v>
      </c>
      <c r="F37" s="47" t="n">
        <v>10</v>
      </c>
      <c r="G37" s="37" t="n">
        <v>20</v>
      </c>
      <c r="H37" s="10">
        <f>_xlfn.DISPIMG("ID_FCE657F28CB548559FBB6B7E62FBEF56",1)</f>
        <v/>
      </c>
      <c r="I37" s="18" t="n"/>
      <c r="J37" s="40" t="n">
        <v>11</v>
      </c>
      <c r="K37" s="40" t="n">
        <v>22</v>
      </c>
      <c r="L37" s="40" t="inlineStr"/>
      <c r="M37" s="40" t="inlineStr"/>
      <c r="N37" s="40" t="inlineStr"/>
      <c r="O37" s="40" t="inlineStr"/>
    </row>
    <row r="38" ht="26.1" customFormat="1" customHeight="1" s="1">
      <c r="A38" s="10" t="n">
        <v>36</v>
      </c>
      <c r="B38" s="10" t="inlineStr">
        <is>
          <t>凸面镜</t>
        </is>
      </c>
      <c r="C38" s="26" t="inlineStr">
        <is>
          <t>1、基本配置为面镜、镜框、支架、镜座（各1个）组成；
2、凸面镜的直径为100±2mm；焦距为-65±10mm；
3、基片采用普通玻璃制成，在距基片中心三分之二半径范围内，不得有目测到的气泡、结石和条纹；
4、反射膜镀层应均匀，在距中心三分之二半径范围内不得有色斑、擦痕、印迹等疵病，并应有牢固的保护层；
5、镜框、支架、镜座均为金属结构，整机应有足够的稳度；
6、镜面可按需要在任意方向止动，升降范围不小于30mm。</t>
        </is>
      </c>
      <c r="D38" s="37" t="inlineStr">
        <is>
          <t>块</t>
        </is>
      </c>
      <c r="E38" s="37" t="n">
        <v>2</v>
      </c>
      <c r="F38" s="47" t="n">
        <v>10</v>
      </c>
      <c r="G38" s="37" t="n">
        <v>20</v>
      </c>
      <c r="H38" s="10">
        <f>_xlfn.DISPIMG("ID_4A319AC1E7EB482AB8001A4A4FE8B484",1)</f>
        <v/>
      </c>
      <c r="I38" s="39" t="n"/>
      <c r="J38" s="40" t="n">
        <v>11</v>
      </c>
      <c r="K38" s="40" t="n">
        <v>22</v>
      </c>
      <c r="L38" s="40" t="inlineStr"/>
      <c r="M38" s="40" t="inlineStr"/>
      <c r="N38" s="40" t="inlineStr"/>
      <c r="O38" s="40" t="inlineStr"/>
    </row>
    <row r="39" ht="26.1" customFormat="1" customHeight="1" s="1">
      <c r="A39" s="10" t="n">
        <v>37</v>
      </c>
      <c r="B39" s="10" t="inlineStr">
        <is>
          <t>平面镜成像实验器</t>
        </is>
      </c>
      <c r="C39" s="27" t="inlineStr">
        <is>
          <t>1.平面镜、漫反射镜、支架、蜡烛台座（物像台）、三角尺等组成。蓝色塑料盒包装
2.平面镜尺寸不小于110mm×80mm，四周经打磨处理，或镶边框。
3.60°直角三角尺有效刻度不小于100mm。
4.物像台高度不小于40mm。</t>
        </is>
      </c>
      <c r="D39" s="37" t="inlineStr">
        <is>
          <t>套</t>
        </is>
      </c>
      <c r="E39" s="37" t="n">
        <v>56</v>
      </c>
      <c r="F39" s="47" t="n">
        <v>14</v>
      </c>
      <c r="G39" s="37" t="n">
        <v>784</v>
      </c>
      <c r="H39" s="10">
        <f>_xlfn.DISPIMG("ID_1D1C63B2E7FB418EB633D8DD9144F50F",1)</f>
        <v/>
      </c>
      <c r="I39" s="39" t="n"/>
      <c r="J39" s="40" t="n">
        <v>15.4</v>
      </c>
      <c r="K39" s="40" t="n">
        <v>862.4</v>
      </c>
      <c r="L39" s="40" t="inlineStr"/>
      <c r="M39" s="40" t="inlineStr"/>
      <c r="N39" s="40" t="inlineStr"/>
      <c r="O39" s="40" t="inlineStr"/>
      <c r="P39" s="40" t="n">
        <v>14</v>
      </c>
      <c r="Q39" s="40" t="inlineStr"/>
    </row>
    <row r="40" ht="26.1" customFormat="1" customHeight="1" s="1">
      <c r="A40" s="10" t="n">
        <v>38</v>
      </c>
      <c r="B40" s="10" t="inlineStr">
        <is>
          <t>白光的色散与合成演示器</t>
        </is>
      </c>
      <c r="C40" s="28" t="inlineStr">
        <is>
          <t>1．由三棱镜2个（一对）、光源、光屏及底座等组成。
2．两块棱镜应配对，其折射率之差不大于0.003，中部色散之差不大于0.0004。
3．三棱镜的顶角为60±0.5°，有效边长不小于25mm，高度不小于25mm，非工作面磨砂。应有保护性倒角。 棱镜固定可靠，装卸方便。4.光屏的尺寸≥10*90*1mm.底座尺寸≥135*90*2mm.</t>
        </is>
      </c>
      <c r="D40" s="37" t="inlineStr">
        <is>
          <t>套</t>
        </is>
      </c>
      <c r="E40" s="37" t="n">
        <v>2</v>
      </c>
      <c r="F40" s="47" t="n">
        <v>35</v>
      </c>
      <c r="G40" s="37" t="n">
        <v>70</v>
      </c>
      <c r="H40" s="10">
        <f>_xlfn.DISPIMG("ID_05FE6D79844B46F189E911A5BCA64D15",1)</f>
        <v/>
      </c>
      <c r="I40" s="18" t="n"/>
      <c r="J40" s="40" t="n">
        <v>38.5</v>
      </c>
      <c r="K40" s="40" t="n">
        <v>77</v>
      </c>
      <c r="L40" s="40" t="inlineStr"/>
      <c r="M40" s="40" t="inlineStr"/>
      <c r="N40" s="40" t="inlineStr"/>
      <c r="O40" s="40" t="inlineStr"/>
    </row>
    <row r="41" ht="26.1" customFormat="1" customHeight="1" s="1">
      <c r="A41" s="10" t="n">
        <v>39</v>
      </c>
      <c r="B41" s="10" t="inlineStr">
        <is>
          <t>光具座</t>
        </is>
      </c>
      <c r="C41" s="29" t="inlineStr">
        <is>
          <t>1、导轨：采用φ16的无缝钢管镀铬；与基准平面的不平行度&lt;1mm。2、平行光源：光源用电压6-8V，功率不小于3W的灯泡。3、透镜：双凸透镜：F=100±2mm，φ=40mm；F=50±2mm，φ=30mm；F=300±12mm，φ=50mm；F=-75±4.5mm，φ=30mm；4、标尺：总长为≥960mm,宽为≥18mm；刻线长度≥900mm,最小刻度≥1mm,刻线间距误差≤0.1mm，尺全长刻线误差≤±0.5mm；5、滑块：四个滑块和支架的插杆孔中心，应在一条线上，指示刻线与标尺间隙不超过3mm，插杆应准直，表面镀铬。6、双轨。</t>
        </is>
      </c>
      <c r="D41" s="37" t="inlineStr">
        <is>
          <t>套</t>
        </is>
      </c>
      <c r="E41" s="37" t="n">
        <v>56</v>
      </c>
      <c r="F41" s="47" t="n">
        <v>58</v>
      </c>
      <c r="G41" s="37" t="n">
        <v>3248</v>
      </c>
      <c r="H41" s="10">
        <f>_xlfn.DISPIMG("ID_D268CE11BA9446E48011A0C890EDB037",1)</f>
        <v/>
      </c>
      <c r="I41" s="18" t="n"/>
      <c r="J41" s="40" t="n">
        <v>63.8</v>
      </c>
      <c r="K41" s="40" t="n">
        <v>3572.8</v>
      </c>
      <c r="L41" s="40" t="inlineStr"/>
      <c r="M41" s="40" t="inlineStr"/>
      <c r="N41" s="40" t="inlineStr"/>
      <c r="O41" s="40" t="inlineStr"/>
    </row>
    <row r="42" ht="26.1" customFormat="1" customHeight="1" s="1">
      <c r="A42" s="10" t="n">
        <v>40</v>
      </c>
      <c r="B42" s="10" t="inlineStr">
        <is>
          <t>光具组</t>
        </is>
      </c>
      <c r="C42" s="29" t="inlineStr">
        <is>
          <t>1、为轨道式。
2、主要由导轨、平行光源、透镜、标尺、滑块组成；
3、导轨：采用≥50mm的铝合金单轨，有效刻度≥45mm.
4、平行光源：光源用电压6V，功率3W的灯泡；
5、透镜：双凸透镜：F=100mm，φ=40mm；F=50mm，φ=30mm；F=300mm，φ=50mm；F=-75mm，φ=30mm；</t>
        </is>
      </c>
      <c r="D42" s="37" t="inlineStr">
        <is>
          <t>套</t>
        </is>
      </c>
      <c r="E42" s="37" t="n">
        <v>2</v>
      </c>
      <c r="F42" s="47" t="n">
        <v>28</v>
      </c>
      <c r="G42" s="37" t="n">
        <v>56</v>
      </c>
      <c r="H42" s="10">
        <f>_xlfn.DISPIMG("ID_34FFE86DE94140169C92970CCF63EA5F",1)</f>
        <v/>
      </c>
      <c r="I42" s="18" t="n"/>
      <c r="J42" s="40" t="n">
        <v>30.8</v>
      </c>
      <c r="K42" s="40" t="n">
        <v>61.6</v>
      </c>
      <c r="L42" s="40" t="inlineStr"/>
      <c r="M42" s="40" t="inlineStr"/>
      <c r="N42" s="40" t="inlineStr"/>
      <c r="O42" s="40" t="inlineStr"/>
    </row>
    <row r="43" ht="26.1" customFormat="1" customHeight="1" s="1">
      <c r="A43" s="10" t="n">
        <v>41</v>
      </c>
      <c r="B43" s="10" t="inlineStr">
        <is>
          <t>玻棒(附丝绸)</t>
        </is>
      </c>
      <c r="C43" s="10" t="inlineStr">
        <is>
          <t>或有机玻棒(附丝绸)，丝绸面积≥350mm×350mm。在规定工作条件下，用丝绸裹住玻棒（或有机玻棒），做一次快速拉出，棒上所带的电荷用D－YDQ－Z－100型指针验电器检验张角≥30°</t>
        </is>
      </c>
      <c r="D43" s="37" t="inlineStr">
        <is>
          <t>对</t>
        </is>
      </c>
      <c r="E43" s="37" t="n">
        <v>28</v>
      </c>
      <c r="F43" s="37" t="n">
        <v>6.5</v>
      </c>
      <c r="G43" s="37" t="n">
        <v>182</v>
      </c>
      <c r="H43" s="10">
        <f>_xlfn.DISPIMG("ID_3678C06213784AD8958BB126F49163BA",1)</f>
        <v/>
      </c>
      <c r="I43" s="18" t="n"/>
      <c r="J43" s="40" t="n">
        <v>7.15</v>
      </c>
      <c r="K43" s="40" t="n">
        <v>200.2</v>
      </c>
      <c r="L43" s="40" t="inlineStr"/>
      <c r="M43" s="40" t="inlineStr"/>
      <c r="N43" s="40" t="inlineStr"/>
      <c r="O43" s="40" t="inlineStr"/>
    </row>
    <row r="44" ht="26.1" customFormat="1" customHeight="1" s="1">
      <c r="A44" s="10" t="n">
        <v>42</v>
      </c>
      <c r="B44" s="10" t="inlineStr">
        <is>
          <t>胶棒(附毛皮)</t>
        </is>
      </c>
      <c r="C44" s="10" t="inlineStr">
        <is>
          <t>由两根胶棒及一块毛皮组成。胶棒材质为聚碳酸脂，胶棒尺寸≥φ12.5×300mm，胶棒的一端成圆弧形，圆弧尺寸约为SR4mm；毛皮为经过鞣制的动物毛皮，尺寸不小于150×150mm。</t>
        </is>
      </c>
      <c r="D44" s="37" t="inlineStr">
        <is>
          <t>对</t>
        </is>
      </c>
      <c r="E44" s="37" t="n">
        <v>28</v>
      </c>
      <c r="F44" s="37" t="n">
        <v>6.5</v>
      </c>
      <c r="G44" s="37" t="n">
        <v>182</v>
      </c>
      <c r="H44" s="10">
        <f>_xlfn.DISPIMG("ID_748914FAD9C74E98858945739C82FAFB",1)</f>
        <v/>
      </c>
      <c r="I44" s="18" t="n"/>
      <c r="J44" s="40" t="n">
        <v>7.15</v>
      </c>
      <c r="K44" s="40" t="n">
        <v>200.2</v>
      </c>
      <c r="L44" s="40" t="inlineStr"/>
      <c r="M44" s="40" t="inlineStr"/>
      <c r="N44" s="40" t="inlineStr"/>
      <c r="O44" s="40" t="inlineStr"/>
    </row>
    <row r="45" ht="26.1" customFormat="1" customHeight="1" s="1">
      <c r="A45" s="10" t="n">
        <v>43</v>
      </c>
      <c r="B45" s="10" t="inlineStr">
        <is>
          <t>条形磁铁</t>
        </is>
      </c>
      <c r="C45" s="10" t="inlineStr">
        <is>
          <t>D-CG-LT-180，表面磁感应强度≥0.07T</t>
        </is>
      </c>
      <c r="D45" s="37" t="inlineStr">
        <is>
          <t>对</t>
        </is>
      </c>
      <c r="E45" s="37" t="n">
        <v>28</v>
      </c>
      <c r="F45" s="37" t="n">
        <v>16</v>
      </c>
      <c r="G45" s="37" t="n">
        <v>448</v>
      </c>
      <c r="H45" s="10" t="n"/>
      <c r="I45" s="48" t="n"/>
      <c r="J45" s="40" t="n">
        <v>17.6</v>
      </c>
      <c r="K45" s="40" t="n">
        <v>492.8</v>
      </c>
      <c r="L45" s="40" t="inlineStr"/>
      <c r="M45" s="40" t="inlineStr"/>
      <c r="N45" s="40" t="inlineStr"/>
      <c r="O45" s="40" t="inlineStr"/>
      <c r="P45" s="40" t="n">
        <v>14</v>
      </c>
      <c r="Q45" s="40" t="inlineStr"/>
    </row>
    <row r="46" ht="26.1" customFormat="1" customHeight="1" s="1">
      <c r="A46" s="10" t="n">
        <v>44</v>
      </c>
      <c r="B46" s="10" t="inlineStr">
        <is>
          <t>蹄形磁铁</t>
        </is>
      </c>
      <c r="C46" s="10" t="inlineStr">
        <is>
          <t>D-CG-LU-100，表面磁感应强度≥0.055T</t>
        </is>
      </c>
      <c r="D46" s="37" t="inlineStr">
        <is>
          <t>个</t>
        </is>
      </c>
      <c r="E46" s="37" t="n">
        <v>28</v>
      </c>
      <c r="F46" s="37" t="n">
        <v>14</v>
      </c>
      <c r="G46" s="37" t="n">
        <v>392</v>
      </c>
      <c r="H46" s="18" t="n"/>
      <c r="I46" s="48" t="n"/>
      <c r="J46" s="40" t="n">
        <v>15.4</v>
      </c>
      <c r="K46" s="40" t="n">
        <v>431.2</v>
      </c>
      <c r="L46" s="40" t="inlineStr"/>
      <c r="M46" s="40" t="inlineStr"/>
      <c r="N46" s="40" t="inlineStr"/>
      <c r="O46" s="40" t="inlineStr"/>
      <c r="P46" s="40" t="n">
        <v>16</v>
      </c>
      <c r="Q46" s="40" t="inlineStr"/>
    </row>
    <row r="47" ht="26.1" customFormat="1" customHeight="1" s="1">
      <c r="A47" s="10" t="n">
        <v>45</v>
      </c>
      <c r="B47" s="10" t="inlineStr">
        <is>
          <t>磁感线演示器</t>
        </is>
      </c>
      <c r="C47" s="10" t="inlineStr">
        <is>
          <t>磁感线演示器由注油铁粉密封机玻璃盒组成，表面光洁无划痕，外形尺寸≥200×123×11mm，实验时可通过轻敲盒子，让铁粉在跳动中自由排列。使铁粉可在盒内油中自由移动</t>
        </is>
      </c>
      <c r="D47" s="37" t="inlineStr">
        <is>
          <t>套</t>
        </is>
      </c>
      <c r="E47" s="37" t="n">
        <v>2</v>
      </c>
      <c r="F47" s="37" t="n">
        <v>32</v>
      </c>
      <c r="G47" s="37" t="n">
        <v>64</v>
      </c>
      <c r="H47" s="23">
        <f>_xlfn.DISPIMG("ID_3B71C1A9147B44F985D7A55181573695",1)</f>
        <v/>
      </c>
      <c r="I47" s="39" t="n"/>
      <c r="J47" s="40" t="n">
        <v>35.2</v>
      </c>
      <c r="K47" s="40" t="n">
        <v>70.40000000000001</v>
      </c>
      <c r="L47" s="40" t="inlineStr"/>
      <c r="M47" s="40" t="inlineStr"/>
      <c r="N47" s="40" t="inlineStr"/>
      <c r="O47" s="40" t="inlineStr"/>
    </row>
    <row r="48" ht="26.1" customFormat="1" customHeight="1" s="1">
      <c r="A48" s="10" t="n">
        <v>46</v>
      </c>
      <c r="B48" s="10" t="inlineStr">
        <is>
          <t>立体磁感线演示器</t>
        </is>
      </c>
      <c r="C48" s="10" t="inlineStr">
        <is>
          <t>由永磁体、磁力线演示器组成。永磁体磁力线的空间分布面为6面，各面绕永磁体均匀分布。永磁体有柱形、蹄形两种，磁感应强度不小于100mT，永磁体上有极性标识，北极（N）极涂红色，南极（S）涂蓝色。磁力线演示器主要由衬板、磁分子、连接板构成。衬板用透明塑料制成，板面尺寸：长≥200mm，宽≥80mm，厚度不小于2.5mm。衬板中部设有嵌放永磁体的槽；磁分子采用软磁材料制作，厚度不小于0.3mm，长≥12mm，宽≥4mm。</t>
        </is>
      </c>
      <c r="D48" s="37" t="inlineStr">
        <is>
          <t>套</t>
        </is>
      </c>
      <c r="E48" s="37" t="n">
        <v>2</v>
      </c>
      <c r="F48" s="37" t="n">
        <v>32</v>
      </c>
      <c r="G48" s="37" t="n">
        <v>64</v>
      </c>
      <c r="H48" s="10">
        <f>_xlfn.DISPIMG("ID_532E731BB2894051B32558BD6C57E08D",1)</f>
        <v/>
      </c>
      <c r="I48" s="10" t="n"/>
      <c r="J48" s="40" t="n">
        <v>35.2</v>
      </c>
      <c r="K48" s="40" t="n">
        <v>70.40000000000001</v>
      </c>
      <c r="L48" s="40" t="inlineStr"/>
      <c r="M48" s="40" t="inlineStr"/>
      <c r="N48" s="40" t="inlineStr"/>
      <c r="O48" s="40" t="inlineStr"/>
    </row>
    <row r="49" ht="26.1" customFormat="1" customHeight="1" s="1">
      <c r="A49" s="10" t="n">
        <v>47</v>
      </c>
      <c r="B49" s="10" t="inlineStr">
        <is>
          <t>磁感线演示板</t>
        </is>
      </c>
      <c r="C49" s="10" t="inlineStr">
        <is>
          <t>每块板上有130以上个空穴，内含自由活动小铁棒</t>
        </is>
      </c>
      <c r="D49" s="37" t="inlineStr">
        <is>
          <t>套</t>
        </is>
      </c>
      <c r="E49" s="37" t="n">
        <v>1</v>
      </c>
      <c r="F49" s="37" t="n">
        <v>38</v>
      </c>
      <c r="G49" s="37" t="n">
        <v>38</v>
      </c>
      <c r="H49" s="10">
        <f>_xlfn.DISPIMG("ID_82778F222580448CB8B5C24CF76C78E9",1)</f>
        <v/>
      </c>
      <c r="I49" s="43" t="n"/>
      <c r="J49" s="40" t="n">
        <v>41.8</v>
      </c>
      <c r="K49" s="40" t="n">
        <v>41.8</v>
      </c>
      <c r="L49" s="40" t="inlineStr"/>
      <c r="M49" s="40" t="inlineStr"/>
      <c r="N49" s="40" t="inlineStr"/>
      <c r="O49" s="40" t="inlineStr"/>
    </row>
    <row r="50" ht="26.1" customFormat="1" customHeight="1" s="1">
      <c r="A50" s="10" t="n">
        <v>48</v>
      </c>
      <c r="B50" s="10" t="inlineStr">
        <is>
          <t>演示电磁继电器</t>
        </is>
      </c>
      <c r="C50" s="10" t="inlineStr">
        <is>
          <t>立式，由电磁系统和触点系统两部分组成。电磁系统包括：电磁线圈、铁芯、轭铁、衔铁；触点系统包括：常开、常闭触点各一对。外形尺寸≥200×90×230mm。</t>
        </is>
      </c>
      <c r="D50" s="37" t="inlineStr">
        <is>
          <t>个</t>
        </is>
      </c>
      <c r="E50" s="37" t="n">
        <v>2</v>
      </c>
      <c r="F50" s="37" t="n">
        <v>40</v>
      </c>
      <c r="G50" s="37" t="n">
        <v>80</v>
      </c>
      <c r="H50" s="10">
        <f>_xlfn.DISPIMG("ID_7C5EDEA4F5D24E2BBFBE7C65C7AAC03D",1)</f>
        <v/>
      </c>
      <c r="I50" s="39" t="n"/>
      <c r="J50" s="40" t="n">
        <v>44</v>
      </c>
      <c r="K50" s="40" t="n">
        <v>88</v>
      </c>
      <c r="L50" s="40" t="inlineStr"/>
      <c r="M50" s="40" t="inlineStr"/>
      <c r="N50" s="40" t="inlineStr"/>
      <c r="O50" s="40" t="inlineStr"/>
    </row>
    <row r="51" ht="26.1" customFormat="1" customHeight="1" s="1">
      <c r="A51" s="10" t="n">
        <v>49</v>
      </c>
      <c r="B51" s="10" t="inlineStr">
        <is>
          <t>手摇交直流发电机</t>
        </is>
      </c>
      <c r="C51" s="18" t="inlineStr">
        <is>
          <t>6-12V，在一个木质底板上装有塑料手轮，线圈定子，磁铁架，电刷、整流器等可视部件。可演示交流及直流电的发电原理。</t>
        </is>
      </c>
      <c r="D51" s="37" t="inlineStr">
        <is>
          <t>台</t>
        </is>
      </c>
      <c r="E51" s="37" t="n">
        <v>2</v>
      </c>
      <c r="F51" s="37" t="n">
        <v>90</v>
      </c>
      <c r="G51" s="37" t="n">
        <v>180</v>
      </c>
      <c r="H51" s="18">
        <f>_xlfn.DISPIMG("ID_34DE81E0C3D544B08A8E6A71577ABDDF",1)</f>
        <v/>
      </c>
      <c r="I51" s="18" t="n"/>
      <c r="J51" s="40" t="n">
        <v>99</v>
      </c>
      <c r="K51" s="40" t="n">
        <v>198</v>
      </c>
      <c r="L51" s="40" t="inlineStr"/>
      <c r="M51" s="40" t="inlineStr"/>
      <c r="N51" s="40" t="inlineStr"/>
      <c r="O51" s="40" t="inlineStr"/>
    </row>
    <row r="52" ht="26.1" customFormat="1" customHeight="1" s="1">
      <c r="A52" s="10" t="n">
        <v>50</v>
      </c>
      <c r="B52" s="10" t="inlineStr">
        <is>
          <t>滚摆</t>
        </is>
      </c>
      <c r="C52" s="22" t="inlineStr">
        <is>
          <t>滚摆总高≥430mm，横梁宽≥270mm；滚轮直径≥125mm，重量达到620-630g，两边贴有色块贴；滚轮轴杆直径≥8mm，长≥180mm。</t>
        </is>
      </c>
      <c r="D52" s="37" t="inlineStr">
        <is>
          <t>个</t>
        </is>
      </c>
      <c r="E52" s="37" t="n">
        <v>2</v>
      </c>
      <c r="F52" s="37" t="n">
        <v>45</v>
      </c>
      <c r="G52" s="37" t="n">
        <v>90</v>
      </c>
      <c r="H52" s="18">
        <f>_xlfn.DISPIMG("ID_F8DA6E02E489424FACB96174B8356451",1)</f>
        <v/>
      </c>
      <c r="I52" s="18" t="n"/>
      <c r="J52" s="40" t="n">
        <v>49.5</v>
      </c>
      <c r="K52" s="40" t="n">
        <v>99</v>
      </c>
      <c r="L52" s="40" t="inlineStr"/>
      <c r="M52" s="40" t="inlineStr"/>
      <c r="N52" s="40" t="inlineStr"/>
      <c r="O52" s="40" t="inlineStr"/>
    </row>
    <row r="53" ht="26.1" customFormat="1" customHeight="1" s="1">
      <c r="A53" s="10" t="n">
        <v>51</v>
      </c>
      <c r="B53" s="10" t="inlineStr">
        <is>
          <t>汽油机模型</t>
        </is>
      </c>
      <c r="C53" s="10" t="inlineStr">
        <is>
          <t>主要配置及特征参数：
四冲程单缸汽油机剖面模型，由进气管、进气阀、排气管、排气阀、气缸、活塞、连杆、曲轴、火花塞、齿轮凸轮总成、飞轮、挺杆等组成，可手动转动。
能够完成的教学演示：
四冲程单缸汽油机的基本工作原理；常见单缸汽油机的主要构造。</t>
        </is>
      </c>
      <c r="D53" s="37" t="inlineStr">
        <is>
          <t>个</t>
        </is>
      </c>
      <c r="E53" s="37" t="n">
        <v>1</v>
      </c>
      <c r="F53" s="37" t="n">
        <v>48</v>
      </c>
      <c r="G53" s="37" t="n">
        <v>48</v>
      </c>
      <c r="H53" s="10">
        <f>_xlfn.DISPIMG("ID_89C86390D4A547C7BBBBDD7E4CDF9978",1)</f>
        <v/>
      </c>
      <c r="I53" s="18" t="n"/>
      <c r="J53" s="40" t="n">
        <v>52.8</v>
      </c>
      <c r="K53" s="40" t="n">
        <v>52.8</v>
      </c>
      <c r="L53" s="40" t="inlineStr"/>
      <c r="M53" s="40" t="inlineStr"/>
      <c r="N53" s="40" t="inlineStr"/>
      <c r="O53" s="40" t="inlineStr"/>
      <c r="P53" s="40" t="n">
        <v>48</v>
      </c>
      <c r="Q53" s="40" t="inlineStr"/>
    </row>
    <row r="54" ht="26.1" customFormat="1" customHeight="1" s="1">
      <c r="A54" s="10" t="n">
        <v>52</v>
      </c>
      <c r="B54" s="10" t="inlineStr">
        <is>
          <t>柴油机模型</t>
        </is>
      </c>
      <c r="C54" s="10" t="inlineStr">
        <is>
          <t>主要配置及特征参数：
四冲程单缸柴油机剖面模型。由进气管、进气阀、排气管、排气阀、气缸、活塞、连杆、曲轴、喷油嘴、齿轮凸轮总成、飞轮、挺杆组成。可手动转动。
能够完成的教学演示：
演示四冲程单缸柴油机的基本工作原理和常见单缸柴油机的主要构造。</t>
        </is>
      </c>
      <c r="D54" s="37" t="inlineStr">
        <is>
          <t>个</t>
        </is>
      </c>
      <c r="E54" s="37" t="n">
        <v>1</v>
      </c>
      <c r="F54" s="37" t="n">
        <v>48</v>
      </c>
      <c r="G54" s="37" t="n">
        <v>48</v>
      </c>
      <c r="H54" s="10">
        <f>_xlfn.DISPIMG("ID_FC69EF05FD7547ECB2F4CF2ED3FFC208",1)</f>
        <v/>
      </c>
      <c r="I54" s="18" t="n"/>
      <c r="J54" s="40" t="n">
        <v>52.8</v>
      </c>
      <c r="K54" s="40" t="n">
        <v>52.8</v>
      </c>
      <c r="L54" s="40" t="inlineStr"/>
      <c r="M54" s="40" t="inlineStr"/>
      <c r="N54" s="40" t="inlineStr"/>
      <c r="O54" s="40" t="inlineStr"/>
      <c r="P54" s="40" t="n">
        <v>48</v>
      </c>
      <c r="Q54" s="40" t="inlineStr"/>
    </row>
    <row r="55" ht="26.1" customFormat="1" customHeight="1" s="1">
      <c r="A55" s="10" t="n">
        <v>53</v>
      </c>
      <c r="B55" s="10" t="inlineStr">
        <is>
          <t>直流电压表</t>
        </is>
      </c>
      <c r="C55" s="31" t="inlineStr">
        <is>
          <t>机械指针式，外磁系，准确度为2.5级，量程为：-1V-0-3V — -5V-0-15V；三旋钮式接线柱，座式，具零点调节器。Φ4mm铜芯香蕉插、可穿及接线三种功能。及0.4mm厚铝材刻度标牌!每只表都贴有防划保护膜。</t>
        </is>
      </c>
      <c r="D55" s="37" t="inlineStr">
        <is>
          <t>只</t>
        </is>
      </c>
      <c r="E55" s="37" t="n">
        <v>56</v>
      </c>
      <c r="F55" s="37" t="n">
        <v>17</v>
      </c>
      <c r="G55" s="37" t="n">
        <v>952</v>
      </c>
      <c r="H55" s="10" t="n"/>
      <c r="I55" s="18" t="n"/>
      <c r="J55" s="40" t="n">
        <v>18.7</v>
      </c>
      <c r="K55" s="40" t="n">
        <v>1047.2</v>
      </c>
      <c r="L55" s="40" t="inlineStr"/>
      <c r="M55" s="40" t="inlineStr"/>
      <c r="N55" s="40" t="inlineStr"/>
      <c r="O55" s="40" t="inlineStr"/>
    </row>
    <row r="56" ht="26.1" customFormat="1" customHeight="1" s="1">
      <c r="A56" s="10" t="n">
        <v>54</v>
      </c>
      <c r="B56" s="10" t="inlineStr">
        <is>
          <t>教学用 E10 螺口灯座</t>
        </is>
      </c>
      <c r="C56" s="22" t="inlineStr">
        <is>
          <t>螺旋式灯座，可与E10小电珠配用，带普通接线柱</t>
        </is>
      </c>
      <c r="D56" s="37" t="inlineStr">
        <is>
          <t>个</t>
        </is>
      </c>
      <c r="E56" s="37" t="n">
        <v>56</v>
      </c>
      <c r="F56" s="37" t="n">
        <v>1.5</v>
      </c>
      <c r="G56" s="37" t="n">
        <v>84</v>
      </c>
      <c r="H56" s="18">
        <f>_xlfn.DISPIMG("ID_12CFCAF3E5674053B849765A152AECF0",1)</f>
        <v/>
      </c>
      <c r="I56" s="18" t="n"/>
      <c r="J56" s="40" t="n">
        <v>1.65</v>
      </c>
      <c r="K56" s="40" t="n">
        <v>92.40000000000001</v>
      </c>
      <c r="L56" s="40" t="inlineStr"/>
      <c r="M56" s="40" t="inlineStr"/>
      <c r="N56" s="40" t="inlineStr"/>
      <c r="O56" s="40" t="inlineStr"/>
    </row>
    <row r="57" ht="26.1" customFormat="1" customHeight="1" s="1">
      <c r="A57" s="10" t="n">
        <v>55</v>
      </c>
      <c r="B57" s="10" t="inlineStr">
        <is>
          <t>电珠(小灯泡)</t>
        </is>
      </c>
      <c r="C57" s="10" t="inlineStr">
        <is>
          <t>1.5V、0.3A，钠钙玻璃</t>
        </is>
      </c>
      <c r="D57" s="37" t="inlineStr">
        <is>
          <t>个</t>
        </is>
      </c>
      <c r="E57" s="37" t="n">
        <v>100</v>
      </c>
      <c r="F57" s="37" t="n">
        <v>0.5</v>
      </c>
      <c r="G57" s="37" t="n">
        <v>50</v>
      </c>
      <c r="H57" s="10">
        <f>_xlfn.DISPIMG("ID_8B03B14080A24E9B8DEAA04021B1C266",1)</f>
        <v/>
      </c>
      <c r="I57" s="18" t="n"/>
      <c r="J57" s="40" t="n">
        <v>0.55</v>
      </c>
      <c r="K57" s="40" t="n">
        <v>55</v>
      </c>
      <c r="L57" s="40" t="inlineStr"/>
      <c r="M57" s="40" t="inlineStr"/>
      <c r="N57" s="40" t="inlineStr"/>
      <c r="O57" s="40" t="inlineStr"/>
      <c r="P57" s="40" t="n">
        <v>0.5</v>
      </c>
      <c r="Q57" s="40" t="inlineStr"/>
      <c r="R57" s="40" t="n">
        <v>0.5</v>
      </c>
      <c r="S57" s="40" t="inlineStr"/>
    </row>
    <row r="58" ht="26.1" customFormat="1" customHeight="1" s="1">
      <c r="A58" s="10" t="n">
        <v>56</v>
      </c>
      <c r="B58" s="10" t="inlineStr">
        <is>
          <t>电珠(小灯泡)</t>
        </is>
      </c>
      <c r="C58" s="10" t="inlineStr">
        <is>
          <t>2.5V、0.3A，钠钙玻璃</t>
        </is>
      </c>
      <c r="D58" s="37" t="inlineStr">
        <is>
          <t>个</t>
        </is>
      </c>
      <c r="E58" s="37" t="n">
        <v>100</v>
      </c>
      <c r="F58" s="37" t="n">
        <v>0.5</v>
      </c>
      <c r="G58" s="37" t="n">
        <v>50</v>
      </c>
      <c r="H58" s="10">
        <f>_xlfn.DISPIMG("ID_50F8CDEBF10D4F72A667B15525C4BB6B",1)</f>
        <v/>
      </c>
      <c r="I58" s="18" t="n"/>
      <c r="J58" s="40" t="n">
        <v>0.55</v>
      </c>
      <c r="K58" s="40" t="n">
        <v>55</v>
      </c>
      <c r="L58" s="40" t="inlineStr"/>
      <c r="M58" s="40" t="inlineStr"/>
      <c r="N58" s="40" t="inlineStr"/>
      <c r="O58" s="40" t="inlineStr"/>
      <c r="P58" s="40" t="n">
        <v>0.5</v>
      </c>
      <c r="Q58" s="40" t="inlineStr"/>
      <c r="R58" s="40" t="n">
        <v>0.5</v>
      </c>
      <c r="S58" s="40" t="inlineStr"/>
    </row>
    <row r="59" ht="26.1" customFormat="1" customHeight="1" s="1">
      <c r="A59" s="10" t="n">
        <v>57</v>
      </c>
      <c r="B59" s="10" t="inlineStr">
        <is>
          <t>单刀开关（黄铜镀镍）</t>
        </is>
      </c>
      <c r="C59" s="22" t="inlineStr">
        <is>
          <t>单刀单掷开关，
尺寸≥7.5*3.5*3cm，两个4mm接线柱，底座手柄：阻然塑料，最高工作电压 36 V，额定工作电流 6 A。开关的的金属件：黄铜镀镍，有效行程≥4 mm。通额定电流，导电部分允许温升≤35 ℃，操作手柄允许温升≤25 ℃。开关的绝缘强度应能承受 1200 V。在额定直流电流工作条件下，接线两端直流电压降≤100 mV</t>
        </is>
      </c>
      <c r="D59" s="37" t="inlineStr">
        <is>
          <t>个</t>
        </is>
      </c>
      <c r="E59" s="37" t="n">
        <v>100</v>
      </c>
      <c r="F59" s="37" t="n">
        <v>2.5</v>
      </c>
      <c r="G59" s="37" t="n">
        <v>250</v>
      </c>
      <c r="H59" s="18">
        <f>_xlfn.DISPIMG("ID_9A657D187CB447A1B1EAACB1F79BF60C",1)</f>
        <v/>
      </c>
      <c r="I59" s="18" t="n"/>
      <c r="J59" s="40" t="n">
        <v>2.75</v>
      </c>
      <c r="K59" s="40" t="n">
        <v>275</v>
      </c>
      <c r="L59" s="40" t="inlineStr"/>
      <c r="M59" s="40" t="inlineStr"/>
      <c r="N59" s="40" t="inlineStr"/>
      <c r="O59" s="40" t="inlineStr"/>
    </row>
    <row r="60" ht="26.1" customFormat="1" customHeight="1" s="1">
      <c r="A60" s="10" t="n">
        <v>58</v>
      </c>
      <c r="B60" s="10" t="inlineStr">
        <is>
          <t>滑动变阻器</t>
        </is>
      </c>
      <c r="C60" s="10" t="inlineStr">
        <is>
          <t>20Ω，2A</t>
        </is>
      </c>
      <c r="D60" s="37" t="inlineStr">
        <is>
          <t>个</t>
        </is>
      </c>
      <c r="E60" s="37" t="n">
        <v>112</v>
      </c>
      <c r="F60" s="37" t="n">
        <v>15</v>
      </c>
      <c r="G60" s="37" t="n">
        <v>1680</v>
      </c>
      <c r="H60" s="10">
        <f>_xlfn.DISPIMG("ID_8C328994BBF64DA7AD8A9C95A1664E76",1)</f>
        <v/>
      </c>
      <c r="I60" s="43" t="n"/>
      <c r="J60" s="40" t="n">
        <v>16.5</v>
      </c>
      <c r="K60" s="40" t="n">
        <v>1848</v>
      </c>
      <c r="L60" s="40" t="inlineStr"/>
      <c r="M60" s="40" t="inlineStr"/>
      <c r="N60" s="40" t="inlineStr"/>
      <c r="O60" s="40" t="inlineStr"/>
      <c r="P60" s="40" t="n">
        <v>20</v>
      </c>
      <c r="Q60" s="40" t="inlineStr"/>
      <c r="R60" s="40" t="n">
        <v>14</v>
      </c>
      <c r="S60" s="40" t="inlineStr"/>
    </row>
    <row r="61" ht="26.1" customFormat="1" customHeight="1" s="1">
      <c r="A61" s="10" t="n">
        <v>59</v>
      </c>
      <c r="B61" s="10" t="inlineStr">
        <is>
          <t>电阻圈</t>
        </is>
      </c>
      <c r="C61" s="10" t="inlineStr">
        <is>
          <t>由康铜线、胶木座、接线柱组成。胶木座上注有相应的额定电阻和额定电流值，分别为5Ω1.5A、10Ω1A和15Ω0.5A。长100mm，宽30mm，高33mm，偏差为±2mm。</t>
        </is>
      </c>
      <c r="D61" s="37" t="inlineStr">
        <is>
          <t>组</t>
        </is>
      </c>
      <c r="E61" s="37" t="n">
        <v>60</v>
      </c>
      <c r="F61" s="37" t="n">
        <v>9</v>
      </c>
      <c r="G61" s="37" t="n">
        <v>540</v>
      </c>
      <c r="H61" s="10">
        <f>_xlfn.DISPIMG("ID_4CFFCE1B777E4111AC9EDCB8868D13E2",1)</f>
        <v/>
      </c>
      <c r="I61" s="18" t="n"/>
      <c r="J61" s="40" t="n">
        <v>9.9</v>
      </c>
      <c r="K61" s="40" t="n">
        <v>594</v>
      </c>
      <c r="L61" s="40" t="inlineStr"/>
      <c r="M61" s="40" t="inlineStr"/>
      <c r="N61" s="40" t="inlineStr"/>
      <c r="O61" s="40" t="inlineStr"/>
    </row>
    <row r="62" ht="26.1" customFormat="1" customHeight="1" s="1">
      <c r="A62" s="10" t="n">
        <v>60</v>
      </c>
      <c r="B62" s="10" t="inlineStr">
        <is>
          <t>电阻定律演示器</t>
        </is>
      </c>
      <c r="C62" s="10" t="inlineStr">
        <is>
          <t>由镍铬线（2根）、铜丝（1根）、铁丝（1根）、接线柱及金属底板（1块）组成。
镍铬线直径0.5mm±0.04mm,长520mm；
铜丝直径0.5mm±0.04mm,长520mm；
铁丝直径0.5mm±0.04mm,长520mm
金属底板尺寸≥565mm×180mm×18mm</t>
        </is>
      </c>
      <c r="D62" s="37" t="inlineStr">
        <is>
          <t>台</t>
        </is>
      </c>
      <c r="E62" s="37" t="n">
        <v>2</v>
      </c>
      <c r="F62" s="37" t="n">
        <v>45</v>
      </c>
      <c r="G62" s="37" t="n">
        <v>90</v>
      </c>
      <c r="H62" s="10">
        <f>_xlfn.DISPIMG("ID_2A95E36A8630444F80549A9622F103AF",1)</f>
        <v/>
      </c>
      <c r="I62" s="10" t="n"/>
      <c r="J62" s="40" t="n">
        <v>49.5</v>
      </c>
      <c r="K62" s="40" t="n">
        <v>99</v>
      </c>
      <c r="L62" s="40" t="inlineStr"/>
      <c r="M62" s="40" t="inlineStr"/>
      <c r="N62" s="40" t="inlineStr"/>
      <c r="O62" s="40" t="inlineStr"/>
    </row>
    <row r="63" ht="26.1" customFormat="1" customHeight="1" s="1">
      <c r="A63" s="10" t="n">
        <v>61</v>
      </c>
      <c r="B63" s="10" t="inlineStr">
        <is>
          <t>插头导线（全铜焊锡）</t>
        </is>
      </c>
      <c r="C63" s="10" t="inlineStr">
        <is>
          <t>长度分别为200mm、300mm、400mm；单芯4mm纯铜插头，纯铜导线；红黑两色</t>
        </is>
      </c>
      <c r="D63" s="37" t="inlineStr">
        <is>
          <t>套</t>
        </is>
      </c>
      <c r="E63" s="37" t="n">
        <v>50</v>
      </c>
      <c r="F63" s="37" t="n">
        <v>11</v>
      </c>
      <c r="G63" s="37" t="n">
        <v>550</v>
      </c>
      <c r="H63" s="23">
        <f>_xlfn.DISPIMG("ID_47628582D1C546B0A2A7657B2EF0D391",1)</f>
        <v/>
      </c>
      <c r="I63" s="18" t="n"/>
      <c r="J63" s="40" t="n">
        <v>12.1</v>
      </c>
      <c r="K63" s="40" t="n">
        <v>605</v>
      </c>
      <c r="L63" s="40" t="inlineStr"/>
      <c r="M63" s="40" t="inlineStr"/>
      <c r="N63" s="40" t="inlineStr"/>
      <c r="O63" s="40" t="inlineStr"/>
    </row>
    <row r="64" ht="26.1" customFormat="1" customHeight="1" s="1">
      <c r="A64" s="10" t="n">
        <v>62</v>
      </c>
      <c r="B64" s="10" t="inlineStr">
        <is>
          <t>接线夹导线（全铜焊锡6根）</t>
        </is>
      </c>
      <c r="C64" s="10" t="inlineStr">
        <is>
          <t>长度分别为200mm、300mm、400mm；单芯纯铜接线夹，纯铜导线；红黑两色</t>
        </is>
      </c>
      <c r="D64" s="37" t="inlineStr">
        <is>
          <t>套</t>
        </is>
      </c>
      <c r="E64" s="37" t="n">
        <v>100</v>
      </c>
      <c r="F64" s="37" t="n">
        <v>11</v>
      </c>
      <c r="G64" s="37" t="n">
        <v>1100</v>
      </c>
      <c r="H64" s="23">
        <f>_xlfn.DISPIMG("ID_B3FAB27B883A48119FADA9763594DDC1",1)</f>
        <v/>
      </c>
      <c r="I64" s="18" t="n"/>
      <c r="J64" s="40" t="n">
        <v>12.1</v>
      </c>
      <c r="K64" s="40" t="n">
        <v>1210</v>
      </c>
      <c r="L64" s="40" t="inlineStr"/>
      <c r="M64" s="40" t="inlineStr"/>
      <c r="N64" s="40" t="inlineStr"/>
      <c r="O64" s="40" t="inlineStr"/>
    </row>
    <row r="65" ht="26.1" customFormat="1" customHeight="1" s="1">
      <c r="A65" s="10" t="n">
        <v>63</v>
      </c>
      <c r="B65" s="10" t="inlineStr">
        <is>
          <t>家庭电路示教板</t>
        </is>
      </c>
      <c r="C65" s="10" t="inlineStr">
        <is>
          <t>配电部分：三线 10 A 插头与电网连接，开启式闸刀开关、铅熔断器（保险丝）盒、单相机械式有功电能表（2.0 级，5 A）。负荷部分：三极和二极插座、三极和二极插头、螺口灯座（E27）1 个、插口灯座（E27）1 个倒扳开关、拉线开关、白炽灯泡（E27 卡口或 E27LED 螺口灯泡）、卡口－螺口转换器（有卡口灯座时配）。插座、开关均为明装式，软导线（截面积 0.5 mm2）。火线用红色，零线用蓝色，保护地线用黄绿双色。示教板应能竖立在桌上。开关电极应为左面是零线，右面是火线，三极插座上面是保护接地线。
底板可用木板或塑料板</t>
        </is>
      </c>
      <c r="D65" s="37" t="inlineStr">
        <is>
          <t>套</t>
        </is>
      </c>
      <c r="E65" s="37" t="n">
        <v>2</v>
      </c>
      <c r="F65" s="37" t="n">
        <v>350</v>
      </c>
      <c r="G65" s="37" t="n">
        <v>700</v>
      </c>
      <c r="H65" s="10">
        <f>_xlfn.DISPIMG("ID_90739CF308BC4639AE9E014C85037C81",1)</f>
        <v/>
      </c>
      <c r="I65" s="18" t="n"/>
      <c r="J65" s="40" t="n">
        <v>385</v>
      </c>
      <c r="K65" s="40" t="n">
        <v>770</v>
      </c>
      <c r="L65" s="40" t="inlineStr"/>
      <c r="M65" s="40" t="inlineStr"/>
      <c r="N65" s="40" t="inlineStr"/>
      <c r="O65" s="40" t="inlineStr"/>
      <c r="P65" s="40" t="n">
        <v>350</v>
      </c>
      <c r="Q65" s="40" t="inlineStr"/>
    </row>
    <row r="66" ht="26.1" customFormat="1" customHeight="1" s="3">
      <c r="A66" s="32" t="n"/>
      <c r="B66" s="32" t="inlineStr">
        <is>
          <t>合计</t>
        </is>
      </c>
      <c r="C66" s="32" t="n"/>
      <c r="D66" s="32" t="n"/>
      <c r="E66" s="32" t="n"/>
      <c r="F66" s="32" t="n"/>
      <c r="G66" s="32">
        <f>SUM(G3:G65)</f>
        <v/>
      </c>
      <c r="H66" s="32" t="n"/>
      <c r="I66" s="32" t="n"/>
    </row>
  </sheetData>
  <mergeCells count="1">
    <mergeCell ref="A1:E1"/>
  </mergeCells>
  <conditionalFormatting sqref="H15">
    <cfRule type="duplicateValues" priority="1" dxfId="0"/>
  </conditionalFormatting>
  <conditionalFormatting sqref="I15">
    <cfRule type="duplicateValues" priority="2" dxfId="0"/>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02"/>
  <sheetViews>
    <sheetView workbookViewId="0">
      <pane ySplit="1" topLeftCell="A2" activePane="bottomLeft" state="frozen"/>
      <selection pane="bottomLeft" activeCell="A1" sqref="A1"/>
    </sheetView>
  </sheetViews>
  <sheetFormatPr baseColWidth="8" defaultRowHeight="15"/>
  <cols>
    <col width="16" customWidth="1" style="49" min="1" max="1"/>
    <col width="10" customWidth="1" style="49" min="2" max="2"/>
    <col width="24" customWidth="1" style="49" min="3" max="3"/>
    <col width="8" customWidth="1" style="49" min="4" max="4"/>
    <col width="30" customWidth="1" style="49" min="5" max="5"/>
    <col width="18" customWidth="1" style="49" min="6" max="6"/>
    <col width="18" customWidth="1" style="49" min="7" max="7"/>
    <col width="58" customWidth="1" style="49" min="8" max="8"/>
    <col width="10" customWidth="1" style="49" min="9" max="9"/>
    <col width="10" customWidth="1" style="49" min="10" max="10"/>
    <col width="14" customWidth="1" style="49" min="11" max="11"/>
    <col width="14" customWidth="1" style="49" min="12" max="12"/>
    <col width="14" customWidth="1" style="49" min="13" max="13"/>
    <col width="12" customWidth="1" style="49" min="14" max="14"/>
    <col width="42" customWidth="1" style="49" min="15" max="15"/>
    <col width="42" customWidth="1" style="49" min="16" max="16"/>
  </cols>
  <sheetData>
    <row r="1">
      <c r="A1" s="50" t="inlineStr">
        <is>
          <t>原表页</t>
        </is>
      </c>
      <c r="B1" s="50" t="inlineStr">
        <is>
          <t>原表行</t>
        </is>
      </c>
      <c r="C1" s="50" t="inlineStr">
        <is>
          <t>产品名称</t>
        </is>
      </c>
      <c r="D1" s="50" t="inlineStr">
        <is>
          <t>方案</t>
        </is>
      </c>
      <c r="E1" s="50" t="inlineStr">
        <is>
          <t>制造商</t>
        </is>
      </c>
      <c r="F1" s="50" t="inlineStr">
        <is>
          <t>品牌</t>
        </is>
      </c>
      <c r="G1" s="50" t="inlineStr">
        <is>
          <t>型号</t>
        </is>
      </c>
      <c r="H1" s="50" t="inlineStr">
        <is>
          <t>产品编码</t>
        </is>
      </c>
      <c r="I1" s="50" t="inlineStr">
        <is>
          <t>规格</t>
        </is>
      </c>
      <c r="J1" s="50" t="inlineStr">
        <is>
          <t>单位</t>
        </is>
      </c>
      <c r="K1" s="50" t="inlineStr">
        <is>
          <t>数量</t>
        </is>
      </c>
      <c r="L1" s="50" t="inlineStr">
        <is>
          <t>报价</t>
        </is>
      </c>
      <c r="M1" s="50" t="inlineStr">
        <is>
          <t>税后单价</t>
        </is>
      </c>
      <c r="N1" s="50" t="inlineStr">
        <is>
          <t>小计</t>
        </is>
      </c>
      <c r="O1" s="50" t="inlineStr">
        <is>
          <t>税后总价</t>
        </is>
      </c>
      <c r="P1" s="50" t="inlineStr">
        <is>
          <t>报价日期</t>
        </is>
      </c>
    </row>
    <row r="2">
      <c r="A2" s="51" t="inlineStr">
        <is>
          <t>Sheet1</t>
        </is>
      </c>
      <c r="B2" s="51" t="n">
        <v>3</v>
      </c>
      <c r="C2" s="51" t="inlineStr">
        <is>
          <t>简易急救箱</t>
        </is>
      </c>
      <c r="D2" s="51" t="n">
        <v>1</v>
      </c>
      <c r="E2" s="51" t="inlineStr">
        <is>
          <t>未记录制造商</t>
        </is>
      </c>
      <c r="F2" s="51" t="inlineStr"/>
      <c r="G2" s="51" t="inlineStr"/>
      <c r="H2" s="51" t="inlineStr"/>
      <c r="I2" s="51" t="inlineStr">
        <is>
          <t>箱内包括：烧伤药膏，医用酒精，碘伏，创可贴，胶布，绷带，卫生棉签，剪刀，镊子，止血带（长度≥30cm）</t>
        </is>
      </c>
      <c r="J2" s="51" t="inlineStr">
        <is>
          <t>个</t>
        </is>
      </c>
      <c r="K2" s="51" t="n">
        <v>1</v>
      </c>
      <c r="L2" s="51" t="n">
        <v>80</v>
      </c>
      <c r="M2" s="51" t="n">
        <v>88</v>
      </c>
      <c r="N2" s="51" t="n">
        <v>80</v>
      </c>
      <c r="O2" s="51" t="n">
        <v>88</v>
      </c>
      <c r="P2" s="51" t="inlineStr"/>
    </row>
    <row r="3">
      <c r="A3" s="51" t="inlineStr">
        <is>
          <t>Sheet1</t>
        </is>
      </c>
      <c r="B3" s="51" t="n">
        <v>3</v>
      </c>
      <c r="C3" s="51" t="inlineStr">
        <is>
          <t>简易急救箱</t>
        </is>
      </c>
      <c r="D3" s="51" t="n">
        <v>2</v>
      </c>
      <c r="E3" s="51" t="inlineStr">
        <is>
          <t>未记录制造商</t>
        </is>
      </c>
      <c r="F3" s="51" t="inlineStr"/>
      <c r="G3" s="51" t="inlineStr"/>
      <c r="H3" s="51" t="inlineStr"/>
      <c r="I3" s="51" t="inlineStr">
        <is>
          <t>箱内包括：烧伤药膏，医用酒精，碘伏，创可贴，胶布，绷带，卫生棉签，剪刀，镊子，止血带（长度≥30 cm）等</t>
        </is>
      </c>
      <c r="J3" s="51" t="inlineStr"/>
      <c r="K3" s="51" t="n">
        <v>1</v>
      </c>
      <c r="L3" s="51" t="n">
        <v>80</v>
      </c>
      <c r="M3" s="51" t="n">
        <v>88</v>
      </c>
      <c r="N3" s="51" t="n">
        <v>80</v>
      </c>
      <c r="O3" s="51" t="n">
        <v>88</v>
      </c>
      <c r="P3" s="51" t="inlineStr"/>
    </row>
    <row r="4">
      <c r="A4" s="51" t="inlineStr">
        <is>
          <t>Sheet1</t>
        </is>
      </c>
      <c r="B4" s="51" t="n">
        <v>3</v>
      </c>
      <c r="C4" s="51" t="inlineStr">
        <is>
          <t>简易急救箱</t>
        </is>
      </c>
      <c r="D4" s="51" t="n">
        <v>3</v>
      </c>
      <c r="E4" s="51" t="inlineStr">
        <is>
          <t>未记录制造商</t>
        </is>
      </c>
      <c r="F4" s="51" t="inlineStr"/>
      <c r="G4" s="51" t="inlineStr"/>
      <c r="H4" s="51" t="inlineStr"/>
      <c r="I4" s="51" t="inlineStr">
        <is>
          <t>箱内至少包括：医用酒精、饱和碳酸氢钠溶液、饱和硼酸溶液、创可贴、灭菌结晶磺胺、碘伏、胶布、医用纱布、药棉、手术剪、镊子、止血带（长度≥30 cm）、烫伤膏、甘油等。箱体采用中号铝合金材质</t>
        </is>
      </c>
      <c r="J4" s="51" t="inlineStr"/>
      <c r="K4" s="51" t="n">
        <v>1</v>
      </c>
      <c r="L4" s="51" t="n">
        <v>120</v>
      </c>
      <c r="M4" s="51" t="n">
        <v>132</v>
      </c>
      <c r="N4" s="51" t="n">
        <v>120</v>
      </c>
      <c r="O4" s="51" t="n">
        <v>132</v>
      </c>
      <c r="P4" s="51" t="inlineStr"/>
    </row>
    <row r="5">
      <c r="A5" s="51" t="inlineStr">
        <is>
          <t>Sheet1</t>
        </is>
      </c>
      <c r="B5" s="51" t="n">
        <v>4</v>
      </c>
      <c r="C5" s="51" t="inlineStr">
        <is>
          <t>仪器车</t>
        </is>
      </c>
      <c r="D5" s="51" t="n">
        <v>1</v>
      </c>
      <c r="E5" s="51" t="inlineStr">
        <is>
          <t>未记录制造商</t>
        </is>
      </c>
      <c r="F5" s="51" t="inlineStr"/>
      <c r="G5" s="51" t="inlineStr"/>
      <c r="H5" s="51" t="inlineStr"/>
      <c r="I5" s="51" t="inlineStr">
        <is>
          <t>600 mm×400 mm×800 mm，不锈钢材质，至少两层，各层带可拆卸护栏，总载重≥60 kg</t>
        </is>
      </c>
      <c r="J5" s="51" t="inlineStr"/>
      <c r="K5" s="51" t="n">
        <v>2</v>
      </c>
      <c r="L5" s="51" t="n">
        <v>320</v>
      </c>
      <c r="M5" s="51" t="n">
        <v>352</v>
      </c>
      <c r="N5" s="51" t="n">
        <v>640</v>
      </c>
      <c r="O5" s="51" t="n">
        <v>704</v>
      </c>
      <c r="P5" s="51" t="inlineStr"/>
    </row>
    <row r="6">
      <c r="A6" s="51" t="inlineStr">
        <is>
          <t>Sheet1</t>
        </is>
      </c>
      <c r="B6" s="51" t="n">
        <v>4</v>
      </c>
      <c r="C6" s="51" t="inlineStr">
        <is>
          <t>仪器车</t>
        </is>
      </c>
      <c r="D6" s="51" t="n">
        <v>2</v>
      </c>
      <c r="E6" s="51" t="inlineStr">
        <is>
          <t>未记录制造商</t>
        </is>
      </c>
      <c r="F6" s="51" t="inlineStr"/>
      <c r="G6" s="51" t="inlineStr"/>
      <c r="H6" s="51" t="inlineStr"/>
      <c r="I6" s="51" t="inlineStr">
        <is>
          <t>600 mm×400 mm×800 mm，车轮 Φ 75 mm，厚25 mm；一轮带刹车，车轮固定，车架扭动量（上部）≤20 mm；钢材制作，载重≥60 kg</t>
        </is>
      </c>
      <c r="J6" s="51" t="inlineStr"/>
      <c r="K6" s="51" t="n">
        <v>2</v>
      </c>
      <c r="L6" s="51" t="n">
        <v>175</v>
      </c>
      <c r="M6" s="51" t="n">
        <v>192.5</v>
      </c>
      <c r="N6" s="51" t="n">
        <v>350</v>
      </c>
      <c r="O6" s="51" t="n">
        <v>385</v>
      </c>
      <c r="P6" s="51" t="inlineStr"/>
    </row>
    <row r="7">
      <c r="A7" s="51" t="inlineStr">
        <is>
          <t>Sheet1</t>
        </is>
      </c>
      <c r="B7" s="51" t="n">
        <v>5</v>
      </c>
      <c r="C7" s="51" t="inlineStr">
        <is>
          <t>一字螺丝刀</t>
        </is>
      </c>
      <c r="D7" s="51" t="n">
        <v>1</v>
      </c>
      <c r="E7" s="51" t="inlineStr">
        <is>
          <t>未记录制造商</t>
        </is>
      </c>
      <c r="F7" s="51" t="inlineStr"/>
      <c r="G7" s="51" t="inlineStr"/>
      <c r="H7" s="51" t="inlineStr"/>
      <c r="I7" s="51" t="inlineStr">
        <is>
          <t>Φ 6 mm，长 150 mm； Φ 3 mm，长 75 mm，工作部带磁性，硬度≥48 HRC；旋杆采用铬钒钢，旋杆长度≥100 mm，应经镀铬防锈处理；手柄采用高强度 PP+高强性 TPR 注塑成型</t>
        </is>
      </c>
      <c r="J7" s="51" t="inlineStr"/>
      <c r="K7" s="51" t="n">
        <v>50</v>
      </c>
      <c r="L7" s="51" t="n">
        <v>4</v>
      </c>
      <c r="M7" s="51" t="n">
        <v>4.4</v>
      </c>
      <c r="N7" s="51" t="n">
        <v>200</v>
      </c>
      <c r="O7" s="51" t="n">
        <v>220</v>
      </c>
      <c r="P7" s="51" t="inlineStr"/>
    </row>
    <row r="8">
      <c r="A8" s="51" t="inlineStr">
        <is>
          <t>Sheet1</t>
        </is>
      </c>
      <c r="B8" s="51" t="n">
        <v>5</v>
      </c>
      <c r="C8" s="51" t="inlineStr">
        <is>
          <t>一字螺丝刀</t>
        </is>
      </c>
      <c r="D8" s="51" t="n">
        <v>2</v>
      </c>
      <c r="E8" s="51" t="inlineStr">
        <is>
          <t>未记录制造商</t>
        </is>
      </c>
      <c r="F8" s="51" t="inlineStr"/>
      <c r="G8" s="51" t="inlineStr"/>
      <c r="H8" s="51" t="inlineStr"/>
      <c r="I8" s="51" t="inlineStr">
        <is>
          <t>Φ 6 mm，长 150 mm； Φ 3 mm，长 75 mm；工作部带磁性，硬度不低于 HRC48；旋杆采用铬钒钢，长度不小于 100 mm，应经镀铬防锈处理；手柄采用高强度 PP+高强性 TPR 注塑成型</t>
        </is>
      </c>
      <c r="J8" s="51" t="inlineStr"/>
      <c r="K8" s="51" t="n">
        <v>50</v>
      </c>
      <c r="L8" s="51" t="n">
        <v>4</v>
      </c>
      <c r="M8" s="51" t="n">
        <v>4.4</v>
      </c>
      <c r="N8" s="51" t="n">
        <v>200</v>
      </c>
      <c r="O8" s="51" t="n">
        <v>220</v>
      </c>
      <c r="P8" s="51" t="inlineStr"/>
    </row>
    <row r="9">
      <c r="A9" s="51" t="inlineStr">
        <is>
          <t>Sheet1</t>
        </is>
      </c>
      <c r="B9" s="51" t="n">
        <v>5</v>
      </c>
      <c r="C9" s="51" t="inlineStr">
        <is>
          <t>一字螺丝刀</t>
        </is>
      </c>
      <c r="D9" s="51" t="n">
        <v>3</v>
      </c>
      <c r="E9" s="51" t="inlineStr">
        <is>
          <t>未记录制造商</t>
        </is>
      </c>
      <c r="F9" s="51" t="inlineStr"/>
      <c r="G9" s="51" t="inlineStr"/>
      <c r="H9" s="51" t="inlineStr"/>
      <c r="I9" s="51" t="inlineStr">
        <is>
          <t>Ф 6 mm，长 150 mm，工作端带磁性</t>
        </is>
      </c>
      <c r="J9" s="51" t="inlineStr"/>
      <c r="K9" s="51" t="n">
        <v>50</v>
      </c>
      <c r="L9" s="51" t="n">
        <v>4</v>
      </c>
      <c r="M9" s="51" t="n">
        <v>4.4</v>
      </c>
      <c r="N9" s="51" t="n">
        <v>200</v>
      </c>
      <c r="O9" s="51" t="n">
        <v>220</v>
      </c>
      <c r="P9" s="51" t="inlineStr"/>
    </row>
    <row r="10">
      <c r="A10" s="51" t="inlineStr">
        <is>
          <t>Sheet1</t>
        </is>
      </c>
      <c r="B10" s="51" t="n">
        <v>6</v>
      </c>
      <c r="C10" s="51" t="inlineStr">
        <is>
          <t>镊子</t>
        </is>
      </c>
      <c r="D10" s="51" t="n">
        <v>1</v>
      </c>
      <c r="E10" s="51" t="inlineStr">
        <is>
          <t>未记录制造商</t>
        </is>
      </c>
      <c r="F10" s="51" t="inlineStr"/>
      <c r="G10" s="51" t="inlineStr"/>
      <c r="H10" s="51" t="inlineStr"/>
      <c r="I10" s="51" t="inlineStr">
        <is>
          <t>弯尖头，整体长度122mm(弯头部分40mm)</t>
        </is>
      </c>
      <c r="J10" s="51" t="inlineStr">
        <is>
          <t>个</t>
        </is>
      </c>
      <c r="K10" s="51" t="n">
        <v>50</v>
      </c>
      <c r="L10" s="51" t="n">
        <v>2.5</v>
      </c>
      <c r="M10" s="51" t="n">
        <v>2.75</v>
      </c>
      <c r="N10" s="51" t="n">
        <v>125</v>
      </c>
      <c r="O10" s="51" t="n">
        <v>137.5</v>
      </c>
      <c r="P10" s="51" t="inlineStr"/>
    </row>
    <row r="11">
      <c r="A11" s="51" t="inlineStr">
        <is>
          <t>Sheet1</t>
        </is>
      </c>
      <c r="B11" s="51" t="n">
        <v>6</v>
      </c>
      <c r="C11" s="51" t="inlineStr">
        <is>
          <t>镊子</t>
        </is>
      </c>
      <c r="D11" s="51" t="n">
        <v>2</v>
      </c>
      <c r="E11" s="51" t="inlineStr">
        <is>
          <t>未记录制造商</t>
        </is>
      </c>
      <c r="F11" s="51" t="inlineStr"/>
      <c r="G11" s="51" t="inlineStr"/>
      <c r="H11" s="51" t="inlineStr"/>
      <c r="I11" s="51" t="inlineStr">
        <is>
          <t>尖头， 140 mm</t>
        </is>
      </c>
      <c r="J11" s="51" t="inlineStr"/>
      <c r="K11" s="51" t="n">
        <v>50</v>
      </c>
      <c r="L11" s="51" t="n">
        <v>2.5</v>
      </c>
      <c r="M11" s="51" t="n">
        <v>2.75</v>
      </c>
      <c r="N11" s="51" t="n">
        <v>125</v>
      </c>
      <c r="O11" s="51" t="n">
        <v>137.5</v>
      </c>
      <c r="P11" s="51" t="inlineStr"/>
    </row>
    <row r="12">
      <c r="A12" s="51" t="inlineStr">
        <is>
          <t>Sheet1</t>
        </is>
      </c>
      <c r="B12" s="51" t="n">
        <v>6</v>
      </c>
      <c r="C12" s="51" t="inlineStr">
        <is>
          <t>镊子</t>
        </is>
      </c>
      <c r="D12" s="51" t="n">
        <v>3</v>
      </c>
      <c r="E12" s="51" t="inlineStr">
        <is>
          <t>未记录制造商</t>
        </is>
      </c>
      <c r="F12" s="51" t="inlineStr"/>
      <c r="G12" s="51" t="inlineStr"/>
      <c r="H12" s="51" t="inlineStr"/>
      <c r="I12" s="51" t="inlineStr">
        <is>
          <t>弯头， 140 mm</t>
        </is>
      </c>
      <c r="J12" s="51" t="inlineStr"/>
      <c r="K12" s="51" t="n">
        <v>50</v>
      </c>
      <c r="L12" s="51" t="n">
        <v>2.5</v>
      </c>
      <c r="M12" s="51" t="n">
        <v>2.75</v>
      </c>
      <c r="N12" s="51" t="n">
        <v>125</v>
      </c>
      <c r="O12" s="51" t="n">
        <v>137.5</v>
      </c>
      <c r="P12" s="51" t="inlineStr"/>
    </row>
    <row r="13">
      <c r="A13" s="51" t="inlineStr">
        <is>
          <t>Sheet1</t>
        </is>
      </c>
      <c r="B13" s="51" t="n">
        <v>7</v>
      </c>
      <c r="C13" s="51" t="inlineStr">
        <is>
          <t>红液温度计</t>
        </is>
      </c>
      <c r="D13" s="51" t="n">
        <v>1</v>
      </c>
      <c r="E13" s="51" t="inlineStr">
        <is>
          <t>未记录制造商</t>
        </is>
      </c>
      <c r="F13" s="51" t="inlineStr"/>
      <c r="G13" s="51" t="inlineStr"/>
      <c r="H13" s="51" t="inlineStr"/>
      <c r="I13" s="51" t="inlineStr">
        <is>
          <t>量程-20℃~+100℃,分度值1℃,示值误差&lt;1.5℃</t>
        </is>
      </c>
      <c r="J13" s="51" t="inlineStr">
        <is>
          <t>支</t>
        </is>
      </c>
      <c r="K13" s="51" t="n">
        <v>60</v>
      </c>
      <c r="L13" s="51" t="n">
        <v>2</v>
      </c>
      <c r="M13" s="51" t="n">
        <v>2.2</v>
      </c>
      <c r="N13" s="51" t="n">
        <v>120</v>
      </c>
      <c r="O13" s="51" t="n">
        <v>132</v>
      </c>
      <c r="P13" s="51" t="inlineStr"/>
    </row>
    <row r="14">
      <c r="A14" s="51" t="inlineStr">
        <is>
          <t>Sheet1</t>
        </is>
      </c>
      <c r="B14" s="51" t="n">
        <v>7</v>
      </c>
      <c r="C14" s="51" t="inlineStr">
        <is>
          <t>红液温度计</t>
        </is>
      </c>
      <c r="D14" s="51" t="n">
        <v>2</v>
      </c>
      <c r="E14" s="51" t="inlineStr">
        <is>
          <t>未记录制造商</t>
        </is>
      </c>
      <c r="F14" s="51" t="inlineStr"/>
      <c r="G14" s="51" t="inlineStr"/>
      <c r="H14" s="51" t="inlineStr"/>
      <c r="I14" s="51" t="inlineStr">
        <is>
          <t>量程-20 ℃～100 ℃，分度值 1 ℃，示值误差&lt;±1.5 ℃</t>
        </is>
      </c>
      <c r="J14" s="51" t="inlineStr"/>
      <c r="K14" s="51" t="n">
        <v>60</v>
      </c>
      <c r="L14" s="51" t="n">
        <v>2</v>
      </c>
      <c r="M14" s="51" t="n">
        <v>2.2</v>
      </c>
      <c r="N14" s="51" t="n">
        <v>120</v>
      </c>
      <c r="O14" s="51" t="n">
        <v>132</v>
      </c>
      <c r="P14" s="51" t="inlineStr"/>
    </row>
    <row r="15">
      <c r="A15" s="51" t="inlineStr">
        <is>
          <t>Sheet1</t>
        </is>
      </c>
      <c r="B15" s="51" t="n">
        <v>7</v>
      </c>
      <c r="C15" s="51" t="inlineStr">
        <is>
          <t>红液温度计</t>
        </is>
      </c>
      <c r="D15" s="51" t="n">
        <v>3</v>
      </c>
      <c r="E15" s="51" t="inlineStr">
        <is>
          <t>未记录制造商</t>
        </is>
      </c>
      <c r="F15" s="51" t="inlineStr"/>
      <c r="G15" s="51" t="inlineStr"/>
      <c r="H15" s="51" t="inlineStr"/>
      <c r="I15" s="51" t="inlineStr">
        <is>
          <t>0 ℃～100 ℃，分度值 1 ℃，示值误差＜1.5 ℃</t>
        </is>
      </c>
      <c r="J15" s="51" t="inlineStr"/>
      <c r="K15" s="51" t="n">
        <v>60</v>
      </c>
      <c r="L15" s="51" t="n">
        <v>2</v>
      </c>
      <c r="M15" s="51" t="n">
        <v>2.2</v>
      </c>
      <c r="N15" s="51" t="n">
        <v>120</v>
      </c>
      <c r="O15" s="51" t="n">
        <v>132</v>
      </c>
      <c r="P15" s="51" t="inlineStr"/>
    </row>
    <row r="16">
      <c r="A16" s="51" t="inlineStr">
        <is>
          <t>Sheet1</t>
        </is>
      </c>
      <c r="B16" s="51" t="n">
        <v>8</v>
      </c>
      <c r="C16" s="51" t="inlineStr">
        <is>
          <t>烧杯</t>
        </is>
      </c>
      <c r="D16" s="51" t="n">
        <v>1</v>
      </c>
      <c r="E16" s="51" t="inlineStr">
        <is>
          <t>未记录制造商</t>
        </is>
      </c>
      <c r="F16" s="51" t="inlineStr"/>
      <c r="G16" s="51" t="inlineStr"/>
      <c r="H16" s="51" t="inlineStr"/>
      <c r="I16" s="51" t="inlineStr">
        <is>
          <t>100 mL透明，硼硅酸盐玻璃制，刻度应清晰耐久，应在容量标志下有记号面积</t>
        </is>
      </c>
      <c r="J16" s="51" t="inlineStr"/>
      <c r="K16" s="51" t="n">
        <v>60</v>
      </c>
      <c r="L16" s="51" t="n">
        <v>3.5</v>
      </c>
      <c r="M16" s="51" t="n">
        <v>3.85</v>
      </c>
      <c r="N16" s="51" t="n">
        <v>210</v>
      </c>
      <c r="O16" s="51" t="n">
        <v>231</v>
      </c>
      <c r="P16" s="51" t="inlineStr"/>
    </row>
    <row r="17">
      <c r="A17" s="51" t="inlineStr">
        <is>
          <t>Sheet1</t>
        </is>
      </c>
      <c r="B17" s="51" t="n">
        <v>8</v>
      </c>
      <c r="C17" s="51" t="inlineStr">
        <is>
          <t>烧杯</t>
        </is>
      </c>
      <c r="D17" s="51" t="n">
        <v>2</v>
      </c>
      <c r="E17" s="51" t="inlineStr">
        <is>
          <t>未记录制造商</t>
        </is>
      </c>
      <c r="F17" s="51" t="inlineStr"/>
      <c r="G17" s="51" t="inlineStr"/>
      <c r="H17" s="51" t="inlineStr"/>
      <c r="I17" s="51" t="inlineStr">
        <is>
          <t>100mL，透明硼硅酸盐玻璃制，烧杯的满口容量应超过标称容量的10%或烧杯的满口容量和标称容量的两液面间距不应少于10mm，并应采用容量差值较大的一种</t>
        </is>
      </c>
      <c r="J17" s="51" t="inlineStr">
        <is>
          <t>个</t>
        </is>
      </c>
      <c r="K17" s="51" t="n">
        <v>60</v>
      </c>
      <c r="L17" s="51" t="n">
        <v>2</v>
      </c>
      <c r="M17" s="51" t="n">
        <v>2.2</v>
      </c>
      <c r="N17" s="51" t="n">
        <v>120</v>
      </c>
      <c r="O17" s="51" t="n">
        <v>132</v>
      </c>
      <c r="P17" s="51" t="inlineStr"/>
    </row>
    <row r="18">
      <c r="A18" s="51" t="inlineStr">
        <is>
          <t>Sheet1</t>
        </is>
      </c>
      <c r="B18" s="51" t="n">
        <v>9</v>
      </c>
      <c r="C18" s="51" t="inlineStr">
        <is>
          <t>酒精灯</t>
        </is>
      </c>
      <c r="D18" s="51" t="n">
        <v>1</v>
      </c>
      <c r="E18" s="51" t="inlineStr">
        <is>
          <t>未记录制造商</t>
        </is>
      </c>
      <c r="F18" s="51" t="inlineStr"/>
      <c r="G18" s="51" t="inlineStr"/>
      <c r="H18" s="51" t="inlineStr"/>
      <c r="I18" s="51" t="inlineStr">
        <is>
          <t>150mL，采用透明钠钙玻璃制造，无明显黄绿色，灯口应平整，瓷灯头与灯口平面间隙不应超过1.5mm，玻璃灯罩应磨口，瓷灯头应为白色，表面无气泡，无疵点，无裂纹，无碰损缺口，酒精灯应配置与灯口孔径相适应的整齐完整的棉线灯芯</t>
        </is>
      </c>
      <c r="J18" s="51" t="inlineStr">
        <is>
          <t>个</t>
        </is>
      </c>
      <c r="K18" s="51" t="n">
        <v>30</v>
      </c>
      <c r="L18" s="51" t="n">
        <v>2.5</v>
      </c>
      <c r="M18" s="51" t="n">
        <v>2.75</v>
      </c>
      <c r="N18" s="51" t="n">
        <v>75</v>
      </c>
      <c r="O18" s="51" t="n">
        <v>82.5</v>
      </c>
      <c r="P18" s="51" t="inlineStr"/>
    </row>
    <row r="19">
      <c r="A19" s="51" t="inlineStr">
        <is>
          <t>Sheet1</t>
        </is>
      </c>
      <c r="B19" s="51" t="n">
        <v>9</v>
      </c>
      <c r="C19" s="51" t="inlineStr">
        <is>
          <t>酒精灯</t>
        </is>
      </c>
      <c r="D19" s="51" t="n">
        <v>2</v>
      </c>
      <c r="E19" s="51" t="inlineStr">
        <is>
          <t>未记录制造商</t>
        </is>
      </c>
      <c r="F19" s="51" t="inlineStr"/>
      <c r="G19" s="51" t="inlineStr"/>
      <c r="H19" s="51" t="inlineStr"/>
      <c r="I19" s="51" t="inlineStr">
        <is>
          <t>150 mL 透明钠钙玻璃制，无明显黄绿色。灯口应平整，瓷灯头与灯口平面间隙不应超过 1.5 mm。玻璃灯罩应磨口。瓷灯头应为白色，完全覆盖灯口，表面无缺陷。配置与灯口孔径相适应的整齐完整的棉线灯芯</t>
        </is>
      </c>
      <c r="J19" s="51" t="inlineStr"/>
      <c r="K19" s="51" t="n">
        <v>30</v>
      </c>
      <c r="L19" s="51" t="n">
        <v>2.5</v>
      </c>
      <c r="M19" s="51" t="n">
        <v>2.75</v>
      </c>
      <c r="N19" s="51" t="n">
        <v>75</v>
      </c>
      <c r="O19" s="51" t="n">
        <v>82.5</v>
      </c>
      <c r="P19" s="51" t="inlineStr"/>
    </row>
    <row r="20">
      <c r="A20" s="51" t="inlineStr">
        <is>
          <t>Sheet1</t>
        </is>
      </c>
      <c r="B20" s="51" t="n">
        <v>10</v>
      </c>
      <c r="C20" s="51" t="inlineStr">
        <is>
          <t>漏斗</t>
        </is>
      </c>
      <c r="D20" s="51" t="n">
        <v>1</v>
      </c>
      <c r="E20" s="51" t="inlineStr">
        <is>
          <t>未记录制造商</t>
        </is>
      </c>
      <c r="F20" s="51" t="inlineStr"/>
      <c r="G20" s="51" t="inlineStr"/>
      <c r="H20" s="51" t="inlineStr"/>
      <c r="I20" s="51" t="inlineStr">
        <is>
          <t>90 mm 直径准确，锥度适中</t>
        </is>
      </c>
      <c r="J20" s="51" t="inlineStr"/>
      <c r="K20" s="51" t="n">
        <v>5</v>
      </c>
      <c r="L20" s="51" t="n">
        <v>6</v>
      </c>
      <c r="M20" s="51" t="n">
        <v>6.6</v>
      </c>
      <c r="N20" s="51" t="n">
        <v>30</v>
      </c>
      <c r="O20" s="51" t="n">
        <v>33</v>
      </c>
      <c r="P20" s="51" t="inlineStr"/>
    </row>
    <row r="21">
      <c r="A21" s="51" t="inlineStr">
        <is>
          <t>Sheet1</t>
        </is>
      </c>
      <c r="B21" s="51" t="n">
        <v>10</v>
      </c>
      <c r="C21" s="51" t="inlineStr">
        <is>
          <t>漏斗</t>
        </is>
      </c>
      <c r="D21" s="51" t="n">
        <v>2</v>
      </c>
      <c r="E21" s="51" t="inlineStr">
        <is>
          <t>未记录制造商</t>
        </is>
      </c>
      <c r="F21" s="51" t="inlineStr"/>
      <c r="G21" s="51" t="inlineStr"/>
      <c r="H21" s="51" t="inlineStr"/>
      <c r="I21" s="51" t="inlineStr">
        <is>
          <t>60mm，直径准确，锥度适中</t>
        </is>
      </c>
      <c r="J21" s="51" t="inlineStr">
        <is>
          <t>个</t>
        </is>
      </c>
      <c r="K21" s="51" t="n">
        <v>5</v>
      </c>
      <c r="L21" s="51" t="n">
        <v>4</v>
      </c>
      <c r="M21" s="51" t="n">
        <v>4.4</v>
      </c>
      <c r="N21" s="51" t="n">
        <v>20</v>
      </c>
      <c r="O21" s="51" t="n">
        <v>22</v>
      </c>
      <c r="P21" s="51" t="inlineStr"/>
    </row>
    <row r="22">
      <c r="A22" s="51" t="inlineStr">
        <is>
          <t>Sheet1</t>
        </is>
      </c>
      <c r="B22" s="51" t="n">
        <v>10</v>
      </c>
      <c r="C22" s="51" t="inlineStr">
        <is>
          <t>漏斗</t>
        </is>
      </c>
      <c r="D22" s="51" t="n">
        <v>3</v>
      </c>
      <c r="E22" s="51" t="inlineStr">
        <is>
          <t>未记录制造商</t>
        </is>
      </c>
      <c r="F22" s="51" t="inlineStr"/>
      <c r="G22" s="51" t="inlineStr"/>
      <c r="H22" s="51" t="inlineStr"/>
      <c r="I22" s="51" t="inlineStr">
        <is>
          <t>漏斗口径 90 mm，斗颈长 90 mm，下口磨成45º角，斜口边口倒角或熔光，耐水性 HGB3级</t>
        </is>
      </c>
      <c r="J22" s="51" t="inlineStr"/>
      <c r="K22" s="51" t="n">
        <v>5</v>
      </c>
      <c r="L22" s="51" t="n">
        <v>6</v>
      </c>
      <c r="M22" s="51" t="n">
        <v>6.6</v>
      </c>
      <c r="N22" s="51" t="n">
        <v>30</v>
      </c>
      <c r="O22" s="51" t="n">
        <v>33</v>
      </c>
      <c r="P22" s="51" t="inlineStr"/>
    </row>
    <row r="23">
      <c r="A23" s="51" t="inlineStr">
        <is>
          <t>Sheet1</t>
        </is>
      </c>
      <c r="B23" s="51" t="n">
        <v>11</v>
      </c>
      <c r="C23" s="51" t="inlineStr">
        <is>
          <t>注射器</t>
        </is>
      </c>
      <c r="D23" s="51" t="n">
        <v>1</v>
      </c>
      <c r="E23" s="51" t="inlineStr">
        <is>
          <t>江阴市医疗器械有限公司</t>
        </is>
      </c>
      <c r="F23" s="51" t="inlineStr">
        <is>
          <t>江阴</t>
        </is>
      </c>
      <c r="G23" s="51" t="inlineStr">
        <is>
          <t>100mL</t>
        </is>
      </c>
      <c r="H23" s="51" t="inlineStr"/>
      <c r="I23" s="51" t="inlineStr">
        <is>
          <t>100mL</t>
        </is>
      </c>
      <c r="J23" s="51" t="inlineStr">
        <is>
          <t>只</t>
        </is>
      </c>
      <c r="K23" s="51" t="n">
        <v>28</v>
      </c>
      <c r="L23" s="51" t="n">
        <v>2</v>
      </c>
      <c r="M23" s="51" t="n">
        <v>2.2</v>
      </c>
      <c r="N23" s="51" t="n">
        <v>56</v>
      </c>
      <c r="O23" s="51" t="n">
        <v>61.6</v>
      </c>
      <c r="P23" s="51" t="inlineStr"/>
    </row>
    <row r="24">
      <c r="A24" s="51" t="inlineStr">
        <is>
          <t>Sheet1</t>
        </is>
      </c>
      <c r="B24" s="51" t="n">
        <v>11</v>
      </c>
      <c r="C24" s="51" t="inlineStr">
        <is>
          <t>注射器</t>
        </is>
      </c>
      <c r="D24" s="51" t="n">
        <v>2</v>
      </c>
      <c r="E24" s="51" t="inlineStr">
        <is>
          <t>未记录制造商</t>
        </is>
      </c>
      <c r="F24" s="51" t="inlineStr"/>
      <c r="G24" s="51" t="inlineStr"/>
      <c r="H24" s="51" t="inlineStr"/>
      <c r="I24" s="51" t="inlineStr">
        <is>
          <t>10 mL，塑料制，符合医用器具卫生标准</t>
        </is>
      </c>
      <c r="J24" s="51" t="inlineStr"/>
      <c r="K24" s="51" t="n">
        <v>28</v>
      </c>
      <c r="L24" s="51" t="n">
        <v>1</v>
      </c>
      <c r="M24" s="51" t="n">
        <v>1.1</v>
      </c>
      <c r="N24" s="51" t="n">
        <v>28</v>
      </c>
      <c r="O24" s="51" t="n">
        <v>30.8</v>
      </c>
      <c r="P24" s="51" t="inlineStr"/>
    </row>
    <row r="25">
      <c r="A25" s="51" t="inlineStr">
        <is>
          <t>Sheet1</t>
        </is>
      </c>
      <c r="B25" s="51" t="n">
        <v>11</v>
      </c>
      <c r="C25" s="51" t="inlineStr">
        <is>
          <t>注射器</t>
        </is>
      </c>
      <c r="D25" s="51" t="n">
        <v>3</v>
      </c>
      <c r="E25" s="51" t="inlineStr">
        <is>
          <t>未记录制造商</t>
        </is>
      </c>
      <c r="F25" s="51" t="inlineStr"/>
      <c r="G25" s="51" t="inlineStr"/>
      <c r="H25" s="51" t="inlineStr"/>
      <c r="I25" s="51" t="inlineStr">
        <is>
          <t>20mL，塑料制，无注射针</t>
        </is>
      </c>
      <c r="J25" s="51" t="inlineStr">
        <is>
          <t>个</t>
        </is>
      </c>
      <c r="K25" s="51" t="n">
        <v>28</v>
      </c>
      <c r="L25" s="51" t="n">
        <v>2.5</v>
      </c>
      <c r="M25" s="51" t="n">
        <v>2.75</v>
      </c>
      <c r="N25" s="51" t="n">
        <v>70</v>
      </c>
      <c r="O25" s="51" t="n">
        <v>77</v>
      </c>
      <c r="P25" s="51" t="inlineStr"/>
    </row>
    <row r="26">
      <c r="A26" s="51" t="inlineStr">
        <is>
          <t>Sheet1</t>
        </is>
      </c>
      <c r="B26" s="51" t="n">
        <v>12</v>
      </c>
      <c r="C26" s="51" t="inlineStr">
        <is>
          <t>陶土网</t>
        </is>
      </c>
      <c r="D26" s="51" t="n">
        <v>1</v>
      </c>
      <c r="E26" s="51" t="inlineStr">
        <is>
          <t>未记录制造商</t>
        </is>
      </c>
      <c r="F26" s="51" t="inlineStr"/>
      <c r="G26" s="51" t="inlineStr"/>
      <c r="H26" s="51" t="inlineStr"/>
      <c r="I26" s="51" t="inlineStr">
        <is>
          <t>功能同石棉网，陶土材质，尺寸不小于 125 mm×125 mm，0.8 mm 钢丝制成</t>
        </is>
      </c>
      <c r="J26" s="51" t="inlineStr"/>
      <c r="K26" s="51" t="n">
        <v>28</v>
      </c>
      <c r="L26" s="51" t="n">
        <v>1.4</v>
      </c>
      <c r="M26" s="51" t="n">
        <v>1.54</v>
      </c>
      <c r="N26" s="51" t="n">
        <v>39.2</v>
      </c>
      <c r="O26" s="51" t="n">
        <v>43.12</v>
      </c>
      <c r="P26" s="51" t="inlineStr"/>
    </row>
    <row r="27">
      <c r="A27" s="51" t="inlineStr">
        <is>
          <t>Sheet1</t>
        </is>
      </c>
      <c r="B27" s="51" t="n">
        <v>12</v>
      </c>
      <c r="C27" s="51" t="inlineStr">
        <is>
          <t>陶土网</t>
        </is>
      </c>
      <c r="D27" s="51" t="n">
        <v>2</v>
      </c>
      <c r="E27" s="51" t="inlineStr">
        <is>
          <t>未记录制造商</t>
        </is>
      </c>
      <c r="F27" s="51" t="inlineStr"/>
      <c r="G27" s="51" t="inlineStr"/>
      <c r="H27" s="51" t="inlineStr"/>
      <c r="I27" s="51" t="inlineStr">
        <is>
          <t>金属网尺寸≥125mm×125mm，耐火材料为陶土，功能等同于石棉网</t>
        </is>
      </c>
      <c r="J27" s="51" t="inlineStr">
        <is>
          <t>个</t>
        </is>
      </c>
      <c r="K27" s="51" t="n">
        <v>28</v>
      </c>
      <c r="L27" s="51" t="n">
        <v>1.4</v>
      </c>
      <c r="M27" s="51" t="n">
        <v>1.54</v>
      </c>
      <c r="N27" s="51" t="n">
        <v>39.2</v>
      </c>
      <c r="O27" s="51" t="n">
        <v>43.12</v>
      </c>
      <c r="P27" s="51" t="inlineStr"/>
    </row>
    <row r="28">
      <c r="A28" s="51" t="inlineStr">
        <is>
          <t>Sheet1</t>
        </is>
      </c>
      <c r="B28" s="51" t="n">
        <v>12</v>
      </c>
      <c r="C28" s="51" t="inlineStr">
        <is>
          <t>陶土网</t>
        </is>
      </c>
      <c r="D28" s="51" t="n">
        <v>3</v>
      </c>
      <c r="E28" s="51" t="inlineStr">
        <is>
          <t>未记录制造商</t>
        </is>
      </c>
      <c r="F28" s="51" t="inlineStr"/>
      <c r="G28" s="51" t="inlineStr"/>
      <c r="H28" s="51" t="inlineStr"/>
      <c r="I28" s="51" t="inlineStr">
        <is>
          <t>功能等同于石棉网，尺寸≥125 mm×125 mm，耐火材料为陶土</t>
        </is>
      </c>
      <c r="J28" s="51" t="inlineStr"/>
      <c r="K28" s="51" t="n">
        <v>28</v>
      </c>
      <c r="L28" s="51" t="n">
        <v>1.4</v>
      </c>
      <c r="M28" s="51" t="n">
        <v>1.54</v>
      </c>
      <c r="N28" s="51" t="n">
        <v>39.2</v>
      </c>
      <c r="O28" s="51" t="n">
        <v>43.12</v>
      </c>
      <c r="P28" s="51" t="inlineStr"/>
    </row>
    <row r="29">
      <c r="A29" s="51" t="inlineStr">
        <is>
          <t>Sheet1</t>
        </is>
      </c>
      <c r="B29" s="51" t="n">
        <v>13</v>
      </c>
      <c r="C29" s="51" t="inlineStr">
        <is>
          <t>碘升华凝华管</t>
        </is>
      </c>
      <c r="D29" s="51" t="n">
        <v>1</v>
      </c>
      <c r="E29" s="51" t="inlineStr">
        <is>
          <t>未记录制造商</t>
        </is>
      </c>
      <c r="F29" s="51" t="inlineStr"/>
      <c r="G29" s="51" t="inlineStr"/>
      <c r="H29" s="51" t="inlineStr"/>
      <c r="I29" s="51" t="inlineStr">
        <is>
          <t>碘密封于碘锤内，无色透明硼硅酸盐玻璃制管 Φ 28 mm×34 mm，两端面应为凹面，热冲击应不低于 200 ℃</t>
        </is>
      </c>
      <c r="J29" s="51" t="inlineStr"/>
      <c r="K29" s="51" t="n">
        <v>4</v>
      </c>
      <c r="L29" s="51" t="n">
        <v>4.5</v>
      </c>
      <c r="M29" s="51" t="n">
        <v>4.95</v>
      </c>
      <c r="N29" s="51" t="n">
        <v>18</v>
      </c>
      <c r="O29" s="51" t="n">
        <v>19.8</v>
      </c>
      <c r="P29" s="51" t="inlineStr"/>
    </row>
    <row r="30">
      <c r="A30" s="51" t="inlineStr">
        <is>
          <t>Sheet1</t>
        </is>
      </c>
      <c r="B30" s="51" t="n">
        <v>13</v>
      </c>
      <c r="C30" s="51" t="inlineStr">
        <is>
          <t>碘升华凝华管</t>
        </is>
      </c>
      <c r="D30" s="51" t="n">
        <v>2</v>
      </c>
      <c r="E30" s="51" t="inlineStr">
        <is>
          <t>未记录制造商</t>
        </is>
      </c>
      <c r="F30" s="51" t="inlineStr"/>
      <c r="G30" s="51" t="inlineStr"/>
      <c r="H30" s="51" t="inlineStr"/>
      <c r="I30" s="51" t="inlineStr">
        <is>
          <t>≥Φ 34 mm×28 mm，应采用无色透明硼硅酸盐玻璃制造，手柄与主管应连接平滑牢固，不应偏歪；主管应加碘后密封，两端面呈球面凹形，手柄靠近主管处应密封；玻璃仪器均匀透明无气泡，耐用，不易碎，采用酒精灯加热不易变形</t>
        </is>
      </c>
      <c r="J30" s="51" t="inlineStr"/>
      <c r="K30" s="51" t="n">
        <v>4</v>
      </c>
      <c r="L30" s="51" t="n">
        <v>4.5</v>
      </c>
      <c r="M30" s="51" t="n">
        <v>4.95</v>
      </c>
      <c r="N30" s="51" t="n">
        <v>18</v>
      </c>
      <c r="O30" s="51" t="n">
        <v>19.8</v>
      </c>
      <c r="P30" s="51" t="inlineStr"/>
    </row>
    <row r="31">
      <c r="A31" s="51" t="inlineStr">
        <is>
          <t>Sheet1</t>
        </is>
      </c>
      <c r="B31" s="51" t="n">
        <v>14</v>
      </c>
      <c r="C31" s="51" t="inlineStr">
        <is>
          <t>托盘天平</t>
        </is>
      </c>
      <c r="D31" s="51" t="n">
        <v>1</v>
      </c>
      <c r="E31" s="51" t="inlineStr">
        <is>
          <t>未记录制造商</t>
        </is>
      </c>
      <c r="F31" s="51" t="inlineStr"/>
      <c r="G31" s="51" t="inlineStr"/>
      <c r="H31" s="51" t="inlineStr"/>
      <c r="I31" s="51" t="inlineStr">
        <is>
          <t>200 g，0.2 g单杠杆等臂式双盘天平，配6 级（M2 级）砝码：100 g、50 g、10 g、5 g 各 1 个，20 g 2 个，钢制镊子</t>
        </is>
      </c>
      <c r="J31" s="51" t="inlineStr"/>
      <c r="K31" s="51" t="n">
        <v>56</v>
      </c>
      <c r="L31" s="51" t="n">
        <v>30</v>
      </c>
      <c r="M31" s="51" t="n">
        <v>33</v>
      </c>
      <c r="N31" s="51" t="n">
        <v>1680</v>
      </c>
      <c r="O31" s="51" t="n">
        <v>1848</v>
      </c>
      <c r="P31" s="51" t="inlineStr"/>
    </row>
    <row r="32">
      <c r="A32" s="51" t="inlineStr">
        <is>
          <t>Sheet1</t>
        </is>
      </c>
      <c r="B32" s="51" t="n">
        <v>14</v>
      </c>
      <c r="C32" s="51" t="inlineStr">
        <is>
          <t>托盘天平</t>
        </is>
      </c>
      <c r="D32" s="51" t="n">
        <v>2</v>
      </c>
      <c r="E32" s="51" t="inlineStr">
        <is>
          <t>未记录制造商</t>
        </is>
      </c>
      <c r="F32" s="51" t="inlineStr"/>
      <c r="G32" s="51" t="inlineStr"/>
      <c r="H32" s="51" t="inlineStr"/>
      <c r="I32" s="51" t="inlineStr">
        <is>
          <t>200 g， 0.2 g</t>
        </is>
      </c>
      <c r="J32" s="51" t="inlineStr"/>
      <c r="K32" s="51" t="n">
        <v>56</v>
      </c>
      <c r="L32" s="51" t="n">
        <v>30</v>
      </c>
      <c r="M32" s="51" t="n">
        <v>33</v>
      </c>
      <c r="N32" s="51" t="n">
        <v>1680</v>
      </c>
      <c r="O32" s="51" t="n">
        <v>1848</v>
      </c>
      <c r="P32" s="51" t="inlineStr"/>
    </row>
    <row r="33">
      <c r="A33" s="51" t="inlineStr">
        <is>
          <t>Sheet1</t>
        </is>
      </c>
      <c r="B33" s="51" t="n">
        <v>15</v>
      </c>
      <c r="C33" s="51" t="inlineStr">
        <is>
          <t>量筒</t>
        </is>
      </c>
      <c r="D33" s="51" t="n">
        <v>1</v>
      </c>
      <c r="E33" s="51" t="inlineStr">
        <is>
          <t>未记录制造商</t>
        </is>
      </c>
      <c r="F33" s="51" t="inlineStr"/>
      <c r="G33" s="51" t="inlineStr"/>
      <c r="H33" s="51" t="inlineStr"/>
      <c r="I33" s="51" t="inlineStr">
        <is>
          <t>100mL，同上</t>
        </is>
      </c>
      <c r="J33" s="51" t="inlineStr">
        <is>
          <t>个</t>
        </is>
      </c>
      <c r="K33" s="51" t="n">
        <v>60</v>
      </c>
      <c r="L33" s="51" t="n">
        <v>7</v>
      </c>
      <c r="M33" s="51" t="n">
        <v>7.7</v>
      </c>
      <c r="N33" s="51" t="n">
        <v>420</v>
      </c>
      <c r="O33" s="51" t="n">
        <v>462</v>
      </c>
      <c r="P33" s="51" t="inlineStr"/>
    </row>
    <row r="34">
      <c r="A34" s="51" t="inlineStr">
        <is>
          <t>Sheet1</t>
        </is>
      </c>
      <c r="B34" s="51" t="n">
        <v>15</v>
      </c>
      <c r="C34" s="51" t="inlineStr">
        <is>
          <t>量筒</t>
        </is>
      </c>
      <c r="D34" s="51" t="n">
        <v>2</v>
      </c>
      <c r="E34" s="51" t="inlineStr">
        <is>
          <t>未记录制造商</t>
        </is>
      </c>
      <c r="F34" s="51" t="inlineStr"/>
      <c r="G34" s="51" t="inlineStr"/>
      <c r="H34" s="51" t="inlineStr"/>
      <c r="I34" s="51" t="inlineStr">
        <is>
          <t>100 mL 透明钠钙玻璃制，分度线、数字和标志应完整、清晰和耐久，容积为20℃时充满量筒刻度线所容纳体积</t>
        </is>
      </c>
      <c r="J34" s="51" t="inlineStr"/>
      <c r="K34" s="51" t="n">
        <v>60</v>
      </c>
      <c r="L34" s="51" t="n">
        <v>7</v>
      </c>
      <c r="M34" s="51" t="n">
        <v>7.7</v>
      </c>
      <c r="N34" s="51" t="n">
        <v>420</v>
      </c>
      <c r="O34" s="51" t="n">
        <v>462</v>
      </c>
      <c r="P34" s="51" t="inlineStr"/>
    </row>
    <row r="35">
      <c r="A35" s="51" t="inlineStr">
        <is>
          <t>Sheet1</t>
        </is>
      </c>
      <c r="B35" s="51" t="n">
        <v>15</v>
      </c>
      <c r="C35" s="51" t="inlineStr">
        <is>
          <t>量筒</t>
        </is>
      </c>
      <c r="D35" s="51" t="n">
        <v>3</v>
      </c>
      <c r="E35" s="51" t="inlineStr">
        <is>
          <t>未记录制造商</t>
        </is>
      </c>
      <c r="F35" s="51" t="inlineStr"/>
      <c r="G35" s="51" t="inlineStr"/>
      <c r="H35" s="51" t="inlineStr"/>
      <c r="I35" s="51" t="inlineStr">
        <is>
          <t>100 mL 透明钠钙玻璃制，分度线、数字和标志应完整、清晰和耐久，容积为 22 ℃时充满量筒刻度线所容纳体积</t>
        </is>
      </c>
      <c r="J35" s="51" t="inlineStr"/>
      <c r="K35" s="51" t="n">
        <v>60</v>
      </c>
      <c r="L35" s="51" t="n">
        <v>7</v>
      </c>
      <c r="M35" s="51" t="n">
        <v>7.7</v>
      </c>
      <c r="N35" s="51" t="n">
        <v>420</v>
      </c>
      <c r="O35" s="51" t="n">
        <v>462</v>
      </c>
      <c r="P35" s="51" t="inlineStr"/>
    </row>
    <row r="36">
      <c r="A36" s="51" t="inlineStr">
        <is>
          <t>Sheet1</t>
        </is>
      </c>
      <c r="B36" s="51" t="n">
        <v>16</v>
      </c>
      <c r="C36" s="51" t="inlineStr">
        <is>
          <t>放大镜</t>
        </is>
      </c>
      <c r="D36" s="51" t="n">
        <v>1</v>
      </c>
      <c r="E36" s="51" t="inlineStr">
        <is>
          <t>未记录制造商</t>
        </is>
      </c>
      <c r="F36" s="51" t="inlineStr"/>
      <c r="G36" s="51" t="inlineStr"/>
      <c r="H36" s="51" t="inlineStr"/>
      <c r="I36" s="51" t="inlineStr">
        <is>
          <t>手持式，5×，焦距 50 mm</t>
        </is>
      </c>
      <c r="J36" s="51" t="inlineStr"/>
      <c r="K36" s="51" t="n">
        <v>28</v>
      </c>
      <c r="L36" s="51" t="n">
        <v>2</v>
      </c>
      <c r="M36" s="51" t="n">
        <v>2.2</v>
      </c>
      <c r="N36" s="51" t="n">
        <v>56</v>
      </c>
      <c r="O36" s="51" t="n">
        <v>61.6</v>
      </c>
      <c r="P36" s="51" t="inlineStr"/>
    </row>
    <row r="37">
      <c r="A37" s="51" t="inlineStr">
        <is>
          <t>Sheet1</t>
        </is>
      </c>
      <c r="B37" s="51" t="n">
        <v>16</v>
      </c>
      <c r="C37" s="51" t="inlineStr">
        <is>
          <t>放大镜</t>
        </is>
      </c>
      <c r="D37" s="51" t="n">
        <v>2</v>
      </c>
      <c r="E37" s="51" t="inlineStr">
        <is>
          <t>未记录制造商</t>
        </is>
      </c>
      <c r="F37" s="51" t="inlineStr"/>
      <c r="G37" s="51" t="inlineStr"/>
      <c r="H37" s="51" t="inlineStr"/>
      <c r="I37" s="51" t="inlineStr">
        <is>
          <t>手持式，有效光孔径不小于20mm,5倍</t>
        </is>
      </c>
      <c r="J37" s="51" t="inlineStr">
        <is>
          <t>个</t>
        </is>
      </c>
      <c r="K37" s="51" t="n">
        <v>28</v>
      </c>
      <c r="L37" s="51" t="n">
        <v>2</v>
      </c>
      <c r="M37" s="51" t="n">
        <v>2.2</v>
      </c>
      <c r="N37" s="51" t="n">
        <v>56</v>
      </c>
      <c r="O37" s="51" t="n">
        <v>61.6</v>
      </c>
      <c r="P37" s="51" t="inlineStr"/>
    </row>
    <row r="38">
      <c r="A38" s="51" t="inlineStr">
        <is>
          <t>Sheet1</t>
        </is>
      </c>
      <c r="B38" s="51" t="n">
        <v>16</v>
      </c>
      <c r="C38" s="51" t="inlineStr">
        <is>
          <t>放大镜</t>
        </is>
      </c>
      <c r="D38" s="51" t="n">
        <v>3</v>
      </c>
      <c r="E38" s="51" t="inlineStr">
        <is>
          <t>未记录制造商</t>
        </is>
      </c>
      <c r="F38" s="51" t="inlineStr"/>
      <c r="G38" s="51" t="inlineStr"/>
      <c r="H38" s="51" t="inlineStr"/>
      <c r="I38" s="51" t="inlineStr">
        <is>
          <t>手持式，有效通光孔径≥40 mm， 5 倍</t>
        </is>
      </c>
      <c r="J38" s="51" t="inlineStr"/>
      <c r="K38" s="51" t="n">
        <v>28</v>
      </c>
      <c r="L38" s="51" t="n">
        <v>2</v>
      </c>
      <c r="M38" s="51" t="n">
        <v>2.2</v>
      </c>
      <c r="N38" s="51" t="n">
        <v>56</v>
      </c>
      <c r="O38" s="51" t="n">
        <v>61.6</v>
      </c>
      <c r="P38" s="51" t="inlineStr"/>
    </row>
    <row r="39">
      <c r="A39" s="51" t="inlineStr">
        <is>
          <t>Sheet1</t>
        </is>
      </c>
      <c r="B39" s="51" t="n">
        <v>17</v>
      </c>
      <c r="C39" s="51" t="inlineStr">
        <is>
          <t>望远镜</t>
        </is>
      </c>
      <c r="D39" s="51" t="n">
        <v>1</v>
      </c>
      <c r="E39" s="51" t="inlineStr">
        <is>
          <t>未记录制造商</t>
        </is>
      </c>
      <c r="F39" s="51" t="inlineStr"/>
      <c r="G39" s="51" t="inlineStr"/>
      <c r="H39" s="51" t="inlineStr"/>
      <c r="I39" s="51" t="inlineStr">
        <is>
          <t>双筒，7×35</t>
        </is>
      </c>
      <c r="J39" s="51" t="inlineStr"/>
      <c r="K39" s="51" t="n">
        <v>1</v>
      </c>
      <c r="L39" s="51" t="n">
        <v>55</v>
      </c>
      <c r="M39" s="51" t="n">
        <v>60.5</v>
      </c>
      <c r="N39" s="51" t="n">
        <v>55</v>
      </c>
      <c r="O39" s="51" t="n">
        <v>60.5</v>
      </c>
      <c r="P39" s="51" t="inlineStr"/>
    </row>
    <row r="40">
      <c r="A40" s="51" t="inlineStr">
        <is>
          <t>Sheet1</t>
        </is>
      </c>
      <c r="B40" s="51" t="n">
        <v>18</v>
      </c>
      <c r="C40" s="51" t="inlineStr">
        <is>
          <t>食用色素</t>
        </is>
      </c>
      <c r="D40" s="51" t="n">
        <v>1</v>
      </c>
      <c r="E40" s="51" t="inlineStr">
        <is>
          <t>未记录制造商</t>
        </is>
      </c>
      <c r="F40" s="51" t="inlineStr"/>
      <c r="G40" s="51" t="inlineStr"/>
      <c r="H40" s="51" t="inlineStr"/>
      <c r="I40" s="51" t="inlineStr">
        <is>
          <t>红色</t>
        </is>
      </c>
      <c r="J40" s="51" t="inlineStr"/>
      <c r="K40" s="51" t="n">
        <v>10</v>
      </c>
      <c r="L40" s="51" t="n">
        <v>0.8</v>
      </c>
      <c r="M40" s="51" t="n">
        <v>0.88</v>
      </c>
      <c r="N40" s="51" t="n">
        <v>8</v>
      </c>
      <c r="O40" s="51" t="n">
        <v>8.800000000000001</v>
      </c>
      <c r="P40" s="51" t="inlineStr"/>
    </row>
    <row r="41">
      <c r="A41" s="51" t="inlineStr">
        <is>
          <t>Sheet1</t>
        </is>
      </c>
      <c r="B41" s="51" t="n">
        <v>19</v>
      </c>
      <c r="C41" s="51" t="inlineStr">
        <is>
          <t>直尺</t>
        </is>
      </c>
      <c r="D41" s="51" t="n">
        <v>1</v>
      </c>
      <c r="E41" s="51" t="inlineStr">
        <is>
          <t>未记录制造商</t>
        </is>
      </c>
      <c r="F41" s="51" t="inlineStr"/>
      <c r="G41" s="51" t="inlineStr"/>
      <c r="H41" s="51" t="inlineStr"/>
      <c r="I41" s="51" t="inlineStr">
        <is>
          <t>演示用；1 m，最小分度值 1 mm，分别有米、分米、厘米、毫米四种单位，刻度清晰，宜采用工程塑料制</t>
        </is>
      </c>
      <c r="J41" s="51" t="inlineStr">
        <is>
          <t>个</t>
        </is>
      </c>
      <c r="K41" s="51" t="n">
        <v>28</v>
      </c>
      <c r="L41" s="51" t="n">
        <v>18</v>
      </c>
      <c r="M41" s="51" t="n">
        <v>19.8</v>
      </c>
      <c r="N41" s="51" t="n">
        <v>504</v>
      </c>
      <c r="O41" s="51" t="n">
        <v>554.4</v>
      </c>
      <c r="P41" s="51" t="inlineStr"/>
    </row>
    <row r="42">
      <c r="A42" s="51" t="inlineStr">
        <is>
          <t>Sheet1</t>
        </is>
      </c>
      <c r="B42" s="51" t="n">
        <v>19</v>
      </c>
      <c r="C42" s="51" t="inlineStr">
        <is>
          <t>直尺</t>
        </is>
      </c>
      <c r="D42" s="51" t="n">
        <v>2</v>
      </c>
      <c r="E42" s="51" t="inlineStr">
        <is>
          <t>未记录制造商</t>
        </is>
      </c>
      <c r="F42" s="51" t="inlineStr"/>
      <c r="G42" s="51" t="inlineStr"/>
      <c r="H42" s="51" t="inlineStr"/>
      <c r="I42" s="51" t="inlineStr">
        <is>
          <t>演示用；1 m，最小分度值 1 mm，分别有米、分米、厘米、毫米四种单位，刻度清晰，宜采用工程塑料制</t>
        </is>
      </c>
      <c r="J42" s="51" t="inlineStr">
        <is>
          <t>个</t>
        </is>
      </c>
      <c r="K42" s="51" t="n">
        <v>28</v>
      </c>
      <c r="L42" s="51" t="n">
        <v>6</v>
      </c>
      <c r="M42" s="51" t="n">
        <v>6.6</v>
      </c>
      <c r="N42" s="51" t="n">
        <v>168</v>
      </c>
      <c r="O42" s="51" t="n">
        <v>184.8</v>
      </c>
      <c r="P42" s="51" t="inlineStr"/>
    </row>
    <row r="43">
      <c r="A43" s="51" t="inlineStr">
        <is>
          <t>Sheet1</t>
        </is>
      </c>
      <c r="B43" s="51" t="n">
        <v>19</v>
      </c>
      <c r="C43" s="51" t="inlineStr">
        <is>
          <t>直尺</t>
        </is>
      </c>
      <c r="D43" s="51" t="n">
        <v>3</v>
      </c>
      <c r="E43" s="51" t="inlineStr">
        <is>
          <t>未记录制造商</t>
        </is>
      </c>
      <c r="F43" s="51" t="inlineStr"/>
      <c r="G43" s="51" t="inlineStr"/>
      <c r="H43" s="51" t="inlineStr"/>
      <c r="I43" s="51" t="inlineStr">
        <is>
          <t>400mm或500mm，同上</t>
        </is>
      </c>
      <c r="J43" s="51" t="inlineStr">
        <is>
          <t>把</t>
        </is>
      </c>
      <c r="K43" s="51" t="n">
        <v>28</v>
      </c>
      <c r="L43" s="51" t="n">
        <v>7.5</v>
      </c>
      <c r="M43" s="51" t="n">
        <v>8.25</v>
      </c>
      <c r="N43" s="51" t="n">
        <v>210</v>
      </c>
      <c r="O43" s="51" t="n">
        <v>231</v>
      </c>
      <c r="P43" s="51" t="inlineStr"/>
    </row>
    <row r="44">
      <c r="A44" s="51" t="inlineStr">
        <is>
          <t>Sheet1</t>
        </is>
      </c>
      <c r="B44" s="51" t="n">
        <v>20</v>
      </c>
      <c r="C44" s="51" t="inlineStr">
        <is>
          <t>机械秒表</t>
        </is>
      </c>
      <c r="D44" s="51" t="n">
        <v>31</v>
      </c>
      <c r="E44" s="51" t="inlineStr">
        <is>
          <t>余姚市智达教仪设备成套有限公司</t>
        </is>
      </c>
      <c r="F44" s="51" t="inlineStr">
        <is>
          <t>钰婕</t>
        </is>
      </c>
      <c r="G44" s="51" t="inlineStr">
        <is>
          <t>30203000202</t>
        </is>
      </c>
      <c r="H44" s="51" t="inlineStr"/>
      <c r="I44" s="51" t="inlineStr">
        <is>
          <t>30203000202</t>
        </is>
      </c>
      <c r="J44" s="51" t="inlineStr">
        <is>
          <t>块</t>
        </is>
      </c>
      <c r="K44" s="51" t="n">
        <v>28</v>
      </c>
      <c r="L44" s="51" t="n">
        <v>15</v>
      </c>
      <c r="M44" s="51" t="n">
        <v>16.5</v>
      </c>
      <c r="N44" s="51" t="n">
        <v>420</v>
      </c>
      <c r="O44" s="51" t="n">
        <v>462</v>
      </c>
      <c r="P44" s="51" t="inlineStr"/>
    </row>
    <row r="45">
      <c r="A45" s="51" t="inlineStr">
        <is>
          <t>Sheet1</t>
        </is>
      </c>
      <c r="B45" s="51" t="n">
        <v>21</v>
      </c>
      <c r="C45" s="51" t="inlineStr">
        <is>
          <t>斜面小车</t>
        </is>
      </c>
      <c r="D45" s="51" t="n">
        <v>1</v>
      </c>
      <c r="E45" s="51" t="inlineStr">
        <is>
          <t>未记录制造商</t>
        </is>
      </c>
      <c r="F45" s="51" t="inlineStr"/>
      <c r="G45" s="51" t="inlineStr"/>
      <c r="H45" s="51" t="inlineStr"/>
      <c r="I45" s="51" t="inlineStr">
        <is>
          <t>包括斜面、小车、摩擦块、支撑杆、砝码桶和摩擦材料等，与教学支架配套使用；斜面板≥915 mm×100 mm×20 mm，一端应有滑轮、缓冲或捕获小车的装置；斜面板工作面平面度误差应小于 2 mm；附摩擦材料丁晴橡胶、砂纸、棉布等，有摩擦材料的固定夹</t>
        </is>
      </c>
      <c r="J45" s="51" t="inlineStr"/>
      <c r="K45" s="51" t="n">
        <v>56</v>
      </c>
      <c r="L45" s="51" t="n">
        <v>60</v>
      </c>
      <c r="M45" s="51" t="n">
        <v>66</v>
      </c>
      <c r="N45" s="51" t="n">
        <v>3360</v>
      </c>
      <c r="O45" s="51" t="n">
        <v>3696</v>
      </c>
      <c r="P45" s="51" t="inlineStr"/>
    </row>
    <row r="46">
      <c r="A46" s="51" t="inlineStr">
        <is>
          <t>Sheet1</t>
        </is>
      </c>
      <c r="B46" s="51" t="n">
        <v>22</v>
      </c>
      <c r="C46" s="51" t="inlineStr">
        <is>
          <t>演示测力计</t>
        </is>
      </c>
      <c r="D46" s="51" t="n">
        <v>1</v>
      </c>
      <c r="E46" s="51" t="inlineStr">
        <is>
          <t>未记录制造商</t>
        </is>
      </c>
      <c r="F46" s="51" t="inlineStr"/>
      <c r="G46" s="51" t="inlineStr"/>
      <c r="H46" s="51" t="inlineStr"/>
      <c r="I46" s="51" t="inlineStr">
        <is>
          <t>平板式；量程 0 N〜2 N，分度值 0.1 N；示值误差≤1/4 分度，升降示差≤1/2 分度，重复性偏差≤1/4 分度</t>
        </is>
      </c>
      <c r="J46" s="51" t="inlineStr"/>
      <c r="K46" s="51" t="n">
        <v>1</v>
      </c>
      <c r="L46" s="51" t="n">
        <v>15</v>
      </c>
      <c r="M46" s="51" t="n">
        <v>16.5</v>
      </c>
      <c r="N46" s="51" t="n">
        <v>15</v>
      </c>
      <c r="O46" s="51" t="n">
        <v>16.5</v>
      </c>
      <c r="P46" s="51" t="inlineStr"/>
    </row>
    <row r="47">
      <c r="A47" s="51" t="inlineStr">
        <is>
          <t>Sheet1</t>
        </is>
      </c>
      <c r="B47" s="51" t="n">
        <v>23</v>
      </c>
      <c r="C47" s="51" t="inlineStr">
        <is>
          <t>条形盒测力计</t>
        </is>
      </c>
      <c r="D47" s="51" t="n">
        <v>1</v>
      </c>
      <c r="E47" s="51" t="inlineStr">
        <is>
          <t>未记录制造商</t>
        </is>
      </c>
      <c r="F47" s="51" t="inlineStr"/>
      <c r="G47" s="51" t="inlineStr"/>
      <c r="H47" s="51" t="inlineStr"/>
      <c r="I47" s="51" t="inlineStr">
        <is>
          <t>量程 0 N〜5 N，分度值 0.1 N；示值误差≤1/4 分度，升降示差≤1/2 分度，重复性偏差≤1/4 分度</t>
        </is>
      </c>
      <c r="J47" s="51" t="inlineStr"/>
      <c r="K47" s="51" t="n">
        <v>56</v>
      </c>
      <c r="L47" s="51" t="n">
        <v>6</v>
      </c>
      <c r="M47" s="51" t="n">
        <v>6.6</v>
      </c>
      <c r="N47" s="51" t="n">
        <v>336</v>
      </c>
      <c r="O47" s="51" t="n">
        <v>369.6</v>
      </c>
      <c r="P47" s="51" t="inlineStr"/>
    </row>
    <row r="48">
      <c r="A48" s="51" t="inlineStr">
        <is>
          <t>Sheet1</t>
        </is>
      </c>
      <c r="B48" s="51" t="n">
        <v>24</v>
      </c>
      <c r="C48" s="51" t="inlineStr">
        <is>
          <t>金属钩码</t>
        </is>
      </c>
      <c r="D48" s="51" t="n">
        <v>1</v>
      </c>
      <c r="E48" s="51" t="inlineStr">
        <is>
          <t>未记录制造商</t>
        </is>
      </c>
      <c r="F48" s="51" t="inlineStr"/>
      <c r="G48" s="51" t="inlineStr"/>
      <c r="H48" s="51" t="inlineStr"/>
      <c r="I48" s="51" t="inlineStr">
        <is>
          <t>10 g（ Φ 22 mm）×l，20 g（ Φ 26 mm）×2，50 g（ Φ 30 mm）×2，200 g（ Φ 48 mm）×1，允许误差：10 g±0.1 g，20 g±0.2 g，50 g±0.5 g，200 g±2.0 g</t>
        </is>
      </c>
      <c r="J48" s="51" t="inlineStr"/>
      <c r="K48" s="51" t="n">
        <v>56</v>
      </c>
      <c r="L48" s="51" t="n">
        <v>15</v>
      </c>
      <c r="M48" s="51" t="n">
        <v>16.5</v>
      </c>
      <c r="N48" s="51" t="n">
        <v>840</v>
      </c>
      <c r="O48" s="51" t="n">
        <v>924</v>
      </c>
      <c r="P48" s="51" t="inlineStr"/>
    </row>
    <row r="49">
      <c r="A49" s="51" t="inlineStr">
        <is>
          <t>Sheet1</t>
        </is>
      </c>
      <c r="B49" s="51" t="n">
        <v>25</v>
      </c>
      <c r="C49" s="51" t="inlineStr">
        <is>
          <t>摩擦力演示器</t>
        </is>
      </c>
      <c r="D49" s="51" t="n">
        <v>31</v>
      </c>
      <c r="E49" s="51" t="inlineStr">
        <is>
          <t>宁波凯迪科教仪器有限公司</t>
        </is>
      </c>
      <c r="F49" s="51" t="inlineStr">
        <is>
          <t>群信</t>
        </is>
      </c>
      <c r="G49" s="51" t="inlineStr"/>
      <c r="H49" s="51" t="inlineStr">
        <is>
          <t>24006</t>
        </is>
      </c>
      <c r="I49" s="51" t="inlineStr">
        <is>
          <t>1．仪器由直线电流磁场演示器、环形电流磁场演示器、螺线管电流磁场演示器等构成。2．工作电流：直流3～6A</t>
        </is>
      </c>
      <c r="J49" s="51" t="inlineStr">
        <is>
          <t>套</t>
        </is>
      </c>
      <c r="K49" s="51" t="n">
        <v>1</v>
      </c>
      <c r="L49" s="51" t="n">
        <v>45</v>
      </c>
      <c r="M49" s="51" t="n">
        <v>49.5</v>
      </c>
      <c r="N49" s="51" t="n">
        <v>45</v>
      </c>
      <c r="O49" s="51" t="n">
        <v>49.5</v>
      </c>
      <c r="P49" s="51" t="inlineStr"/>
    </row>
    <row r="50">
      <c r="A50" s="51" t="inlineStr">
        <is>
          <t>Sheet1</t>
        </is>
      </c>
      <c r="B50" s="51" t="n">
        <v>26</v>
      </c>
      <c r="C50" s="51" t="inlineStr">
        <is>
          <t>运动和力实验器</t>
        </is>
      </c>
      <c r="D50" s="51" t="n">
        <v>1</v>
      </c>
      <c r="E50" s="51" t="inlineStr">
        <is>
          <t>未记录制造商</t>
        </is>
      </c>
      <c r="F50" s="51" t="inlineStr"/>
      <c r="G50" s="51" t="inlineStr"/>
      <c r="H50" s="51" t="inlineStr"/>
      <c r="I50" s="51" t="inlineStr">
        <is>
          <t>包括小车（车轮直径≥2 cm）、平面板、过渡片、斜面板、挡板、支架、3 个小球及空盒、3 种不同阻力的平面等；平面板长度不小于 800 mm，宽度不小于 120 mm；斜面与平面连接平滑，不铺摩擦材料与铺摩擦材料的情况下，小车运动距离相差应不小于 80 mm；铺两种不同的摩擦材料，小车运动距离相差应不小于 40 mm</t>
        </is>
      </c>
      <c r="J50" s="51" t="inlineStr"/>
      <c r="K50" s="51" t="n">
        <v>2</v>
      </c>
      <c r="L50" s="51" t="n">
        <v>62</v>
      </c>
      <c r="M50" s="51" t="n">
        <v>68.2</v>
      </c>
      <c r="N50" s="51" t="n">
        <v>124</v>
      </c>
      <c r="O50" s="51" t="n">
        <v>136.4</v>
      </c>
      <c r="P50" s="51" t="inlineStr"/>
    </row>
    <row r="51">
      <c r="A51" s="51" t="inlineStr">
        <is>
          <t>Sheet1</t>
        </is>
      </c>
      <c r="B51" s="51" t="n">
        <v>27</v>
      </c>
      <c r="C51" s="51" t="inlineStr">
        <is>
          <t>阿基米德原理实验器</t>
        </is>
      </c>
      <c r="D51" s="51" t="n">
        <v>1</v>
      </c>
      <c r="E51" s="51" t="inlineStr">
        <is>
          <t>未记录制造商</t>
        </is>
      </c>
      <c r="F51" s="51" t="inlineStr"/>
      <c r="G51" s="51" t="inlineStr"/>
      <c r="H51" s="51" t="inlineStr"/>
      <c r="I51" s="51" t="inlineStr">
        <is>
          <t>包括筒、圆柱体、溢液杯、低重心浮筒、低重心浮筒配重等</t>
        </is>
      </c>
      <c r="J51" s="51" t="inlineStr"/>
      <c r="K51" s="51" t="n">
        <v>56</v>
      </c>
      <c r="L51" s="51" t="n">
        <v>12</v>
      </c>
      <c r="M51" s="51" t="n">
        <v>13.2</v>
      </c>
      <c r="N51" s="51" t="n">
        <v>672</v>
      </c>
      <c r="O51" s="51" t="n">
        <v>739.2</v>
      </c>
      <c r="P51" s="51" t="inlineStr"/>
    </row>
    <row r="52">
      <c r="A52" s="51" t="inlineStr">
        <is>
          <t>Sheet1</t>
        </is>
      </c>
      <c r="B52" s="51" t="n">
        <v>28</v>
      </c>
      <c r="C52" s="51" t="inlineStr">
        <is>
          <t>浮力原理演示器</t>
        </is>
      </c>
      <c r="D52" s="51" t="n">
        <v>1</v>
      </c>
      <c r="E52" s="51" t="inlineStr">
        <is>
          <t>未记录制造商</t>
        </is>
      </c>
      <c r="F52" s="51" t="inlineStr"/>
      <c r="G52" s="51" t="inlineStr"/>
      <c r="H52" s="51" t="inlineStr"/>
      <c r="I52" s="51" t="inlineStr">
        <is>
          <t>由透明的大水箱、小水箱、排气管、浮体、连通管（A、B）、控制阀和支架组成。连通管 A 中部装有阀门，浮体放在小水箱上口，从周围缓缓加入水，浮体不浮起；打开阀门，使水面从小水箱中向浮体底部缓缓上升，当接触浮体底部时浮体上浮</t>
        </is>
      </c>
      <c r="J52" s="51" t="inlineStr"/>
      <c r="K52" s="51" t="n">
        <v>2</v>
      </c>
      <c r="L52" s="51" t="n">
        <v>42</v>
      </c>
      <c r="M52" s="51" t="n">
        <v>46.2</v>
      </c>
      <c r="N52" s="51" t="n">
        <v>84</v>
      </c>
      <c r="O52" s="51" t="n">
        <v>92.40000000000001</v>
      </c>
      <c r="P52" s="51" t="inlineStr"/>
    </row>
    <row r="53">
      <c r="A53" s="51" t="inlineStr">
        <is>
          <t>Sheet1</t>
        </is>
      </c>
      <c r="B53" s="51" t="n">
        <v>29</v>
      </c>
      <c r="C53" s="51" t="inlineStr">
        <is>
          <t>压力和压强演示器</t>
        </is>
      </c>
      <c r="D53" s="51" t="n">
        <v>1</v>
      </c>
      <c r="E53" s="51" t="inlineStr">
        <is>
          <t>未记录制造商</t>
        </is>
      </c>
      <c r="F53" s="51" t="inlineStr"/>
      <c r="G53" s="51" t="inlineStr"/>
      <c r="H53" s="51" t="inlineStr"/>
      <c r="I53" s="51" t="inlineStr">
        <is>
          <t>压强小桌，尺寸≥200 mm×100 mm×100 mm；配套多孔弹性材料，尺寸≥220 mm×120 mm×50 mm</t>
        </is>
      </c>
      <c r="J53" s="51" t="inlineStr"/>
      <c r="K53" s="51" t="n">
        <v>2</v>
      </c>
      <c r="L53" s="51" t="n">
        <v>22</v>
      </c>
      <c r="M53" s="51" t="n">
        <v>24.2</v>
      </c>
      <c r="N53" s="51" t="n">
        <v>44</v>
      </c>
      <c r="O53" s="51" t="n">
        <v>48.4</v>
      </c>
      <c r="P53" s="51" t="inlineStr"/>
    </row>
    <row r="54">
      <c r="A54" s="51" t="inlineStr">
        <is>
          <t>Sheet1</t>
        </is>
      </c>
      <c r="B54" s="51" t="n">
        <v>30</v>
      </c>
      <c r="C54" s="51" t="inlineStr">
        <is>
          <t>微小压强计</t>
        </is>
      </c>
      <c r="D54" s="51" t="n">
        <v>1</v>
      </c>
      <c r="E54" s="51" t="inlineStr">
        <is>
          <t>未记录制造商</t>
        </is>
      </c>
      <c r="F54" s="51" t="inlineStr"/>
      <c r="G54" s="51" t="inlineStr"/>
      <c r="H54" s="51" t="inlineStr"/>
      <c r="I54" s="51" t="inlineStr">
        <is>
          <t>由 U 形管、标度板、三通连接管、硅橡胶管、弹簧止水夹和连有塑料管的注射器组成；U形管外径 6 mm，高不小于 380 mm，能沿标度方向移动不小于 10 mm，能固定；标尺长 300mm，0 分度在中间，最小分度线为 5 mm；系统气密性好</t>
        </is>
      </c>
      <c r="J54" s="51" t="inlineStr"/>
      <c r="K54" s="51" t="n">
        <v>28</v>
      </c>
      <c r="L54" s="51" t="n">
        <v>6</v>
      </c>
      <c r="M54" s="51" t="n">
        <v>6.6</v>
      </c>
      <c r="N54" s="51" t="n">
        <v>168</v>
      </c>
      <c r="O54" s="51" t="n">
        <v>184.8</v>
      </c>
      <c r="P54" s="51" t="inlineStr"/>
    </row>
    <row r="55">
      <c r="A55" s="51" t="inlineStr">
        <is>
          <t>Sheet1</t>
        </is>
      </c>
      <c r="B55" s="51" t="n">
        <v>31</v>
      </c>
      <c r="C55" s="51" t="inlineStr">
        <is>
          <t>液体对器壁压强演示器</t>
        </is>
      </c>
      <c r="D55" s="51" t="n">
        <v>1</v>
      </c>
      <c r="E55" s="51" t="inlineStr">
        <is>
          <t>未记录制造商</t>
        </is>
      </c>
      <c r="F55" s="51" t="inlineStr"/>
      <c r="G55" s="51" t="inlineStr"/>
      <c r="H55" s="51" t="inlineStr"/>
      <c r="I55" s="51" t="inlineStr">
        <is>
          <t>透明圆筒壁同一直线上不同高度处应有 3 个喷嘴，对面应有 1 个喷嘴；配 4 个喷嘴塞或盖，有表示深度的标尺</t>
        </is>
      </c>
      <c r="J55" s="51" t="inlineStr"/>
      <c r="K55" s="51" t="n">
        <v>2</v>
      </c>
      <c r="L55" s="51" t="n">
        <v>20</v>
      </c>
      <c r="M55" s="51" t="n">
        <v>22</v>
      </c>
      <c r="N55" s="51" t="n">
        <v>40</v>
      </c>
      <c r="O55" s="51" t="n">
        <v>44</v>
      </c>
      <c r="P55" s="51" t="inlineStr"/>
    </row>
    <row r="56">
      <c r="A56" s="51" t="inlineStr">
        <is>
          <t>Sheet1</t>
        </is>
      </c>
      <c r="B56" s="51" t="n">
        <v>32</v>
      </c>
      <c r="C56" s="51" t="inlineStr">
        <is>
          <t>连通器</t>
        </is>
      </c>
      <c r="D56" s="51" t="n">
        <v>1</v>
      </c>
      <c r="E56" s="51" t="inlineStr">
        <is>
          <t>未记录制造商</t>
        </is>
      </c>
      <c r="F56" s="51" t="inlineStr"/>
      <c r="G56" s="51" t="inlineStr"/>
      <c r="H56" s="51" t="inlineStr"/>
      <c r="I56" s="51" t="inlineStr">
        <is>
          <t>由粗直管、细直管、细弯折管、细带球管等组成，尺寸 210 mm×210 mm×120 mm，底座应平稳；粗管外径 30 mm，细管外径 12 mm，无色透明材料透光率≥90％</t>
        </is>
      </c>
      <c r="J56" s="51" t="inlineStr"/>
      <c r="K56" s="51" t="n">
        <v>2</v>
      </c>
      <c r="L56" s="51" t="n">
        <v>12</v>
      </c>
      <c r="M56" s="51" t="n">
        <v>13.2</v>
      </c>
      <c r="N56" s="51" t="n">
        <v>24</v>
      </c>
      <c r="O56" s="51" t="n">
        <v>26.4</v>
      </c>
      <c r="P56" s="51" t="inlineStr"/>
    </row>
    <row r="57">
      <c r="A57" s="51" t="inlineStr">
        <is>
          <t>Sheet1</t>
        </is>
      </c>
      <c r="B57" s="51" t="n">
        <v>33</v>
      </c>
      <c r="C57" s="51" t="inlineStr">
        <is>
          <t>杠杆</t>
        </is>
      </c>
      <c r="D57" s="51" t="n">
        <v>1</v>
      </c>
      <c r="E57" s="51" t="inlineStr">
        <is>
          <t>未记录制造商</t>
        </is>
      </c>
      <c r="F57" s="51" t="inlineStr"/>
      <c r="G57" s="51" t="inlineStr"/>
      <c r="H57" s="51" t="inlineStr"/>
      <c r="I57" s="51" t="inlineStr">
        <is>
          <t>由杠杆、轴、调平装置和6个挂钩组成，挂钩在标尺上能连续移动，杠杆长≥500mm，木杠杆尺端需包头加固</t>
        </is>
      </c>
      <c r="J57" s="51" t="inlineStr">
        <is>
          <t>套</t>
        </is>
      </c>
      <c r="K57" s="51" t="n">
        <v>56</v>
      </c>
      <c r="L57" s="51" t="n">
        <v>8</v>
      </c>
      <c r="M57" s="51" t="n">
        <v>8.800000000000001</v>
      </c>
      <c r="N57" s="51" t="n">
        <v>448</v>
      </c>
      <c r="O57" s="51" t="n">
        <v>492.8</v>
      </c>
      <c r="P57" s="51" t="inlineStr"/>
    </row>
    <row r="58">
      <c r="A58" s="51" t="inlineStr">
        <is>
          <t>Sheet1</t>
        </is>
      </c>
      <c r="B58" s="51" t="n">
        <v>34</v>
      </c>
      <c r="C58" s="51" t="inlineStr">
        <is>
          <t>演示滑轮组</t>
        </is>
      </c>
      <c r="D58" s="51" t="n">
        <v>1</v>
      </c>
      <c r="E58" s="51" t="inlineStr">
        <is>
          <t>未记录制造商</t>
        </is>
      </c>
      <c r="F58" s="51" t="inlineStr"/>
      <c r="G58" s="51" t="inlineStr"/>
      <c r="H58" s="51" t="inlineStr"/>
      <c r="I58" s="51" t="inlineStr">
        <is>
          <t>由单滑轮 2 件、三并滑轮 2 件、三串滑轮 2件、支杆滑轮 2 件组成，附滑轮绳；额定负荷：单滑轮 9.8 N，串及并滑轮为 19.6 N，支杆滑轮为 9.8 N；满负荷时，单、支杆滑轮的效率不应低于 90％，并、串滑轮的效率不应低于 75％</t>
        </is>
      </c>
      <c r="J58" s="51" t="inlineStr"/>
      <c r="K58" s="51" t="n">
        <v>2</v>
      </c>
      <c r="L58" s="51" t="n">
        <v>40</v>
      </c>
      <c r="M58" s="51" t="n">
        <v>44</v>
      </c>
      <c r="N58" s="51" t="n">
        <v>80</v>
      </c>
      <c r="O58" s="51" t="n">
        <v>88</v>
      </c>
      <c r="P58" s="51" t="inlineStr"/>
    </row>
    <row r="59">
      <c r="A59" s="51" t="inlineStr">
        <is>
          <t>Sheet1</t>
        </is>
      </c>
      <c r="B59" s="51" t="n">
        <v>35</v>
      </c>
      <c r="C59" s="51" t="inlineStr">
        <is>
          <t>音叉</t>
        </is>
      </c>
      <c r="D59" s="51" t="n">
        <v>1</v>
      </c>
      <c r="E59" s="51" t="inlineStr">
        <is>
          <t>未记录制造商</t>
        </is>
      </c>
      <c r="F59" s="51" t="inlineStr"/>
      <c r="G59" s="51" t="inlineStr"/>
      <c r="H59" s="51" t="inlineStr"/>
      <c r="I59" s="51" t="inlineStr">
        <is>
          <t>256 Hz±0.3 Hz；由音叉、共鸣箱、音叉槌等组成；松木共鸣箱，尺寸 300 mm×80 mm×40 mm；在环境噪声不大于 30 dB 的室内，用音叉槌敲击音叉，距音叉 1000 mm 处声强应不小于 90 dB</t>
        </is>
      </c>
      <c r="J59" s="51" t="inlineStr"/>
      <c r="K59" s="51" t="n">
        <v>28</v>
      </c>
      <c r="L59" s="51" t="n">
        <v>21</v>
      </c>
      <c r="M59" s="51" t="n">
        <v>23.1</v>
      </c>
      <c r="N59" s="51" t="n">
        <v>588</v>
      </c>
      <c r="O59" s="51" t="n">
        <v>646.8</v>
      </c>
      <c r="P59" s="51" t="inlineStr"/>
    </row>
    <row r="60">
      <c r="A60" s="51" t="inlineStr">
        <is>
          <t>Sheet1</t>
        </is>
      </c>
      <c r="B60" s="51" t="n">
        <v>35</v>
      </c>
      <c r="C60" s="51" t="inlineStr">
        <is>
          <t>音叉</t>
        </is>
      </c>
      <c r="D60" s="51" t="n">
        <v>2</v>
      </c>
      <c r="E60" s="51" t="inlineStr">
        <is>
          <t>未记录制造商</t>
        </is>
      </c>
      <c r="F60" s="51" t="inlineStr"/>
      <c r="G60" s="51" t="inlineStr"/>
      <c r="H60" s="51" t="inlineStr"/>
      <c r="I60" s="51" t="inlineStr">
        <is>
          <t>512 Hz±0.4 Hz；由音叉、共鸣箱、音叉槌等组成；松木共鸣箱，尺寸 140 mm×80 mm×40 mm；在环境噪声不大于 30 dB 的室内，用音叉槌敲击音叉，距音叉 1000 mm 处声强应不小于 90 dB</t>
        </is>
      </c>
      <c r="J60" s="51" t="inlineStr"/>
      <c r="K60" s="51" t="n">
        <v>28</v>
      </c>
      <c r="L60" s="51" t="n">
        <v>21</v>
      </c>
      <c r="M60" s="51" t="n">
        <v>23.1</v>
      </c>
      <c r="N60" s="51" t="n">
        <v>588</v>
      </c>
      <c r="O60" s="51" t="n">
        <v>646.8</v>
      </c>
      <c r="P60" s="51" t="inlineStr"/>
    </row>
    <row r="61">
      <c r="A61" s="51" t="inlineStr">
        <is>
          <t>Sheet1</t>
        </is>
      </c>
      <c r="B61" s="51" t="n">
        <v>36</v>
      </c>
      <c r="C61" s="51" t="inlineStr">
        <is>
          <t>声传播演示器</t>
        </is>
      </c>
      <c r="D61" s="51" t="n">
        <v>1</v>
      </c>
      <c r="E61" s="51" t="inlineStr">
        <is>
          <t>未记录制造商</t>
        </is>
      </c>
      <c r="F61" s="51" t="inlineStr"/>
      <c r="G61" s="51" t="inlineStr"/>
      <c r="H61" s="51" t="inlineStr"/>
      <c r="I61" s="51" t="inlineStr">
        <is>
          <t>由透明可密封容器、音频发生器、扬声器（含放大器）、传声棒、连接皮管等组成；可密封容器密封性好，能将容器内气压抽到低于-0.085 MPa，并在 10 s 内保持气压低于-0.080 MPa；可演示声音在气体、液体、固体中的传播以及真空不能传声等实验</t>
        </is>
      </c>
      <c r="J61" s="51" t="inlineStr"/>
      <c r="K61" s="51" t="n">
        <v>2</v>
      </c>
      <c r="L61" s="51" t="n">
        <v>130</v>
      </c>
      <c r="M61" s="51" t="n">
        <v>143</v>
      </c>
      <c r="N61" s="51" t="n">
        <v>260</v>
      </c>
      <c r="O61" s="51" t="n">
        <v>286</v>
      </c>
      <c r="P61" s="51" t="inlineStr"/>
    </row>
    <row r="62">
      <c r="A62" s="51" t="inlineStr">
        <is>
          <t>Sheet1</t>
        </is>
      </c>
      <c r="B62" s="51" t="n">
        <v>37</v>
      </c>
      <c r="C62" s="51" t="inlineStr">
        <is>
          <t>凹面镜</t>
        </is>
      </c>
      <c r="D62" s="51" t="n">
        <v>1</v>
      </c>
      <c r="E62" s="51" t="inlineStr">
        <is>
          <t>未记录制造商</t>
        </is>
      </c>
      <c r="F62" s="51" t="inlineStr"/>
      <c r="G62" s="51" t="inlineStr"/>
      <c r="H62" s="51" t="inlineStr"/>
      <c r="I62" s="51" t="inlineStr">
        <is>
          <t>直径 100 mm，焦距 65 mm，镜片为玻璃基质镀反射膜，配支架和镜座</t>
        </is>
      </c>
      <c r="J62" s="51" t="inlineStr"/>
      <c r="K62" s="51" t="n">
        <v>2</v>
      </c>
      <c r="L62" s="51" t="n">
        <v>10</v>
      </c>
      <c r="M62" s="51" t="n">
        <v>11</v>
      </c>
      <c r="N62" s="51" t="n">
        <v>20</v>
      </c>
      <c r="O62" s="51" t="n">
        <v>22</v>
      </c>
      <c r="P62" s="51" t="inlineStr"/>
    </row>
    <row r="63">
      <c r="A63" s="51" t="inlineStr">
        <is>
          <t>Sheet1</t>
        </is>
      </c>
      <c r="B63" s="51" t="n">
        <v>38</v>
      </c>
      <c r="C63" s="51" t="inlineStr">
        <is>
          <t>凸面镜</t>
        </is>
      </c>
      <c r="D63" s="51" t="n">
        <v>1</v>
      </c>
      <c r="E63" s="51" t="inlineStr">
        <is>
          <t>未记录制造商</t>
        </is>
      </c>
      <c r="F63" s="51" t="inlineStr"/>
      <c r="G63" s="51" t="inlineStr"/>
      <c r="H63" s="51" t="inlineStr"/>
      <c r="I63" s="51" t="inlineStr">
        <is>
          <t>直径 100 mm，焦距-65 mm，镜片为玻璃基质镀反射膜，配支架和镜座</t>
        </is>
      </c>
      <c r="J63" s="51" t="inlineStr"/>
      <c r="K63" s="51" t="n">
        <v>2</v>
      </c>
      <c r="L63" s="51" t="n">
        <v>10</v>
      </c>
      <c r="M63" s="51" t="n">
        <v>11</v>
      </c>
      <c r="N63" s="51" t="n">
        <v>20</v>
      </c>
      <c r="O63" s="51" t="n">
        <v>22</v>
      </c>
      <c r="P63" s="51" t="inlineStr"/>
    </row>
    <row r="64">
      <c r="A64" s="51" t="inlineStr">
        <is>
          <t>Sheet1</t>
        </is>
      </c>
      <c r="B64" s="51" t="n">
        <v>39</v>
      </c>
      <c r="C64" s="51" t="inlineStr">
        <is>
          <t>平面镜成像实验器</t>
        </is>
      </c>
      <c r="D64" s="51" t="n">
        <v>1</v>
      </c>
      <c r="E64" s="51" t="inlineStr">
        <is>
          <t>未记录制造商</t>
        </is>
      </c>
      <c r="F64" s="51" t="inlineStr"/>
      <c r="G64" s="51" t="inlineStr"/>
      <c r="H64" s="51" t="inlineStr"/>
      <c r="I64" s="51" t="inlineStr">
        <is>
          <t>镀半透膜的无色透明有机玻璃，厚 5 mm，尺寸不小于 150 mm×100 mm，镜片边缘倒边倒角，镀膜面有标志；支架 2 个；宜采用黑色物体，印有白色左右对称标志 F；有机玻璃装上支架放在平面上，与平面的角度为 90°±1´，成像清晰无叠影</t>
        </is>
      </c>
      <c r="J64" s="51" t="inlineStr"/>
      <c r="K64" s="51" t="n">
        <v>56</v>
      </c>
      <c r="L64" s="51" t="n">
        <v>14</v>
      </c>
      <c r="M64" s="51" t="n">
        <v>15.4</v>
      </c>
      <c r="N64" s="51" t="n">
        <v>784</v>
      </c>
      <c r="O64" s="51" t="n">
        <v>862.4</v>
      </c>
      <c r="P64" s="51" t="inlineStr"/>
    </row>
    <row r="65">
      <c r="A65" s="51" t="inlineStr">
        <is>
          <t>Sheet1</t>
        </is>
      </c>
      <c r="B65" s="51" t="n">
        <v>39</v>
      </c>
      <c r="C65" s="51" t="inlineStr">
        <is>
          <t>平面镜成像实验器</t>
        </is>
      </c>
      <c r="D65" s="51" t="n">
        <v>2</v>
      </c>
      <c r="E65" s="51" t="inlineStr">
        <is>
          <t>未记录制造商</t>
        </is>
      </c>
      <c r="F65" s="51" t="inlineStr"/>
      <c r="G65" s="51" t="inlineStr"/>
      <c r="H65" s="51" t="inlineStr"/>
      <c r="I65" s="51" t="inlineStr">
        <is>
          <t>由水平底座、镀半透膜的超薄塑料平面镜（厚度≤1 mm）等组成；平面镜镀膜面有标志，倾角宜能连续微调；宜采用黑色物体，印有白色左右对称标志 F；角度不可调平面镜固定后与水平面的角度为 90°±1´，成像清晰无叠影</t>
        </is>
      </c>
      <c r="J65" s="51" t="inlineStr"/>
      <c r="K65" s="51" t="n">
        <v>56</v>
      </c>
      <c r="L65" s="51" t="n">
        <v>14</v>
      </c>
      <c r="M65" s="51" t="n">
        <v>15.4</v>
      </c>
      <c r="N65" s="51" t="n">
        <v>784</v>
      </c>
      <c r="O65" s="51" t="n">
        <v>862.4</v>
      </c>
      <c r="P65" s="51" t="inlineStr"/>
    </row>
    <row r="66">
      <c r="A66" s="51" t="inlineStr">
        <is>
          <t>Sheet1</t>
        </is>
      </c>
      <c r="B66" s="51" t="n">
        <v>40</v>
      </c>
      <c r="C66" s="51" t="inlineStr">
        <is>
          <t>白光的色散与合成演示器</t>
        </is>
      </c>
      <c r="D66" s="51" t="n">
        <v>1</v>
      </c>
      <c r="E66" s="51" t="inlineStr">
        <is>
          <t>未记录制造商</t>
        </is>
      </c>
      <c r="F66" s="51" t="inlineStr"/>
      <c r="G66" s="51" t="inlineStr"/>
      <c r="H66" s="51" t="inlineStr"/>
      <c r="I66" s="51" t="inlineStr">
        <is>
          <t>由光源、三棱镜、三棱镜台、光屏、支承系统等组成；两块棱镜应配对，用 ZF3 玻璃制，其折射率之差不大于 0.003，中部色散之差不大于 0.0004。实验效果：做白光的色散实验时，可见光区域内光谱连续清晰；能把白光色散后的七色光谱带还原成白光</t>
        </is>
      </c>
      <c r="J66" s="51" t="inlineStr"/>
      <c r="K66" s="51" t="n">
        <v>2</v>
      </c>
      <c r="L66" s="51" t="n">
        <v>35</v>
      </c>
      <c r="M66" s="51" t="n">
        <v>38.5</v>
      </c>
      <c r="N66" s="51" t="n">
        <v>70</v>
      </c>
      <c r="O66" s="51" t="n">
        <v>77</v>
      </c>
      <c r="P66" s="51" t="inlineStr"/>
    </row>
    <row r="67">
      <c r="A67" s="51" t="inlineStr">
        <is>
          <t>Sheet1</t>
        </is>
      </c>
      <c r="B67" s="51" t="n">
        <v>41</v>
      </c>
      <c r="C67" s="51" t="inlineStr">
        <is>
          <t>光具座</t>
        </is>
      </c>
      <c r="D67" s="51" t="n">
        <v>1</v>
      </c>
      <c r="E67" s="51" t="inlineStr">
        <is>
          <t>未记录制造商</t>
        </is>
      </c>
      <c r="F67" s="51" t="inlineStr"/>
      <c r="G67" s="51" t="inlineStr"/>
      <c r="H67" s="51" t="inlineStr"/>
      <c r="I67" s="51" t="inlineStr">
        <is>
          <t>导轨长 1000 mm，导轨和滑块均为金属件，滑块在导轨上应滑行自如，无阻滞现象。金属标尺刻度 900 mm，分度值 l mm。光源出口处照度应≥500 1x，500 mm 处照度≥300 1x。附件包括双凸透镜 2 件，平凸透镜 1 件，双凹透镜 1 件，“1”字屏 1 件，白屏 1 件，插杆 5 根，带支架毛玻璃屏 1 件，烛台 1 件。各器件易于装配、固定及拆卸</t>
        </is>
      </c>
      <c r="J67" s="51" t="inlineStr"/>
      <c r="K67" s="51" t="n">
        <v>56</v>
      </c>
      <c r="L67" s="51" t="n">
        <v>58</v>
      </c>
      <c r="M67" s="51" t="n">
        <v>63.8</v>
      </c>
      <c r="N67" s="51" t="n">
        <v>3248</v>
      </c>
      <c r="O67" s="51" t="n">
        <v>3572.8</v>
      </c>
      <c r="P67" s="51" t="inlineStr"/>
    </row>
    <row r="68">
      <c r="A68" s="51" t="inlineStr">
        <is>
          <t>Sheet1</t>
        </is>
      </c>
      <c r="B68" s="51" t="n">
        <v>42</v>
      </c>
      <c r="C68" s="51" t="inlineStr">
        <is>
          <t>光具组</t>
        </is>
      </c>
      <c r="D68" s="51" t="n">
        <v>1</v>
      </c>
      <c r="E68" s="51" t="inlineStr">
        <is>
          <t>未记录制造商</t>
        </is>
      </c>
      <c r="F68" s="51" t="inlineStr"/>
      <c r="G68" s="51" t="inlineStr"/>
      <c r="H68" s="51" t="inlineStr"/>
      <c r="I68" s="51" t="inlineStr">
        <is>
          <t>包括双凸透镜 2 件，平凸透镜 1 件，双凹透镜 1 件，“l”字屏 1 件，白光屏 1 件，毛玻璃光屏 1 件，烛台 1 件（能调节焰心的高度）。光源出口照度≥500 lx，0.5 m 处照度不小于出口照度的 3／5。支承机构应能使光路上元件的光心基本等高</t>
        </is>
      </c>
      <c r="J68" s="51" t="inlineStr"/>
      <c r="K68" s="51" t="n">
        <v>2</v>
      </c>
      <c r="L68" s="51" t="n">
        <v>28</v>
      </c>
      <c r="M68" s="51" t="n">
        <v>30.8</v>
      </c>
      <c r="N68" s="51" t="n">
        <v>56</v>
      </c>
      <c r="O68" s="51" t="n">
        <v>61.6</v>
      </c>
      <c r="P68" s="51" t="inlineStr"/>
    </row>
    <row r="69">
      <c r="A69" s="51" t="inlineStr">
        <is>
          <t>Sheet1</t>
        </is>
      </c>
      <c r="B69" s="51" t="n">
        <v>43</v>
      </c>
      <c r="C69" s="51" t="inlineStr">
        <is>
          <t>玻棒(附丝绸)</t>
        </is>
      </c>
      <c r="D69" s="51" t="n">
        <v>1</v>
      </c>
      <c r="E69" s="51" t="inlineStr">
        <is>
          <t>未记录制造商</t>
        </is>
      </c>
      <c r="F69" s="51" t="inlineStr"/>
      <c r="G69" s="51" t="inlineStr"/>
      <c r="H69" s="51" t="inlineStr"/>
      <c r="I69" s="51" t="inlineStr">
        <is>
          <t>或有机玻棒(附丝绸)，丝绸面积≥350 mm×350 mm。在规定工作条件下，用丝绸裹住玻棒（或有机玻棒），做一次快速拉出，棒上所带的电荷用 D－YDQ－Z－100 型指针验电器检验张角≥30°（≥50°）</t>
        </is>
      </c>
      <c r="J69" s="51" t="inlineStr"/>
      <c r="K69" s="51" t="n">
        <v>28</v>
      </c>
      <c r="L69" s="51" t="n">
        <v>6.5</v>
      </c>
      <c r="M69" s="51" t="n">
        <v>7.15</v>
      </c>
      <c r="N69" s="51" t="n">
        <v>182</v>
      </c>
      <c r="O69" s="51" t="n">
        <v>200.2</v>
      </c>
      <c r="P69" s="51" t="inlineStr"/>
    </row>
    <row r="70">
      <c r="A70" s="51" t="inlineStr">
        <is>
          <t>Sheet1</t>
        </is>
      </c>
      <c r="B70" s="51" t="n">
        <v>44</v>
      </c>
      <c r="C70" s="51" t="inlineStr">
        <is>
          <t>胶棒(附毛皮)</t>
        </is>
      </c>
      <c r="D70" s="51" t="n">
        <v>1</v>
      </c>
      <c r="E70" s="51" t="inlineStr">
        <is>
          <t>未记录制造商</t>
        </is>
      </c>
      <c r="F70" s="51" t="inlineStr"/>
      <c r="G70" s="51" t="inlineStr"/>
      <c r="H70" s="51" t="inlineStr"/>
      <c r="I70" s="51" t="inlineStr">
        <is>
          <t>或聚碳酸酯棒(附毛皮)，毛皮面积≥150 mm×150 mm。在规定工作条件下，用毛皮裹胶棒（或聚碳酸脂棒），做一次快速拉出，棒上所带的电荷用 D－YDQ－Z－100 型指针验电器检验张角≥30°（≥45°）</t>
        </is>
      </c>
      <c r="J70" s="51" t="inlineStr"/>
      <c r="K70" s="51" t="n">
        <v>28</v>
      </c>
      <c r="L70" s="51" t="n">
        <v>6.5</v>
      </c>
      <c r="M70" s="51" t="n">
        <v>7.15</v>
      </c>
      <c r="N70" s="51" t="n">
        <v>182</v>
      </c>
      <c r="O70" s="51" t="n">
        <v>200.2</v>
      </c>
      <c r="P70" s="51" t="inlineStr"/>
    </row>
    <row r="71">
      <c r="A71" s="51" t="inlineStr">
        <is>
          <t>Sheet1</t>
        </is>
      </c>
      <c r="B71" s="51" t="n">
        <v>45</v>
      </c>
      <c r="C71" s="51" t="inlineStr">
        <is>
          <t>条形磁铁</t>
        </is>
      </c>
      <c r="D71" s="51" t="n">
        <v>1</v>
      </c>
      <c r="E71" s="51" t="inlineStr">
        <is>
          <t>未记录制造商</t>
        </is>
      </c>
      <c r="F71" s="51" t="inlineStr"/>
      <c r="G71" s="51" t="inlineStr"/>
      <c r="H71" s="51" t="inlineStr"/>
      <c r="I71" s="51" t="inlineStr">
        <is>
          <t>D-CG-LT-180，表面磁感应强度≥0.07 T</t>
        </is>
      </c>
      <c r="J71" s="51" t="inlineStr"/>
      <c r="K71" s="51" t="n">
        <v>28</v>
      </c>
      <c r="L71" s="51" t="n">
        <v>16</v>
      </c>
      <c r="M71" s="51" t="n">
        <v>17.6</v>
      </c>
      <c r="N71" s="51" t="n">
        <v>448</v>
      </c>
      <c r="O71" s="51" t="n">
        <v>492.8</v>
      </c>
      <c r="P71" s="51" t="inlineStr"/>
    </row>
    <row r="72">
      <c r="A72" s="51" t="inlineStr">
        <is>
          <t>Sheet1</t>
        </is>
      </c>
      <c r="B72" s="51" t="n">
        <v>45</v>
      </c>
      <c r="C72" s="51" t="inlineStr">
        <is>
          <t>条形磁铁</t>
        </is>
      </c>
      <c r="D72" s="51" t="n">
        <v>2</v>
      </c>
      <c r="E72" s="51" t="inlineStr">
        <is>
          <t>未记录制造商</t>
        </is>
      </c>
      <c r="F72" s="51" t="inlineStr"/>
      <c r="G72" s="51" t="inlineStr"/>
      <c r="H72" s="51" t="inlineStr"/>
      <c r="I72" s="51" t="inlineStr">
        <is>
          <t>D-CG-LU-100，表面磁感应强度≥0.055 T</t>
        </is>
      </c>
      <c r="J72" s="51" t="inlineStr"/>
      <c r="K72" s="51" t="n">
        <v>28</v>
      </c>
      <c r="L72" s="51" t="n">
        <v>14</v>
      </c>
      <c r="M72" s="51" t="n">
        <v>15.4</v>
      </c>
      <c r="N72" s="51" t="n">
        <v>392</v>
      </c>
      <c r="O72" s="51" t="n">
        <v>431.2</v>
      </c>
      <c r="P72" s="51" t="inlineStr"/>
    </row>
    <row r="73">
      <c r="A73" s="51" t="inlineStr">
        <is>
          <t>Sheet1</t>
        </is>
      </c>
      <c r="B73" s="51" t="n">
        <v>46</v>
      </c>
      <c r="C73" s="51" t="inlineStr">
        <is>
          <t>蹄形磁铁</t>
        </is>
      </c>
      <c r="D73" s="51" t="n">
        <v>1</v>
      </c>
      <c r="E73" s="51" t="inlineStr">
        <is>
          <t>未记录制造商</t>
        </is>
      </c>
      <c r="F73" s="51" t="inlineStr"/>
      <c r="G73" s="51" t="inlineStr"/>
      <c r="H73" s="51" t="inlineStr"/>
      <c r="I73" s="51" t="inlineStr">
        <is>
          <t>D-CG-LU-100，表面磁感应强度≥0.055 T</t>
        </is>
      </c>
      <c r="J73" s="51" t="inlineStr"/>
      <c r="K73" s="51" t="n">
        <v>28</v>
      </c>
      <c r="L73" s="51" t="n">
        <v>14</v>
      </c>
      <c r="M73" s="51" t="n">
        <v>15.4</v>
      </c>
      <c r="N73" s="51" t="n">
        <v>392</v>
      </c>
      <c r="O73" s="51" t="n">
        <v>431.2</v>
      </c>
      <c r="P73" s="51" t="inlineStr"/>
    </row>
    <row r="74">
      <c r="A74" s="51" t="inlineStr">
        <is>
          <t>Sheet1</t>
        </is>
      </c>
      <c r="B74" s="51" t="n">
        <v>46</v>
      </c>
      <c r="C74" s="51" t="inlineStr">
        <is>
          <t>蹄形磁铁</t>
        </is>
      </c>
      <c r="D74" s="51" t="n">
        <v>2</v>
      </c>
      <c r="E74" s="51" t="inlineStr">
        <is>
          <t>未记录制造商</t>
        </is>
      </c>
      <c r="F74" s="51" t="inlineStr"/>
      <c r="G74" s="51" t="inlineStr"/>
      <c r="H74" s="51" t="inlineStr"/>
      <c r="I74" s="51" t="inlineStr">
        <is>
          <t>D-CG-LT-180，表面磁感应强度≥0.07 T</t>
        </is>
      </c>
      <c r="J74" s="51" t="inlineStr"/>
      <c r="K74" s="51" t="n">
        <v>28</v>
      </c>
      <c r="L74" s="51" t="n">
        <v>16</v>
      </c>
      <c r="M74" s="51" t="n">
        <v>17.6</v>
      </c>
      <c r="N74" s="51" t="n">
        <v>448</v>
      </c>
      <c r="O74" s="51" t="n">
        <v>492.8</v>
      </c>
      <c r="P74" s="51" t="inlineStr"/>
    </row>
    <row r="75">
      <c r="A75" s="51" t="inlineStr">
        <is>
          <t>Sheet1</t>
        </is>
      </c>
      <c r="B75" s="51" t="n">
        <v>47</v>
      </c>
      <c r="C75" s="51" t="inlineStr">
        <is>
          <t>磁感线演示器</t>
        </is>
      </c>
      <c r="D75" s="51" t="n">
        <v>1</v>
      </c>
      <c r="E75" s="51" t="inlineStr">
        <is>
          <t>未记录制造商</t>
        </is>
      </c>
      <c r="F75" s="51" t="inlineStr"/>
      <c r="G75" s="51" t="inlineStr"/>
      <c r="H75" s="51" t="inlineStr"/>
      <c r="I75" s="51" t="inlineStr">
        <is>
          <t>无色透明塑料外壳，油封铁粉式，仪器尺寸不小于 200 mm×120 mm；环境温度大于 10 ℃时，摇匀铁粉时间每次≤20 s</t>
        </is>
      </c>
      <c r="J75" s="51" t="inlineStr"/>
      <c r="K75" s="51" t="n">
        <v>2</v>
      </c>
      <c r="L75" s="51" t="n">
        <v>32</v>
      </c>
      <c r="M75" s="51" t="n">
        <v>35.2</v>
      </c>
      <c r="N75" s="51" t="n">
        <v>64</v>
      </c>
      <c r="O75" s="51" t="n">
        <v>70.40000000000001</v>
      </c>
      <c r="P75" s="51" t="inlineStr"/>
    </row>
    <row r="76">
      <c r="A76" s="51" t="inlineStr">
        <is>
          <t>Sheet1</t>
        </is>
      </c>
      <c r="B76" s="51" t="n">
        <v>48</v>
      </c>
      <c r="C76" s="51" t="inlineStr">
        <is>
          <t>立体磁感线演示器</t>
        </is>
      </c>
      <c r="D76" s="51" t="n">
        <v>1</v>
      </c>
      <c r="E76" s="51" t="inlineStr">
        <is>
          <t>未记录制造商</t>
        </is>
      </c>
      <c r="F76" s="51" t="inlineStr"/>
      <c r="G76" s="51" t="inlineStr"/>
      <c r="H76" s="51" t="inlineStr"/>
      <c r="I76" s="51" t="inlineStr">
        <is>
          <t>无色透明塑料外壳，油封铁粉式，仪器尺寸不小于 200 mm×120 mm；环境温度大于 10 ℃时，摇匀铁粉时间每次≤20 s</t>
        </is>
      </c>
      <c r="J76" s="51" t="inlineStr"/>
      <c r="K76" s="51" t="n">
        <v>2</v>
      </c>
      <c r="L76" s="51" t="n">
        <v>32</v>
      </c>
      <c r="M76" s="51" t="n">
        <v>35.2</v>
      </c>
      <c r="N76" s="51" t="n">
        <v>64</v>
      </c>
      <c r="O76" s="51" t="n">
        <v>70.40000000000001</v>
      </c>
      <c r="P76" s="51" t="inlineStr"/>
    </row>
    <row r="77">
      <c r="A77" s="51" t="inlineStr">
        <is>
          <t>Sheet1</t>
        </is>
      </c>
      <c r="B77" s="51" t="n">
        <v>49</v>
      </c>
      <c r="C77" s="51" t="inlineStr">
        <is>
          <t>磁感线演示板</t>
        </is>
      </c>
      <c r="D77" s="51" t="n">
        <v>1</v>
      </c>
      <c r="E77" s="51" t="inlineStr">
        <is>
          <t>未记录制造商</t>
        </is>
      </c>
      <c r="F77" s="51" t="inlineStr"/>
      <c r="G77" s="51" t="inlineStr"/>
      <c r="H77" s="51" t="inlineStr"/>
      <c r="I77" s="51" t="inlineStr">
        <is>
          <t>每块板上有 130 以上个空穴，内含自由活动小铁棒</t>
        </is>
      </c>
      <c r="J77" s="51" t="inlineStr"/>
      <c r="K77" s="51" t="n">
        <v>1</v>
      </c>
      <c r="L77" s="51" t="n">
        <v>38</v>
      </c>
      <c r="M77" s="51" t="n">
        <v>41.8</v>
      </c>
      <c r="N77" s="51" t="n">
        <v>38</v>
      </c>
      <c r="O77" s="51" t="n">
        <v>41.8</v>
      </c>
      <c r="P77" s="51" t="inlineStr"/>
    </row>
    <row r="78">
      <c r="A78" s="51" t="inlineStr">
        <is>
          <t>Sheet1</t>
        </is>
      </c>
      <c r="B78" s="51" t="n">
        <v>50</v>
      </c>
      <c r="C78" s="51" t="inlineStr">
        <is>
          <t>演示电磁继电器</t>
        </is>
      </c>
      <c r="D78" s="51" t="n">
        <v>1</v>
      </c>
      <c r="E78" s="51" t="inlineStr">
        <is>
          <t>未记录制造商</t>
        </is>
      </c>
      <c r="F78" s="51" t="inlineStr"/>
      <c r="G78" s="51" t="inlineStr"/>
      <c r="H78" s="51" t="inlineStr"/>
      <c r="I78" s="51" t="inlineStr">
        <is>
          <t>包括电磁线圈、铁芯、轭铁、衔铁、常开触点、常闭触点、弹簧、底座等。电磁铁额定工作电压直流 9 V，工作电流 100 mA±15 mA，吸合电流≤70 mA，释放电流 20 mA～40 mA。触点常闭电阻≤1 Ω，常开电阻≤0.5 Ω，开距≥2 mm</t>
        </is>
      </c>
      <c r="J78" s="51" t="inlineStr"/>
      <c r="K78" s="51" t="n">
        <v>2</v>
      </c>
      <c r="L78" s="51" t="n">
        <v>40</v>
      </c>
      <c r="M78" s="51" t="n">
        <v>44</v>
      </c>
      <c r="N78" s="51" t="n">
        <v>80</v>
      </c>
      <c r="O78" s="51" t="n">
        <v>88</v>
      </c>
      <c r="P78" s="51" t="inlineStr"/>
    </row>
    <row r="79">
      <c r="A79" s="51" t="inlineStr">
        <is>
          <t>Sheet1</t>
        </is>
      </c>
      <c r="B79" s="51" t="n">
        <v>51</v>
      </c>
      <c r="C79" s="51" t="inlineStr">
        <is>
          <t>手摇交直流发电机</t>
        </is>
      </c>
      <c r="D79" s="51" t="n">
        <v>1</v>
      </c>
      <c r="E79" s="51" t="inlineStr">
        <is>
          <t>未记录制造商</t>
        </is>
      </c>
      <c r="F79" s="51" t="inlineStr"/>
      <c r="G79" s="51" t="inlineStr"/>
      <c r="H79" s="51" t="inlineStr"/>
      <c r="I79" s="51" t="inlineStr">
        <is>
          <t>包括定子、转子、整流器、集流环、电刷、灯座（带灯泡）、手摇驱动机构和底板等部分。定子应由永磁体和极靴组成，转子应由转轴、两极电枢铁芯、电枢线圈以及整流器和集流环组成。整流器在任何位置不应将两电刷短路，电刷与整流器和集流环应使用弹性接触，转动灵活。转子转速为 1600 r/min空载时，输出端交流和直流电压均应≥8 V；接 16 Ω电阻负载时，输出端交流和直流电压均应≥5 V；不带皮带轮用作电动机使用时启动电压应≤4 V，电流应≤0.4 A</t>
        </is>
      </c>
      <c r="J79" s="51" t="inlineStr"/>
      <c r="K79" s="51" t="n">
        <v>2</v>
      </c>
      <c r="L79" s="51" t="n">
        <v>90</v>
      </c>
      <c r="M79" s="51" t="n">
        <v>99</v>
      </c>
      <c r="N79" s="51" t="n">
        <v>180</v>
      </c>
      <c r="O79" s="51" t="n">
        <v>198</v>
      </c>
      <c r="P79" s="51" t="inlineStr"/>
    </row>
    <row r="80">
      <c r="A80" s="51" t="inlineStr">
        <is>
          <t>Sheet1</t>
        </is>
      </c>
      <c r="B80" s="51" t="n">
        <v>52</v>
      </c>
      <c r="C80" s="51" t="inlineStr">
        <is>
          <t>滚摆</t>
        </is>
      </c>
      <c r="D80" s="51" t="n">
        <v>1</v>
      </c>
      <c r="E80" s="51" t="inlineStr">
        <is>
          <t>未记录制造商</t>
        </is>
      </c>
      <c r="F80" s="51" t="inlineStr"/>
      <c r="G80" s="51" t="inlineStr"/>
      <c r="H80" s="51" t="inlineStr"/>
      <c r="I80" s="51" t="inlineStr">
        <is>
          <t>包括摆体（摆轮和摆轴）、悬线和支架等。摆轮采用金属材质，直径 125 mm；摆轴采用钢材制作，直径 8 mm，长 160 mm；支架高460 mm，横梁长 300 mm；摆体质量为 0.6 kg～0.8 kg。摆体前 10 次的回升累计递减量应≤65 mm</t>
        </is>
      </c>
      <c r="J80" s="51" t="inlineStr"/>
      <c r="K80" s="51" t="n">
        <v>2</v>
      </c>
      <c r="L80" s="51" t="n">
        <v>45</v>
      </c>
      <c r="M80" s="51" t="n">
        <v>49.5</v>
      </c>
      <c r="N80" s="51" t="n">
        <v>90</v>
      </c>
      <c r="O80" s="51" t="n">
        <v>99</v>
      </c>
      <c r="P80" s="51" t="inlineStr"/>
    </row>
    <row r="81">
      <c r="A81" s="51" t="inlineStr">
        <is>
          <t>Sheet1</t>
        </is>
      </c>
      <c r="B81" s="51" t="n">
        <v>53</v>
      </c>
      <c r="C81" s="51" t="inlineStr">
        <is>
          <t>汽油机模型</t>
        </is>
      </c>
      <c r="D81" s="51" t="n">
        <v>1</v>
      </c>
      <c r="E81" s="51" t="inlineStr">
        <is>
          <t>未记录制造商</t>
        </is>
      </c>
      <c r="F81" s="51" t="inlineStr"/>
      <c r="G81" s="51" t="inlineStr"/>
      <c r="H81" s="51" t="inlineStr"/>
      <c r="I81" s="51" t="inlineStr">
        <is>
          <t>四冲程，单缸，示结构原理。由进气管、进气阀、排气管、排气阀、气缸、活塞、连杆、曲轴、火花塞、齿轮凸轮总成、飞轮、挺杆等组成。手动转动，活塞运动压缩比 6:1～8:1，整体高不小于 300 mm</t>
        </is>
      </c>
      <c r="J81" s="51" t="inlineStr"/>
      <c r="K81" s="51" t="n">
        <v>1</v>
      </c>
      <c r="L81" s="51" t="n">
        <v>48</v>
      </c>
      <c r="M81" s="51" t="n">
        <v>52.8</v>
      </c>
      <c r="N81" s="51" t="n">
        <v>48</v>
      </c>
      <c r="O81" s="51" t="n">
        <v>52.8</v>
      </c>
      <c r="P81" s="51" t="inlineStr"/>
    </row>
    <row r="82">
      <c r="A82" s="51" t="inlineStr">
        <is>
          <t>Sheet1</t>
        </is>
      </c>
      <c r="B82" s="51" t="n">
        <v>53</v>
      </c>
      <c r="C82" s="51" t="inlineStr">
        <is>
          <t>汽油机模型</t>
        </is>
      </c>
      <c r="D82" s="51" t="n">
        <v>2</v>
      </c>
      <c r="E82" s="51" t="inlineStr">
        <is>
          <t>未记录制造商</t>
        </is>
      </c>
      <c r="F82" s="51" t="inlineStr"/>
      <c r="G82" s="51" t="inlineStr"/>
      <c r="H82" s="51" t="inlineStr"/>
      <c r="I82" s="51" t="inlineStr">
        <is>
          <t>四冲程，单缸，示结构原理。由进气管、进气阀、排气管、排气阀、气缸、活塞、连杆、曲轴、喷油嘴、齿轮凸轮总成、飞轮、挺杆组成。手动转动，活塞运动压缩比 14∶1～16∶1，整体高不小于 300 mm</t>
        </is>
      </c>
      <c r="J82" s="51" t="inlineStr"/>
      <c r="K82" s="51" t="n">
        <v>1</v>
      </c>
      <c r="L82" s="51" t="n">
        <v>48</v>
      </c>
      <c r="M82" s="51" t="n">
        <v>52.8</v>
      </c>
      <c r="N82" s="51" t="n">
        <v>48</v>
      </c>
      <c r="O82" s="51" t="n">
        <v>52.8</v>
      </c>
      <c r="P82" s="51" t="inlineStr"/>
    </row>
    <row r="83">
      <c r="A83" s="51" t="inlineStr">
        <is>
          <t>Sheet1</t>
        </is>
      </c>
      <c r="B83" s="51" t="n">
        <v>54</v>
      </c>
      <c r="C83" s="51" t="inlineStr">
        <is>
          <t>柴油机模型</t>
        </is>
      </c>
      <c r="D83" s="51" t="n">
        <v>1</v>
      </c>
      <c r="E83" s="51" t="inlineStr">
        <is>
          <t>未记录制造商</t>
        </is>
      </c>
      <c r="F83" s="51" t="inlineStr"/>
      <c r="G83" s="51" t="inlineStr"/>
      <c r="H83" s="51" t="inlineStr"/>
      <c r="I83" s="51" t="inlineStr">
        <is>
          <t>四冲程，单缸，示结构原理。由进气管、进气阀、排气管、排气阀、气缸、活塞、连杆、曲轴、喷油嘴、齿轮凸轮总成、飞轮、挺杆组成。手动转动，活塞运动压缩比 14∶1～16∶1，整体高不小于 300 mm</t>
        </is>
      </c>
      <c r="J83" s="51" t="inlineStr"/>
      <c r="K83" s="51" t="n">
        <v>1</v>
      </c>
      <c r="L83" s="51" t="n">
        <v>48</v>
      </c>
      <c r="M83" s="51" t="n">
        <v>52.8</v>
      </c>
      <c r="N83" s="51" t="n">
        <v>48</v>
      </c>
      <c r="O83" s="51" t="n">
        <v>52.8</v>
      </c>
      <c r="P83" s="51" t="inlineStr"/>
    </row>
    <row r="84">
      <c r="A84" s="51" t="inlineStr">
        <is>
          <t>Sheet1</t>
        </is>
      </c>
      <c r="B84" s="51" t="n">
        <v>54</v>
      </c>
      <c r="C84" s="51" t="inlineStr">
        <is>
          <t>柴油机模型</t>
        </is>
      </c>
      <c r="D84" s="51" t="n">
        <v>2</v>
      </c>
      <c r="E84" s="51" t="inlineStr">
        <is>
          <t>未记录制造商</t>
        </is>
      </c>
      <c r="F84" s="51" t="inlineStr"/>
      <c r="G84" s="51" t="inlineStr"/>
      <c r="H84" s="51" t="inlineStr"/>
      <c r="I84" s="51" t="inlineStr">
        <is>
          <t>四冲程，单缸，示结构原理。由进气管、进气阀、排气管、排气阀、气缸、活塞、连杆、曲轴、火花塞、齿轮凸轮总成、飞轮、挺杆等组成。手动转动，活塞运动压缩比 6:1～8:1，整体高不小于 300 mm</t>
        </is>
      </c>
      <c r="J84" s="51" t="inlineStr"/>
      <c r="K84" s="51" t="n">
        <v>1</v>
      </c>
      <c r="L84" s="51" t="n">
        <v>48</v>
      </c>
      <c r="M84" s="51" t="n">
        <v>52.8</v>
      </c>
      <c r="N84" s="51" t="n">
        <v>48</v>
      </c>
      <c r="O84" s="51" t="n">
        <v>52.8</v>
      </c>
      <c r="P84" s="51" t="inlineStr"/>
    </row>
    <row r="85">
      <c r="A85" s="51" t="inlineStr">
        <is>
          <t>Sheet1</t>
        </is>
      </c>
      <c r="B85" s="51" t="n">
        <v>55</v>
      </c>
      <c r="C85" s="51" t="inlineStr">
        <is>
          <t>直流电压表</t>
        </is>
      </c>
      <c r="D85" s="51" t="n">
        <v>1</v>
      </c>
      <c r="E85" s="51" t="inlineStr">
        <is>
          <t>未记录制造商</t>
        </is>
      </c>
      <c r="F85" s="51" t="inlineStr"/>
      <c r="G85" s="51" t="inlineStr"/>
      <c r="H85" s="51" t="inlineStr"/>
      <c r="I85" s="51" t="inlineStr">
        <is>
          <t>3 V、15 V 双量程，2.5 级，基本误差、升降变差、平衡误差不超过量程上限的 2.5％</t>
        </is>
      </c>
      <c r="J85" s="51" t="inlineStr"/>
      <c r="K85" s="51" t="n">
        <v>56</v>
      </c>
      <c r="L85" s="51" t="n">
        <v>17</v>
      </c>
      <c r="M85" s="51" t="n">
        <v>18.7</v>
      </c>
      <c r="N85" s="51" t="n">
        <v>952</v>
      </c>
      <c r="O85" s="51" t="n">
        <v>1047.2</v>
      </c>
      <c r="P85" s="51" t="inlineStr"/>
    </row>
    <row r="86">
      <c r="A86" s="51" t="inlineStr">
        <is>
          <t>Sheet1</t>
        </is>
      </c>
      <c r="B86" s="51" t="n">
        <v>56</v>
      </c>
      <c r="C86" s="51" t="inlineStr">
        <is>
          <t>教学用 E10 螺口灯座</t>
        </is>
      </c>
      <c r="D86" s="51" t="n">
        <v>1</v>
      </c>
      <c r="E86" s="51" t="inlineStr">
        <is>
          <t>未记录制造商</t>
        </is>
      </c>
      <c r="F86" s="51" t="inlineStr"/>
      <c r="G86" s="51" t="inlineStr"/>
      <c r="H86" s="51" t="inlineStr"/>
      <c r="I86" s="51" t="inlineStr">
        <is>
          <t>由底座、接线柱和灯座等组成。底座应采用硬质绝缘材料制成，最高工作电压应为 36 V，最大工作电流应为 2.5 A。灯座口圈应采用厚 0.4 mm～0.5 mm 的黄铜材料制作，中心触点应采用厚 0.3 mm～0.4 mm 的磷铜材料制作。两接线柱之间绝缘电阻应≥2 MΩ</t>
        </is>
      </c>
      <c r="J86" s="51" t="inlineStr"/>
      <c r="K86" s="51" t="n">
        <v>56</v>
      </c>
      <c r="L86" s="51" t="n">
        <v>1.5</v>
      </c>
      <c r="M86" s="51" t="n">
        <v>1.65</v>
      </c>
      <c r="N86" s="51" t="n">
        <v>84</v>
      </c>
      <c r="O86" s="51" t="n">
        <v>92.40000000000001</v>
      </c>
      <c r="P86" s="51" t="inlineStr"/>
    </row>
    <row r="87">
      <c r="A87" s="51" t="inlineStr">
        <is>
          <t>Sheet1</t>
        </is>
      </c>
      <c r="B87" s="51" t="n">
        <v>57</v>
      </c>
      <c r="C87" s="51" t="inlineStr">
        <is>
          <t>电珠(小灯泡)</t>
        </is>
      </c>
      <c r="D87" s="51" t="n">
        <v>1</v>
      </c>
      <c r="E87" s="51" t="inlineStr">
        <is>
          <t>未记录制造商</t>
        </is>
      </c>
      <c r="F87" s="51" t="inlineStr"/>
      <c r="G87" s="51" t="inlineStr"/>
      <c r="H87" s="51" t="inlineStr"/>
      <c r="I87" s="51" t="inlineStr">
        <is>
          <t>1.5 V、0.3 A</t>
        </is>
      </c>
      <c r="J87" s="51" t="inlineStr"/>
      <c r="K87" s="51" t="n">
        <v>100</v>
      </c>
      <c r="L87" s="51" t="n">
        <v>0.5</v>
      </c>
      <c r="M87" s="51" t="n">
        <v>0.55</v>
      </c>
      <c r="N87" s="51" t="n">
        <v>50</v>
      </c>
      <c r="O87" s="51" t="n">
        <v>55</v>
      </c>
      <c r="P87" s="51" t="inlineStr"/>
    </row>
    <row r="88">
      <c r="A88" s="51" t="inlineStr">
        <is>
          <t>Sheet1</t>
        </is>
      </c>
      <c r="B88" s="51" t="n">
        <v>57</v>
      </c>
      <c r="C88" s="51" t="inlineStr">
        <is>
          <t>电珠(小灯泡)</t>
        </is>
      </c>
      <c r="D88" s="51" t="n">
        <v>2</v>
      </c>
      <c r="E88" s="51" t="inlineStr">
        <is>
          <t>未记录制造商</t>
        </is>
      </c>
      <c r="F88" s="51" t="inlineStr"/>
      <c r="G88" s="51" t="inlineStr"/>
      <c r="H88" s="51" t="inlineStr"/>
      <c r="I88" s="51" t="inlineStr">
        <is>
          <t>2.5 V、0.3 A</t>
        </is>
      </c>
      <c r="J88" s="51" t="inlineStr"/>
      <c r="K88" s="51" t="n">
        <v>100</v>
      </c>
      <c r="L88" s="51" t="n">
        <v>0.5</v>
      </c>
      <c r="M88" s="51" t="n">
        <v>0.55</v>
      </c>
      <c r="N88" s="51" t="n">
        <v>50</v>
      </c>
      <c r="O88" s="51" t="n">
        <v>55</v>
      </c>
      <c r="P88" s="51" t="inlineStr"/>
    </row>
    <row r="89">
      <c r="A89" s="51" t="inlineStr">
        <is>
          <t>Sheet1</t>
        </is>
      </c>
      <c r="B89" s="51" t="n">
        <v>57</v>
      </c>
      <c r="C89" s="51" t="inlineStr">
        <is>
          <t>电珠(小灯泡)</t>
        </is>
      </c>
      <c r="D89" s="51" t="n">
        <v>3</v>
      </c>
      <c r="E89" s="51" t="inlineStr">
        <is>
          <t>未记录制造商</t>
        </is>
      </c>
      <c r="F89" s="51" t="inlineStr"/>
      <c r="G89" s="51" t="inlineStr"/>
      <c r="H89" s="51" t="inlineStr"/>
      <c r="I89" s="51" t="inlineStr">
        <is>
          <t>3.8 V、0.3 A</t>
        </is>
      </c>
      <c r="J89" s="51" t="inlineStr"/>
      <c r="K89" s="51" t="n">
        <v>100</v>
      </c>
      <c r="L89" s="51" t="n">
        <v>0.5</v>
      </c>
      <c r="M89" s="51" t="n">
        <v>0.55</v>
      </c>
      <c r="N89" s="51" t="n">
        <v>50</v>
      </c>
      <c r="O89" s="51" t="n">
        <v>55</v>
      </c>
      <c r="P89" s="51" t="inlineStr"/>
    </row>
    <row r="90">
      <c r="A90" s="51" t="inlineStr">
        <is>
          <t>Sheet1</t>
        </is>
      </c>
      <c r="B90" s="51" t="n">
        <v>58</v>
      </c>
      <c r="C90" s="51" t="inlineStr">
        <is>
          <t>电珠(小灯泡)</t>
        </is>
      </c>
      <c r="D90" s="51" t="n">
        <v>1</v>
      </c>
      <c r="E90" s="51" t="inlineStr">
        <is>
          <t>未记录制造商</t>
        </is>
      </c>
      <c r="F90" s="51" t="inlineStr"/>
      <c r="G90" s="51" t="inlineStr"/>
      <c r="H90" s="51" t="inlineStr"/>
      <c r="I90" s="51" t="inlineStr">
        <is>
          <t>2.5 V、0.3 A</t>
        </is>
      </c>
      <c r="J90" s="51" t="inlineStr"/>
      <c r="K90" s="51" t="n">
        <v>100</v>
      </c>
      <c r="L90" s="51" t="n">
        <v>0.5</v>
      </c>
      <c r="M90" s="51" t="n">
        <v>0.55</v>
      </c>
      <c r="N90" s="51" t="n">
        <v>50</v>
      </c>
      <c r="O90" s="51" t="n">
        <v>55</v>
      </c>
      <c r="P90" s="51" t="inlineStr"/>
    </row>
    <row r="91">
      <c r="A91" s="51" t="inlineStr">
        <is>
          <t>Sheet1</t>
        </is>
      </c>
      <c r="B91" s="51" t="n">
        <v>58</v>
      </c>
      <c r="C91" s="51" t="inlineStr">
        <is>
          <t>电珠(小灯泡)</t>
        </is>
      </c>
      <c r="D91" s="51" t="n">
        <v>2</v>
      </c>
      <c r="E91" s="51" t="inlineStr">
        <is>
          <t>未记录制造商</t>
        </is>
      </c>
      <c r="F91" s="51" t="inlineStr"/>
      <c r="G91" s="51" t="inlineStr"/>
      <c r="H91" s="51" t="inlineStr"/>
      <c r="I91" s="51" t="inlineStr">
        <is>
          <t>1.5 V、0.3 A</t>
        </is>
      </c>
      <c r="J91" s="51" t="inlineStr"/>
      <c r="K91" s="51" t="n">
        <v>100</v>
      </c>
      <c r="L91" s="51" t="n">
        <v>0.5</v>
      </c>
      <c r="M91" s="51" t="n">
        <v>0.55</v>
      </c>
      <c r="N91" s="51" t="n">
        <v>50</v>
      </c>
      <c r="O91" s="51" t="n">
        <v>55</v>
      </c>
      <c r="P91" s="51" t="inlineStr"/>
    </row>
    <row r="92">
      <c r="A92" s="51" t="inlineStr">
        <is>
          <t>Sheet1</t>
        </is>
      </c>
      <c r="B92" s="51" t="n">
        <v>58</v>
      </c>
      <c r="C92" s="51" t="inlineStr">
        <is>
          <t>电珠(小灯泡)</t>
        </is>
      </c>
      <c r="D92" s="51" t="n">
        <v>3</v>
      </c>
      <c r="E92" s="51" t="inlineStr">
        <is>
          <t>未记录制造商</t>
        </is>
      </c>
      <c r="F92" s="51" t="inlineStr"/>
      <c r="G92" s="51" t="inlineStr"/>
      <c r="H92" s="51" t="inlineStr"/>
      <c r="I92" s="51" t="inlineStr">
        <is>
          <t>3.8 V、0.3 A</t>
        </is>
      </c>
      <c r="J92" s="51" t="inlineStr"/>
      <c r="K92" s="51" t="n">
        <v>100</v>
      </c>
      <c r="L92" s="51" t="n">
        <v>0.5</v>
      </c>
      <c r="M92" s="51" t="n">
        <v>0.55</v>
      </c>
      <c r="N92" s="51" t="n">
        <v>50</v>
      </c>
      <c r="O92" s="51" t="n">
        <v>55</v>
      </c>
      <c r="P92" s="51" t="inlineStr"/>
    </row>
    <row r="93">
      <c r="A93" s="51" t="inlineStr">
        <is>
          <t>Sheet1</t>
        </is>
      </c>
      <c r="B93" s="51" t="n">
        <v>59</v>
      </c>
      <c r="C93" s="51" t="inlineStr">
        <is>
          <t>单刀开关（黄铜镀镍）</t>
        </is>
      </c>
      <c r="D93" s="51" t="n">
        <v>1</v>
      </c>
      <c r="E93" s="51" t="inlineStr">
        <is>
          <t>未记录制造商</t>
        </is>
      </c>
      <c r="F93" s="51" t="inlineStr"/>
      <c r="G93" s="51" t="inlineStr"/>
      <c r="H93" s="51" t="inlineStr"/>
      <c r="I93" s="51" t="inlineStr">
        <is>
          <t>最高工作电压 36 V，额定工作电流 6 A。开关闸刀、接线柱、垫片均为铜质。闸刀宽度≥7 mm，闸刀厚度≥0.7 mm。接线柱直径为4 mm，有效行程≥4 mm。通额定电流，导电部分允许温升≤35 ℃，操作手柄允许温升≤25 ℃。开关的绝缘强度应能承受 1200 V。在额定直流电流工作条件下，接线两端直流电压降≤100 mV</t>
        </is>
      </c>
      <c r="J93" s="51" t="inlineStr"/>
      <c r="K93" s="51" t="n">
        <v>100</v>
      </c>
      <c r="L93" s="51" t="n">
        <v>2.5</v>
      </c>
      <c r="M93" s="51" t="n">
        <v>2.75</v>
      </c>
      <c r="N93" s="51" t="n">
        <v>250</v>
      </c>
      <c r="O93" s="51" t="n">
        <v>275</v>
      </c>
      <c r="P93" s="51" t="inlineStr"/>
    </row>
    <row r="94">
      <c r="A94" s="51" t="inlineStr">
        <is>
          <t>Sheet1</t>
        </is>
      </c>
      <c r="B94" s="51" t="n">
        <v>60</v>
      </c>
      <c r="C94" s="51" t="inlineStr">
        <is>
          <t>滑动变阻器</t>
        </is>
      </c>
      <c r="D94" s="51" t="n">
        <v>1</v>
      </c>
      <c r="E94" s="51" t="inlineStr">
        <is>
          <t>未记录制造商</t>
        </is>
      </c>
      <c r="F94" s="51" t="inlineStr"/>
      <c r="G94" s="51" t="inlineStr"/>
      <c r="H94" s="51" t="inlineStr"/>
      <c r="I94" s="51" t="inlineStr">
        <is>
          <t>20 Ω，2 A 误差应&lt;±10%；滑杆应采用正六边形、正四边形或正三角形截面，不应采用圆形截面；电阻丝采用康铜丝，接线柱应有防松动装置；额定电流工作 30 min 温升≤300 ℃</t>
        </is>
      </c>
      <c r="J94" s="51" t="inlineStr"/>
      <c r="K94" s="51" t="n">
        <v>112</v>
      </c>
      <c r="L94" s="51" t="n">
        <v>15</v>
      </c>
      <c r="M94" s="51" t="n">
        <v>16.5</v>
      </c>
      <c r="N94" s="51" t="n">
        <v>1680</v>
      </c>
      <c r="O94" s="51" t="n">
        <v>1848</v>
      </c>
      <c r="P94" s="51" t="inlineStr"/>
    </row>
    <row r="95">
      <c r="A95" s="51" t="inlineStr">
        <is>
          <t>Sheet1</t>
        </is>
      </c>
      <c r="B95" s="51" t="n">
        <v>60</v>
      </c>
      <c r="C95" s="51" t="inlineStr">
        <is>
          <t>滑动变阻器</t>
        </is>
      </c>
      <c r="D95" s="51" t="n">
        <v>2</v>
      </c>
      <c r="E95" s="51" t="inlineStr">
        <is>
          <t>未记录制造商</t>
        </is>
      </c>
      <c r="F95" s="51" t="inlineStr"/>
      <c r="G95" s="51" t="inlineStr"/>
      <c r="H95" s="51" t="inlineStr"/>
      <c r="I95" s="51" t="inlineStr">
        <is>
          <t>50 Ω，1.5 A 误差应&lt;±10%；滑杆应采用正六边形、正四边形或正三角形截面，不应采用圆形截面；电阻丝采用康铜丝，接线柱应有防松动装置；额定电流工作 30 min 温升≤300 ℃</t>
        </is>
      </c>
      <c r="J95" s="51" t="inlineStr"/>
      <c r="K95" s="51" t="n">
        <v>112</v>
      </c>
      <c r="L95" s="51" t="n">
        <v>20</v>
      </c>
      <c r="M95" s="51" t="n">
        <v>22</v>
      </c>
      <c r="N95" s="51" t="n">
        <v>2240</v>
      </c>
      <c r="O95" s="51" t="n">
        <v>2464</v>
      </c>
      <c r="P95" s="51" t="inlineStr"/>
    </row>
    <row r="96">
      <c r="A96" s="51" t="inlineStr">
        <is>
          <t>Sheet1</t>
        </is>
      </c>
      <c r="B96" s="51" t="n">
        <v>60</v>
      </c>
      <c r="C96" s="51" t="inlineStr">
        <is>
          <t>滑动变阻器</t>
        </is>
      </c>
      <c r="D96" s="51" t="n">
        <v>3</v>
      </c>
      <c r="E96" s="51" t="inlineStr">
        <is>
          <t>未记录制造商</t>
        </is>
      </c>
      <c r="F96" s="51" t="inlineStr"/>
      <c r="G96" s="51" t="inlineStr"/>
      <c r="H96" s="51" t="inlineStr"/>
      <c r="I96" s="51" t="inlineStr">
        <is>
          <t>5 Ω，3 A误差应&lt;±10%；滑杆应采用正六边形、正四边形或正三角形截面，不应采用圆形截面；电阻丝采用康铜丝，接线柱应有防松动装置；额定电流工作 30 min 温升≤300 ℃</t>
        </is>
      </c>
      <c r="J96" s="51" t="inlineStr"/>
      <c r="K96" s="51" t="n">
        <v>112</v>
      </c>
      <c r="L96" s="51" t="n">
        <v>14</v>
      </c>
      <c r="M96" s="51" t="n">
        <v>15.4</v>
      </c>
      <c r="N96" s="51" t="n">
        <v>1568</v>
      </c>
      <c r="O96" s="51" t="n">
        <v>1724.8</v>
      </c>
      <c r="P96" s="51" t="inlineStr"/>
    </row>
    <row r="97">
      <c r="A97" s="51" t="inlineStr">
        <is>
          <t>Sheet1</t>
        </is>
      </c>
      <c r="B97" s="51" t="n">
        <v>61</v>
      </c>
      <c r="C97" s="51" t="inlineStr">
        <is>
          <t>电阻圈</t>
        </is>
      </c>
      <c r="D97" s="51" t="n">
        <v>1</v>
      </c>
      <c r="E97" s="51" t="inlineStr">
        <is>
          <t>未记录制造商</t>
        </is>
      </c>
      <c r="F97" s="51" t="inlineStr"/>
      <c r="G97" s="51" t="inlineStr"/>
      <c r="H97" s="51" t="inlineStr"/>
      <c r="I97" s="51" t="inlineStr">
        <is>
          <t>包括 5Ω、1.5 A，10 Ω、1.0 A，15 Ω、0.6 A 共 3 种规格，阻值误差≤±1%；电阻丝应采用锰铜线或康铜线绕制；按额定电流连续工作 15 min 后，5Ω、1.5 A，10 Ω、1.0 A，15 Ω、0.6 A 电阻圈外壳两侧温升分别不应高于 60 K、60 K 和 45 K；按额定电流连续工作 2 h 后外壳不应出现焦灼、熔化变形、冒烟现象；加热后电阻值变化应在1%以内</t>
        </is>
      </c>
      <c r="J97" s="51" t="inlineStr"/>
      <c r="K97" s="51" t="n">
        <v>60</v>
      </c>
      <c r="L97" s="51" t="n">
        <v>9</v>
      </c>
      <c r="M97" s="51" t="n">
        <v>9.9</v>
      </c>
      <c r="N97" s="51" t="n">
        <v>540</v>
      </c>
      <c r="O97" s="51" t="n">
        <v>594</v>
      </c>
      <c r="P97" s="51" t="inlineStr"/>
    </row>
    <row r="98">
      <c r="A98" s="51" t="inlineStr">
        <is>
          <t>Sheet1</t>
        </is>
      </c>
      <c r="B98" s="51" t="n">
        <v>62</v>
      </c>
      <c r="C98" s="51" t="inlineStr">
        <is>
          <t>电阻定律演示器</t>
        </is>
      </c>
      <c r="D98" s="51" t="n">
        <v>1</v>
      </c>
      <c r="E98" s="51" t="inlineStr">
        <is>
          <t>未记录制造商</t>
        </is>
      </c>
      <c r="F98" s="51" t="inlineStr"/>
      <c r="G98" s="51" t="inlineStr"/>
      <c r="H98" s="51" t="inlineStr"/>
      <c r="I98" s="51" t="inlineStr">
        <is>
          <t>由底板、2 种金属导线（康铜、镍铬）、接线柱、连接片、支撑架等组成；康铜导线 2根（长均为 1000 mm，直径分别为 0.5 mm、0.3 mm）；镍铬线 2 根（长分别为 1000 mm、500 mm，直径均为 0.3 mm）</t>
        </is>
      </c>
      <c r="J98" s="51" t="inlineStr"/>
      <c r="K98" s="51" t="n">
        <v>2</v>
      </c>
      <c r="L98" s="51" t="n">
        <v>45</v>
      </c>
      <c r="M98" s="51" t="n">
        <v>49.5</v>
      </c>
      <c r="N98" s="51" t="n">
        <v>90</v>
      </c>
      <c r="O98" s="51" t="n">
        <v>99</v>
      </c>
      <c r="P98" s="51" t="inlineStr"/>
    </row>
    <row r="99">
      <c r="A99" s="51" t="inlineStr">
        <is>
          <t>Sheet1</t>
        </is>
      </c>
      <c r="B99" s="51" t="n">
        <v>63</v>
      </c>
      <c r="C99" s="51" t="inlineStr">
        <is>
          <t>插头导线（全铜焊锡）</t>
        </is>
      </c>
      <c r="D99" s="51" t="n">
        <v>1</v>
      </c>
      <c r="E99" s="51" t="inlineStr">
        <is>
          <t>未记录制造商</t>
        </is>
      </c>
      <c r="F99" s="51" t="inlineStr"/>
      <c r="G99" s="51" t="inlineStr"/>
      <c r="H99" s="51" t="inlineStr"/>
      <c r="I99" s="51" t="inlineStr">
        <is>
          <t>长度分别为 200 mm、300 mm、400 mm；单芯4 mm 纯铜插头，纯铜导线；宜用不同线色</t>
        </is>
      </c>
      <c r="J99" s="51" t="inlineStr"/>
      <c r="K99" s="51" t="n">
        <v>50</v>
      </c>
      <c r="L99" s="51" t="n">
        <v>11</v>
      </c>
      <c r="M99" s="51" t="n">
        <v>12.1</v>
      </c>
      <c r="N99" s="51" t="n">
        <v>550</v>
      </c>
      <c r="O99" s="51" t="n">
        <v>605</v>
      </c>
      <c r="P99" s="51" t="inlineStr"/>
    </row>
    <row r="100">
      <c r="A100" s="51" t="inlineStr">
        <is>
          <t>Sheet1</t>
        </is>
      </c>
      <c r="B100" s="51" t="n">
        <v>64</v>
      </c>
      <c r="C100" s="51" t="inlineStr">
        <is>
          <t>接线夹导线（全铜焊锡6根）</t>
        </is>
      </c>
      <c r="D100" s="51" t="n">
        <v>1</v>
      </c>
      <c r="E100" s="51" t="inlineStr">
        <is>
          <t>未记录制造商</t>
        </is>
      </c>
      <c r="F100" s="51" t="inlineStr"/>
      <c r="G100" s="51" t="inlineStr"/>
      <c r="H100" s="51" t="inlineStr"/>
      <c r="I100" s="51" t="inlineStr">
        <is>
          <t>长度分别为 200 mm、300 mm、400 mm；单芯4 mm 纯铜接线夹，纯铜导线；宜用不同线色</t>
        </is>
      </c>
      <c r="J100" s="51" t="inlineStr"/>
      <c r="K100" s="51" t="n">
        <v>100</v>
      </c>
      <c r="L100" s="51" t="n">
        <v>11</v>
      </c>
      <c r="M100" s="51" t="n">
        <v>12.1</v>
      </c>
      <c r="N100" s="51" t="n">
        <v>1100</v>
      </c>
      <c r="O100" s="51" t="n">
        <v>1210</v>
      </c>
      <c r="P100" s="51" t="inlineStr"/>
    </row>
    <row r="101">
      <c r="A101" s="51" t="inlineStr">
        <is>
          <t>Sheet1</t>
        </is>
      </c>
      <c r="B101" s="51" t="n">
        <v>65</v>
      </c>
      <c r="C101" s="51" t="inlineStr">
        <is>
          <t>家庭电路示教板</t>
        </is>
      </c>
      <c r="D101" s="51" t="n">
        <v>1</v>
      </c>
      <c r="E101" s="51" t="inlineStr">
        <is>
          <t>未记录制造商</t>
        </is>
      </c>
      <c r="F101" s="51" t="inlineStr"/>
      <c r="G101" s="51" t="inlineStr"/>
      <c r="H101" s="51" t="inlineStr"/>
      <c r="I101" s="51" t="inlineStr">
        <is>
          <t>配电部分：三线 10 A 插头与电网连接，开启式闸刀开关、铅熔断器（保险丝）盒、单相机械式有功电能表（2.0 级，5 A）。负荷部分：三极和二极插座、三极和二极插头、螺口灯座（E27）1 个、插口灯座（E27）1 个、倒扳开关、拉线开关、白炽灯泡（E27 卡口或 E27LED 螺口灯泡）、卡口－螺口转换器（有卡口灯座时配）。插座、开关均为明装式，软导线（截面积 0.5 mm2 ）。火线用红色，零线用蓝色，保护地线用黄绿双色。示教板应能竖立在桌上。开关电极应为左面是零线，右面是火线，三极插座上面是保护接地线。底板可用木板或塑料板</t>
        </is>
      </c>
      <c r="J101" s="51" t="inlineStr"/>
      <c r="K101" s="51" t="n">
        <v>2</v>
      </c>
      <c r="L101" s="51" t="n">
        <v>350</v>
      </c>
      <c r="M101" s="51" t="n">
        <v>385</v>
      </c>
      <c r="N101" s="51" t="n">
        <v>700</v>
      </c>
      <c r="O101" s="51" t="n">
        <v>770</v>
      </c>
      <c r="P101" s="51" t="inlineStr"/>
    </row>
    <row r="102">
      <c r="A102" s="51" t="inlineStr">
        <is>
          <t>Sheet1</t>
        </is>
      </c>
      <c r="B102" s="51" t="n">
        <v>65</v>
      </c>
      <c r="C102" s="51" t="inlineStr">
        <is>
          <t>家庭电路示教板</t>
        </is>
      </c>
      <c r="D102" s="51" t="n">
        <v>2</v>
      </c>
      <c r="E102" s="51" t="inlineStr">
        <is>
          <t>未记录制造商</t>
        </is>
      </c>
      <c r="F102" s="51" t="inlineStr"/>
      <c r="G102" s="51" t="inlineStr"/>
      <c r="H102" s="51" t="inlineStr"/>
      <c r="I102" s="51" t="inlineStr">
        <is>
          <t>空气开关、漏电保 护器、螺丝口灯座、 卡口灯座、三孔插 座、三孔插头、插 入式保险盒、拉线 开关、按钮开关、 声控开关、光控开 关、导线等</t>
        </is>
      </c>
      <c r="J102" s="51" t="inlineStr"/>
      <c r="K102" s="51" t="n">
        <v>2</v>
      </c>
      <c r="L102" s="51" t="n">
        <v>350</v>
      </c>
      <c r="M102" s="51" t="n">
        <v>385</v>
      </c>
      <c r="N102" s="51" t="n">
        <v>700</v>
      </c>
      <c r="O102" s="51" t="n">
        <v>770</v>
      </c>
      <c r="P102" s="51" t="inlineStr"/>
    </row>
  </sheetData>
  <autoFilter ref="A1:P10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Administrator</dc:creator>
  <dcterms:created xmlns:dcterms="http://purl.org/dc/terms/" xmlns:xsi="http://www.w3.org/2001/XMLSchema-instance" xsi:type="dcterms:W3CDTF">2025-10-15T10:15:00Z</dcterms:created>
  <dcterms:modified xmlns:dcterms="http://purl.org/dc/terms/" xmlns:xsi="http://www.w3.org/2001/XMLSchema-instance" xsi:type="dcterms:W3CDTF">2026-08-20T17:47:25Z</dcterms:modified>
  <cp:lastModifiedBy>big3325orca@outlook.com</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19C9F762266540769CB6D37D3A08499F_13</vt:lpwstr>
  </property>
  <property name="KSOProductBuildVer" fmtid="{D5CDD505-2E9C-101B-9397-08002B2CF9AE}" pid="3">
    <vt:lpwstr xmlns:vt="http://schemas.openxmlformats.org/officeDocument/2006/docPropsVTypes">2052-12.1.0.25225</vt:lpwstr>
  </property>
  <property name="CalculationRule" fmtid="{D5CDD505-2E9C-101B-9397-08002B2CF9AE}" pid="4">
    <vt:i4 xmlns:vt="http://schemas.openxmlformats.org/officeDocument/2006/docPropsVTypes">0</vt:i4>
  </property>
</Properties>
</file>