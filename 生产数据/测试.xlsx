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firstSheet="3"/>
  </bookViews>
  <sheets>
    <sheet name="高中化学仪器" sheetId="22" r:id="rId1"/>
    <sheet name="高中生物仪器" sheetId="23" r:id="rId2"/>
    <sheet name="高中物理仪器" sheetId="2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<sst xmlns="http://schemas.openxmlformats.org/spreadsheetml/2006/main" count="3334" uniqueCount="1134">
  <si>
    <t>高中化学</t>
  </si>
  <si>
    <t>编号</t>
  </si>
  <si>
    <t>名    称</t>
  </si>
  <si>
    <t>规格 功能</t>
  </si>
  <si>
    <t>单位</t>
  </si>
  <si>
    <t>数量</t>
  </si>
  <si>
    <t>含税单价</t>
  </si>
  <si>
    <t>金额</t>
  </si>
  <si>
    <t>品牌1</t>
  </si>
  <si>
    <t>型号1</t>
  </si>
  <si>
    <t>生产厂家1</t>
  </si>
  <si>
    <t>02001</t>
  </si>
  <si>
    <t>钢制黑板</t>
  </si>
  <si>
    <t>900mm×600mm，双面</t>
  </si>
  <si>
    <t>块</t>
  </si>
  <si>
    <t>赛特尔</t>
  </si>
  <si>
    <t>宁波赛特尔教学仪器有限公司</t>
  </si>
  <si>
    <t>02002</t>
  </si>
  <si>
    <t>打孔器</t>
  </si>
  <si>
    <t>四件</t>
  </si>
  <si>
    <t>套</t>
  </si>
  <si>
    <t>02003</t>
  </si>
  <si>
    <t>打孔夹板</t>
  </si>
  <si>
    <t>1、产品长不小于175mm，宽不小于40mm。2、上、下夹板应由脱脂干燥处理过的优质木材制成，表面平整。3、上夹板应备有直径为6mm，8mm，10mm，12mm直穿孔4个。4、紧固螺钉与下夹板紧固为一体，不得松动；紧固螺钉长度不小于80mm。上夹板上下高度可调，由蝴蝶螺母定位。5、上夹板、下夹板厚度不小于11mm，具有足够强度，正常情况下使用不得断裂。</t>
  </si>
  <si>
    <t>个</t>
  </si>
  <si>
    <t>02004</t>
  </si>
  <si>
    <t>打孔器刮刀</t>
  </si>
  <si>
    <t>1．本产品由壳体及油石组成。2．壳体钢材制。壳体在磨刀时应夹紧打孔器，且打孔器正好与油石靠牢。3．油石为白刚玉料。4．打孔器刮刀装配牢固，无松动现象。</t>
  </si>
  <si>
    <t>02005</t>
  </si>
  <si>
    <t>手摇钻孔器</t>
  </si>
  <si>
    <t>1、组成：仪器由旋转立柱、夹持固定装置、四个不同直径刀头及捅条组成；2、螺旋立柱应能通过手轮的转动向安装后的刀头稳定加压打孔；3、四支刀口外径分别为Φ12mm，Φ10mm，Φ8mm，Φ6mm，捅条直径不小于Φ4mm，刀口锋利，无卷边；</t>
  </si>
  <si>
    <t>台</t>
  </si>
  <si>
    <t>02006</t>
  </si>
  <si>
    <t>电动钻孔器</t>
  </si>
  <si>
    <t>220V\50Hz,(手枪钻），可夹持钻头0.5mm-10mm。</t>
  </si>
  <si>
    <t>德力西</t>
  </si>
  <si>
    <t>德力西集团有限公司</t>
  </si>
  <si>
    <t>02020</t>
  </si>
  <si>
    <t>仪器车</t>
  </si>
  <si>
    <t>至少两层，上层带护栏</t>
  </si>
  <si>
    <t>辆</t>
  </si>
  <si>
    <t>02070</t>
  </si>
  <si>
    <t>电动离心机</t>
  </si>
  <si>
    <t>铁制、台式电动离心机工作电源：220V 50HZ 最高转速：4000r/min(无级可调) 最大相对离心力：1975×g/2395×g 4．工作容量：6×15ml（或者20ml） 5．定时范围：0～60分 6.包装尺寸：30*25*23.5cm</t>
  </si>
  <si>
    <t>02073</t>
  </si>
  <si>
    <t>磁力加热搅拌器</t>
  </si>
  <si>
    <t>1.外形尺寸：≥230×160×125mm。
2.使用电源：AC 220V±22V，50Hz。
3.加热功率：300W。电机功率：25W。
4.加热容量：20～3000ml。
5.电机采用无级调速,配1粒搅拌籽。
6.安全要求：应符合GB 4706.1 的有关规定。
7.外观应符合JY 0001—2003的有关规定。
8.标志、说明书、包装、运输、贮存等应符合JY0001-2003的有关规定。</t>
  </si>
  <si>
    <t>02075</t>
  </si>
  <si>
    <t>酒精喷灯</t>
  </si>
  <si>
    <t>座式，铜制</t>
  </si>
  <si>
    <t>02077</t>
  </si>
  <si>
    <t>电加热器</t>
  </si>
  <si>
    <t>密封式</t>
  </si>
  <si>
    <t>02084</t>
  </si>
  <si>
    <t>烘干箱</t>
  </si>
  <si>
    <t>满足新课标要求，电热鼓风型，箱体内有隔板，工作室尺寸350×350×380mm，控温范围室温+3～300℃，温度波动允差：±0.5℃，对地漏电流：≤0.5m，温度均匀允差：±1.0℃。额定电压220V，50HZ，额定功率1000W。</t>
  </si>
  <si>
    <t>02094</t>
  </si>
  <si>
    <t>水浴锅</t>
  </si>
  <si>
    <t>铜制</t>
  </si>
  <si>
    <t>02100</t>
  </si>
  <si>
    <t>保温漏斗</t>
  </si>
  <si>
    <t>02102</t>
  </si>
  <si>
    <t>注射器</t>
  </si>
  <si>
    <t>50mL，塑料</t>
  </si>
  <si>
    <t>只</t>
  </si>
  <si>
    <t>02121</t>
  </si>
  <si>
    <t>塑料洗瓶</t>
  </si>
  <si>
    <t>250mL</t>
  </si>
  <si>
    <t>02122</t>
  </si>
  <si>
    <t>试剂瓶托盘</t>
  </si>
  <si>
    <t>1、材质为耐酸碱塑料注塑成型，化学稳定性好，防止化学药品的腐蚀；2、托盘质量应保证不易老化，变脆和开裂等；托盘底板厚度应满足承重要求；</t>
  </si>
  <si>
    <t>02123</t>
  </si>
  <si>
    <t>实验用品提篮</t>
  </si>
  <si>
    <t>可固定试管、试剂瓶等仪器，底部有抽屉</t>
  </si>
  <si>
    <t>02124</t>
  </si>
  <si>
    <t>塑料水槽</t>
  </si>
  <si>
    <t>250mm×180mm×100mm</t>
  </si>
  <si>
    <t>02125</t>
  </si>
  <si>
    <t>碘升华凝华管</t>
  </si>
  <si>
    <t>02127</t>
  </si>
  <si>
    <t>聚光小手电筒</t>
  </si>
  <si>
    <t>中号：手提为可充电式。塑料外壳。前灯一个为圆形，直径55mm；侧灯12个为长方形，尺寸：60mm×20mm。</t>
  </si>
  <si>
    <t>支</t>
  </si>
  <si>
    <t>03002</t>
  </si>
  <si>
    <t>方座支架</t>
  </si>
  <si>
    <t>配有底座1 个，烧瓶夹1个，大、小铁环各1个，垂直夹2个，平行夹1个，立杆1根，立杆直径不小于11㎜，长不小于600㎜，底座铸铁制造，工作面长×宽不小于200×120㎜。</t>
  </si>
  <si>
    <t>03005</t>
  </si>
  <si>
    <t>万能夹</t>
  </si>
  <si>
    <t>供中学化学实验中夹持特殊器械或不规则物品用，可与物理支架配套使用，夹持范围立体360度可调。</t>
  </si>
  <si>
    <t>03006</t>
  </si>
  <si>
    <t>三脚架</t>
  </si>
  <si>
    <t>化学实验中支撑加热器件，圆环、支撑脚用6㎜钢材制，圆环直径80㎜，脚高130㎜，表面烤漆或镀铬</t>
  </si>
  <si>
    <t>03007</t>
  </si>
  <si>
    <t>泥三角</t>
  </si>
  <si>
    <t>产品为套有磁管的铁丝弯制成三角形状，磁管耐高温性能良好，实验中无破裂、脱落</t>
  </si>
  <si>
    <t>03008</t>
  </si>
  <si>
    <t>试管架</t>
  </si>
  <si>
    <t>产品由顶板、底板、插杆组成，8孔、8柱，全塑料制。</t>
  </si>
  <si>
    <t>03009</t>
  </si>
  <si>
    <t>漏斗架</t>
  </si>
  <si>
    <t>全木制。1、漏斗架由漏斗板、支杆及底座三部分组成；2、漏斗板表面上有二个锥形孔。3、支杆为Φ15×230mm。4、底座为长方形：250mm×60mm×25mm，底座放置平稳；5、立杆与底座组装后应垂直，漏斗板组装后与立杆垂直。</t>
  </si>
  <si>
    <t>03010</t>
  </si>
  <si>
    <t>滴定台</t>
  </si>
  <si>
    <t>1、底座台面为大理石面，尺寸为300×150×18mm；2、立柱由Φ10mm圆钢制成，表面镀铬，置于工作台面上与台面垂直不大于5°；3、底座四脚有橡胶垫脚，放置平衡不晃动。</t>
  </si>
  <si>
    <t>03011</t>
  </si>
  <si>
    <t>滴定夹</t>
  </si>
  <si>
    <t>1、塑料制，外形光滑美观。2、固定支杆为M5螺丝，滴管夹子弹性强，夹持牢固；外形尺寸：230mm×120mm×26mm。</t>
  </si>
  <si>
    <t>03012</t>
  </si>
  <si>
    <t>多用滴管架</t>
  </si>
  <si>
    <t>1、与塑料多用滴管配套使用。2、外形尺寸：滴管架分上下两层，每层10个插孔，孔径15mm，每层孔板的正下方有对应的穴板，穴内承接滴管的吸泡，可使滴管站直站牢。孔板、穴板和两侧的撑架都可拆卸和安装。3.外形尺寸：215mm×55mm×55mm。</t>
  </si>
  <si>
    <t>04003</t>
  </si>
  <si>
    <t>高中学生电源</t>
  </si>
  <si>
    <t>交流:2V~16V/3A，每2V一档直流稳压:2V~16V/2A，每2V一档，电源外壳采用全铝合金材质，四块铝合金相互扣嵌设计，左右两侧用塑料盖板，可以用于拎手，机器尺寸为14*21*11cm,内机采用全铜绕制硅钢片，前面操作板呈倾斜面方便操作，接线柱为2黄1红1黑香蕉插孔。电源开启时，电源指示灯常亮。</t>
  </si>
  <si>
    <t>30102000202</t>
  </si>
  <si>
    <t>04006</t>
  </si>
  <si>
    <t>高中教学电源</t>
  </si>
  <si>
    <t>交流：2V～24V，每2V一档，2V～6V/12A，8V～12V/6A，14V～24V/3A；                  直流稳压：1V～25V分档连续可调，2V～6V/6A，8V～12V/4A，14V～24V/2A；            40A、8s自动关断</t>
  </si>
  <si>
    <t>11003</t>
  </si>
  <si>
    <t>托盘天平</t>
  </si>
  <si>
    <t>100g，0.1g</t>
  </si>
  <si>
    <t>华驰</t>
  </si>
  <si>
    <t>慈溪市华徐衡器实业有限公司</t>
  </si>
  <si>
    <t>500g，0.5g</t>
  </si>
  <si>
    <t>11010</t>
  </si>
  <si>
    <t>电子天平</t>
  </si>
  <si>
    <t>200g，0.001g</t>
  </si>
  <si>
    <t>400g，0.1g</t>
  </si>
  <si>
    <t>12003</t>
  </si>
  <si>
    <t>电子停表</t>
  </si>
  <si>
    <t>0.1s</t>
  </si>
  <si>
    <t>13001</t>
  </si>
  <si>
    <t>温度计</t>
  </si>
  <si>
    <t>红液，0℃～100℃</t>
  </si>
  <si>
    <t>水银，0℃～360℃</t>
  </si>
  <si>
    <t>13007</t>
  </si>
  <si>
    <t>数字测温计</t>
  </si>
  <si>
    <t>-30℃～+200℃</t>
  </si>
  <si>
    <t>15011</t>
  </si>
  <si>
    <t>多用电表</t>
  </si>
  <si>
    <t>指针式，不低于2.5级</t>
  </si>
  <si>
    <t>三磊</t>
  </si>
  <si>
    <t>MF47</t>
  </si>
  <si>
    <t>温州市华中仪表有限公司</t>
  </si>
  <si>
    <t>15016</t>
  </si>
  <si>
    <t>演示电流电压表</t>
  </si>
  <si>
    <t>2.5级</t>
  </si>
  <si>
    <t>16001</t>
  </si>
  <si>
    <t>密度计</t>
  </si>
  <si>
    <r>
      <rPr>
        <sz val="10"/>
        <rFont val="宋体"/>
        <charset val="134"/>
      </rPr>
      <t>密度＞1 g/cm</t>
    </r>
    <r>
      <rPr>
        <vertAlign val="superscript"/>
        <sz val="10"/>
        <rFont val="宋体"/>
        <charset val="134"/>
      </rPr>
      <t>3</t>
    </r>
  </si>
  <si>
    <r>
      <rPr>
        <sz val="10"/>
        <rFont val="宋体"/>
        <charset val="134"/>
      </rPr>
      <t>密度＜1 g/cm</t>
    </r>
    <r>
      <rPr>
        <vertAlign val="superscript"/>
        <sz val="10"/>
        <rFont val="宋体"/>
        <charset val="134"/>
      </rPr>
      <t>3</t>
    </r>
  </si>
  <si>
    <t>16002</t>
  </si>
  <si>
    <t>16003</t>
  </si>
  <si>
    <t>酸度计(pH计)</t>
  </si>
  <si>
    <t>测量范围：pH 0～14，分辨率：0.1</t>
  </si>
  <si>
    <t>26003</t>
  </si>
  <si>
    <t>原电池实验器</t>
  </si>
  <si>
    <t>1、供中学化学课学生分组进行原电池实验用。2、产品由容器、电极板（铜板、锌板、铝板）、电极卡、容器盖、接线柱组成。3、容器由透明塑料制成，内腔尺寸：60mm×30mm×75mm。4.电极板尺寸：60mm×15mm×1mm。</t>
  </si>
  <si>
    <t>26005</t>
  </si>
  <si>
    <t>贮气装置</t>
  </si>
  <si>
    <t>产品由出水管、贮水室、导气阀、贮气室、底座、乳胶管等组成。1.贮气装置用优质透明塑料和ABS工程塑料注塑成型、表面清晰、无划痕、气泡、飞边等现象。3、贮气装置外形尺寸：直径160mm,高200mm。表面标有刻度线，最小刻度200mL，容量3000mL。4、各焊接部位牢固、密封、无漏气现象。</t>
  </si>
  <si>
    <t>26010</t>
  </si>
  <si>
    <t>溶液导电演示器</t>
  </si>
  <si>
    <t>产品由演示板、溶液盒5套等组成。1．演示板应采用塑料注塑成型，白色，演示板外形尺寸：316±2mm×216±2mm×19±1mm，板上印有线路图，安装有5个6.2V的灯泡、开关、指示灯及10个接线柱。2、溶液盒5套，盒体应采用透明塑料注塑成型，表面光洁透明，外形尺寸：50±2mm×28±2mm×60±2mm，溶液盒盖应采用橡胶压制而成，盖上安装石墨碳棒电极两根，电极直径为4mm，长48mm，外接导线及接线叉。3、供电DC6Ｖ。4、可同时演示五组。</t>
  </si>
  <si>
    <t>26011</t>
  </si>
  <si>
    <t>微型溶液导电实验器</t>
  </si>
  <si>
    <t>金属电极，笔式，所需溶液不超过3mL</t>
  </si>
  <si>
    <t>26013</t>
  </si>
  <si>
    <t>中和热测定仪</t>
  </si>
  <si>
    <r>
      <rPr>
        <sz val="10"/>
        <rFont val="宋体"/>
        <charset val="134"/>
      </rPr>
      <t>产品由外筒、内筒、隔离泡沫、搅拌器、温度计及上盖组成。</t>
    </r>
    <r>
      <rPr>
        <sz val="10"/>
        <rFont val="Times New Roman"/>
        <charset val="134"/>
      </rPr>
      <t>1.</t>
    </r>
    <r>
      <rPr>
        <sz val="10"/>
        <rFont val="宋体"/>
        <charset val="134"/>
      </rPr>
      <t>外筒为塑料制，直径</t>
    </r>
    <r>
      <rPr>
        <sz val="10"/>
        <rFont val="Times New Roman"/>
        <charset val="134"/>
      </rPr>
      <t>98mm</t>
    </r>
    <r>
      <rPr>
        <sz val="10"/>
        <rFont val="宋体"/>
        <charset val="134"/>
      </rPr>
      <t>、高</t>
    </r>
    <r>
      <rPr>
        <sz val="10"/>
        <rFont val="Times New Roman"/>
        <charset val="134"/>
      </rPr>
      <t>98mm</t>
    </r>
    <r>
      <rPr>
        <sz val="10"/>
        <rFont val="宋体"/>
        <charset val="134"/>
      </rPr>
      <t>。</t>
    </r>
    <r>
      <rPr>
        <sz val="10"/>
        <rFont val="Times New Roman"/>
        <charset val="134"/>
      </rPr>
      <t>2.</t>
    </r>
    <r>
      <rPr>
        <sz val="10"/>
        <rFont val="宋体"/>
        <charset val="134"/>
      </rPr>
      <t>内筒为铝制，直径</t>
    </r>
    <r>
      <rPr>
        <sz val="10"/>
        <rFont val="Times New Roman"/>
        <charset val="134"/>
      </rPr>
      <t>60mm</t>
    </r>
    <r>
      <rPr>
        <sz val="10"/>
        <rFont val="宋体"/>
        <charset val="134"/>
      </rPr>
      <t>，深</t>
    </r>
    <r>
      <rPr>
        <sz val="10"/>
        <rFont val="Times New Roman"/>
        <charset val="134"/>
      </rPr>
      <t>73mm</t>
    </r>
    <r>
      <rPr>
        <sz val="10"/>
        <rFont val="宋体"/>
        <charset val="134"/>
      </rPr>
      <t>。</t>
    </r>
    <r>
      <rPr>
        <sz val="10"/>
        <rFont val="Times New Roman"/>
        <charset val="134"/>
      </rPr>
      <t>3.</t>
    </r>
    <r>
      <rPr>
        <sz val="10"/>
        <rFont val="宋体"/>
        <charset val="134"/>
      </rPr>
      <t>搅拌器为直径</t>
    </r>
    <r>
      <rPr>
        <sz val="10"/>
        <rFont val="Times New Roman"/>
        <charset val="134"/>
      </rPr>
      <t>2mm</t>
    </r>
    <r>
      <rPr>
        <sz val="10"/>
        <rFont val="宋体"/>
        <charset val="134"/>
      </rPr>
      <t>的铝丝绕制而成，附手柄套。</t>
    </r>
  </si>
  <si>
    <t>26016</t>
  </si>
  <si>
    <t>化学实验废液处理装置</t>
  </si>
  <si>
    <t>不小于20升/次，无极变速双搅拌，附循环泵</t>
  </si>
  <si>
    <t>26019</t>
  </si>
  <si>
    <t>气体实验微型装置</t>
  </si>
  <si>
    <t>以微型玻璃仪器为主,能完成氧气、氢气、二氧化碳、一氧化碳、氯气、氨气、二氧化硫、硫化氢、一氧化氮、二氧化氮等十几种气体的制备和性质实验,反应容器一般不超过30mL</t>
  </si>
  <si>
    <t>26020</t>
  </si>
  <si>
    <t>氢燃料电池演示器</t>
  </si>
  <si>
    <t>两个质子交换膜电极，膜电极不小于33mm×33mm</t>
  </si>
  <si>
    <t>26021</t>
  </si>
  <si>
    <t xml:space="preserve">氢燃料电池实验器 </t>
  </si>
  <si>
    <t>一个质子交换膜电极，膜电极不小于15mm×15mm，带电流、电压表</t>
  </si>
  <si>
    <t>26023</t>
  </si>
  <si>
    <t>电解槽演示器</t>
  </si>
  <si>
    <t>离子交换膜</t>
  </si>
  <si>
    <t>26027</t>
  </si>
  <si>
    <t>电泳演示器</t>
  </si>
  <si>
    <t>用于中学化学演示胶体的电泳现象，认识形成电泳的原因；仪器外形结构由底座电源装置，U形管、电极插座和开关等组成。1.主要技术参数：输入电压：AC12V；输出电压大于120V；输出电流80mA。2.U型管直径约18mm。3.底座为塑料制，尺寸：150mm×110mm。</t>
  </si>
  <si>
    <t>放电反应实验仪</t>
  </si>
  <si>
    <t>通电两分钟之内即有氮气与氧气反应的现象，消耗功率不大于30W</t>
  </si>
  <si>
    <t>光化学实验演示器</t>
  </si>
  <si>
    <t>能演示甲烷与氯气的反应</t>
  </si>
  <si>
    <t>32003</t>
  </si>
  <si>
    <t>分子结构模型</t>
  </si>
  <si>
    <t>演示用，氢原子球直径不小于23mm，其他原子球直径不小于30mm</t>
  </si>
  <si>
    <t>分组用</t>
  </si>
  <si>
    <t>32004</t>
  </si>
  <si>
    <t>金刚石结构模型</t>
  </si>
  <si>
    <t>球直径不小于30mm</t>
  </si>
  <si>
    <t>32005</t>
  </si>
  <si>
    <t>石墨结构模型</t>
  </si>
  <si>
    <t>32006</t>
  </si>
  <si>
    <t>碳-60结构模型</t>
  </si>
  <si>
    <t>32027</t>
  </si>
  <si>
    <t>气体摩尔体积模型</t>
  </si>
  <si>
    <t>模型采用拆装式，由1气体摩尔体积正方体组成，1气体摩尔体积正方体规格为282×282×282mm，厚度为2mm的透明有机玻璃构成，再用专门设计的透明塑料角联结。</t>
  </si>
  <si>
    <t>42001</t>
  </si>
  <si>
    <t>金属矿物、金属及合金标本</t>
  </si>
  <si>
    <t>各类不少于5种</t>
  </si>
  <si>
    <t>盒</t>
  </si>
  <si>
    <t>42002</t>
  </si>
  <si>
    <t>原油常见馏分标本</t>
  </si>
  <si>
    <t>不少于8种</t>
  </si>
  <si>
    <t>42003</t>
  </si>
  <si>
    <t>合成有机高分子材料标本</t>
  </si>
  <si>
    <t>不少于10种</t>
  </si>
  <si>
    <t>42004</t>
  </si>
  <si>
    <t>新型无机非金属材料标本</t>
  </si>
  <si>
    <t>氧化铝陶瓷、氮化硅陶瓷、光导纤维等</t>
  </si>
  <si>
    <t>元素周期表</t>
  </si>
  <si>
    <t>有外围电子层排布，不带轴，全开布制</t>
  </si>
  <si>
    <t>件</t>
  </si>
  <si>
    <t>量筒</t>
  </si>
  <si>
    <t>10mL</t>
  </si>
  <si>
    <t>60001</t>
  </si>
  <si>
    <t>25mL</t>
  </si>
  <si>
    <t>50mL</t>
  </si>
  <si>
    <t>100mL</t>
  </si>
  <si>
    <t>500mL</t>
  </si>
  <si>
    <t>1000mL</t>
  </si>
  <si>
    <t>60012</t>
  </si>
  <si>
    <t>量杯</t>
  </si>
  <si>
    <t>60023</t>
  </si>
  <si>
    <t>容量瓶</t>
  </si>
  <si>
    <t>60041</t>
  </si>
  <si>
    <t>滴定管</t>
  </si>
  <si>
    <t>酸式，25mL</t>
  </si>
  <si>
    <t>碱式，25mL</t>
  </si>
  <si>
    <t>试管</t>
  </si>
  <si>
    <t>φ12mm×70mm</t>
  </si>
  <si>
    <t>61001</t>
  </si>
  <si>
    <t>φ15mm×150mm</t>
  </si>
  <si>
    <t>φ18mm×180mm</t>
  </si>
  <si>
    <t>φ20mm×200mm</t>
  </si>
  <si>
    <t>φ32mm×200mm，硬质</t>
  </si>
  <si>
    <t>φ40mm×200mm</t>
  </si>
  <si>
    <t>61008</t>
  </si>
  <si>
    <t>具支试管</t>
  </si>
  <si>
    <t>61009</t>
  </si>
  <si>
    <t>硬质玻璃管</t>
  </si>
  <si>
    <t>φ20mm×250mm</t>
  </si>
  <si>
    <t>61011</t>
  </si>
  <si>
    <t>燃烧管</t>
  </si>
  <si>
    <t>φ25mm×300mm</t>
  </si>
  <si>
    <t>61012</t>
  </si>
  <si>
    <t>Y形试管</t>
  </si>
  <si>
    <t>φ20mm</t>
  </si>
  <si>
    <t>61020</t>
  </si>
  <si>
    <t>烧杯</t>
  </si>
  <si>
    <t>5mL</t>
  </si>
  <si>
    <t>61033</t>
  </si>
  <si>
    <t>烧瓶</t>
  </si>
  <si>
    <t>圆底，长颈，250mL</t>
  </si>
  <si>
    <t>圆底，短颈，厚口 250mL</t>
  </si>
  <si>
    <t>圆底，长颈，500mL</t>
  </si>
  <si>
    <t>平底，长颈，250mL</t>
  </si>
  <si>
    <t>61041</t>
  </si>
  <si>
    <t>锥形瓶</t>
  </si>
  <si>
    <t>61051</t>
  </si>
  <si>
    <t>蒸馏烧瓶</t>
  </si>
  <si>
    <t>酒精灯</t>
  </si>
  <si>
    <t>150mL，单头</t>
  </si>
  <si>
    <t>62001</t>
  </si>
  <si>
    <t>250mL，单头</t>
  </si>
  <si>
    <t>250mL，双头</t>
  </si>
  <si>
    <t>62002</t>
  </si>
  <si>
    <t>干燥塔</t>
  </si>
  <si>
    <t>62003</t>
  </si>
  <si>
    <t>气体洗瓶</t>
  </si>
  <si>
    <t>62004</t>
  </si>
  <si>
    <t>抽滤瓶</t>
  </si>
  <si>
    <t>抽气管</t>
  </si>
  <si>
    <t>与布氏漏斗、抽滤瓶一起组成抽滤装置。是一种抽气减压工具。玻璃质。</t>
  </si>
  <si>
    <t>62006</t>
  </si>
  <si>
    <t>干燥器</t>
  </si>
  <si>
    <t>160mm</t>
  </si>
  <si>
    <t>62007</t>
  </si>
  <si>
    <t>气体发生器</t>
  </si>
  <si>
    <t>62021</t>
  </si>
  <si>
    <t>冷凝器</t>
  </si>
  <si>
    <t>直形，300mm</t>
  </si>
  <si>
    <t>球形，300mm</t>
  </si>
  <si>
    <t>62023</t>
  </si>
  <si>
    <t>牛角管</t>
  </si>
  <si>
    <t>弯形，φ18mm×150mm</t>
  </si>
  <si>
    <t>62031</t>
  </si>
  <si>
    <t>漏斗</t>
  </si>
  <si>
    <t>60mm</t>
  </si>
  <si>
    <t>90mm</t>
  </si>
  <si>
    <t>62033</t>
  </si>
  <si>
    <t>安全漏斗</t>
  </si>
  <si>
    <t>直形</t>
  </si>
  <si>
    <t>双球</t>
  </si>
  <si>
    <t>62035</t>
  </si>
  <si>
    <t>分液漏斗</t>
  </si>
  <si>
    <t>锥(梨)形，100mL</t>
  </si>
  <si>
    <t>球形，50mL</t>
  </si>
  <si>
    <t>62039</t>
  </si>
  <si>
    <t>布氏漏斗</t>
  </si>
  <si>
    <t>瓷，80mm</t>
  </si>
  <si>
    <t>62071</t>
  </si>
  <si>
    <t>T形管</t>
  </si>
  <si>
    <t>φ7mm～8mm</t>
  </si>
  <si>
    <t>62072</t>
  </si>
  <si>
    <t>Y形管</t>
  </si>
  <si>
    <t>62074</t>
  </si>
  <si>
    <t>离心管</t>
  </si>
  <si>
    <t>62075</t>
  </si>
  <si>
    <t>干燥管</t>
  </si>
  <si>
    <t>单球，150mm</t>
  </si>
  <si>
    <t>U型，φ15mm×150mm</t>
  </si>
  <si>
    <t>U型，φ20mm×200mm</t>
  </si>
  <si>
    <t>U型，具支，φ15mm×150mm</t>
  </si>
  <si>
    <t>62079</t>
  </si>
  <si>
    <t>活塞</t>
  </si>
  <si>
    <t>T形</t>
  </si>
  <si>
    <t>62091</t>
  </si>
  <si>
    <t>圆水槽</t>
  </si>
  <si>
    <t>φ200mm×100mm</t>
  </si>
  <si>
    <t>φ270mm×140mm</t>
  </si>
  <si>
    <t>62093</t>
  </si>
  <si>
    <t>玻璃钟罩</t>
  </si>
  <si>
    <t>φ150mm×280mm</t>
  </si>
  <si>
    <t>62095</t>
  </si>
  <si>
    <t>钴玻璃片</t>
  </si>
  <si>
    <t>集气瓶</t>
  </si>
  <si>
    <t>125mL，附毛玻璃片</t>
  </si>
  <si>
    <t>63002</t>
  </si>
  <si>
    <t>250mL，附毛玻璃片</t>
  </si>
  <si>
    <t>500mL，附毛玻璃片</t>
  </si>
  <si>
    <t>63005</t>
  </si>
  <si>
    <t>液封除毒气集气瓶</t>
  </si>
  <si>
    <t>63011</t>
  </si>
  <si>
    <t>广口瓶</t>
  </si>
  <si>
    <t>60mL</t>
  </si>
  <si>
    <t>125mL</t>
  </si>
  <si>
    <t>棕色，60mL</t>
  </si>
  <si>
    <t>棕色，125mL</t>
  </si>
  <si>
    <t>棕色，250mL</t>
  </si>
  <si>
    <t>63021</t>
  </si>
  <si>
    <t>细口瓶</t>
  </si>
  <si>
    <t>3000mL</t>
  </si>
  <si>
    <t>棕色，500mL</t>
  </si>
  <si>
    <t>棕色，1000mL</t>
  </si>
  <si>
    <t>棕色，3000mL</t>
  </si>
  <si>
    <t>63037</t>
  </si>
  <si>
    <t>下口瓶</t>
  </si>
  <si>
    <t>5000mL</t>
  </si>
  <si>
    <t>63041</t>
  </si>
  <si>
    <t>滴瓶</t>
  </si>
  <si>
    <t>30mL</t>
  </si>
  <si>
    <t>棕色，30mL</t>
  </si>
  <si>
    <t>64001</t>
  </si>
  <si>
    <t>坩埚</t>
  </si>
  <si>
    <t>瓷，30mL</t>
  </si>
  <si>
    <t>64002</t>
  </si>
  <si>
    <t>坩埚钳</t>
  </si>
  <si>
    <t>200mm</t>
  </si>
  <si>
    <t>64003</t>
  </si>
  <si>
    <t>烧杯夹</t>
  </si>
  <si>
    <t>钢制或不锈钢制，夹持部位应有橡胶保护套，避免与玻璃烧杯直接接触</t>
  </si>
  <si>
    <t>64005</t>
  </si>
  <si>
    <t>镊子</t>
  </si>
  <si>
    <t>不锈钢制，平头，长 125 mm，钢板厚 1.2 mm，前部应有防滑脱锯齿</t>
  </si>
  <si>
    <t>64006</t>
  </si>
  <si>
    <t>试管夹</t>
  </si>
  <si>
    <t>木制或者竹制，长度≥200 mm，宽度约 20 mm，厚度约 20 mm。试管夹闭口缝≤1 mm，开口距离≥25 mm。毡块粘接牢固，试管夹弹簧作防锈处理。试管夹持部位圆弧内径≤15 mm</t>
  </si>
  <si>
    <t>64007</t>
  </si>
  <si>
    <t>水止皮管夹</t>
  </si>
  <si>
    <r>
      <rPr>
        <i/>
        <sz val="10"/>
        <rFont val="宋体"/>
        <charset val="134"/>
      </rPr>
      <t xml:space="preserve">Φ </t>
    </r>
    <r>
      <rPr>
        <sz val="10"/>
        <rFont val="宋体"/>
        <charset val="134"/>
      </rPr>
      <t>3 mm 钢丝制成，作防锈处理，夹持角度≥60º，弹性好，不漏液</t>
    </r>
  </si>
  <si>
    <t>64008</t>
  </si>
  <si>
    <t>螺旋皮管夹</t>
  </si>
  <si>
    <t>由支架管和带压板的螺杆等组成。外形尺寸约为33 mm×20 mm×8 mm，旋转方便，不易变形，压板厚度≥1 mm</t>
  </si>
  <si>
    <t>64032</t>
  </si>
  <si>
    <t>石棉网</t>
  </si>
  <si>
    <t xml:space="preserve">金属网尺寸≥125 mm×125 mm， 0.8 mm 钢丝制成，石棉材料不易脱落，石棉网边缘钢丝应作简单处理 </t>
  </si>
  <si>
    <t>64035</t>
  </si>
  <si>
    <t>二连球</t>
  </si>
  <si>
    <t>橡胶材质，直径≥90mm，长度≥250mm</t>
  </si>
  <si>
    <t>64041</t>
  </si>
  <si>
    <t>燃烧匙</t>
  </si>
  <si>
    <t>铜勺，勺直径 18 mm，深 10 mm，铁柄，柄长约300 mm，长柄和铜勺连接稳定结实</t>
  </si>
  <si>
    <t>64042</t>
  </si>
  <si>
    <t>药匙</t>
  </si>
  <si>
    <t>长度≥13 cm， 带小勺，材质可选金属、牛角、塑料</t>
  </si>
  <si>
    <t>64051</t>
  </si>
  <si>
    <t>玻璃管</t>
  </si>
  <si>
    <t>φ5mm～φ6mm</t>
  </si>
  <si>
    <t>千克</t>
  </si>
  <si>
    <t>φ7mm～φ8mm</t>
  </si>
  <si>
    <t>64053</t>
  </si>
  <si>
    <t>玻璃棒</t>
  </si>
  <si>
    <t>φ3mm～φ4mm</t>
  </si>
  <si>
    <t>64061</t>
  </si>
  <si>
    <t>软胶塞</t>
  </si>
  <si>
    <t>0号～12号</t>
  </si>
  <si>
    <t>64062</t>
  </si>
  <si>
    <t>橡胶管</t>
  </si>
  <si>
    <t>外径 9 mm，内径 6 mm  乳白色，具有耐油、耐酸碱、耐压等特性</t>
  </si>
  <si>
    <t>64063</t>
  </si>
  <si>
    <t>乳胶管</t>
  </si>
  <si>
    <t xml:space="preserve"> 外径 6 mm，内径 4 mm  弹力好，拉力范围可在自身的 6 倍，回弹力 100%</t>
  </si>
  <si>
    <t>米</t>
  </si>
  <si>
    <t>64071</t>
  </si>
  <si>
    <t>试管刷</t>
  </si>
  <si>
    <t>Φ 18 mm 手持部分顶端应为环状，顶部要有刷丝，铁丝不可外露</t>
  </si>
  <si>
    <t>64072</t>
  </si>
  <si>
    <t>烧瓶刷</t>
  </si>
  <si>
    <t>250 mL 烧瓶用   手持部分顶端应为环状，顶部要有刷丝，铁丝不可外露</t>
  </si>
  <si>
    <t>64074</t>
  </si>
  <si>
    <t>滴定管刷</t>
  </si>
  <si>
    <t>由金属丝和胶合在其上的猪鬃毛制成</t>
  </si>
  <si>
    <t>64080</t>
  </si>
  <si>
    <t>结晶皿</t>
  </si>
  <si>
    <t>80mm</t>
  </si>
  <si>
    <t>64081</t>
  </si>
  <si>
    <t>表面皿</t>
  </si>
  <si>
    <t>100mm</t>
  </si>
  <si>
    <t>64086</t>
  </si>
  <si>
    <t>研钵</t>
  </si>
  <si>
    <t>瓷，60mm</t>
  </si>
  <si>
    <t>瓷，90mm</t>
  </si>
  <si>
    <t>64088</t>
  </si>
  <si>
    <t>蒸发皿</t>
  </si>
  <si>
    <t>瓷，100mm</t>
  </si>
  <si>
    <t>64091</t>
  </si>
  <si>
    <t>反应板</t>
  </si>
  <si>
    <t>至少6穴</t>
  </si>
  <si>
    <t>64092</t>
  </si>
  <si>
    <t>井穴板</t>
  </si>
  <si>
    <t>9孔，0.7mL×9</t>
  </si>
  <si>
    <t>6孔，5mL×6，附带双导气管的井穴塞</t>
  </si>
  <si>
    <t>64094</t>
  </si>
  <si>
    <t>塑料多用滴管</t>
  </si>
  <si>
    <t>4mL</t>
  </si>
  <si>
    <t>64098</t>
  </si>
  <si>
    <t>白金丝</t>
  </si>
  <si>
    <t>φ0.5mm×50mm；具金属柄，可拆卸，镍铬丝代替</t>
  </si>
  <si>
    <t>高中化学实验材料</t>
  </si>
  <si>
    <t>小刀、棉花、木炭、火柴、蜡烛、剪刀、焊锡、炭棒、导线、电灯泡、木板、电池、电珠、砂纸等</t>
  </si>
  <si>
    <t>份</t>
  </si>
  <si>
    <t xml:space="preserve">电极材料 </t>
  </si>
  <si>
    <t>石墨、铜、锌、镁、铁、锡等电极</t>
  </si>
  <si>
    <t xml:space="preserve">套 </t>
  </si>
  <si>
    <t>81002</t>
  </si>
  <si>
    <t>一字螺丝刀</t>
  </si>
  <si>
    <t>橡胶手柄，长度为160mm。</t>
  </si>
  <si>
    <t>81003</t>
  </si>
  <si>
    <t>十字螺丝刀</t>
  </si>
  <si>
    <t>81004</t>
  </si>
  <si>
    <t>尖嘴钳</t>
  </si>
  <si>
    <t>150mm</t>
  </si>
  <si>
    <t>把</t>
  </si>
  <si>
    <t>81015</t>
  </si>
  <si>
    <t>手锤</t>
  </si>
  <si>
    <t>木制手柄。长度为：250mm</t>
  </si>
  <si>
    <t>81009</t>
  </si>
  <si>
    <t>81018</t>
  </si>
  <si>
    <t>三角锉刀</t>
  </si>
  <si>
    <t>250mm带柄</t>
  </si>
  <si>
    <t>81032</t>
  </si>
  <si>
    <t>剪刀</t>
  </si>
  <si>
    <t>铁制品，塑料手柄,长约215mm</t>
  </si>
  <si>
    <t>81051</t>
  </si>
  <si>
    <t>玻璃瓶盖开启器</t>
  </si>
  <si>
    <t>产品由内丝旋套（塑料制）及塑料手柄带螺旋钢丝组成。供开启玻璃瓶口的软木塞。</t>
  </si>
  <si>
    <t>81052</t>
  </si>
  <si>
    <t>玻璃管切割器</t>
  </si>
  <si>
    <t>产品由切割头、手柄两大部分组成。总长160mm。切割头由金属架和金刚石刻刀组成，手柄为塑料制。</t>
  </si>
  <si>
    <t>82001</t>
  </si>
  <si>
    <t>工作服</t>
  </si>
  <si>
    <t>防酸碱</t>
  </si>
  <si>
    <t>82002</t>
  </si>
  <si>
    <t>护目镜</t>
  </si>
  <si>
    <t>侧面完全遮挡</t>
  </si>
  <si>
    <t>82003</t>
  </si>
  <si>
    <t>82004</t>
  </si>
  <si>
    <t>防护面罩</t>
  </si>
  <si>
    <t>可提供颈部和头部保护</t>
  </si>
  <si>
    <t>82014</t>
  </si>
  <si>
    <t>简易急救箱</t>
  </si>
  <si>
    <t>箱内至少包括：创可贴、胶布、医用纱布、药棉、手术剪、镊子、止血带（长度≥30 cm）等。箱体采用中号铝合金材质</t>
  </si>
  <si>
    <t>82011</t>
  </si>
  <si>
    <t>实验防护屏</t>
  </si>
  <si>
    <t>1．产品为三片折叠式结构，由透明度好的有机玻璃制造。2.尺寸300mm×290mm一块，尺寸300mm×145mm二块，厚度不小于2mm。3．防护屏支撑牢靠，平稳。4．合叶与屏板连接牢靠，经多次开合不得脱落。</t>
  </si>
  <si>
    <t>合计</t>
  </si>
  <si>
    <t>高中生物</t>
  </si>
  <si>
    <t>02040</t>
  </si>
  <si>
    <t>生物显微镜</t>
  </si>
  <si>
    <t>≥640倍</t>
  </si>
  <si>
    <t>≥1000倍，双筒</t>
  </si>
  <si>
    <t>30199004008</t>
  </si>
  <si>
    <t>02044</t>
  </si>
  <si>
    <t>双目立体显微镜</t>
  </si>
  <si>
    <t>40倍</t>
  </si>
  <si>
    <t>30199004401</t>
  </si>
  <si>
    <t>02051</t>
  </si>
  <si>
    <t>放大镜</t>
  </si>
  <si>
    <t>手持式，有效通光孔径不小于30mm，5倍</t>
  </si>
  <si>
    <t>02080</t>
  </si>
  <si>
    <t>高压灭菌锅</t>
  </si>
  <si>
    <t>手提式，18L</t>
  </si>
  <si>
    <t>02082</t>
  </si>
  <si>
    <t>恒温水浴锅</t>
  </si>
  <si>
    <t>一列两孔或四孔</t>
  </si>
  <si>
    <t>02087</t>
  </si>
  <si>
    <t>恒温培养箱</t>
  </si>
  <si>
    <t>≥80L；1．内室采用优质冷轧钢板或不锈钢薄板制作，洁净耐用；设有钢化玻璃观察窗，便于观察；选用智能数显控温仪表，控温精确、稳定；2.控温范围：控温范围室温+3～60℃，温度波动度±1℃；3.工作电流:220V/50Hz，额定功率600W。</t>
  </si>
  <si>
    <t>100mL，塑料</t>
  </si>
  <si>
    <t>02119</t>
  </si>
  <si>
    <t>整理箱</t>
  </si>
  <si>
    <t>矮型，储存及分发药品用</t>
  </si>
  <si>
    <t>250mL或500mL</t>
  </si>
  <si>
    <t>12孔，12柱，与φ15mm×150mm试管匹配</t>
  </si>
  <si>
    <t>32孔，铝合金，与φ15mm×150mm试管匹配</t>
  </si>
  <si>
    <t>200g，0.2g</t>
  </si>
  <si>
    <t>200g,0.2g</t>
  </si>
  <si>
    <t>水银，0℃～200℃</t>
  </si>
  <si>
    <t>测量范围:pH 0～14，分辨率:0.1</t>
  </si>
  <si>
    <t>16017</t>
  </si>
  <si>
    <t>血球计数板</t>
  </si>
  <si>
    <t>规格：1.计数池深度：0.1mm。2.计数池划格：1mm2 。3.白血球计数大方格：1/16 mm2。4. 红血球计数中方格：1/25 mm2。5.白血球小方格：1/400mm2。6.外型74×33×5mm。7.大方格每边长度允许误差为±1%。8.计数池平面两端磨有斜坡，使血液吸入容量大而畅通。9.计数池的背面有凹窝，可保护背面。</t>
  </si>
  <si>
    <t>片</t>
  </si>
  <si>
    <t>27006</t>
  </si>
  <si>
    <t>接种环</t>
  </si>
  <si>
    <t>金属手柄，合金金属丝</t>
  </si>
  <si>
    <t>27013</t>
  </si>
  <si>
    <t>普通手术剪</t>
  </si>
  <si>
    <t>直尖头，140mm</t>
  </si>
  <si>
    <t>27014</t>
  </si>
  <si>
    <t>眼用手术剪</t>
  </si>
  <si>
    <t>直尖头，100mm</t>
  </si>
  <si>
    <t>27017</t>
  </si>
  <si>
    <t>解剖镊</t>
  </si>
  <si>
    <t>尖头，125mm</t>
  </si>
  <si>
    <t>阔头，125mm</t>
  </si>
  <si>
    <t>27019</t>
  </si>
  <si>
    <t>眼用镊</t>
  </si>
  <si>
    <t>直唇头齿,100mm</t>
  </si>
  <si>
    <t>33301</t>
  </si>
  <si>
    <t>始祖鸟化石及复原模型</t>
  </si>
  <si>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t>
  </si>
  <si>
    <t>33302</t>
  </si>
  <si>
    <t>细胞亚显微结构模型</t>
  </si>
  <si>
    <t>本模型使用于中学及大专院校讲授动物细胞结构时作为直观教具。PVC材质。</t>
  </si>
  <si>
    <t>33303</t>
  </si>
  <si>
    <t>细胞膜结构模型</t>
  </si>
  <si>
    <t>1、 该模型以目前不较多的人所接受的“磷脂液态馕嵌模型”之原理为依据制作。长260mm、宽180mm、高110mm。
2、 脂质分子由呈球状的头和呈丝状的尾组成。头部为亲水端，朝向膜内、外两侧、尾为输水端，朝向内膜中央，从而形成三片层结构。
3、 蛋白质呈不规则的球状，按其功能不同，不封馕嵌于类脂双分子层表面，部分横穿类脂双分子层，其中一个蛋白质分子可活动。</t>
  </si>
  <si>
    <t>33305</t>
  </si>
  <si>
    <t>减数分裂中染色体变化模型组件</t>
  </si>
  <si>
    <t>产品包含减数分裂各个时期的染色体不同形态的模型。</t>
  </si>
  <si>
    <t>33306</t>
  </si>
  <si>
    <t>DNA结构模型</t>
  </si>
  <si>
    <t>模型为放大一亿倍（中学用）、二亿倍（大学用）的B型DNA分子结构教学示意模型。1、 DNA分子是两条核甘酸链以右手螺旋围绕同一根轴旋成的。住链是交替排列的磷酸根（P）和脱氧核糖（D）。 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</si>
  <si>
    <t>33307</t>
  </si>
  <si>
    <t>DNA双螺旋结构模型组件</t>
  </si>
  <si>
    <t>分组用，模型由脱氧核糖、碱基、磷酸等主要组块构成，包括连接棒A(细)40根，连接棒B(粗)20根；脱氧核糖20个；磷酸20个；碱基A5个，碱基B5个，碱基C5个，碱基D5个。优质塑料盒装，盒体外形规格：150mm×80mm×20mm。</t>
  </si>
  <si>
    <t>43208</t>
  </si>
  <si>
    <t>蚕豆叶下表皮装片</t>
  </si>
  <si>
    <t>细胞质着色均匀，细胞核明显，细胞界限清晰，保卫细胞形态应正常，应清晰可见细胞核和叶绿体</t>
  </si>
  <si>
    <t>日晟</t>
  </si>
  <si>
    <t>河南日晟科教设备有限公司</t>
  </si>
  <si>
    <t>43209</t>
  </si>
  <si>
    <t>植物细胞有丝分裂</t>
  </si>
  <si>
    <t>洋葱根尖纵切</t>
  </si>
  <si>
    <t>43211</t>
  </si>
  <si>
    <t>胞间连丝切片</t>
  </si>
  <si>
    <t xml:space="preserve">应能看清胞间连丝将两个相邻细胞的原生质体连在一起 </t>
  </si>
  <si>
    <t>43224</t>
  </si>
  <si>
    <t>黑藻叶装片</t>
  </si>
  <si>
    <t>显示细胞核及叶绿体</t>
  </si>
  <si>
    <t>43305</t>
  </si>
  <si>
    <t>酵母菌装片</t>
  </si>
  <si>
    <t>应能看清细胞壁、细胞核、细胞质、液泡和细胞膜等结构，可见芽体</t>
  </si>
  <si>
    <t>43307</t>
  </si>
  <si>
    <t>水绵装片</t>
  </si>
  <si>
    <t xml:space="preserve">结构应清晰且典型 </t>
  </si>
  <si>
    <t>43312</t>
  </si>
  <si>
    <t>大肠杆菌涂片</t>
  </si>
  <si>
    <t>玻璃生物切片</t>
  </si>
  <si>
    <t>43403</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</si>
  <si>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</si>
  <si>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</si>
  <si>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43405</t>
  </si>
  <si>
    <t>草履虫分裂生殖装片</t>
  </si>
  <si>
    <t xml:space="preserve">虫体形态正常，无收缩、膨胀、压碎、断裂等现象 </t>
  </si>
  <si>
    <t>43414</t>
  </si>
  <si>
    <t>蝗虫精巢减数分裂切片</t>
  </si>
  <si>
    <t>学生观察细胞构造</t>
  </si>
  <si>
    <t>43415</t>
  </si>
  <si>
    <t>蛙血涂片</t>
  </si>
  <si>
    <t>43416</t>
  </si>
  <si>
    <t>表皮细胞装片</t>
  </si>
  <si>
    <t>蛙或蝾螈</t>
  </si>
  <si>
    <t>43508</t>
  </si>
  <si>
    <t>骨骼肌纵横切</t>
  </si>
  <si>
    <t xml:space="preserve">取材于哺乳动物的膈肌，应能看清肌外膜、肌束膜、肌纤维膜、肌纤维及其细胞核和小血管等 </t>
  </si>
  <si>
    <t>43509</t>
  </si>
  <si>
    <t>平滑肌分离装片</t>
  </si>
  <si>
    <t xml:space="preserve">取材于两栖动物或哺乳动物消化管的基层，应能看清大部分被分离成单个的长梭形平滑肌细胞 </t>
  </si>
  <si>
    <t>43510</t>
  </si>
  <si>
    <t>心肌切片</t>
  </si>
  <si>
    <t xml:space="preserve">取材于哺乳动物的心脏，应能看清柱状并具有分枝的肌纤维（肌细胞） </t>
  </si>
  <si>
    <t>43511</t>
  </si>
  <si>
    <t>运动神经元装片</t>
  </si>
  <si>
    <t xml:space="preserve">应能看清运动神经元的细胞体和突起、细胞核以及少量的神经纤维 </t>
  </si>
  <si>
    <t>43525</t>
  </si>
  <si>
    <t>胰腺切片(示胰岛)</t>
  </si>
  <si>
    <t>43603</t>
  </si>
  <si>
    <t>正常人染色体装片</t>
  </si>
  <si>
    <t xml:space="preserve">多重染色 </t>
  </si>
  <si>
    <t>43604</t>
  </si>
  <si>
    <t>DNA和RAN在细胞中的分布</t>
  </si>
  <si>
    <t>43605</t>
  </si>
  <si>
    <t>线粒体切片</t>
  </si>
  <si>
    <t>150mL</t>
  </si>
  <si>
    <t>蒸馏水瓶</t>
  </si>
  <si>
    <t>62073</t>
  </si>
  <si>
    <t>滴管</t>
  </si>
  <si>
    <t>62077</t>
  </si>
  <si>
    <t>比色管</t>
  </si>
  <si>
    <t>1.产品为竹制品。2.长度170mm，宽度12mm，厚度7.5mm。3.试管夹弹簧有足够弹性，作防锈处理。</t>
  </si>
  <si>
    <t>1．产品由金属网和附在网上的石棉组成；
2．金属网由Φ0.1mm左右的钢丝编织而成，密度均匀，织网密度间距不大于2mm，金属网为边长不小于125mm的正方形，边缘应作卷边处理，不散网、不翘丝；
3．金属网上所附石棉圈为双面附着的正圆形，直径不小于100mm，厚度为3mm左右，要求不散、不裂、不脱落；</t>
  </si>
  <si>
    <t>1．产品为塑料制成；两端分别为大小匙勺，全长不小于150mm；具有一定的韧性，不易折断；
2．产品制作应光滑、平整、无毛刺、无缺陷。</t>
  </si>
  <si>
    <t>φ5mm～6mm</t>
  </si>
  <si>
    <t>瓷,φ60mm</t>
  </si>
  <si>
    <t>81001</t>
  </si>
  <si>
    <t>测电笔</t>
  </si>
  <si>
    <t>氖泡式</t>
  </si>
  <si>
    <t>长150mm</t>
  </si>
  <si>
    <t>φ6mm，长150mm</t>
  </si>
  <si>
    <t>木工锤</t>
  </si>
  <si>
    <t>重0.25kg</t>
  </si>
  <si>
    <t>81012</t>
  </si>
  <si>
    <t>钢手锯</t>
  </si>
  <si>
    <t>1  由钢锯弓、钢锯条组成。金属锯身，锯弓尺寸可以调节，锯条长度300mm 。
2  手柄握捏部位应光滑舒适。采用钢材。</t>
  </si>
  <si>
    <t>81013</t>
  </si>
  <si>
    <t>剥线钳</t>
  </si>
  <si>
    <t>81014</t>
  </si>
  <si>
    <t>钢丝钳</t>
  </si>
  <si>
    <t>250mm</t>
  </si>
  <si>
    <t>81020</t>
  </si>
  <si>
    <t>活扳手</t>
  </si>
  <si>
    <t>长180mm</t>
  </si>
  <si>
    <t>侧面完全遮挡，耐酸碱，抗冲击</t>
  </si>
  <si>
    <t>82008</t>
  </si>
  <si>
    <t>乳胶手套</t>
  </si>
  <si>
    <t>耐酸碱</t>
  </si>
  <si>
    <t>付</t>
  </si>
  <si>
    <t>82009</t>
  </si>
  <si>
    <t>洗眼器</t>
  </si>
  <si>
    <t>台式双口，铜质阀体，软性橡胶喷淋头，水流锁定开关， 1.5 m 供水软管， PVC 管外覆不锈钢网，流量 12 L/min～18 L/min</t>
  </si>
  <si>
    <t>高中物理</t>
  </si>
  <si>
    <t>单价</t>
  </si>
  <si>
    <t>01011</t>
  </si>
  <si>
    <t>计算器</t>
  </si>
  <si>
    <t>函数型</t>
  </si>
  <si>
    <t>JOINUS</t>
  </si>
  <si>
    <t>JS-82MS-A</t>
  </si>
  <si>
    <t>惠州市迪诺电子有限公司</t>
  </si>
  <si>
    <t>02011</t>
  </si>
  <si>
    <t>直联泵</t>
  </si>
  <si>
    <t>2XZ-1型，单相，有防回油功能</t>
  </si>
  <si>
    <t>红宝石</t>
  </si>
  <si>
    <t>温岭市红宝石真空设备有限公司</t>
  </si>
  <si>
    <t>02016</t>
  </si>
  <si>
    <t>抽气盘</t>
  </si>
  <si>
    <t>直径不小于180mm，附钟罩</t>
  </si>
  <si>
    <t>600mm×400mm×800mm，白钢制</t>
  </si>
  <si>
    <t>1、规格:600*400*800mm±2mm;
2、采用双层结构，有上、下二层托盘，不锈钢材料;
3、车架用不锈钢管制成;
4、万向轮部件可以绕固定管作360°旋转;
在仪器车载重为额定值时，车轮应转动灵活，并且万向轮的方向也能自动调整，无卡阻现象。</t>
  </si>
  <si>
    <t>02023</t>
  </si>
  <si>
    <t>充磁器</t>
  </si>
  <si>
    <r>
      <rPr>
        <sz val="9"/>
        <rFont val="宋体"/>
        <charset val="134"/>
      </rPr>
      <t>尺寸</t>
    </r>
    <r>
      <rPr>
        <sz val="9"/>
        <rFont val="Arial"/>
        <charset val="134"/>
      </rPr>
      <t xml:space="preserve">≥160*95*85mm </t>
    </r>
    <r>
      <rPr>
        <sz val="9"/>
        <rFont val="宋体"/>
        <charset val="134"/>
      </rPr>
      <t>主要由螺线管、整流器、电源按钮开关、</t>
    </r>
    <r>
      <rPr>
        <sz val="9"/>
        <rFont val="Arial"/>
        <charset val="134"/>
      </rPr>
      <t xml:space="preserve">
</t>
    </r>
    <r>
      <rPr>
        <sz val="9"/>
        <rFont val="宋体"/>
        <charset val="134"/>
      </rPr>
      <t>功能转换开关、和外壳组成。</t>
    </r>
  </si>
  <si>
    <t>02115</t>
  </si>
  <si>
    <t>透明盛液筒</t>
  </si>
  <si>
    <t>φ100mm×300mm</t>
  </si>
  <si>
    <t>03001</t>
  </si>
  <si>
    <t>物理支架</t>
  </si>
  <si>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</si>
  <si>
    <t>03003</t>
  </si>
  <si>
    <t>多功能实验支架</t>
  </si>
  <si>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</si>
  <si>
    <t>03004</t>
  </si>
  <si>
    <t>升降台</t>
  </si>
  <si>
    <t>升降范围不小于150mm，载荷不小于10kg</t>
  </si>
  <si>
    <t>交流：2V～24V，每2V一档，2V～6V/12A，8V～12V/6A，14V～24V/3A；直流稳压：1V～25V分档连续可调，2V～6V/6A，8V～12V/4A，14V～24V/2A； 40A、8s自动关断</t>
  </si>
  <si>
    <t>04008</t>
  </si>
  <si>
    <t>调压变压器</t>
  </si>
  <si>
    <t>2kVA，TDGC2系列</t>
  </si>
  <si>
    <t>04011</t>
  </si>
  <si>
    <t>感应圈</t>
  </si>
  <si>
    <t>电子开关式</t>
  </si>
  <si>
    <t>04013</t>
  </si>
  <si>
    <t>电子起电机</t>
  </si>
  <si>
    <t xml:space="preserve">输入DC6V，输出电压范围：-17.5 kV～+17.5 kV，短路电流不大于500µA  </t>
  </si>
  <si>
    <t>10002</t>
  </si>
  <si>
    <t>木直尺</t>
  </si>
  <si>
    <t>1000mm</t>
  </si>
  <si>
    <t>10004</t>
  </si>
  <si>
    <t>钢直尺</t>
  </si>
  <si>
    <t>600mm</t>
  </si>
  <si>
    <t>10010</t>
  </si>
  <si>
    <t>游标卡尺</t>
  </si>
  <si>
    <t>150mm，0.05mm</t>
  </si>
  <si>
    <t>10011</t>
  </si>
  <si>
    <t>外径千分尺</t>
  </si>
  <si>
    <t>0mm～25mm，0.01mm</t>
  </si>
  <si>
    <t>100g，0.01g</t>
  </si>
  <si>
    <t>11017</t>
  </si>
  <si>
    <t>指针式体重计</t>
  </si>
  <si>
    <t>0g～160kg，500g</t>
  </si>
  <si>
    <t>指针式</t>
  </si>
  <si>
    <t>11021</t>
  </si>
  <si>
    <t>金属钩码</t>
  </si>
  <si>
    <t>50g×4，200g×2</t>
  </si>
  <si>
    <t>11022</t>
  </si>
  <si>
    <t>金属槽码</t>
  </si>
  <si>
    <t>2g×3，5g×2，10g×2，20g×2，50g×2，100g×2，200g×2，5g×1金属槽码盘和10g×1金属槽码盘</t>
  </si>
  <si>
    <t>0.01s</t>
  </si>
  <si>
    <t>12005</t>
  </si>
  <si>
    <t>电火花计时器</t>
  </si>
  <si>
    <t>单频率：0.02s，火花距离不小于10mm，平均电流不大于0.5mA</t>
  </si>
  <si>
    <t>12007</t>
  </si>
  <si>
    <t>数字计时器</t>
  </si>
  <si>
    <t>四位及以上，数据存贮，显示：10个挡光间隔时间、10周振动、n次振动时间总和、加速度计时三个时间、自由落体时间不少于二个、二路光电门分别计二个挡光时间(对碰、追碰)，有光电门接口和电磁铁接口，统一接口</t>
  </si>
  <si>
    <t>12008</t>
  </si>
  <si>
    <t>频闪光源</t>
  </si>
  <si>
    <t>25Hz，50Hz，100Hz</t>
  </si>
  <si>
    <t>14001</t>
  </si>
  <si>
    <t>条形盒测力计</t>
  </si>
  <si>
    <t>5N，零位可调，拉力式平板型、最大量程5N，最小分度值0.1N，透明外壳，金属拉环、拉杆、挂钩，铝质面板，面板上刻度印刷清晰。产品符合JY 0127-91《教学用测力计》相关要求。</t>
  </si>
  <si>
    <t>14002</t>
  </si>
  <si>
    <t>2.5N，零位可调，拉力式平板型、最大量程2.5N，最小分度值0.05N，透明外壳，金属拉环、拉杆、挂钩，铝质面板，面板上刻度印刷清晰。产品符合JY 0127-91《教学用测力计》相关要求。</t>
  </si>
  <si>
    <t>14003</t>
  </si>
  <si>
    <t>14010</t>
  </si>
  <si>
    <t>圆盘测力计</t>
  </si>
  <si>
    <t>仪器为齿轮、齿条传动，指针示数的弹簧测力装置，由二只表及附件组成，分度为1N，最大量程为10N，表盘直径200㎜。附件有工字梁一根、支承刃二个、滑轮二个、夹持杆二支、载物盘二个、砝码钩二个。</t>
  </si>
  <si>
    <t>15003</t>
  </si>
  <si>
    <t>高中数字演示电表</t>
  </si>
  <si>
    <t>直流/交流电压、电流，检流；4-1/2位数码管，不小于5cm</t>
  </si>
  <si>
    <t>15008</t>
  </si>
  <si>
    <t>直流电流表</t>
  </si>
  <si>
    <t>2.5级，0.6A，3A</t>
  </si>
  <si>
    <t>15009</t>
  </si>
  <si>
    <t>直流电压表</t>
  </si>
  <si>
    <t>2.5级，3V，15V</t>
  </si>
  <si>
    <t>15010</t>
  </si>
  <si>
    <t>灵敏电流计</t>
  </si>
  <si>
    <t>±300μA</t>
  </si>
  <si>
    <t>数字式，3-1/2位，电压﹑电流﹑电阻﹑温度测试﹑电容﹑二极管测试</t>
  </si>
  <si>
    <t>胜利</t>
  </si>
  <si>
    <t>VC890C+</t>
  </si>
  <si>
    <t>深圳市胜利高电子科技有限公司</t>
  </si>
  <si>
    <t>数字式，4-1/2位，电压﹑电流﹑电阻﹑温度测试﹑频率测试﹑电容﹑二极管测试</t>
  </si>
  <si>
    <t>VC86E</t>
  </si>
  <si>
    <t>2.5级，检流</t>
  </si>
  <si>
    <t>15017</t>
  </si>
  <si>
    <t>演示微电流电阻表</t>
  </si>
  <si>
    <t>微量直流检流，直流电压、电阻测量</t>
  </si>
  <si>
    <t>15001</t>
  </si>
  <si>
    <t>15020</t>
  </si>
  <si>
    <t>教学示波器</t>
  </si>
  <si>
    <t>DC 5MHz，扫描范围：10Hz～100kHz</t>
  </si>
  <si>
    <t>15032</t>
  </si>
  <si>
    <t>微电流放大器</t>
  </si>
  <si>
    <t>多路输入档。一路为毫伏级，低阻抗输入，放大倍数约一千倍。两路用于传感器，分别为电流型放大输出和电压型放大输出</t>
  </si>
  <si>
    <t>16004</t>
  </si>
  <si>
    <t>湿度计</t>
  </si>
  <si>
    <t>双指针式、全塑料外壳，带座可悬挂。1.可测温度及湿度。2.直径约128mm。3.温度可测 -30°C~50°C，湿度可测 10%RH~90%RH。</t>
  </si>
  <si>
    <t>16009</t>
  </si>
  <si>
    <t>空盒气压表</t>
  </si>
  <si>
    <t>800hPa～1060hPa，1hPa；误差≤±2.0hPa</t>
  </si>
  <si>
    <t>16030</t>
  </si>
  <si>
    <t>量角器(圆等分器)</t>
  </si>
  <si>
    <t>半圆直径不小于190mm</t>
  </si>
  <si>
    <t>21004</t>
  </si>
  <si>
    <t>惯性演示器</t>
  </si>
  <si>
    <t>1.用于演示物体的惯性教学，观察的物体
能收回，成功率不小于 98%；
2.金属片材应倒边倒角。</t>
  </si>
  <si>
    <t>21005</t>
  </si>
  <si>
    <t>摩擦计</t>
  </si>
  <si>
    <t>由木制摩擦板和摩擦块组成。摩擦板外形尺寸不小于500mm×44mm×8mm。摩擦块外形尺寸不小于100mm×38mm×28mm。上面有两个砝码孔，端面中心有挂钩。</t>
  </si>
  <si>
    <t>21006</t>
  </si>
  <si>
    <t>螺旋弹簧组</t>
  </si>
  <si>
    <t>0.5N，1N，2N</t>
  </si>
  <si>
    <t>组</t>
  </si>
  <si>
    <t>21025</t>
  </si>
  <si>
    <t>微小形变演示器</t>
  </si>
  <si>
    <t>利用光杠杆原理</t>
  </si>
  <si>
    <t>21026</t>
  </si>
  <si>
    <t>力的合成分解演示器</t>
  </si>
  <si>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表面镀铬处理。</t>
  </si>
  <si>
    <t>21027</t>
  </si>
  <si>
    <t>支杆定滑轮和桌边夹组</t>
  </si>
  <si>
    <t>每套带支杆单滑轮、尼龙线、桌边夹各3件，小铁环1件，支杆高度可调</t>
  </si>
  <si>
    <t>21029</t>
  </si>
  <si>
    <t>高中力学演示板</t>
  </si>
  <si>
    <t>1、为手提式组合教具，全部教具装于塑料箱内，箱体尺寸：540mm×440mm×140mm。仪器由实验底板4块、大三角支板4个、紧固销、塑料吊杯、支撑杆、平直导轨、双向测力计等36种配件组成。2、完成高中物理力学“用弹簧称测力”、“弹簧的伸长跟所受的拉力成正比”、“二力平衡的条件”、“物体的惯性”、“摩擦”、“杠杆的作用和平衡条件”、“轮轴的作用和平衡条件”、“定滑轮、动滑轮和滑轮组的作用”、“功的原理”、“斜面”、“机械效率”、等52种实验项目。</t>
  </si>
  <si>
    <t>21033</t>
  </si>
  <si>
    <t>滚摆</t>
  </si>
  <si>
    <t>1.组成：包括摆体（摆轮和摆轴）、悬线和支架等；
2.摆轮采用金属材质，直径 125 mm；摆轴采用钢材制作，直径 8 mm，长 160 mm；支架高 460 mm，横梁长 300 mm；摆体质量为 0.6 kg～0.8 kg；
3.摆体前 10 次的回升累计递减量≤65mm；
4.摆体、支柱与横梁表面镀铬，底座采用铸铁，结构稳固，表面涂漆；
5.符合 JY/T 0392 标准要求。</t>
  </si>
  <si>
    <t>21034</t>
  </si>
  <si>
    <t>离心轨道</t>
  </si>
  <si>
    <t>有捕球网</t>
  </si>
  <si>
    <t>21039</t>
  </si>
  <si>
    <t>电动离心转台</t>
  </si>
  <si>
    <t>产品由机箱、电机、调速器、支杆及连接套管等组成。1.机箱采用冷轧板冲压成型，表面烤漆处理。2.四脚采用橡胶吸盘、固定牢固可靠。3.工作电压：220V，无极调速。4.支杆采用直径10mm、长150mm的圆钢制成，一端M10mm丝长30mm，表面电镀处理。</t>
  </si>
  <si>
    <t>21046</t>
  </si>
  <si>
    <t>毛钱管(牛顿管)</t>
  </si>
  <si>
    <t>带释放装置</t>
  </si>
  <si>
    <t>21047</t>
  </si>
  <si>
    <t>伽利略理想斜面演示器</t>
  </si>
  <si>
    <t>长度不小于1200mm，一端高度可连续升降，连接曲面光滑</t>
  </si>
  <si>
    <t>21049</t>
  </si>
  <si>
    <t>运动合成分解演示器</t>
  </si>
  <si>
    <t>可做匀速-匀速、匀速-匀加速运动合成</t>
  </si>
  <si>
    <t>21050</t>
  </si>
  <si>
    <t>演示轨道小车</t>
  </si>
  <si>
    <t>利用电火花计时，车拖纸带式，打点有效距离不小于900mm</t>
  </si>
  <si>
    <t>21051</t>
  </si>
  <si>
    <t>轨道小车</t>
  </si>
  <si>
    <t xml:space="preserve">轨道打点式，打点有效距离不小于600mm                    </t>
  </si>
  <si>
    <t>21055</t>
  </si>
  <si>
    <t>气垫导轨</t>
  </si>
  <si>
    <t>不小于1200mm</t>
  </si>
  <si>
    <t>乐百仕</t>
  </si>
  <si>
    <t>江苏乐百仕教育科技有限公司</t>
  </si>
  <si>
    <t>21056</t>
  </si>
  <si>
    <t>小型气源</t>
  </si>
  <si>
    <t>气压不小于5kPa，低噪声</t>
  </si>
  <si>
    <t>21057</t>
  </si>
  <si>
    <t>高精度自由落体实验套装</t>
  </si>
  <si>
    <r>
      <rPr>
        <sz val="10"/>
        <rFont val="宋体"/>
        <charset val="134"/>
      </rPr>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t>
    </r>
    <r>
      <rPr>
        <vertAlign val="superscript"/>
        <sz val="10"/>
        <rFont val="宋体"/>
        <charset val="134"/>
      </rPr>
      <t>2</t>
    </r>
    <r>
      <rPr>
        <sz val="10"/>
        <rFont val="宋体"/>
        <charset val="134"/>
      </rPr>
      <t>、KHz，并有4个软性按钮分别为模式选择、功能选择、内存和磁铁开关。电子计时器精度可达0.001秒。附有中文说明书。</t>
    </r>
  </si>
  <si>
    <t>1</t>
  </si>
  <si>
    <t>定制</t>
  </si>
  <si>
    <t>21059</t>
  </si>
  <si>
    <t>牛顿第二定律演示仪</t>
  </si>
  <si>
    <t>产品为二层结构轨道形式。1.由轨道、小车两辆、刹车装置、滑轮、塑料小桶2个等组成。2.轨道为铝型材，表面化学抛光处理，长900mm和850mm，轨道两内尺寸：49mm，并装有调平装置。3.小车车体为塑料，总质量为200g±6g。4.砝码桶为塑料，质量为5g±1g。4.滑轮为塑料，外径28mm。</t>
  </si>
  <si>
    <t>21061</t>
  </si>
  <si>
    <t>反冲运动演示器</t>
  </si>
  <si>
    <t>有两种以上表现形式</t>
  </si>
  <si>
    <t>21062</t>
  </si>
  <si>
    <t>超重失重演示器</t>
  </si>
  <si>
    <t>记忆式</t>
  </si>
  <si>
    <t>21064</t>
  </si>
  <si>
    <t>动能势能演示器</t>
  </si>
  <si>
    <t>半定量实验</t>
  </si>
  <si>
    <t>21065</t>
  </si>
  <si>
    <t>平抛竖落仪</t>
  </si>
  <si>
    <t>用于高中物理教学中有关平抛物体和自由落体，同时落地的演示实验；结构：由底板、轴、角铁、圆窝、弹簧、扳机、转门、钢球、方孔、挡柱组成。</t>
  </si>
  <si>
    <t>21066</t>
  </si>
  <si>
    <t>平抛运动实验器</t>
  </si>
  <si>
    <t>基本型，研究平抛运动规律、动能守恒定律。结构：由铝合金导轨、钢球、塑料球、重锤、接球槽、电磁铁、支球总成和演示板组成。</t>
  </si>
  <si>
    <t>21070</t>
  </si>
  <si>
    <t>运动频闪观测仪</t>
  </si>
  <si>
    <t>频闪光源25Hz、50Hz，可实时观测运动物体图像</t>
  </si>
  <si>
    <t>21071</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</si>
  <si>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</si>
  <si>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 类 1500V，II 3000V；高压部分与外壳：15kV</t>
  </si>
  <si>
    <t>21072</t>
  </si>
  <si>
    <t>向心力演示器</t>
  </si>
  <si>
    <r>
      <rPr>
        <sz val="10"/>
        <rFont val="宋体"/>
        <charset val="134"/>
      </rPr>
      <t>产品由机座、变速盘、大皮带轮、小皮带轮、旋臂、示力标尺、压杆、套筒、弹簧、钢球、铝球、驱动机构等组成。机座采用工程塑料制作，底部安装橡胶垫脚，机座高度约120mm；两只变速盘均由为塑料注塑制作，主动轮最大外径190mm，从动轮外径130mm。变速盘主、从动轮传动比为1：1、1：2及1：3，传动误差不大于0.5%；大、小皮带轮均采用工程塑料制作，大皮带轮尺寸为：Φ70×12mm，小皮带轮尺寸为：Φ40×12mm；悬壁采用厚度为1mm的金属板制作，悬壁宽度45mm。示力标尺总长为50mm，采用红、白相间的色环标示，每格色环宽5mm；压杆采用厚度1mm的铁板制作，压杆臂长约80mm；套筒采用内径26mm的塑料筒，长95mm；弹簧为Φ30mm×70mm的压簧，采用Φ1.2mm的弹簧钢丝绕制，圈数：15；钢球与铝球直径均为28.6mm，钢球质量为95.5±2g，铝球质量为47.45±1g。仪器可形象直观的演示和定性验证向心力公式：F=mv</t>
    </r>
    <r>
      <rPr>
        <vertAlign val="superscript"/>
        <sz val="10"/>
        <rFont val="宋体"/>
        <charset val="134"/>
      </rPr>
      <t>2</t>
    </r>
    <r>
      <rPr>
        <sz val="10"/>
        <rFont val="宋体"/>
        <charset val="134"/>
      </rPr>
      <t>/r或F=mω</t>
    </r>
    <r>
      <rPr>
        <vertAlign val="superscript"/>
        <sz val="10"/>
        <rFont val="宋体"/>
        <charset val="134"/>
      </rPr>
      <t>2</t>
    </r>
    <r>
      <rPr>
        <sz val="10"/>
        <rFont val="宋体"/>
        <charset val="134"/>
      </rPr>
      <t>r。仪器外形尺寸约：460×200×330mm。</t>
    </r>
  </si>
  <si>
    <t>21079</t>
  </si>
  <si>
    <t>动量传递演示器(碰撞球)</t>
  </si>
  <si>
    <t>5球</t>
  </si>
  <si>
    <t>22001</t>
  </si>
  <si>
    <t>音叉</t>
  </si>
  <si>
    <t>256Hz</t>
  </si>
  <si>
    <t>22023</t>
  </si>
  <si>
    <t>单摆组</t>
  </si>
  <si>
    <t>5个摆球</t>
  </si>
  <si>
    <t>22203</t>
  </si>
  <si>
    <t>空气压缩引火仪</t>
  </si>
  <si>
    <t>1、由手柄、连杆、端盖、耐油橡皮圈、气缸体、底座等组成。2、手柄和底座为塑料制品。3、气缸体为透明塑料注塑成型，表面光洁、透明。</t>
  </si>
  <si>
    <t>22210</t>
  </si>
  <si>
    <t>气体做功内能减少演示器</t>
  </si>
  <si>
    <t>用热敏电阻演示</t>
  </si>
  <si>
    <t>玻棒(附丝绸)</t>
  </si>
  <si>
    <t>或有机玻棒(附丝绸)，教师用</t>
  </si>
  <si>
    <t>对</t>
  </si>
  <si>
    <t>胶棒(附毛皮)</t>
  </si>
  <si>
    <t>或聚碳酸酯棒(附毛皮)，教师用</t>
  </si>
  <si>
    <t>箔片验电器</t>
  </si>
  <si>
    <t>教师用</t>
  </si>
  <si>
    <t>指针验电器</t>
  </si>
  <si>
    <t>带法拉第圆筒</t>
  </si>
  <si>
    <t>23008</t>
  </si>
  <si>
    <t>感应起电机</t>
  </si>
  <si>
    <t>1、环境温度：-10~40℃ 2、起电盘直径：235mm。3、放电距离：在相对湿度为65%的环境中火花放电距离≥30mm。4、本仪器由底座、莱顿瓶、支架、放电叉绝缘柄、集电杆、放电叉杆、导电层、中和电刷（感应电刷）、电刷杆、上轴及上轴螺钉、莱顿瓶盖、导电弹簧、大皮带轮、连接片组成。</t>
  </si>
  <si>
    <t>23009</t>
  </si>
  <si>
    <t>枕形导体</t>
  </si>
  <si>
    <t>用于演示静电感应和感应起电。结构：二只金属制成的空心圆筒，空心圆筒外形尺寸为Φ60mm±1mm，高约68mm；一端为半球面，另一端为平口，将二只圆筒的平口对合起来，就成为一个枕形导体，每只导体均有绝缘支杆及底座。支杆为有机玻璃Φ12mm，高110mm；底座Φ85mm，高约13mm</t>
  </si>
  <si>
    <t>副</t>
  </si>
  <si>
    <t>23010</t>
  </si>
  <si>
    <t>小灯座</t>
  </si>
  <si>
    <t>螺旋灯座。底座塑料，尺寸：74mm×34mm×10mm,工作电压不大于36V,工作电流不大于2.5A</t>
  </si>
  <si>
    <t>23011</t>
  </si>
  <si>
    <t>单刀开关</t>
  </si>
  <si>
    <t>1、由底座，接线柱，闸刀，刀座，刀承和绝缘手柄组成。2、底座：黑色塑料，尺寸：74mm×34mm×10mm  ,工作电压不超过36V，工作电流不超过6A。</t>
  </si>
  <si>
    <t>23012</t>
  </si>
  <si>
    <t>滑动变阻器</t>
  </si>
  <si>
    <t>20Ω，2A</t>
  </si>
  <si>
    <t>50Ω，1.5A</t>
  </si>
  <si>
    <t>200Ω，1.25A</t>
  </si>
  <si>
    <t>23019</t>
  </si>
  <si>
    <t>电阻定律演示器</t>
  </si>
  <si>
    <t>1、电学仪器，供中学演示金属导体电阻定律用。2、 三种金属导线 分别为：铜丝（Φ0.5mm），铁丝（Φ0.5mm），镍铬丝（Φ0.5mm）2个组成。</t>
  </si>
  <si>
    <t>23024</t>
  </si>
  <si>
    <t>电阻定律实验器</t>
  </si>
  <si>
    <t>不少于四根导线，长度、截面积、材料不同</t>
  </si>
  <si>
    <t>23030</t>
  </si>
  <si>
    <t>演示线路实验板</t>
  </si>
  <si>
    <t>高中演示组</t>
  </si>
  <si>
    <t>23035</t>
  </si>
  <si>
    <t>焦耳定律演示器</t>
  </si>
  <si>
    <t>演示用，供中学物理演示焦耳定律，研究电流的热效应。产品由演示板、贮气盒两只，电阻：5Ω线绕电阻、玻璃管2根等组成。1、电源电压：直流稳压6V；电流小于2A。2、演示板采用塑料注塑成型，颜色为白色，外形尺寸290mm×245mm×4mm；演示板上印刷有刻度线，每5mm为一刻线、10mm为一大刻线，并标有数字，刻线数量不小于13条。3、贮气盒采用透明塑料制，尺寸：80mm×80mm×30mm。4、在10分钟内，演示效果明显；4、实验误差：不大于5%。</t>
  </si>
  <si>
    <t>23041</t>
  </si>
  <si>
    <t>球形导体</t>
  </si>
  <si>
    <t>球形导体由球体、绝缘支杆、底座三部分组成。球体采用金属空芯球体，表面镀镍，球体直径约90mm，绝缘支杆与底座总高度约100mm，支杆Φ10mm，底座底径100mm。</t>
  </si>
  <si>
    <t>23042</t>
  </si>
  <si>
    <t>验电器连接杆</t>
  </si>
  <si>
    <t>产品由绝缘手柄、连接杆、紧固螺钉构成。绝缘手柄采用直径Φ12mm的有机玻璃棒制作，长度不小于130mm；连接杆采用直径不小于Φ2mm的钢丝制作，长度约200mm，一端成形为“∨”形。</t>
  </si>
  <si>
    <t>23043</t>
  </si>
  <si>
    <t>移电球(验电球)</t>
  </si>
  <si>
    <t>产品由绝缘手柄及金属球构成。绝缘手柄采用Φ12mm的有机玻璃棒制作，长度不小于90mm；金属球采用约Φ16mm钢球，表面镀铬。金属球与绝缘手柄端面接触良好，螺接牢靠。</t>
  </si>
  <si>
    <t>23044</t>
  </si>
  <si>
    <t>验电羽</t>
  </si>
  <si>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</si>
  <si>
    <t>23046</t>
  </si>
  <si>
    <t>尖形布电器</t>
  </si>
  <si>
    <t>主体采用金属材质，由一个圆柱形和锥形焊接而成，规格：Φ70×160mm，塑料底座，中间用塑料支杆连接，整体高约200mm.</t>
  </si>
  <si>
    <t>23048</t>
  </si>
  <si>
    <t>静电实验箱</t>
  </si>
  <si>
    <t>避雷针原理、静电屏蔽、静电除尘、静电植绒、静电乒乓、静电转轮等</t>
  </si>
  <si>
    <t>23049</t>
  </si>
  <si>
    <t>金属网罩</t>
  </si>
  <si>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</si>
  <si>
    <t>23050</t>
  </si>
  <si>
    <t>电荷间作用力演示器</t>
  </si>
  <si>
    <t>本演示器由底座、立板、导体球、轻质导电球、导电球连线、绝缘支架、滑块、连接导线组成。导体球Φ83mm，轻质导电球Φ30mm。外形尺寸约400mm×105mm×405mm。绝缘横杆悬挂可移动轻球，带竖立座标面。</t>
  </si>
  <si>
    <t>23053</t>
  </si>
  <si>
    <t>电场线演示器</t>
  </si>
  <si>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五块演示板外形尺寸均为95×80×6.5mm。</t>
  </si>
  <si>
    <t>23056</t>
  </si>
  <si>
    <t>平行板电容器</t>
  </si>
  <si>
    <t>产品由两块圆形铝板、绝缘板一块、支杆、底脚构成。1.铝板和绝缘板直径应相同，直径220mm，厚1mm。2.绝缘板手柄采用透明有机玻璃制，直径15mm，长115mm。3.铝板支杆采用透明有机玻璃制，直径12mm、长70mm。4.底脚为大半圆形，直径90mm，内有配重。</t>
  </si>
  <si>
    <t>23057</t>
  </si>
  <si>
    <t>电场中带电粒子运动模拟演示器</t>
  </si>
  <si>
    <t>模拟电场中带电粒子加速、偏转</t>
  </si>
  <si>
    <t>23058</t>
  </si>
  <si>
    <t>常用电容器示教板</t>
  </si>
  <si>
    <t>电解电容器、云母电容器、陶瓷电容器、薄膜电容器、贴片电容器、微调电容器、可变电容器等</t>
  </si>
  <si>
    <t>23059</t>
  </si>
  <si>
    <t>常用电阻器示教板</t>
  </si>
  <si>
    <t>定值电阻(碳膜电阻、金属膜电阻、绕线电阻、水泥电阻等)、可变电阻(电位器等)、特殊电阻(热敏电阻、光敏电阻等)</t>
  </si>
  <si>
    <t>24001</t>
  </si>
  <si>
    <t>条形磁铁</t>
  </si>
  <si>
    <t>铝铁碳，180 mm</t>
  </si>
  <si>
    <t>24002</t>
  </si>
  <si>
    <t>蹄形磁铁</t>
  </si>
  <si>
    <t>铝铁碳，100mm</t>
  </si>
  <si>
    <t>24004</t>
  </si>
  <si>
    <t>立体磁感线演示器</t>
  </si>
  <si>
    <t>永磁、电磁场</t>
  </si>
  <si>
    <t>24005</t>
  </si>
  <si>
    <t>磁感线演示板</t>
  </si>
  <si>
    <t>产品由有孔塑料板、小磁针、脚及条形磁铁组成。1、塑料板为透明有机板注塑成形，内封小针576个，外形尺寸为250mm×250mm。2、小磁针直径约1mm，长约4mm，为黑色，磁针在板内孔中应转动灵活。3、脚为塑料，高为12mm。</t>
  </si>
  <si>
    <t>24006</t>
  </si>
  <si>
    <t>电流磁场演示器</t>
  </si>
  <si>
    <t>产品由透明底座、方线圈、圆线圈、螺线管各一块组成。1.底座尺寸分别为：178×138×38mm一块和140×88×38mm地二块。2.方线圈（60×60mm),圆线圈（Φ35mm），螺线管（Φ55mm）采用优质铜线。</t>
  </si>
  <si>
    <t>24007</t>
  </si>
  <si>
    <t>菱形小磁针</t>
  </si>
  <si>
    <t>16个</t>
  </si>
  <si>
    <t>24008</t>
  </si>
  <si>
    <t>翼形磁针</t>
  </si>
  <si>
    <t>1.磁学仪器，供演示磁体的指向性和磁极的相互作用。2.有垂直翼形针体和支座两部分。一对装。3.磁针长度140mm、宽8mm，塑料底座直径70mm。</t>
  </si>
  <si>
    <t>24009</t>
  </si>
  <si>
    <t>演示原副线圈</t>
  </si>
  <si>
    <t>1. 演示原副线圈由演示原线圈、演示付线圈、铁芯三部分组成。2. 原线圈：内径13±0.5mm，外径22±1mm，直径0.59漆包线平绕，绕线长度63mm。3.副线圈：内径35±1mm，外径49±1mm，直径0.27漆包线平绕，绕线长度67mm。4. 铁芯：Φ 12mm；长度80mm。5.外形尺寸：66mm×66mm×110mm。6. 线圈骨架用黑色塑料制成，表面光洁，付线圈底座平整，直立于平面时不应晃动。</t>
  </si>
  <si>
    <t>24010</t>
  </si>
  <si>
    <t>原副线圈</t>
  </si>
  <si>
    <t>1. 原副线圈由原线圈、副线圈、软铁芯三部分组成。2. 原线圈骨架：圆筒内径 11mm；圆筒外径 15mm；绕线宽度 57mm。3. 付线圈骨架：圆筒内径 24mm；圆筒外径 30mm；绕线宽度 50mm。4. 铁芯：Φ 10mm；长度 不小于77mm。5. 外形尺寸：60mm×40mm×88mm。6. 原付线圈骨架用黑色塑料制成，表面光洁。付线圈底座平整，直立于平面时不应晃动。</t>
  </si>
  <si>
    <t>24</t>
  </si>
  <si>
    <t>24017</t>
  </si>
  <si>
    <t>左右手定则演示器</t>
  </si>
  <si>
    <t>左右手定则演示器由塑料底座、两根金属电镀撑杆、塑料接线板、方形线圈组成。1.底座采用优质塑料，规格（179mm×120mm×14mm）。2.接线板尺寸：150mm×10mm×4mm，上有红黑接线柱。3.撑杆直径6mm，总长400mm，表面电镀。4.方形线圈内径62mm，宽10mm，带导线。</t>
  </si>
  <si>
    <t>24019</t>
  </si>
  <si>
    <t>手摇交直流发电机</t>
  </si>
  <si>
    <t>电学仪器，供中学物理演示交直流发电机的结构和工作原理使用，可兼作小功率电源；结构：由定子、转子，电刷、转动机构、集流环（或换向器）、小灯座，底板等组成。1.底板采用木制，尺寸：290mm×200mm×15mm。2.空载电压不小于8V，负载电压不小于4V。</t>
  </si>
  <si>
    <t>24021</t>
  </si>
  <si>
    <t>阴极射线管</t>
  </si>
  <si>
    <t>磁效应管</t>
  </si>
  <si>
    <t>示直进管</t>
  </si>
  <si>
    <t>机械效应管</t>
  </si>
  <si>
    <t>静电偏转管</t>
  </si>
  <si>
    <t>24032</t>
  </si>
  <si>
    <t>强磁针</t>
  </si>
  <si>
    <t>高磁能积磁体</t>
  </si>
  <si>
    <t>24033</t>
  </si>
  <si>
    <t>通电平行直导线相互作用演示器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</si>
  <si>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通电动可连续操作不小于15次。5、连接板为塑料注塑成型，尺寸：190mm×40mm×9mm，两银触点在连接板上可调。6、主机外壳采用塑料注塑成型，圆形，分为底盒和盖，底盒外径205mm、高110mm；盖直径240mm。</t>
  </si>
  <si>
    <t>24035</t>
  </si>
  <si>
    <t>安培力演示器</t>
  </si>
  <si>
    <t>供高中物理教师演示安培力磁感应强度的教学演示实验。仪器由底座、勾强磁铁整体（采用金属结构）、可动导轨（2个）、直导线（150mm铜管、50mm铜管）、连接线（2条）、细砂皮组成。底座上有一透明PVC145mm×185m面板并带有可变换电流方向指示片，规格：270mm×185mm×20mm；勾强磁铁呈H型，可在投影机进行投影，并有磁极性显示；导轨规格：55mm×205mm，调节之间距离，可演示通过电流方向与磁场方向垂直或平行两种情况下产生安培力的作用。</t>
  </si>
  <si>
    <t>24037</t>
  </si>
  <si>
    <t>自感现象演示器</t>
  </si>
  <si>
    <t>产品由演示板、电路图、指示灯、变压器等组成。1.演示板外形尺寸不小于460mm×320mm；2.演示自感现象中通电与断电时的两种现象应明显；通电现象采用2个6V 0.5A的小电珠，断电现象采用白发红发光二极管。3.原理图线清晰，正确，无断线等现象；4.输入电压：DC6V。</t>
  </si>
  <si>
    <t>24039</t>
  </si>
  <si>
    <t>楞次定律演示器</t>
  </si>
  <si>
    <t>开口环、闭口环</t>
  </si>
  <si>
    <t>24040</t>
  </si>
  <si>
    <t>电磁阻尼演示器</t>
  </si>
  <si>
    <t>产品由摆锺、磁铁、支架、底座等构成，支架为名铝制、磁铁为强磁、摆锺分为强阻尼摆和弱阻尼摆，应采用铝材加工制成，表面光学抛光处理。</t>
  </si>
  <si>
    <t>24042</t>
  </si>
  <si>
    <t>单匝线圈电机原理演示器</t>
  </si>
  <si>
    <t>使用高磁能积磁体</t>
  </si>
  <si>
    <t>24047</t>
  </si>
  <si>
    <t>交流电路特性演示器</t>
  </si>
  <si>
    <t>大电感、小电感，大电容、小电容，电阻</t>
  </si>
  <si>
    <t>24048</t>
  </si>
  <si>
    <t>可拆变压器</t>
  </si>
  <si>
    <t>1、单相芯式结构,铁芯以优质钢矽片冲制并经绝缘处理,U型铁芯及条形铁轭为可拆式。2、线圈骨架用塑料压制。3、可演示远距离输电、变压器效率，还可进行变压器初、次级线圈间电压和电流与匝数关系的定量演示。</t>
  </si>
  <si>
    <t>24049</t>
  </si>
  <si>
    <t>小型变压器</t>
  </si>
  <si>
    <t>电学实验中用于学习变压器构造（铁芯初级线圈、次级线圈）及初、次级间电压，电流与线圈绕线匝数的关系时使用。结构：由铁芯：高硅钢片，线圈：高强度漆包线等组成。</t>
  </si>
  <si>
    <t>24051</t>
  </si>
  <si>
    <t>日光灯原理演示器</t>
  </si>
  <si>
    <t>电感式镇流器</t>
  </si>
  <si>
    <t>24052</t>
  </si>
  <si>
    <t>洛伦兹力演示器</t>
  </si>
  <si>
    <t>投影式</t>
  </si>
  <si>
    <t>24053</t>
  </si>
  <si>
    <t>电子束演示器</t>
  </si>
  <si>
    <t>一、采用8SJ31G型静电偏转阴极射线演示管；仪器外壳采用金属结构，金属面板，外形尺寸：125mm×290mm×180mm。二、技术指标：1、加速极电压：0～700伏，连续可调；2、偏转电压：幅度：0～50伏连续可调。3、偏转方向：上、下、左、右四个方向。4、显示方式：荧光屏幕显示电子束径迹。5、电源：220V。6、功耗小于30W。</t>
  </si>
  <si>
    <t>24062</t>
  </si>
  <si>
    <t>电磁波的发送和接收演示器</t>
  </si>
  <si>
    <t>发射器频率225MHz～250MHz,等幅、调幅；接收器有声、光、电显示</t>
  </si>
  <si>
    <t>30307408910</t>
  </si>
  <si>
    <t>31013</t>
  </si>
  <si>
    <t>离心机械模型</t>
  </si>
  <si>
    <t>节速器、干燥器、分离器</t>
  </si>
  <si>
    <t>φ3mm或φ6mm</t>
  </si>
  <si>
    <t>2</t>
  </si>
  <si>
    <t>81005</t>
  </si>
  <si>
    <t>电工刀</t>
  </si>
  <si>
    <t>特殊工具钢，总长220mm</t>
  </si>
  <si>
    <t>81006</t>
  </si>
  <si>
    <t>手摇钻</t>
  </si>
  <si>
    <t>木工工具</t>
  </si>
  <si>
    <t>81007</t>
  </si>
  <si>
    <t>木锉</t>
  </si>
  <si>
    <t>81008</t>
  </si>
  <si>
    <t>木工锯</t>
  </si>
  <si>
    <t>带把手锯</t>
  </si>
  <si>
    <t>0.25kg</t>
  </si>
  <si>
    <t>81010</t>
  </si>
  <si>
    <t>铇</t>
  </si>
  <si>
    <t>木工工具，铇身为硬木。规格≥300mm×45mm。含刨刃等备件。</t>
  </si>
  <si>
    <t>81011</t>
  </si>
  <si>
    <t>斧</t>
  </si>
  <si>
    <t>规格：≥700g</t>
  </si>
  <si>
    <t>碳钢制品，电镀</t>
  </si>
  <si>
    <t>塑制手柄，150mm</t>
  </si>
  <si>
    <t xml:space="preserve">250mm    </t>
  </si>
  <si>
    <t>中号，木制手柄。长度为：310mm</t>
  </si>
  <si>
    <t>81016</t>
  </si>
  <si>
    <t>錾子</t>
  </si>
  <si>
    <t>200mm，带柄</t>
  </si>
  <si>
    <t>81017</t>
  </si>
  <si>
    <t>锉刀(平板)</t>
  </si>
  <si>
    <t>250mm，带柄</t>
  </si>
  <si>
    <t>81019</t>
  </si>
  <si>
    <t>什锦锉</t>
  </si>
  <si>
    <t>铁制品</t>
  </si>
  <si>
    <t>150mm或250mm</t>
  </si>
  <si>
    <t>81021</t>
  </si>
  <si>
    <t>手剪</t>
  </si>
  <si>
    <t>钳工工具，剪铁皮、铜片</t>
  </si>
  <si>
    <t>81022</t>
  </si>
  <si>
    <t>直角尺</t>
  </si>
  <si>
    <t>钳工工具</t>
  </si>
  <si>
    <t>81024</t>
  </si>
  <si>
    <t>电烙铁</t>
  </si>
  <si>
    <t>60W，20W，橡胶线</t>
  </si>
  <si>
    <t>81025</t>
  </si>
  <si>
    <t>平口钳</t>
  </si>
  <si>
    <t>80mm，台钻上用</t>
  </si>
  <si>
    <t>81026</t>
  </si>
  <si>
    <t>台钻</t>
  </si>
  <si>
    <t>φ1mm～φ13mm</t>
  </si>
  <si>
    <t>金莱顺</t>
  </si>
  <si>
    <t>350w</t>
  </si>
  <si>
    <t>扬州金莱顺有限公司</t>
  </si>
  <si>
    <t>81027</t>
  </si>
  <si>
    <t>手电钻</t>
  </si>
  <si>
    <t>220V</t>
  </si>
  <si>
    <t>81028</t>
  </si>
  <si>
    <t>钻头</t>
  </si>
  <si>
    <t>81029</t>
  </si>
  <si>
    <t>台虎钳</t>
  </si>
  <si>
    <t>81031</t>
  </si>
  <si>
    <t>砂轮机</t>
  </si>
  <si>
    <t>单相或三相，300W，3000r/min，含安全护板</t>
  </si>
  <si>
    <t>125mm-220V</t>
  </si>
  <si>
    <t>81033</t>
  </si>
  <si>
    <t>钳工工作台</t>
  </si>
  <si>
    <t>木制。工作尺寸不小于：900mm×550mm×35mm。</t>
  </si>
  <si>
    <t>180*80*80CM</t>
  </si>
  <si>
    <t>81035</t>
  </si>
  <si>
    <t>烙铁架</t>
  </si>
  <si>
    <t>81036</t>
  </si>
  <si>
    <t>油石</t>
  </si>
  <si>
    <t>粗细两面</t>
  </si>
  <si>
    <t>81037</t>
  </si>
  <si>
    <t>冲子</t>
  </si>
  <si>
    <t>钢制，</t>
  </si>
  <si>
    <t>81038</t>
  </si>
  <si>
    <t>水平尺</t>
  </si>
  <si>
    <t>三水泡型，水平面工作长度160mm～250mm</t>
  </si>
  <si>
    <t>纯白色，由布料制成，防酸碱。长度不小于90cm</t>
  </si>
  <si>
    <t>48</t>
  </si>
  <si>
    <t>防强光，上部衰减10倍～20倍，下部透射比≥75％</t>
  </si>
  <si>
    <t>82006</t>
  </si>
  <si>
    <t>手套</t>
  </si>
  <si>
    <t>棉纱线</t>
  </si>
  <si>
    <t>双</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</si>
</sst>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BNum2][$-804]General"/>
    <numFmt numFmtId="179" formatCode="0.00_);[Red]\(0.00\)"/>
    <numFmt numFmtId="180" formatCode="0.00_ "/>
  </numFmts>
  <fonts count="42">
    <font>
      <sz val="12"/>
      <name val="宋体"/>
      <charset val="134"/>
    </font>
    <font>
      <sz val="11"/>
      <name val="宋体"/>
      <charset val="134"/>
    </font>
    <font>
      <sz val="10"/>
      <name val="宋体"/>
      <charset val="134"/>
    </font>
    <font>
      <sz val="11"/>
      <name val="宋体"/>
      <charset val="134"/>
      <scheme val="minor"/>
    </font>
    <font>
      <sz val="18"/>
      <name val="黑体"/>
      <charset val="134"/>
    </font>
    <font>
      <sz val="10"/>
      <name val="黑体"/>
      <charset val="134"/>
    </font>
    <font>
      <sz val="10"/>
      <color theme="1"/>
      <name val="宋体"/>
      <charset val="134"/>
    </font>
    <font>
      <sz val="10"/>
      <color indexed="8"/>
      <name val="宋体"/>
      <charset val="134"/>
    </font>
    <font>
      <sz val="9"/>
      <name val="宋体"/>
      <charset val="134"/>
    </font>
    <font>
      <sz val="11"/>
      <color theme="1"/>
      <name val="宋体"/>
      <charset val="134"/>
      <scheme val="minor"/>
    </font>
    <font>
      <sz val="12"/>
      <name val="宋体"/>
      <charset val="134"/>
      <scheme val="minor"/>
    </font>
    <font>
      <sz val="10"/>
      <name val="Microsoft YaHei"/>
      <charset val="134"/>
    </font>
    <font>
      <sz val="10"/>
      <name val="宋体"/>
      <charset val="134"/>
      <scheme val="minor"/>
    </font>
    <font>
      <sz val="8"/>
      <name val="宋体"/>
      <charset val="134"/>
    </font>
    <font>
      <sz val="11"/>
      <color rgb="FFFF0000"/>
      <name val="宋体"/>
      <charset val="134"/>
      <scheme val="minor"/>
    </font>
    <font>
      <sz val="10.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Times New Roman"/>
      <charset val="134"/>
    </font>
    <font>
      <u/>
      <sz val="11"/>
      <color theme="10"/>
      <name val="宋体"/>
      <charset val="134"/>
      <scheme val="minor"/>
    </font>
    <font>
      <vertAlign val="superscript"/>
      <sz val="10"/>
      <name val="宋体"/>
      <charset val="134"/>
    </font>
    <font>
      <sz val="10"/>
      <name val="Times New Roman"/>
      <charset val="134"/>
    </font>
    <font>
      <sz val="9"/>
      <name val="Arial"/>
      <charset val="134"/>
    </font>
    <font>
      <i/>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4">
    <xf numFmtId="0" fontId="0" fillId="0" borderId="0">
      <alignment vertical="center"/>
    </xf>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2"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4" fillId="3" borderId="8" applyNumberFormat="0" applyAlignment="0" applyProtection="0">
      <alignment vertical="center"/>
    </xf>
    <xf numFmtId="0" fontId="25" fillId="4" borderId="9" applyNumberFormat="0" applyAlignment="0" applyProtection="0">
      <alignment vertical="center"/>
    </xf>
    <xf numFmtId="0" fontId="26" fillId="4" borderId="8" applyNumberFormat="0" applyAlignment="0" applyProtection="0">
      <alignment vertical="center"/>
    </xf>
    <xf numFmtId="0" fontId="27" fillId="5"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0" fillId="0" borderId="0">
      <alignment vertical="center"/>
    </xf>
    <xf numFmtId="0" fontId="35" fillId="0" borderId="0">
      <alignment vertical="center"/>
    </xf>
    <xf numFmtId="0" fontId="0" fillId="0" borderId="0"/>
    <xf numFmtId="0" fontId="9" fillId="0" borderId="0">
      <alignment vertical="center"/>
    </xf>
    <xf numFmtId="0" fontId="9" fillId="0" borderId="0">
      <alignment vertical="center"/>
    </xf>
    <xf numFmtId="178" fontId="9" fillId="0" borderId="0">
      <alignment vertical="center"/>
    </xf>
    <xf numFmtId="0" fontId="9" fillId="0" borderId="0">
      <alignment vertical="center"/>
    </xf>
    <xf numFmtId="0" fontId="0" fillId="0" borderId="0">
      <alignment vertical="center"/>
    </xf>
    <xf numFmtId="0" fontId="0" fillId="0" borderId="0">
      <alignment vertical="center"/>
    </xf>
    <xf numFmtId="0" fontId="9" fillId="0" borderId="0">
      <alignment vertical="center"/>
    </xf>
    <xf numFmtId="0" fontId="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5" fillId="0" borderId="0">
      <alignment vertical="center"/>
    </xf>
    <xf numFmtId="0" fontId="35" fillId="0" borderId="0">
      <alignment vertical="center"/>
    </xf>
    <xf numFmtId="0" fontId="0" fillId="0" borderId="0"/>
    <xf numFmtId="0" fontId="36" fillId="0" borderId="0"/>
    <xf numFmtId="0" fontId="0" fillId="0" borderId="0">
      <alignment vertical="center"/>
    </xf>
    <xf numFmtId="0" fontId="37" fillId="0" borderId="0" applyNumberFormat="0" applyFill="0" applyBorder="0" applyAlignment="0" applyProtection="0">
      <alignment vertical="center"/>
    </xf>
    <xf numFmtId="0" fontId="0" fillId="0" borderId="0"/>
  </cellStyleXfs>
  <cellXfs count="83">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0" fontId="0" fillId="0" borderId="0" xfId="0" applyFont="1" applyFill="1">
      <alignment vertical="center"/>
    </xf>
    <xf numFmtId="49" fontId="0" fillId="0" borderId="0" xfId="0" applyNumberFormat="1" applyFont="1" applyFill="1">
      <alignment vertical="center"/>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49" fontId="5" fillId="0" borderId="2" xfId="57" applyNumberFormat="1" applyFont="1" applyFill="1" applyBorder="1" applyAlignment="1">
      <alignment horizontal="center" vertical="center" wrapText="1"/>
    </xf>
    <xf numFmtId="0" fontId="5" fillId="0" borderId="2" xfId="57"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179" fontId="2" fillId="0" borderId="2" xfId="0" applyNumberFormat="1" applyFont="1" applyFill="1" applyBorder="1" applyAlignment="1">
      <alignment horizontal="center" vertical="center" shrinkToFit="1"/>
    </xf>
    <xf numFmtId="49" fontId="2" fillId="0" borderId="2" xfId="0" applyNumberFormat="1" applyFont="1" applyFill="1" applyBorder="1" applyAlignment="1">
      <alignment horizontal="center" vertical="center" shrinkToFit="1"/>
    </xf>
    <xf numFmtId="0" fontId="6" fillId="0" borderId="2" xfId="0" applyFont="1" applyFill="1" applyBorder="1" applyAlignment="1">
      <alignment horizontal="center" vertical="center" wrapText="1"/>
    </xf>
    <xf numFmtId="180" fontId="2" fillId="0" borderId="2" xfId="0" applyNumberFormat="1" applyFont="1" applyFill="1" applyBorder="1" applyAlignment="1">
      <alignment horizontal="center" vertical="center" shrinkToFit="1"/>
    </xf>
    <xf numFmtId="49" fontId="7" fillId="0" borderId="2" xfId="0" applyNumberFormat="1" applyFont="1" applyFill="1" applyBorder="1" applyAlignment="1">
      <alignment horizontal="center" vertical="center" wrapText="1"/>
    </xf>
    <xf numFmtId="0" fontId="2" fillId="0" borderId="2" xfId="0" applyFont="1" applyFill="1" applyBorder="1" applyAlignment="1" applyProtection="1">
      <alignment vertical="center" wrapText="1"/>
      <protection locked="0"/>
    </xf>
    <xf numFmtId="0" fontId="8" fillId="0" borderId="2" xfId="0" applyFont="1" applyFill="1" applyBorder="1" applyAlignment="1" applyProtection="1">
      <alignment vertical="center" wrapText="1"/>
      <protection locked="0"/>
    </xf>
    <xf numFmtId="49" fontId="9" fillId="0" borderId="2" xfId="0" applyNumberFormat="1" applyFont="1" applyFill="1" applyBorder="1" applyAlignment="1">
      <alignment horizontal="center" vertical="center"/>
    </xf>
    <xf numFmtId="49" fontId="2" fillId="0" borderId="2"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horizontal="left" vertical="center" wrapText="1"/>
      <protection locked="0"/>
    </xf>
    <xf numFmtId="0" fontId="2" fillId="0" borderId="2" xfId="0" applyFont="1" applyFill="1" applyBorder="1" applyAlignment="1">
      <alignment horizontal="justify" vertical="center" wrapText="1"/>
    </xf>
    <xf numFmtId="49" fontId="2" fillId="0" borderId="2" xfId="0" applyNumberFormat="1" applyFont="1" applyFill="1" applyBorder="1" applyAlignment="1">
      <alignment horizontal="left" vertical="center" wrapText="1"/>
    </xf>
    <xf numFmtId="0" fontId="10"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xf>
    <xf numFmtId="0" fontId="11" fillId="0" borderId="2" xfId="0" applyFont="1" applyFill="1" applyBorder="1" applyAlignment="1">
      <alignment horizontal="center" vertical="center" wrapText="1"/>
    </xf>
    <xf numFmtId="49" fontId="2" fillId="0" borderId="2" xfId="0" applyNumberFormat="1" applyFont="1" applyFill="1" applyBorder="1" applyAlignment="1">
      <alignment vertical="center" wrapText="1"/>
    </xf>
    <xf numFmtId="0" fontId="2" fillId="0" borderId="2" xfId="0" applyFont="1" applyFill="1" applyBorder="1">
      <alignment vertical="center"/>
    </xf>
    <xf numFmtId="49" fontId="6" fillId="0" borderId="2" xfId="0" applyNumberFormat="1" applyFont="1" applyFill="1" applyBorder="1" applyAlignment="1">
      <alignment horizontal="center" vertical="center" wrapText="1"/>
    </xf>
    <xf numFmtId="49" fontId="12" fillId="0" borderId="2" xfId="0" applyNumberFormat="1" applyFont="1" applyFill="1" applyBorder="1" applyAlignment="1">
      <alignment horizontal="center" vertical="center"/>
    </xf>
    <xf numFmtId="0" fontId="12" fillId="0" borderId="2" xfId="0" applyFont="1" applyFill="1" applyBorder="1" applyAlignment="1">
      <alignment horizontal="center" vertical="center"/>
    </xf>
    <xf numFmtId="180" fontId="0" fillId="0" borderId="2" xfId="0" applyNumberFormat="1" applyFont="1" applyFill="1" applyBorder="1" applyAlignment="1">
      <alignment horizontal="center" vertical="center" wrapText="1"/>
    </xf>
    <xf numFmtId="0" fontId="2" fillId="0" borderId="2" xfId="0" applyFont="1" applyFill="1" applyBorder="1" applyAlignment="1" applyProtection="1">
      <alignment horizontal="center" vertical="center" wrapText="1"/>
      <protection locked="0"/>
    </xf>
    <xf numFmtId="179" fontId="2" fillId="0" borderId="2" xfId="0" applyNumberFormat="1" applyFont="1" applyFill="1" applyBorder="1" applyAlignment="1" applyProtection="1">
      <alignment horizontal="center" vertical="center" shrinkToFit="1"/>
      <protection locked="0"/>
    </xf>
    <xf numFmtId="0" fontId="12"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2" fillId="0" borderId="2" xfId="0" applyFont="1" applyFill="1" applyBorder="1" applyAlignment="1">
      <alignment vertical="top" wrapText="1"/>
    </xf>
    <xf numFmtId="0" fontId="2" fillId="0" borderId="2" xfId="0" applyFont="1" applyFill="1" applyBorder="1" applyAlignment="1">
      <alignment vertical="top" wrapText="1"/>
    </xf>
    <xf numFmtId="0" fontId="2" fillId="0" borderId="2" xfId="0" applyFont="1" applyFill="1" applyBorder="1" applyAlignment="1">
      <alignment horizontal="justify" vertical="center"/>
    </xf>
    <xf numFmtId="179" fontId="2" fillId="0" borderId="2" xfId="0" applyNumberFormat="1" applyFont="1" applyFill="1" applyBorder="1" applyAlignment="1">
      <alignment horizontal="center" vertical="justify" shrinkToFit="1"/>
    </xf>
    <xf numFmtId="0" fontId="2" fillId="0" borderId="2" xfId="0" applyFont="1" applyFill="1" applyBorder="1" applyAlignment="1">
      <alignment vertical="center" shrinkToFit="1"/>
    </xf>
    <xf numFmtId="180" fontId="2" fillId="0" borderId="2"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0" fontId="3" fillId="0" borderId="3" xfId="0" applyFont="1" applyFill="1" applyBorder="1">
      <alignment vertical="center"/>
    </xf>
    <xf numFmtId="0" fontId="1" fillId="0" borderId="0" xfId="0" applyFont="1">
      <alignment vertical="center"/>
    </xf>
    <xf numFmtId="0" fontId="2" fillId="0" borderId="0" xfId="0" applyFont="1">
      <alignment vertical="center"/>
    </xf>
    <xf numFmtId="0" fontId="14" fillId="0" borderId="0" xfId="0" applyFo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xf numFmtId="180" fontId="2" fillId="0" borderId="0" xfId="0" applyNumberFormat="1" applyFont="1" applyAlignment="1">
      <alignment horizontal="center" vertical="center" shrinkToFit="1"/>
    </xf>
    <xf numFmtId="49" fontId="2" fillId="0" borderId="0" xfId="0" applyNumberFormat="1" applyFont="1" applyAlignment="1">
      <alignment horizontal="center" vertical="center" shrinkToFit="1"/>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49" fontId="5" fillId="0" borderId="2" xfId="57" applyNumberFormat="1" applyFont="1" applyBorder="1" applyAlignment="1">
      <alignment horizontal="center" vertical="center" wrapText="1"/>
    </xf>
    <xf numFmtId="0" fontId="5" fillId="0" borderId="2" xfId="57" applyFont="1" applyBorder="1" applyAlignment="1">
      <alignment horizontal="center" vertical="center" wrapText="1"/>
    </xf>
    <xf numFmtId="0" fontId="5" fillId="0" borderId="4" xfId="57" applyFont="1" applyBorder="1" applyAlignment="1">
      <alignment horizontal="center" vertical="center" wrapText="1"/>
    </xf>
    <xf numFmtId="0" fontId="3" fillId="0" borderId="2" xfId="0" applyFont="1" applyBorder="1" applyAlignment="1">
      <alignment horizontal="center" vertical="center"/>
    </xf>
    <xf numFmtId="49" fontId="15" fillId="0"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180" fontId="2" fillId="0" borderId="2" xfId="0" applyNumberFormat="1" applyFont="1" applyBorder="1" applyAlignment="1">
      <alignment horizontal="center" vertical="center" wrapText="1" shrinkToFit="1"/>
    </xf>
    <xf numFmtId="0" fontId="3" fillId="0" borderId="3" xfId="0" applyFont="1" applyBorder="1" applyAlignment="1">
      <alignment horizontal="center" vertical="center"/>
    </xf>
    <xf numFmtId="0" fontId="12" fillId="0" borderId="2" xfId="0" applyFont="1" applyBorder="1" applyAlignment="1">
      <alignment horizontal="left" vertical="top" wrapText="1"/>
    </xf>
    <xf numFmtId="0" fontId="3" fillId="0" borderId="3" xfId="0" applyFont="1" applyBorder="1" applyAlignment="1">
      <alignment vertical="center" wrapText="1"/>
    </xf>
    <xf numFmtId="0" fontId="3" fillId="0" borderId="3" xfId="0" applyFont="1" applyBorder="1">
      <alignment vertical="center"/>
    </xf>
    <xf numFmtId="180" fontId="2" fillId="0" borderId="3" xfId="0" applyNumberFormat="1" applyFont="1" applyBorder="1" applyAlignment="1">
      <alignment horizontal="center" vertical="center" shrinkToFit="1"/>
    </xf>
    <xf numFmtId="0" fontId="3" fillId="0" borderId="0" xfId="0" applyFont="1" applyFill="1" applyAlignment="1">
      <alignment horizontal="center" vertical="center"/>
    </xf>
    <xf numFmtId="180" fontId="2" fillId="0" borderId="0" xfId="0" applyNumberFormat="1" applyFont="1" applyFill="1" applyAlignment="1">
      <alignment horizontal="center" vertical="center" shrinkToFit="1"/>
    </xf>
    <xf numFmtId="49" fontId="2" fillId="0" borderId="0" xfId="0" applyNumberFormat="1" applyFont="1" applyFill="1" applyAlignment="1">
      <alignment horizontal="center" vertical="center" shrinkToFit="1"/>
    </xf>
    <xf numFmtId="0" fontId="5" fillId="0" borderId="1" xfId="0" applyFont="1" applyFill="1" applyBorder="1" applyAlignment="1">
      <alignment horizontal="center" vertical="center"/>
    </xf>
    <xf numFmtId="0" fontId="5" fillId="0" borderId="4" xfId="57" applyFont="1" applyFill="1" applyBorder="1" applyAlignment="1">
      <alignment horizontal="center" vertical="center" wrapText="1"/>
    </xf>
    <xf numFmtId="0" fontId="2" fillId="0" borderId="2" xfId="61" applyFont="1" applyFill="1" applyBorder="1" applyAlignment="1">
      <alignment horizontal="left" vertical="center" wrapText="1"/>
    </xf>
    <xf numFmtId="0" fontId="2" fillId="0" borderId="2" xfId="0" applyFont="1" applyFill="1" applyBorder="1" applyAlignment="1">
      <alignment horizontal="left" vertical="center" shrinkToFit="1"/>
    </xf>
    <xf numFmtId="0" fontId="1" fillId="0" borderId="2" xfId="0" applyFont="1" applyFill="1" applyBorder="1" applyAlignment="1">
      <alignment horizontal="center" vertical="center"/>
    </xf>
    <xf numFmtId="0" fontId="8" fillId="0" borderId="2" xfId="0" applyFont="1" applyFill="1" applyBorder="1" applyAlignment="1">
      <alignment horizontal="left" vertical="center" wrapText="1"/>
    </xf>
    <xf numFmtId="0" fontId="2" fillId="0" borderId="2" xfId="0" applyFont="1" applyFill="1" applyBorder="1" applyAlignment="1">
      <alignment horizontal="center" vertical="center"/>
    </xf>
    <xf numFmtId="0" fontId="3" fillId="0" borderId="3" xfId="0" applyFont="1" applyFill="1" applyBorder="1" applyAlignment="1">
      <alignment horizontal="center" vertical="center"/>
    </xf>
    <xf numFmtId="180" fontId="2" fillId="0" borderId="3" xfId="0" applyNumberFormat="1" applyFont="1" applyFill="1" applyBorder="1" applyAlignment="1">
      <alignment horizontal="center" vertical="center" shrinkToFit="1"/>
    </xf>
    <xf numFmtId="0" fontId="6" fillId="0" borderId="2" xfId="0" applyFont="1" applyFill="1" applyBorder="1" applyAlignment="1" quotePrefix="1">
      <alignment horizontal="center" vertical="center" wrapText="1"/>
    </xf>
  </cellXfs>
  <cellStyles count="7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10 2 2" xfId="50"/>
    <cellStyle name="常规 11" xfId="51"/>
    <cellStyle name="常规 110" xfId="52"/>
    <cellStyle name="常规 117" xfId="53"/>
    <cellStyle name="常规 13" xfId="54"/>
    <cellStyle name="常规 14" xfId="55"/>
    <cellStyle name="常规 17" xfId="56"/>
    <cellStyle name="常规 2" xfId="57"/>
    <cellStyle name="常规 2 12" xfId="58"/>
    <cellStyle name="常规 2 2" xfId="59"/>
    <cellStyle name="常规 2 3 2" xfId="60"/>
    <cellStyle name="常规 206" xfId="61"/>
    <cellStyle name="常规 3" xfId="62"/>
    <cellStyle name="常规 3 2" xfId="63"/>
    <cellStyle name="常规 3 2 2" xfId="64"/>
    <cellStyle name="常规 6" xfId="65"/>
    <cellStyle name="常规 7" xfId="66"/>
    <cellStyle name="常规 9 3 2" xfId="67"/>
    <cellStyle name="常规_Sheet1" xfId="68"/>
    <cellStyle name="常规_Sheet1_1" xfId="69"/>
    <cellStyle name="常规_Sheet1_18" xfId="70"/>
    <cellStyle name="常规_中学" xfId="71"/>
    <cellStyle name="超链接 3" xfId="72"/>
    <cellStyle name="常规_采集器与传感器_1" xfId="73"/>
  </cellStyles>
  <tableStyles count="0" defaultTableStyle="TableStyleMedium9" defaultPivotStyle="PivotStyleLight16"/>
  <colors>
    <mruColors>
      <color rgb="00333333"/>
      <color rgb="00D9D9D9"/>
      <color rgb="00FFFFFF"/>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2"/>
  <sheetViews>
    <sheetView tabSelected="1" workbookViewId="0">
      <selection activeCell="K3" sqref="K3"/>
    </sheetView>
  </sheetViews>
  <sheetFormatPr defaultColWidth="8" defaultRowHeight="15.6"/>
  <cols>
    <col min="1" max="1" width="7" style="3" customWidth="1"/>
    <col min="2" max="2" width="11.6" style="3" customWidth="1"/>
    <col min="3" max="3" width="22.7" style="3" customWidth="1"/>
    <col min="4" max="4" width="4.5" style="3" customWidth="1"/>
    <col min="5" max="5" width="8.375" style="71" customWidth="1"/>
    <col min="6" max="6" width="8.3" style="72" customWidth="1"/>
    <col min="7" max="7" width="7.2" style="72" customWidth="1"/>
    <col min="8" max="8" width="9.75" style="72" customWidth="1"/>
    <col min="9" max="9" width="9.75" style="73" customWidth="1"/>
    <col min="10" max="10" width="14.3" style="72" customWidth="1"/>
    <col min="11" max="11" width="11.5" style="3"/>
    <col min="12" max="191" width="8" style="3"/>
    <col min="192" max="16384" width="8" style="4"/>
  </cols>
  <sheetData>
    <row r="1" s="1" customFormat="1" ht="34.5" customHeight="1" spans="1:10">
      <c r="A1" s="6" t="s">
        <v>0</v>
      </c>
      <c r="B1" s="6"/>
      <c r="C1" s="6"/>
      <c r="D1" s="6"/>
      <c r="E1" s="6"/>
      <c r="F1" s="6"/>
      <c r="G1" s="6"/>
      <c r="H1" s="6"/>
      <c r="I1" s="7"/>
      <c r="J1" s="74"/>
    </row>
    <row r="2" s="2" customFormat="1" ht="14.25" customHeight="1" spans="1:10">
      <c r="A2" s="8" t="s">
        <v>1</v>
      </c>
      <c r="B2" s="9" t="s">
        <v>2</v>
      </c>
      <c r="C2" s="9" t="s">
        <v>3</v>
      </c>
      <c r="D2" s="9" t="s">
        <v>4</v>
      </c>
      <c r="E2" s="9" t="s">
        <v>5</v>
      </c>
      <c r="F2" s="75" t="s">
        <v>6</v>
      </c>
      <c r="G2" s="9" t="s">
        <v>7</v>
      </c>
      <c r="H2" s="9" t="s">
        <v>8</v>
      </c>
      <c r="I2" s="8" t="s">
        <v>9</v>
      </c>
      <c r="J2" s="9" t="s">
        <v>10</v>
      </c>
    </row>
    <row r="3" s="3" customFormat="1" ht="30" customHeight="1" spans="1:10">
      <c r="A3" s="10" t="s">
        <v>11</v>
      </c>
      <c r="B3" s="11" t="s">
        <v>12</v>
      </c>
      <c r="C3" s="12" t="s">
        <v>13</v>
      </c>
      <c r="D3" s="13" t="s">
        <v>14</v>
      </c>
      <c r="E3" s="14">
        <v>1</v>
      </c>
      <c r="F3" s="18">
        <v>63</v>
      </c>
      <c r="G3" s="18">
        <f t="shared" ref="G3:G23" si="0">F3*E3</f>
        <v>63</v>
      </c>
      <c r="H3" s="18" t="s">
        <v>15</v>
      </c>
      <c r="I3" s="19" t="s">
        <v>11</v>
      </c>
      <c r="J3" s="17" t="s">
        <v>16</v>
      </c>
    </row>
    <row r="4" s="3" customFormat="1" ht="30" customHeight="1" spans="1:10">
      <c r="A4" s="10" t="s">
        <v>17</v>
      </c>
      <c r="B4" s="11" t="s">
        <v>18</v>
      </c>
      <c r="C4" s="12" t="s">
        <v>19</v>
      </c>
      <c r="D4" s="13" t="s">
        <v>20</v>
      </c>
      <c r="E4" s="14">
        <v>2</v>
      </c>
      <c r="F4" s="18">
        <v>6.75</v>
      </c>
      <c r="G4" s="18">
        <f t="shared" si="0"/>
        <v>13.5</v>
      </c>
      <c r="H4" s="18" t="s">
        <v>15</v>
      </c>
      <c r="I4" s="16" t="s">
        <v>17</v>
      </c>
      <c r="J4" s="17" t="s">
        <v>16</v>
      </c>
    </row>
    <row r="5" s="3" customFormat="1" ht="30" customHeight="1" spans="1:10">
      <c r="A5" s="10" t="s">
        <v>21</v>
      </c>
      <c r="B5" s="11" t="s">
        <v>22</v>
      </c>
      <c r="C5" s="12" t="s">
        <v>23</v>
      </c>
      <c r="D5" s="13" t="s">
        <v>24</v>
      </c>
      <c r="E5" s="14">
        <v>1</v>
      </c>
      <c r="F5" s="18">
        <v>6.75</v>
      </c>
      <c r="G5" s="18">
        <f t="shared" si="0"/>
        <v>6.75</v>
      </c>
      <c r="H5" s="18" t="s">
        <v>15</v>
      </c>
      <c r="I5" s="16" t="s">
        <v>21</v>
      </c>
      <c r="J5" s="17" t="s">
        <v>16</v>
      </c>
    </row>
    <row r="6" s="3" customFormat="1" ht="30" customHeight="1" spans="1:10">
      <c r="A6" s="10" t="s">
        <v>25</v>
      </c>
      <c r="B6" s="11" t="s">
        <v>26</v>
      </c>
      <c r="C6" s="12" t="s">
        <v>27</v>
      </c>
      <c r="D6" s="13" t="s">
        <v>24</v>
      </c>
      <c r="E6" s="14">
        <v>1</v>
      </c>
      <c r="F6" s="18">
        <v>13.5</v>
      </c>
      <c r="G6" s="18">
        <f t="shared" si="0"/>
        <v>13.5</v>
      </c>
      <c r="H6" s="18" t="s">
        <v>15</v>
      </c>
      <c r="I6" s="16" t="s">
        <v>25</v>
      </c>
      <c r="J6" s="17" t="s">
        <v>16</v>
      </c>
    </row>
    <row r="7" s="3" customFormat="1" ht="30" customHeight="1" spans="1:10">
      <c r="A7" s="10" t="s">
        <v>28</v>
      </c>
      <c r="B7" s="11" t="s">
        <v>29</v>
      </c>
      <c r="C7" s="12" t="s">
        <v>30</v>
      </c>
      <c r="D7" s="13" t="s">
        <v>31</v>
      </c>
      <c r="E7" s="14">
        <v>1</v>
      </c>
      <c r="F7" s="18">
        <v>86</v>
      </c>
      <c r="G7" s="18">
        <f t="shared" si="0"/>
        <v>86</v>
      </c>
      <c r="H7" s="18" t="s">
        <v>15</v>
      </c>
      <c r="I7" s="10" t="s">
        <v>28</v>
      </c>
      <c r="J7" s="17" t="s">
        <v>16</v>
      </c>
    </row>
    <row r="8" s="3" customFormat="1" ht="30" customHeight="1" spans="1:10">
      <c r="A8" s="10" t="s">
        <v>32</v>
      </c>
      <c r="B8" s="11" t="s">
        <v>33</v>
      </c>
      <c r="C8" s="12" t="s">
        <v>34</v>
      </c>
      <c r="D8" s="13" t="s">
        <v>31</v>
      </c>
      <c r="E8" s="14">
        <v>1</v>
      </c>
      <c r="F8" s="18">
        <v>183</v>
      </c>
      <c r="G8" s="18">
        <f t="shared" si="0"/>
        <v>183</v>
      </c>
      <c r="H8" s="18" t="s">
        <v>35</v>
      </c>
      <c r="I8" s="16" t="s">
        <v>32</v>
      </c>
      <c r="J8" s="17" t="s">
        <v>36</v>
      </c>
    </row>
    <row r="9" s="3" customFormat="1" ht="30" customHeight="1" spans="1:10">
      <c r="A9" s="10" t="s">
        <v>37</v>
      </c>
      <c r="B9" s="11" t="s">
        <v>38</v>
      </c>
      <c r="C9" s="11" t="s">
        <v>39</v>
      </c>
      <c r="D9" s="13" t="s">
        <v>40</v>
      </c>
      <c r="E9" s="14">
        <v>2</v>
      </c>
      <c r="F9" s="18">
        <v>194</v>
      </c>
      <c r="G9" s="18">
        <f t="shared" si="0"/>
        <v>388</v>
      </c>
      <c r="H9" s="18" t="s">
        <v>15</v>
      </c>
      <c r="I9" s="16" t="s">
        <v>37</v>
      </c>
      <c r="J9" s="17" t="s">
        <v>16</v>
      </c>
    </row>
    <row r="10" s="3" customFormat="1" ht="30" customHeight="1" spans="1:10">
      <c r="A10" s="10" t="s">
        <v>41</v>
      </c>
      <c r="B10" s="11" t="s">
        <v>42</v>
      </c>
      <c r="C10" s="11" t="s">
        <v>43</v>
      </c>
      <c r="D10" s="13" t="s">
        <v>31</v>
      </c>
      <c r="E10" s="14">
        <v>1</v>
      </c>
      <c r="F10" s="18">
        <v>251</v>
      </c>
      <c r="G10" s="18">
        <f t="shared" si="0"/>
        <v>251</v>
      </c>
      <c r="H10" s="18" t="s">
        <v>15</v>
      </c>
      <c r="I10" s="16" t="s">
        <v>41</v>
      </c>
      <c r="J10" s="17" t="s">
        <v>16</v>
      </c>
    </row>
    <row r="11" s="3" customFormat="1" ht="30" customHeight="1" spans="1:10">
      <c r="A11" s="10" t="s">
        <v>44</v>
      </c>
      <c r="B11" s="11" t="s">
        <v>45</v>
      </c>
      <c r="C11" s="76" t="s">
        <v>46</v>
      </c>
      <c r="D11" s="13" t="s">
        <v>31</v>
      </c>
      <c r="E11" s="14">
        <v>24</v>
      </c>
      <c r="F11" s="18">
        <v>137</v>
      </c>
      <c r="G11" s="18">
        <f t="shared" si="0"/>
        <v>3288</v>
      </c>
      <c r="H11" s="18" t="s">
        <v>15</v>
      </c>
      <c r="I11" s="16" t="s">
        <v>44</v>
      </c>
      <c r="J11" s="17" t="s">
        <v>16</v>
      </c>
    </row>
    <row r="12" s="3" customFormat="1" ht="30" customHeight="1" spans="1:10">
      <c r="A12" s="10" t="s">
        <v>47</v>
      </c>
      <c r="B12" s="11" t="s">
        <v>48</v>
      </c>
      <c r="C12" s="12" t="s">
        <v>49</v>
      </c>
      <c r="D12" s="13" t="s">
        <v>24</v>
      </c>
      <c r="E12" s="14">
        <v>4</v>
      </c>
      <c r="F12" s="18">
        <v>54.5</v>
      </c>
      <c r="G12" s="18">
        <f t="shared" si="0"/>
        <v>218</v>
      </c>
      <c r="H12" s="18" t="s">
        <v>15</v>
      </c>
      <c r="I12" s="16" t="s">
        <v>47</v>
      </c>
      <c r="J12" s="17" t="s">
        <v>16</v>
      </c>
    </row>
    <row r="13" s="3" customFormat="1" ht="30" customHeight="1" spans="1:10">
      <c r="A13" s="10" t="s">
        <v>50</v>
      </c>
      <c r="B13" s="11" t="s">
        <v>51</v>
      </c>
      <c r="C13" s="12" t="s">
        <v>52</v>
      </c>
      <c r="D13" s="13" t="s">
        <v>24</v>
      </c>
      <c r="E13" s="14">
        <v>1</v>
      </c>
      <c r="F13" s="18">
        <v>74</v>
      </c>
      <c r="G13" s="18">
        <f t="shared" si="0"/>
        <v>74</v>
      </c>
      <c r="H13" s="18" t="s">
        <v>15</v>
      </c>
      <c r="I13" s="16" t="s">
        <v>50</v>
      </c>
      <c r="J13" s="17" t="s">
        <v>16</v>
      </c>
    </row>
    <row r="14" s="3" customFormat="1" ht="30" customHeight="1" spans="1:10">
      <c r="A14" s="10" t="s">
        <v>53</v>
      </c>
      <c r="B14" s="11" t="s">
        <v>54</v>
      </c>
      <c r="C14" s="11" t="s">
        <v>55</v>
      </c>
      <c r="D14" s="13" t="s">
        <v>31</v>
      </c>
      <c r="E14" s="14">
        <v>1</v>
      </c>
      <c r="F14" s="18">
        <v>890</v>
      </c>
      <c r="G14" s="18">
        <f t="shared" si="0"/>
        <v>890</v>
      </c>
      <c r="H14" s="18" t="s">
        <v>15</v>
      </c>
      <c r="I14" s="16" t="s">
        <v>53</v>
      </c>
      <c r="J14" s="17" t="s">
        <v>16</v>
      </c>
    </row>
    <row r="15" s="3" customFormat="1" ht="30" customHeight="1" spans="1:10">
      <c r="A15" s="10" t="s">
        <v>56</v>
      </c>
      <c r="B15" s="11" t="s">
        <v>57</v>
      </c>
      <c r="C15" s="12" t="s">
        <v>58</v>
      </c>
      <c r="D15" s="13" t="s">
        <v>24</v>
      </c>
      <c r="E15" s="14">
        <v>1</v>
      </c>
      <c r="F15" s="18">
        <v>91</v>
      </c>
      <c r="G15" s="18">
        <f t="shared" si="0"/>
        <v>91</v>
      </c>
      <c r="H15" s="18" t="s">
        <v>15</v>
      </c>
      <c r="I15" s="16" t="s">
        <v>56</v>
      </c>
      <c r="J15" s="17" t="s">
        <v>16</v>
      </c>
    </row>
    <row r="16" s="3" customFormat="1" ht="30" customHeight="1" spans="1:10">
      <c r="A16" s="10" t="s">
        <v>59</v>
      </c>
      <c r="B16" s="11" t="s">
        <v>60</v>
      </c>
      <c r="C16" s="12" t="s">
        <v>58</v>
      </c>
      <c r="D16" s="13" t="s">
        <v>24</v>
      </c>
      <c r="E16" s="14">
        <v>2</v>
      </c>
      <c r="F16" s="18">
        <v>85</v>
      </c>
      <c r="G16" s="18">
        <f t="shared" si="0"/>
        <v>170</v>
      </c>
      <c r="H16" s="18" t="s">
        <v>15</v>
      </c>
      <c r="I16" s="16" t="s">
        <v>59</v>
      </c>
      <c r="J16" s="17" t="s">
        <v>16</v>
      </c>
    </row>
    <row r="17" s="3" customFormat="1" ht="30" customHeight="1" spans="1:10">
      <c r="A17" s="10" t="s">
        <v>61</v>
      </c>
      <c r="B17" s="11" t="s">
        <v>62</v>
      </c>
      <c r="C17" s="12" t="s">
        <v>63</v>
      </c>
      <c r="D17" s="13" t="s">
        <v>64</v>
      </c>
      <c r="E17" s="14">
        <v>24</v>
      </c>
      <c r="F17" s="18">
        <v>2.25</v>
      </c>
      <c r="G17" s="18">
        <f t="shared" si="0"/>
        <v>54</v>
      </c>
      <c r="H17" s="18" t="s">
        <v>15</v>
      </c>
      <c r="I17" s="22" t="s">
        <v>61</v>
      </c>
      <c r="J17" s="17" t="s">
        <v>16</v>
      </c>
    </row>
    <row r="18" s="3" customFormat="1" ht="30" customHeight="1" spans="1:10">
      <c r="A18" s="10" t="s">
        <v>65</v>
      </c>
      <c r="B18" s="11" t="s">
        <v>66</v>
      </c>
      <c r="C18" s="12" t="s">
        <v>67</v>
      </c>
      <c r="D18" s="13" t="s">
        <v>24</v>
      </c>
      <c r="E18" s="14">
        <v>24</v>
      </c>
      <c r="F18" s="18">
        <v>4.5</v>
      </c>
      <c r="G18" s="18">
        <f t="shared" si="0"/>
        <v>108</v>
      </c>
      <c r="H18" s="18" t="s">
        <v>15</v>
      </c>
      <c r="I18" s="16" t="s">
        <v>65</v>
      </c>
      <c r="J18" s="17" t="s">
        <v>16</v>
      </c>
    </row>
    <row r="19" s="3" customFormat="1" ht="30" customHeight="1" spans="1:10">
      <c r="A19" s="10" t="s">
        <v>68</v>
      </c>
      <c r="B19" s="11" t="s">
        <v>69</v>
      </c>
      <c r="C19" s="11" t="s">
        <v>70</v>
      </c>
      <c r="D19" s="13" t="s">
        <v>24</v>
      </c>
      <c r="E19" s="14">
        <v>48</v>
      </c>
      <c r="F19" s="18">
        <v>17</v>
      </c>
      <c r="G19" s="18">
        <f t="shared" si="0"/>
        <v>816</v>
      </c>
      <c r="H19" s="18" t="s">
        <v>15</v>
      </c>
      <c r="I19" s="16" t="s">
        <v>68</v>
      </c>
      <c r="J19" s="17" t="s">
        <v>16</v>
      </c>
    </row>
    <row r="20" s="3" customFormat="1" ht="30" customHeight="1" spans="1:10">
      <c r="A20" s="10" t="s">
        <v>71</v>
      </c>
      <c r="B20" s="11" t="s">
        <v>72</v>
      </c>
      <c r="C20" s="77" t="s">
        <v>73</v>
      </c>
      <c r="D20" s="13" t="s">
        <v>24</v>
      </c>
      <c r="E20" s="14">
        <v>4</v>
      </c>
      <c r="F20" s="18">
        <v>107.5</v>
      </c>
      <c r="G20" s="18">
        <f t="shared" si="0"/>
        <v>430</v>
      </c>
      <c r="H20" s="18" t="s">
        <v>15</v>
      </c>
      <c r="I20" s="16" t="s">
        <v>71</v>
      </c>
      <c r="J20" s="17" t="s">
        <v>16</v>
      </c>
    </row>
    <row r="21" s="3" customFormat="1" ht="30" customHeight="1" spans="1:10">
      <c r="A21" s="10" t="s">
        <v>74</v>
      </c>
      <c r="B21" s="11" t="s">
        <v>75</v>
      </c>
      <c r="C21" s="12" t="s">
        <v>76</v>
      </c>
      <c r="D21" s="13" t="s">
        <v>24</v>
      </c>
      <c r="E21" s="14">
        <v>24</v>
      </c>
      <c r="F21" s="18">
        <v>13.5</v>
      </c>
      <c r="G21" s="18">
        <f t="shared" si="0"/>
        <v>324</v>
      </c>
      <c r="H21" s="18" t="s">
        <v>15</v>
      </c>
      <c r="I21" s="16" t="s">
        <v>74</v>
      </c>
      <c r="J21" s="17" t="s">
        <v>16</v>
      </c>
    </row>
    <row r="22" s="3" customFormat="1" ht="30" customHeight="1" spans="1:10">
      <c r="A22" s="10" t="s">
        <v>77</v>
      </c>
      <c r="B22" s="11" t="s">
        <v>78</v>
      </c>
      <c r="C22" s="12" t="s">
        <v>52</v>
      </c>
      <c r="D22" s="13" t="s">
        <v>24</v>
      </c>
      <c r="E22" s="14">
        <v>24</v>
      </c>
      <c r="F22" s="18">
        <v>5</v>
      </c>
      <c r="G22" s="18">
        <f t="shared" si="0"/>
        <v>120</v>
      </c>
      <c r="H22" s="18" t="s">
        <v>15</v>
      </c>
      <c r="I22" s="16" t="s">
        <v>77</v>
      </c>
      <c r="J22" s="17" t="s">
        <v>16</v>
      </c>
    </row>
    <row r="23" s="3" customFormat="1" ht="30" customHeight="1" spans="1:10">
      <c r="A23" s="10" t="s">
        <v>79</v>
      </c>
      <c r="B23" s="12" t="s">
        <v>80</v>
      </c>
      <c r="C23" s="12" t="s">
        <v>81</v>
      </c>
      <c r="D23" s="13" t="s">
        <v>82</v>
      </c>
      <c r="E23" s="14">
        <v>24</v>
      </c>
      <c r="F23" s="18">
        <v>17</v>
      </c>
      <c r="G23" s="18">
        <f t="shared" si="0"/>
        <v>408</v>
      </c>
      <c r="H23" s="18" t="s">
        <v>15</v>
      </c>
      <c r="I23" s="16" t="s">
        <v>79</v>
      </c>
      <c r="J23" s="17" t="s">
        <v>16</v>
      </c>
    </row>
    <row r="24" s="3" customFormat="1" ht="30" customHeight="1" spans="1:10">
      <c r="A24" s="10" t="s">
        <v>83</v>
      </c>
      <c r="B24" s="11" t="s">
        <v>84</v>
      </c>
      <c r="C24" s="12" t="s">
        <v>85</v>
      </c>
      <c r="D24" s="13" t="s">
        <v>20</v>
      </c>
      <c r="E24" s="14">
        <v>24</v>
      </c>
      <c r="F24" s="18">
        <v>41</v>
      </c>
      <c r="G24" s="18">
        <f t="shared" ref="G24:G48" si="1">F24*E24</f>
        <v>984</v>
      </c>
      <c r="H24" s="18" t="s">
        <v>15</v>
      </c>
      <c r="I24" s="19" t="s">
        <v>83</v>
      </c>
      <c r="J24" s="17" t="s">
        <v>16</v>
      </c>
    </row>
    <row r="25" s="3" customFormat="1" ht="30" customHeight="1" spans="1:10">
      <c r="A25" s="10" t="s">
        <v>86</v>
      </c>
      <c r="B25" s="11" t="s">
        <v>87</v>
      </c>
      <c r="C25" s="11" t="s">
        <v>88</v>
      </c>
      <c r="D25" s="13" t="s">
        <v>24</v>
      </c>
      <c r="E25" s="14">
        <v>5</v>
      </c>
      <c r="F25" s="18">
        <v>13.5</v>
      </c>
      <c r="G25" s="18">
        <f t="shared" si="1"/>
        <v>67.5</v>
      </c>
      <c r="H25" s="18" t="s">
        <v>15</v>
      </c>
      <c r="I25" s="19" t="s">
        <v>86</v>
      </c>
      <c r="J25" s="17" t="s">
        <v>16</v>
      </c>
    </row>
    <row r="26" s="3" customFormat="1" ht="30" customHeight="1" spans="1:10">
      <c r="A26" s="10" t="s">
        <v>89</v>
      </c>
      <c r="B26" s="11" t="s">
        <v>90</v>
      </c>
      <c r="C26" s="11" t="s">
        <v>91</v>
      </c>
      <c r="D26" s="13" t="s">
        <v>24</v>
      </c>
      <c r="E26" s="14">
        <v>24</v>
      </c>
      <c r="F26" s="18">
        <v>5.75</v>
      </c>
      <c r="G26" s="18">
        <f t="shared" si="1"/>
        <v>138</v>
      </c>
      <c r="H26" s="18" t="s">
        <v>15</v>
      </c>
      <c r="I26" s="16" t="s">
        <v>89</v>
      </c>
      <c r="J26" s="17" t="s">
        <v>16</v>
      </c>
    </row>
    <row r="27" s="3" customFormat="1" ht="30" customHeight="1" spans="1:10">
      <c r="A27" s="10" t="s">
        <v>92</v>
      </c>
      <c r="B27" s="11" t="s">
        <v>93</v>
      </c>
      <c r="C27" s="25" t="s">
        <v>94</v>
      </c>
      <c r="D27" s="13" t="s">
        <v>24</v>
      </c>
      <c r="E27" s="14">
        <v>24</v>
      </c>
      <c r="F27" s="18">
        <v>2.3</v>
      </c>
      <c r="G27" s="18">
        <f t="shared" si="1"/>
        <v>55.2</v>
      </c>
      <c r="H27" s="18" t="s">
        <v>15</v>
      </c>
      <c r="I27" s="16" t="s">
        <v>92</v>
      </c>
      <c r="J27" s="17" t="s">
        <v>16</v>
      </c>
    </row>
    <row r="28" s="3" customFormat="1" ht="30" customHeight="1" spans="1:10">
      <c r="A28" s="10" t="s">
        <v>95</v>
      </c>
      <c r="B28" s="11" t="s">
        <v>96</v>
      </c>
      <c r="C28" s="12" t="s">
        <v>97</v>
      </c>
      <c r="D28" s="13" t="s">
        <v>24</v>
      </c>
      <c r="E28" s="14">
        <v>24</v>
      </c>
      <c r="F28" s="18">
        <v>5.75</v>
      </c>
      <c r="G28" s="18">
        <f t="shared" si="1"/>
        <v>138</v>
      </c>
      <c r="H28" s="18" t="s">
        <v>15</v>
      </c>
      <c r="I28" s="16" t="s">
        <v>95</v>
      </c>
      <c r="J28" s="17" t="s">
        <v>16</v>
      </c>
    </row>
    <row r="29" s="3" customFormat="1" ht="30" customHeight="1" spans="1:10">
      <c r="A29" s="10" t="s">
        <v>98</v>
      </c>
      <c r="B29" s="11" t="s">
        <v>99</v>
      </c>
      <c r="C29" s="12" t="s">
        <v>100</v>
      </c>
      <c r="D29" s="13" t="s">
        <v>24</v>
      </c>
      <c r="E29" s="14">
        <v>1</v>
      </c>
      <c r="F29" s="18">
        <v>13.7</v>
      </c>
      <c r="G29" s="18">
        <f t="shared" si="1"/>
        <v>13.7</v>
      </c>
      <c r="H29" s="18" t="s">
        <v>15</v>
      </c>
      <c r="I29" s="16" t="s">
        <v>98</v>
      </c>
      <c r="J29" s="17" t="s">
        <v>16</v>
      </c>
    </row>
    <row r="30" s="3" customFormat="1" ht="30" customHeight="1" spans="1:10">
      <c r="A30" s="10" t="s">
        <v>101</v>
      </c>
      <c r="B30" s="11" t="s">
        <v>102</v>
      </c>
      <c r="C30" s="11" t="s">
        <v>103</v>
      </c>
      <c r="D30" s="13" t="s">
        <v>24</v>
      </c>
      <c r="E30" s="14">
        <v>24</v>
      </c>
      <c r="F30" s="18">
        <v>36.5</v>
      </c>
      <c r="G30" s="18">
        <f t="shared" si="1"/>
        <v>876</v>
      </c>
      <c r="H30" s="18" t="s">
        <v>15</v>
      </c>
      <c r="I30" s="16" t="s">
        <v>101</v>
      </c>
      <c r="J30" s="17" t="s">
        <v>16</v>
      </c>
    </row>
    <row r="31" s="3" customFormat="1" ht="30" customHeight="1" spans="1:10">
      <c r="A31" s="10" t="s">
        <v>104</v>
      </c>
      <c r="B31" s="11" t="s">
        <v>105</v>
      </c>
      <c r="C31" s="12" t="s">
        <v>106</v>
      </c>
      <c r="D31" s="13" t="s">
        <v>24</v>
      </c>
      <c r="E31" s="14">
        <v>24</v>
      </c>
      <c r="F31" s="18">
        <v>13.5</v>
      </c>
      <c r="G31" s="18">
        <f t="shared" si="1"/>
        <v>324</v>
      </c>
      <c r="H31" s="18" t="s">
        <v>15</v>
      </c>
      <c r="I31" s="16" t="s">
        <v>104</v>
      </c>
      <c r="J31" s="17" t="s">
        <v>16</v>
      </c>
    </row>
    <row r="32" s="3" customFormat="1" ht="30" customHeight="1" spans="1:10">
      <c r="A32" s="10" t="s">
        <v>107</v>
      </c>
      <c r="B32" s="11" t="s">
        <v>108</v>
      </c>
      <c r="C32" s="26" t="s">
        <v>109</v>
      </c>
      <c r="D32" s="13" t="s">
        <v>24</v>
      </c>
      <c r="E32" s="14">
        <v>24</v>
      </c>
      <c r="F32" s="18">
        <v>5.5</v>
      </c>
      <c r="G32" s="18">
        <f t="shared" si="1"/>
        <v>132</v>
      </c>
      <c r="H32" s="18" t="s">
        <v>15</v>
      </c>
      <c r="I32" s="16" t="s">
        <v>107</v>
      </c>
      <c r="J32" s="17" t="s">
        <v>16</v>
      </c>
    </row>
    <row r="33" s="3" customFormat="1" ht="30" customHeight="1" spans="1:10">
      <c r="A33" s="10" t="s">
        <v>110</v>
      </c>
      <c r="B33" s="11" t="s">
        <v>111</v>
      </c>
      <c r="C33" s="11" t="s">
        <v>112</v>
      </c>
      <c r="D33" s="13" t="s">
        <v>31</v>
      </c>
      <c r="E33" s="14">
        <v>24</v>
      </c>
      <c r="F33" s="18">
        <v>160</v>
      </c>
      <c r="G33" s="18">
        <f t="shared" si="1"/>
        <v>3840</v>
      </c>
      <c r="H33" s="15" t="s">
        <v>15</v>
      </c>
      <c r="I33" s="16" t="s">
        <v>113</v>
      </c>
      <c r="J33" s="17" t="s">
        <v>16</v>
      </c>
    </row>
    <row r="34" s="3" customFormat="1" ht="30" customHeight="1" spans="1:10">
      <c r="A34" s="10" t="s">
        <v>114</v>
      </c>
      <c r="B34" s="11" t="s">
        <v>115</v>
      </c>
      <c r="C34" s="11" t="s">
        <v>116</v>
      </c>
      <c r="D34" s="13" t="s">
        <v>31</v>
      </c>
      <c r="E34" s="14">
        <v>1</v>
      </c>
      <c r="F34" s="18">
        <v>388.5</v>
      </c>
      <c r="G34" s="18">
        <f t="shared" si="1"/>
        <v>388.5</v>
      </c>
      <c r="H34" s="15" t="s">
        <v>15</v>
      </c>
      <c r="I34" s="16" t="s">
        <v>114</v>
      </c>
      <c r="J34" s="17" t="s">
        <v>16</v>
      </c>
    </row>
    <row r="35" s="3" customFormat="1" ht="30" customHeight="1" spans="1:10">
      <c r="A35" s="10" t="s">
        <v>117</v>
      </c>
      <c r="B35" s="11" t="s">
        <v>118</v>
      </c>
      <c r="C35" s="12" t="s">
        <v>119</v>
      </c>
      <c r="D35" s="13" t="s">
        <v>31</v>
      </c>
      <c r="E35" s="14">
        <v>24</v>
      </c>
      <c r="F35" s="18">
        <v>34.25</v>
      </c>
      <c r="G35" s="18">
        <f t="shared" si="1"/>
        <v>822</v>
      </c>
      <c r="H35" s="18" t="s">
        <v>120</v>
      </c>
      <c r="I35" s="16" t="s">
        <v>119</v>
      </c>
      <c r="J35" s="17" t="s">
        <v>121</v>
      </c>
    </row>
    <row r="36" s="3" customFormat="1" ht="30" customHeight="1" spans="1:10">
      <c r="A36" s="10" t="s">
        <v>117</v>
      </c>
      <c r="B36" s="11" t="s">
        <v>118</v>
      </c>
      <c r="C36" s="12" t="s">
        <v>122</v>
      </c>
      <c r="D36" s="13" t="s">
        <v>31</v>
      </c>
      <c r="E36" s="14">
        <v>1</v>
      </c>
      <c r="F36" s="18">
        <v>62.75</v>
      </c>
      <c r="G36" s="18">
        <f t="shared" si="1"/>
        <v>62.75</v>
      </c>
      <c r="H36" s="18" t="s">
        <v>120</v>
      </c>
      <c r="I36" s="16" t="s">
        <v>119</v>
      </c>
      <c r="J36" s="17" t="s">
        <v>121</v>
      </c>
    </row>
    <row r="37" s="3" customFormat="1" ht="30" customHeight="1" spans="1:10">
      <c r="A37" s="10" t="s">
        <v>123</v>
      </c>
      <c r="B37" s="11" t="s">
        <v>124</v>
      </c>
      <c r="C37" s="11" t="s">
        <v>119</v>
      </c>
      <c r="D37" s="13" t="s">
        <v>31</v>
      </c>
      <c r="E37" s="14">
        <v>2</v>
      </c>
      <c r="F37" s="18">
        <v>148</v>
      </c>
      <c r="G37" s="18">
        <f t="shared" si="1"/>
        <v>296</v>
      </c>
      <c r="H37" s="18" t="s">
        <v>120</v>
      </c>
      <c r="I37" s="11" t="s">
        <v>119</v>
      </c>
      <c r="J37" s="17" t="s">
        <v>121</v>
      </c>
    </row>
    <row r="38" s="3" customFormat="1" ht="30" customHeight="1" spans="1:10">
      <c r="A38" s="10" t="s">
        <v>123</v>
      </c>
      <c r="B38" s="11" t="s">
        <v>124</v>
      </c>
      <c r="C38" s="11" t="s">
        <v>125</v>
      </c>
      <c r="D38" s="13" t="s">
        <v>31</v>
      </c>
      <c r="E38" s="14">
        <v>1</v>
      </c>
      <c r="F38" s="18">
        <v>326</v>
      </c>
      <c r="G38" s="18">
        <f t="shared" si="1"/>
        <v>326</v>
      </c>
      <c r="H38" s="18" t="s">
        <v>120</v>
      </c>
      <c r="I38" s="11" t="s">
        <v>125</v>
      </c>
      <c r="J38" s="17" t="s">
        <v>121</v>
      </c>
    </row>
    <row r="39" s="3" customFormat="1" ht="30" customHeight="1" spans="1:10">
      <c r="A39" s="10" t="s">
        <v>123</v>
      </c>
      <c r="B39" s="11" t="s">
        <v>124</v>
      </c>
      <c r="C39" s="11" t="s">
        <v>126</v>
      </c>
      <c r="D39" s="13" t="s">
        <v>31</v>
      </c>
      <c r="E39" s="14">
        <v>1</v>
      </c>
      <c r="F39" s="18">
        <v>160</v>
      </c>
      <c r="G39" s="18">
        <f t="shared" si="1"/>
        <v>160</v>
      </c>
      <c r="H39" s="18" t="s">
        <v>120</v>
      </c>
      <c r="I39" s="11" t="s">
        <v>126</v>
      </c>
      <c r="J39" s="17" t="s">
        <v>121</v>
      </c>
    </row>
    <row r="40" s="3" customFormat="1" ht="30" customHeight="1" spans="1:10">
      <c r="A40" s="10" t="s">
        <v>127</v>
      </c>
      <c r="B40" s="11" t="s">
        <v>128</v>
      </c>
      <c r="C40" s="11" t="s">
        <v>129</v>
      </c>
      <c r="D40" s="13" t="s">
        <v>64</v>
      </c>
      <c r="E40" s="14">
        <v>1</v>
      </c>
      <c r="F40" s="18">
        <v>16</v>
      </c>
      <c r="G40" s="18">
        <f t="shared" si="1"/>
        <v>16</v>
      </c>
      <c r="H40" s="17" t="s">
        <v>15</v>
      </c>
      <c r="I40" s="16">
        <v>12003</v>
      </c>
      <c r="J40" s="17" t="s">
        <v>16</v>
      </c>
    </row>
    <row r="41" s="3" customFormat="1" ht="30" customHeight="1" spans="1:10">
      <c r="A41" s="10" t="s">
        <v>130</v>
      </c>
      <c r="B41" s="11" t="s">
        <v>131</v>
      </c>
      <c r="C41" s="11" t="s">
        <v>132</v>
      </c>
      <c r="D41" s="13" t="s">
        <v>82</v>
      </c>
      <c r="E41" s="14">
        <v>24</v>
      </c>
      <c r="F41" s="18">
        <v>2.25</v>
      </c>
      <c r="G41" s="18">
        <f t="shared" si="1"/>
        <v>54</v>
      </c>
      <c r="H41" s="15" t="s">
        <v>15</v>
      </c>
      <c r="I41" s="16">
        <v>13001</v>
      </c>
      <c r="J41" s="17" t="s">
        <v>16</v>
      </c>
    </row>
    <row r="42" s="3" customFormat="1" ht="30" customHeight="1" spans="1:10">
      <c r="A42" s="10" t="s">
        <v>130</v>
      </c>
      <c r="B42" s="11" t="s">
        <v>131</v>
      </c>
      <c r="C42" s="12" t="s">
        <v>133</v>
      </c>
      <c r="D42" s="13" t="s">
        <v>82</v>
      </c>
      <c r="E42" s="14">
        <v>2</v>
      </c>
      <c r="F42" s="18">
        <v>3.4</v>
      </c>
      <c r="G42" s="18">
        <f t="shared" si="1"/>
        <v>6.8</v>
      </c>
      <c r="H42" s="15" t="s">
        <v>15</v>
      </c>
      <c r="I42" s="16">
        <v>13003</v>
      </c>
      <c r="J42" s="17" t="s">
        <v>16</v>
      </c>
    </row>
    <row r="43" s="3" customFormat="1" ht="30" customHeight="1" spans="1:10">
      <c r="A43" s="10" t="s">
        <v>134</v>
      </c>
      <c r="B43" s="11" t="s">
        <v>135</v>
      </c>
      <c r="C43" s="26" t="s">
        <v>136</v>
      </c>
      <c r="D43" s="13" t="s">
        <v>31</v>
      </c>
      <c r="E43" s="14">
        <v>1</v>
      </c>
      <c r="F43" s="18">
        <v>171</v>
      </c>
      <c r="G43" s="18">
        <f t="shared" si="1"/>
        <v>171</v>
      </c>
      <c r="H43" s="18" t="s">
        <v>15</v>
      </c>
      <c r="I43" s="16" t="s">
        <v>134</v>
      </c>
      <c r="J43" s="17" t="s">
        <v>16</v>
      </c>
    </row>
    <row r="44" s="3" customFormat="1" ht="30" customHeight="1" spans="1:10">
      <c r="A44" s="10" t="s">
        <v>137</v>
      </c>
      <c r="B44" s="11" t="s">
        <v>138</v>
      </c>
      <c r="C44" s="11" t="s">
        <v>139</v>
      </c>
      <c r="D44" s="13" t="s">
        <v>24</v>
      </c>
      <c r="E44" s="14">
        <v>1</v>
      </c>
      <c r="F44" s="18">
        <v>74</v>
      </c>
      <c r="G44" s="18">
        <f t="shared" si="1"/>
        <v>74</v>
      </c>
      <c r="H44" s="18" t="s">
        <v>140</v>
      </c>
      <c r="I44" s="16" t="s">
        <v>141</v>
      </c>
      <c r="J44" s="17" t="s">
        <v>142</v>
      </c>
    </row>
    <row r="45" s="3" customFormat="1" ht="30" customHeight="1" spans="1:10">
      <c r="A45" s="10" t="s">
        <v>143</v>
      </c>
      <c r="B45" s="11" t="s">
        <v>144</v>
      </c>
      <c r="C45" s="20" t="s">
        <v>145</v>
      </c>
      <c r="D45" s="13" t="s">
        <v>31</v>
      </c>
      <c r="E45" s="14">
        <v>1</v>
      </c>
      <c r="F45" s="18">
        <v>227.5</v>
      </c>
      <c r="G45" s="18">
        <f t="shared" si="1"/>
        <v>227.5</v>
      </c>
      <c r="H45" s="18" t="s">
        <v>140</v>
      </c>
      <c r="I45" s="16">
        <v>15016</v>
      </c>
      <c r="J45" s="17" t="s">
        <v>142</v>
      </c>
    </row>
    <row r="46" s="3" customFormat="1" ht="30" customHeight="1" spans="1:10">
      <c r="A46" s="10" t="s">
        <v>146</v>
      </c>
      <c r="B46" s="11" t="s">
        <v>147</v>
      </c>
      <c r="C46" s="12" t="s">
        <v>148</v>
      </c>
      <c r="D46" s="13" t="s">
        <v>82</v>
      </c>
      <c r="E46" s="14">
        <v>1</v>
      </c>
      <c r="F46" s="18">
        <v>2.86</v>
      </c>
      <c r="G46" s="18">
        <f t="shared" si="1"/>
        <v>2.86</v>
      </c>
      <c r="H46" s="15" t="s">
        <v>15</v>
      </c>
      <c r="I46" s="33">
        <v>16001</v>
      </c>
      <c r="J46" s="17" t="s">
        <v>16</v>
      </c>
    </row>
    <row r="47" s="3" customFormat="1" ht="30" customHeight="1" spans="1:10">
      <c r="A47" s="10" t="s">
        <v>146</v>
      </c>
      <c r="B47" s="11" t="s">
        <v>147</v>
      </c>
      <c r="C47" s="12" t="s">
        <v>149</v>
      </c>
      <c r="D47" s="13" t="s">
        <v>82</v>
      </c>
      <c r="E47" s="14">
        <v>1</v>
      </c>
      <c r="F47" s="18">
        <v>2.86</v>
      </c>
      <c r="G47" s="18">
        <f t="shared" si="1"/>
        <v>2.86</v>
      </c>
      <c r="H47" s="15" t="s">
        <v>15</v>
      </c>
      <c r="I47" s="33" t="s">
        <v>150</v>
      </c>
      <c r="J47" s="17" t="s">
        <v>16</v>
      </c>
    </row>
    <row r="48" s="3" customFormat="1" ht="30" customHeight="1" spans="1:10">
      <c r="A48" s="10" t="s">
        <v>151</v>
      </c>
      <c r="B48" s="11" t="s">
        <v>152</v>
      </c>
      <c r="C48" s="12" t="s">
        <v>153</v>
      </c>
      <c r="D48" s="13" t="s">
        <v>31</v>
      </c>
      <c r="E48" s="14">
        <v>24</v>
      </c>
      <c r="F48" s="18">
        <v>74</v>
      </c>
      <c r="G48" s="18">
        <f t="shared" si="1"/>
        <v>1776</v>
      </c>
      <c r="H48" s="15" t="s">
        <v>15</v>
      </c>
      <c r="I48" s="19" t="s">
        <v>151</v>
      </c>
      <c r="J48" s="17" t="s">
        <v>16</v>
      </c>
    </row>
    <row r="49" s="3" customFormat="1" ht="30" customHeight="1" spans="1:10">
      <c r="A49" s="10" t="s">
        <v>154</v>
      </c>
      <c r="B49" s="11" t="s">
        <v>155</v>
      </c>
      <c r="C49" s="12" t="s">
        <v>156</v>
      </c>
      <c r="D49" s="13" t="s">
        <v>24</v>
      </c>
      <c r="E49" s="14">
        <v>24</v>
      </c>
      <c r="F49" s="18">
        <v>11.25</v>
      </c>
      <c r="G49" s="18">
        <f t="shared" ref="G49:G61" si="2">F49*E49</f>
        <v>270</v>
      </c>
      <c r="H49" s="18" t="s">
        <v>15</v>
      </c>
      <c r="I49" s="16">
        <v>26003</v>
      </c>
      <c r="J49" s="17" t="s">
        <v>16</v>
      </c>
    </row>
    <row r="50" s="3" customFormat="1" ht="30" customHeight="1" spans="1:10">
      <c r="A50" s="10" t="s">
        <v>157</v>
      </c>
      <c r="B50" s="11" t="s">
        <v>158</v>
      </c>
      <c r="C50" s="12" t="s">
        <v>159</v>
      </c>
      <c r="D50" s="13" t="s">
        <v>31</v>
      </c>
      <c r="E50" s="14">
        <v>2</v>
      </c>
      <c r="F50" s="18">
        <v>45.75</v>
      </c>
      <c r="G50" s="18">
        <f t="shared" si="2"/>
        <v>91.5</v>
      </c>
      <c r="H50" s="18" t="s">
        <v>15</v>
      </c>
      <c r="I50" s="16" t="s">
        <v>157</v>
      </c>
      <c r="J50" s="17" t="s">
        <v>16</v>
      </c>
    </row>
    <row r="51" s="3" customFormat="1" ht="30" customHeight="1" spans="1:10">
      <c r="A51" s="10" t="s">
        <v>160</v>
      </c>
      <c r="B51" s="11" t="s">
        <v>161</v>
      </c>
      <c r="C51" s="26" t="s">
        <v>162</v>
      </c>
      <c r="D51" s="13" t="s">
        <v>31</v>
      </c>
      <c r="E51" s="14">
        <v>1</v>
      </c>
      <c r="F51" s="18">
        <v>85</v>
      </c>
      <c r="G51" s="18">
        <f t="shared" si="2"/>
        <v>85</v>
      </c>
      <c r="H51" s="18" t="s">
        <v>15</v>
      </c>
      <c r="I51" s="16" t="s">
        <v>160</v>
      </c>
      <c r="J51" s="17" t="s">
        <v>16</v>
      </c>
    </row>
    <row r="52" s="3" customFormat="1" ht="30" customHeight="1" spans="1:10">
      <c r="A52" s="10" t="s">
        <v>163</v>
      </c>
      <c r="B52" s="11" t="s">
        <v>164</v>
      </c>
      <c r="C52" s="26" t="s">
        <v>165</v>
      </c>
      <c r="D52" s="13" t="s">
        <v>20</v>
      </c>
      <c r="E52" s="14">
        <v>24</v>
      </c>
      <c r="F52" s="18">
        <v>12.5</v>
      </c>
      <c r="G52" s="18">
        <f t="shared" si="2"/>
        <v>300</v>
      </c>
      <c r="H52" s="18" t="s">
        <v>15</v>
      </c>
      <c r="I52" s="16" t="s">
        <v>163</v>
      </c>
      <c r="J52" s="17" t="s">
        <v>16</v>
      </c>
    </row>
    <row r="53" s="3" customFormat="1" ht="30" customHeight="1" spans="1:10">
      <c r="A53" s="10" t="s">
        <v>166</v>
      </c>
      <c r="B53" s="11" t="s">
        <v>167</v>
      </c>
      <c r="C53" s="26" t="s">
        <v>168</v>
      </c>
      <c r="D53" s="13" t="s">
        <v>20</v>
      </c>
      <c r="E53" s="14">
        <v>24</v>
      </c>
      <c r="F53" s="18">
        <v>22.75</v>
      </c>
      <c r="G53" s="18">
        <f t="shared" si="2"/>
        <v>546</v>
      </c>
      <c r="H53" s="18" t="s">
        <v>15</v>
      </c>
      <c r="I53" s="16">
        <v>26013</v>
      </c>
      <c r="J53" s="17" t="s">
        <v>16</v>
      </c>
    </row>
    <row r="54" s="3" customFormat="1" ht="30" customHeight="1" spans="1:10">
      <c r="A54" s="10" t="s">
        <v>169</v>
      </c>
      <c r="B54" s="11" t="s">
        <v>170</v>
      </c>
      <c r="C54" s="11" t="s">
        <v>171</v>
      </c>
      <c r="D54" s="13" t="s">
        <v>31</v>
      </c>
      <c r="E54" s="14">
        <v>1</v>
      </c>
      <c r="F54" s="18">
        <v>822.5</v>
      </c>
      <c r="G54" s="18">
        <f t="shared" si="2"/>
        <v>822.5</v>
      </c>
      <c r="H54" s="18" t="s">
        <v>15</v>
      </c>
      <c r="I54" s="16" t="s">
        <v>169</v>
      </c>
      <c r="J54" s="17" t="s">
        <v>16</v>
      </c>
    </row>
    <row r="55" s="1" customFormat="1" ht="30" customHeight="1" spans="1:10">
      <c r="A55" s="10" t="s">
        <v>172</v>
      </c>
      <c r="B55" s="11" t="s">
        <v>173</v>
      </c>
      <c r="C55" s="12" t="s">
        <v>174</v>
      </c>
      <c r="D55" s="13" t="s">
        <v>20</v>
      </c>
      <c r="E55" s="78">
        <v>24</v>
      </c>
      <c r="F55" s="18">
        <v>45</v>
      </c>
      <c r="G55" s="18">
        <f t="shared" si="2"/>
        <v>1080</v>
      </c>
      <c r="H55" s="18" t="s">
        <v>15</v>
      </c>
      <c r="I55" s="16" t="s">
        <v>172</v>
      </c>
      <c r="J55" s="17" t="s">
        <v>16</v>
      </c>
    </row>
    <row r="56" s="3" customFormat="1" ht="30" customHeight="1" spans="1:10">
      <c r="A56" s="10" t="s">
        <v>175</v>
      </c>
      <c r="B56" s="11" t="s">
        <v>176</v>
      </c>
      <c r="C56" s="26" t="s">
        <v>177</v>
      </c>
      <c r="D56" s="13" t="s">
        <v>20</v>
      </c>
      <c r="E56" s="14">
        <v>1</v>
      </c>
      <c r="F56" s="18">
        <v>251</v>
      </c>
      <c r="G56" s="18">
        <f t="shared" si="2"/>
        <v>251</v>
      </c>
      <c r="H56" s="18" t="s">
        <v>15</v>
      </c>
      <c r="I56" s="16" t="s">
        <v>175</v>
      </c>
      <c r="J56" s="17" t="s">
        <v>16</v>
      </c>
    </row>
    <row r="57" s="3" customFormat="1" ht="30" customHeight="1" spans="1:10">
      <c r="A57" s="10" t="s">
        <v>178</v>
      </c>
      <c r="B57" s="11" t="s">
        <v>179</v>
      </c>
      <c r="C57" s="26" t="s">
        <v>180</v>
      </c>
      <c r="D57" s="13" t="s">
        <v>20</v>
      </c>
      <c r="E57" s="14">
        <v>12</v>
      </c>
      <c r="F57" s="18">
        <v>91</v>
      </c>
      <c r="G57" s="18">
        <f t="shared" si="2"/>
        <v>1092</v>
      </c>
      <c r="H57" s="18" t="s">
        <v>15</v>
      </c>
      <c r="I57" s="16" t="s">
        <v>178</v>
      </c>
      <c r="J57" s="17" t="s">
        <v>16</v>
      </c>
    </row>
    <row r="58" s="3" customFormat="1" ht="30" customHeight="1" spans="1:10">
      <c r="A58" s="10" t="s">
        <v>181</v>
      </c>
      <c r="B58" s="11" t="s">
        <v>182</v>
      </c>
      <c r="C58" s="12" t="s">
        <v>183</v>
      </c>
      <c r="D58" s="13" t="s">
        <v>31</v>
      </c>
      <c r="E58" s="14">
        <v>1</v>
      </c>
      <c r="F58" s="18">
        <v>286</v>
      </c>
      <c r="G58" s="18">
        <f t="shared" si="2"/>
        <v>286</v>
      </c>
      <c r="H58" s="18" t="s">
        <v>15</v>
      </c>
      <c r="I58" s="16" t="s">
        <v>181</v>
      </c>
      <c r="J58" s="17" t="s">
        <v>16</v>
      </c>
    </row>
    <row r="59" s="3" customFormat="1" ht="30" customHeight="1" spans="1:10">
      <c r="A59" s="10" t="s">
        <v>184</v>
      </c>
      <c r="B59" s="11" t="s">
        <v>185</v>
      </c>
      <c r="C59" s="12" t="s">
        <v>186</v>
      </c>
      <c r="D59" s="13" t="s">
        <v>31</v>
      </c>
      <c r="E59" s="14">
        <v>1</v>
      </c>
      <c r="F59" s="18">
        <v>68</v>
      </c>
      <c r="G59" s="18">
        <f t="shared" si="2"/>
        <v>68</v>
      </c>
      <c r="H59" s="18" t="s">
        <v>15</v>
      </c>
      <c r="I59" s="16" t="s">
        <v>184</v>
      </c>
      <c r="J59" s="17" t="s">
        <v>16</v>
      </c>
    </row>
    <row r="60" s="3" customFormat="1" ht="30" customHeight="1" spans="1:10">
      <c r="A60" s="13">
        <v>26035</v>
      </c>
      <c r="B60" s="12" t="s">
        <v>187</v>
      </c>
      <c r="C60" s="12" t="s">
        <v>188</v>
      </c>
      <c r="D60" s="13" t="s">
        <v>20</v>
      </c>
      <c r="E60" s="14">
        <v>1</v>
      </c>
      <c r="F60" s="18">
        <v>171.5</v>
      </c>
      <c r="G60" s="18">
        <f t="shared" si="2"/>
        <v>171.5</v>
      </c>
      <c r="H60" s="18" t="s">
        <v>15</v>
      </c>
      <c r="I60" s="16">
        <v>26035</v>
      </c>
      <c r="J60" s="17" t="s">
        <v>16</v>
      </c>
    </row>
    <row r="61" s="3" customFormat="1" ht="30" customHeight="1" spans="1:10">
      <c r="A61" s="13">
        <v>26040</v>
      </c>
      <c r="B61" s="25" t="s">
        <v>189</v>
      </c>
      <c r="C61" s="12" t="s">
        <v>190</v>
      </c>
      <c r="D61" s="13" t="s">
        <v>31</v>
      </c>
      <c r="E61" s="14">
        <v>1</v>
      </c>
      <c r="F61" s="18">
        <v>148.5</v>
      </c>
      <c r="G61" s="18">
        <f t="shared" si="2"/>
        <v>148.5</v>
      </c>
      <c r="H61" s="18" t="s">
        <v>15</v>
      </c>
      <c r="I61" s="16">
        <v>26040</v>
      </c>
      <c r="J61" s="17" t="s">
        <v>16</v>
      </c>
    </row>
    <row r="62" s="3" customFormat="1" ht="30" customHeight="1" spans="1:10">
      <c r="A62" s="10" t="s">
        <v>191</v>
      </c>
      <c r="B62" s="11" t="s">
        <v>192</v>
      </c>
      <c r="C62" s="12" t="s">
        <v>193</v>
      </c>
      <c r="D62" s="13" t="s">
        <v>20</v>
      </c>
      <c r="E62" s="14">
        <v>1</v>
      </c>
      <c r="F62" s="18">
        <v>160</v>
      </c>
      <c r="G62" s="18">
        <f t="shared" ref="G62:G72" si="3">F62*E62</f>
        <v>160</v>
      </c>
      <c r="H62" s="18" t="s">
        <v>15</v>
      </c>
      <c r="I62" s="16" t="s">
        <v>191</v>
      </c>
      <c r="J62" s="17" t="s">
        <v>16</v>
      </c>
    </row>
    <row r="63" s="3" customFormat="1" ht="30" customHeight="1" spans="1:10">
      <c r="A63" s="10" t="s">
        <v>191</v>
      </c>
      <c r="B63" s="11" t="s">
        <v>192</v>
      </c>
      <c r="C63" s="12" t="s">
        <v>194</v>
      </c>
      <c r="D63" s="13" t="s">
        <v>20</v>
      </c>
      <c r="E63" s="14">
        <v>24</v>
      </c>
      <c r="F63" s="18">
        <v>45</v>
      </c>
      <c r="G63" s="18">
        <f t="shared" si="3"/>
        <v>1080</v>
      </c>
      <c r="H63" s="18" t="s">
        <v>15</v>
      </c>
      <c r="I63" s="16" t="s">
        <v>191</v>
      </c>
      <c r="J63" s="17" t="s">
        <v>16</v>
      </c>
    </row>
    <row r="64" s="3" customFormat="1" ht="30" customHeight="1" spans="1:10">
      <c r="A64" s="10" t="s">
        <v>195</v>
      </c>
      <c r="B64" s="11" t="s">
        <v>196</v>
      </c>
      <c r="C64" s="12" t="s">
        <v>197</v>
      </c>
      <c r="D64" s="13" t="s">
        <v>20</v>
      </c>
      <c r="E64" s="14">
        <v>1</v>
      </c>
      <c r="F64" s="18">
        <v>85</v>
      </c>
      <c r="G64" s="18">
        <f t="shared" si="3"/>
        <v>85</v>
      </c>
      <c r="H64" s="18" t="s">
        <v>15</v>
      </c>
      <c r="I64" s="16" t="s">
        <v>195</v>
      </c>
      <c r="J64" s="17" t="s">
        <v>16</v>
      </c>
    </row>
    <row r="65" s="3" customFormat="1" ht="30" customHeight="1" spans="1:10">
      <c r="A65" s="10" t="s">
        <v>198</v>
      </c>
      <c r="B65" s="11" t="s">
        <v>199</v>
      </c>
      <c r="C65" s="12" t="s">
        <v>197</v>
      </c>
      <c r="D65" s="13" t="s">
        <v>20</v>
      </c>
      <c r="E65" s="14">
        <v>1</v>
      </c>
      <c r="F65" s="18">
        <v>80</v>
      </c>
      <c r="G65" s="18">
        <f t="shared" si="3"/>
        <v>80</v>
      </c>
      <c r="H65" s="18" t="s">
        <v>15</v>
      </c>
      <c r="I65" s="16" t="s">
        <v>198</v>
      </c>
      <c r="J65" s="17" t="s">
        <v>16</v>
      </c>
    </row>
    <row r="66" s="3" customFormat="1" ht="30" customHeight="1" spans="1:10">
      <c r="A66" s="10" t="s">
        <v>200</v>
      </c>
      <c r="B66" s="11" t="s">
        <v>201</v>
      </c>
      <c r="C66" s="12" t="s">
        <v>197</v>
      </c>
      <c r="D66" s="13" t="s">
        <v>20</v>
      </c>
      <c r="E66" s="14">
        <v>1</v>
      </c>
      <c r="F66" s="18">
        <v>80</v>
      </c>
      <c r="G66" s="18">
        <f t="shared" si="3"/>
        <v>80</v>
      </c>
      <c r="H66" s="18" t="s">
        <v>15</v>
      </c>
      <c r="I66" s="16" t="s">
        <v>200</v>
      </c>
      <c r="J66" s="17" t="s">
        <v>16</v>
      </c>
    </row>
    <row r="67" s="3" customFormat="1" ht="30" customHeight="1" spans="1:10">
      <c r="A67" s="10" t="s">
        <v>202</v>
      </c>
      <c r="B67" s="11" t="s">
        <v>203</v>
      </c>
      <c r="C67" s="11" t="s">
        <v>204</v>
      </c>
      <c r="D67" s="13" t="s">
        <v>24</v>
      </c>
      <c r="E67" s="14">
        <v>1</v>
      </c>
      <c r="F67" s="18">
        <v>74</v>
      </c>
      <c r="G67" s="18">
        <f t="shared" si="3"/>
        <v>74</v>
      </c>
      <c r="H67" s="18" t="s">
        <v>15</v>
      </c>
      <c r="I67" s="16" t="s">
        <v>202</v>
      </c>
      <c r="J67" s="17" t="s">
        <v>16</v>
      </c>
    </row>
    <row r="68" s="3" customFormat="1" ht="30" customHeight="1" spans="1:10">
      <c r="A68" s="10" t="s">
        <v>205</v>
      </c>
      <c r="B68" s="11" t="s">
        <v>206</v>
      </c>
      <c r="C68" s="12" t="s">
        <v>207</v>
      </c>
      <c r="D68" s="13" t="s">
        <v>208</v>
      </c>
      <c r="E68" s="14">
        <v>1</v>
      </c>
      <c r="F68" s="18">
        <v>28.5</v>
      </c>
      <c r="G68" s="18">
        <f t="shared" si="3"/>
        <v>28.5</v>
      </c>
      <c r="H68" s="18" t="s">
        <v>15</v>
      </c>
      <c r="I68" s="16" t="s">
        <v>205</v>
      </c>
      <c r="J68" s="17" t="s">
        <v>16</v>
      </c>
    </row>
    <row r="69" s="3" customFormat="1" ht="30" customHeight="1" spans="1:10">
      <c r="A69" s="10" t="s">
        <v>209</v>
      </c>
      <c r="B69" s="11" t="s">
        <v>210</v>
      </c>
      <c r="C69" s="12" t="s">
        <v>211</v>
      </c>
      <c r="D69" s="13" t="s">
        <v>208</v>
      </c>
      <c r="E69" s="14">
        <v>1</v>
      </c>
      <c r="F69" s="18">
        <v>28.5</v>
      </c>
      <c r="G69" s="18">
        <f t="shared" si="3"/>
        <v>28.5</v>
      </c>
      <c r="H69" s="18" t="s">
        <v>15</v>
      </c>
      <c r="I69" s="16" t="s">
        <v>209</v>
      </c>
      <c r="J69" s="17" t="s">
        <v>16</v>
      </c>
    </row>
    <row r="70" s="3" customFormat="1" ht="30" customHeight="1" spans="1:10">
      <c r="A70" s="10" t="s">
        <v>212</v>
      </c>
      <c r="B70" s="11" t="s">
        <v>213</v>
      </c>
      <c r="C70" s="12" t="s">
        <v>214</v>
      </c>
      <c r="D70" s="13" t="s">
        <v>208</v>
      </c>
      <c r="E70" s="14">
        <v>1</v>
      </c>
      <c r="F70" s="18">
        <v>28.5</v>
      </c>
      <c r="G70" s="18">
        <f t="shared" si="3"/>
        <v>28.5</v>
      </c>
      <c r="H70" s="18" t="s">
        <v>15</v>
      </c>
      <c r="I70" s="16" t="s">
        <v>212</v>
      </c>
      <c r="J70" s="17" t="s">
        <v>16</v>
      </c>
    </row>
    <row r="71" s="3" customFormat="1" ht="30" customHeight="1" spans="1:10">
      <c r="A71" s="10" t="s">
        <v>215</v>
      </c>
      <c r="B71" s="11" t="s">
        <v>216</v>
      </c>
      <c r="C71" s="44" t="s">
        <v>217</v>
      </c>
      <c r="D71" s="13" t="s">
        <v>208</v>
      </c>
      <c r="E71" s="14">
        <v>1</v>
      </c>
      <c r="F71" s="18">
        <v>40</v>
      </c>
      <c r="G71" s="18">
        <f t="shared" si="3"/>
        <v>40</v>
      </c>
      <c r="H71" s="18" t="s">
        <v>15</v>
      </c>
      <c r="I71" s="16" t="s">
        <v>215</v>
      </c>
      <c r="J71" s="17" t="s">
        <v>16</v>
      </c>
    </row>
    <row r="72" s="3" customFormat="1" ht="30" customHeight="1" spans="1:10">
      <c r="A72" s="13">
        <v>52041</v>
      </c>
      <c r="B72" s="11" t="s">
        <v>218</v>
      </c>
      <c r="C72" s="12" t="s">
        <v>219</v>
      </c>
      <c r="D72" s="13" t="s">
        <v>220</v>
      </c>
      <c r="E72" s="14">
        <v>1</v>
      </c>
      <c r="F72" s="18">
        <v>40</v>
      </c>
      <c r="G72" s="18">
        <f t="shared" si="3"/>
        <v>40</v>
      </c>
      <c r="H72" s="18" t="s">
        <v>15</v>
      </c>
      <c r="I72" s="16">
        <v>52041</v>
      </c>
      <c r="J72" s="17" t="s">
        <v>16</v>
      </c>
    </row>
    <row r="73" s="3" customFormat="1" ht="30" customHeight="1" spans="1:10">
      <c r="A73" s="13">
        <v>60001</v>
      </c>
      <c r="B73" s="11" t="s">
        <v>221</v>
      </c>
      <c r="C73" s="12" t="s">
        <v>222</v>
      </c>
      <c r="D73" s="13" t="s">
        <v>24</v>
      </c>
      <c r="E73" s="14">
        <v>24</v>
      </c>
      <c r="F73" s="18">
        <v>4</v>
      </c>
      <c r="G73" s="18">
        <f t="shared" ref="G73:G86" si="4">F73*E73</f>
        <v>96</v>
      </c>
      <c r="H73" s="18" t="s">
        <v>15</v>
      </c>
      <c r="I73" s="16" t="s">
        <v>223</v>
      </c>
      <c r="J73" s="17" t="s">
        <v>16</v>
      </c>
    </row>
    <row r="74" s="3" customFormat="1" ht="30" customHeight="1" spans="1:10">
      <c r="A74" s="13">
        <v>60001</v>
      </c>
      <c r="B74" s="11" t="s">
        <v>221</v>
      </c>
      <c r="C74" s="12" t="s">
        <v>224</v>
      </c>
      <c r="D74" s="13" t="s">
        <v>24</v>
      </c>
      <c r="E74" s="14">
        <v>24</v>
      </c>
      <c r="F74" s="18">
        <v>4.5</v>
      </c>
      <c r="G74" s="18">
        <f t="shared" si="4"/>
        <v>108</v>
      </c>
      <c r="H74" s="18" t="s">
        <v>15</v>
      </c>
      <c r="I74" s="16" t="s">
        <v>223</v>
      </c>
      <c r="J74" s="17" t="s">
        <v>16</v>
      </c>
    </row>
    <row r="75" s="3" customFormat="1" ht="30" customHeight="1" spans="1:10">
      <c r="A75" s="13">
        <v>60001</v>
      </c>
      <c r="B75" s="11" t="s">
        <v>221</v>
      </c>
      <c r="C75" s="12" t="s">
        <v>225</v>
      </c>
      <c r="D75" s="13" t="s">
        <v>24</v>
      </c>
      <c r="E75" s="14">
        <v>24</v>
      </c>
      <c r="F75" s="18">
        <v>5</v>
      </c>
      <c r="G75" s="18">
        <f t="shared" si="4"/>
        <v>120</v>
      </c>
      <c r="H75" s="18" t="s">
        <v>15</v>
      </c>
      <c r="I75" s="16" t="s">
        <v>223</v>
      </c>
      <c r="J75" s="17" t="s">
        <v>16</v>
      </c>
    </row>
    <row r="76" s="3" customFormat="1" ht="30" customHeight="1" spans="1:10">
      <c r="A76" s="13">
        <v>60001</v>
      </c>
      <c r="B76" s="11" t="s">
        <v>221</v>
      </c>
      <c r="C76" s="12" t="s">
        <v>226</v>
      </c>
      <c r="D76" s="13" t="s">
        <v>24</v>
      </c>
      <c r="E76" s="14">
        <v>2</v>
      </c>
      <c r="F76" s="18">
        <v>8</v>
      </c>
      <c r="G76" s="18">
        <f t="shared" si="4"/>
        <v>16</v>
      </c>
      <c r="H76" s="18" t="s">
        <v>15</v>
      </c>
      <c r="I76" s="16" t="s">
        <v>223</v>
      </c>
      <c r="J76" s="17" t="s">
        <v>16</v>
      </c>
    </row>
    <row r="77" s="3" customFormat="1" ht="30" customHeight="1" spans="1:10">
      <c r="A77" s="13">
        <v>60001</v>
      </c>
      <c r="B77" s="11" t="s">
        <v>221</v>
      </c>
      <c r="C77" s="12" t="s">
        <v>227</v>
      </c>
      <c r="D77" s="13" t="s">
        <v>24</v>
      </c>
      <c r="E77" s="14">
        <v>2</v>
      </c>
      <c r="F77" s="18">
        <v>13.5</v>
      </c>
      <c r="G77" s="18">
        <f t="shared" si="4"/>
        <v>27</v>
      </c>
      <c r="H77" s="18" t="s">
        <v>15</v>
      </c>
      <c r="I77" s="16" t="s">
        <v>223</v>
      </c>
      <c r="J77" s="17" t="s">
        <v>16</v>
      </c>
    </row>
    <row r="78" s="3" customFormat="1" ht="30" customHeight="1" spans="1:10">
      <c r="A78" s="13">
        <v>60001</v>
      </c>
      <c r="B78" s="11" t="s">
        <v>221</v>
      </c>
      <c r="C78" s="12" t="s">
        <v>228</v>
      </c>
      <c r="D78" s="13" t="s">
        <v>24</v>
      </c>
      <c r="E78" s="14">
        <v>2</v>
      </c>
      <c r="F78" s="18">
        <v>25</v>
      </c>
      <c r="G78" s="18">
        <f t="shared" si="4"/>
        <v>50</v>
      </c>
      <c r="H78" s="18" t="s">
        <v>15</v>
      </c>
      <c r="I78" s="16" t="s">
        <v>223</v>
      </c>
      <c r="J78" s="17" t="s">
        <v>16</v>
      </c>
    </row>
    <row r="79" s="3" customFormat="1" ht="30" customHeight="1" spans="1:10">
      <c r="A79" s="13" t="s">
        <v>229</v>
      </c>
      <c r="B79" s="11" t="s">
        <v>230</v>
      </c>
      <c r="C79" s="12" t="s">
        <v>67</v>
      </c>
      <c r="D79" s="13" t="s">
        <v>24</v>
      </c>
      <c r="E79" s="14">
        <v>2</v>
      </c>
      <c r="F79" s="18">
        <v>12.5</v>
      </c>
      <c r="G79" s="18">
        <f t="shared" si="4"/>
        <v>25</v>
      </c>
      <c r="H79" s="18" t="s">
        <v>15</v>
      </c>
      <c r="I79" s="16" t="s">
        <v>229</v>
      </c>
      <c r="J79" s="17" t="s">
        <v>16</v>
      </c>
    </row>
    <row r="80" s="3" customFormat="1" ht="30" customHeight="1" spans="1:10">
      <c r="A80" s="13" t="s">
        <v>231</v>
      </c>
      <c r="B80" s="11" t="s">
        <v>232</v>
      </c>
      <c r="C80" s="12" t="s">
        <v>225</v>
      </c>
      <c r="D80" s="13" t="s">
        <v>24</v>
      </c>
      <c r="E80" s="14">
        <v>2</v>
      </c>
      <c r="F80" s="18">
        <v>4.5</v>
      </c>
      <c r="G80" s="18">
        <f t="shared" si="4"/>
        <v>9</v>
      </c>
      <c r="H80" s="18" t="s">
        <v>15</v>
      </c>
      <c r="I80" s="16" t="s">
        <v>231</v>
      </c>
      <c r="J80" s="17" t="s">
        <v>16</v>
      </c>
    </row>
    <row r="81" s="3" customFormat="1" ht="30" customHeight="1" spans="1:10">
      <c r="A81" s="13" t="s">
        <v>231</v>
      </c>
      <c r="B81" s="11" t="s">
        <v>232</v>
      </c>
      <c r="C81" s="12" t="s">
        <v>226</v>
      </c>
      <c r="D81" s="13" t="s">
        <v>24</v>
      </c>
      <c r="E81" s="14">
        <v>24</v>
      </c>
      <c r="F81" s="18">
        <v>5.5</v>
      </c>
      <c r="G81" s="18">
        <f t="shared" si="4"/>
        <v>132</v>
      </c>
      <c r="H81" s="18" t="s">
        <v>15</v>
      </c>
      <c r="I81" s="16" t="s">
        <v>231</v>
      </c>
      <c r="J81" s="17" t="s">
        <v>16</v>
      </c>
    </row>
    <row r="82" s="3" customFormat="1" ht="30" customHeight="1" spans="1:10">
      <c r="A82" s="13" t="s">
        <v>231</v>
      </c>
      <c r="B82" s="11" t="s">
        <v>232</v>
      </c>
      <c r="C82" s="12" t="s">
        <v>67</v>
      </c>
      <c r="D82" s="13" t="s">
        <v>24</v>
      </c>
      <c r="E82" s="14">
        <v>4</v>
      </c>
      <c r="F82" s="18">
        <v>8.5</v>
      </c>
      <c r="G82" s="18">
        <f t="shared" si="4"/>
        <v>34</v>
      </c>
      <c r="H82" s="18" t="s">
        <v>15</v>
      </c>
      <c r="I82" s="16" t="s">
        <v>231</v>
      </c>
      <c r="J82" s="17" t="s">
        <v>16</v>
      </c>
    </row>
    <row r="83" s="3" customFormat="1" ht="30" customHeight="1" spans="1:10">
      <c r="A83" s="13" t="s">
        <v>231</v>
      </c>
      <c r="B83" s="11" t="s">
        <v>232</v>
      </c>
      <c r="C83" s="12" t="s">
        <v>227</v>
      </c>
      <c r="D83" s="13" t="s">
        <v>24</v>
      </c>
      <c r="E83" s="14">
        <v>24</v>
      </c>
      <c r="F83" s="18">
        <v>11</v>
      </c>
      <c r="G83" s="18">
        <f t="shared" si="4"/>
        <v>264</v>
      </c>
      <c r="H83" s="18" t="s">
        <v>15</v>
      </c>
      <c r="I83" s="16" t="s">
        <v>231</v>
      </c>
      <c r="J83" s="17" t="s">
        <v>16</v>
      </c>
    </row>
    <row r="84" s="3" customFormat="1" ht="30" customHeight="1" spans="1:10">
      <c r="A84" s="13" t="s">
        <v>231</v>
      </c>
      <c r="B84" s="11" t="s">
        <v>232</v>
      </c>
      <c r="C84" s="12" t="s">
        <v>228</v>
      </c>
      <c r="D84" s="13" t="s">
        <v>24</v>
      </c>
      <c r="E84" s="14">
        <v>2</v>
      </c>
      <c r="F84" s="18">
        <v>17</v>
      </c>
      <c r="G84" s="18">
        <f t="shared" si="4"/>
        <v>34</v>
      </c>
      <c r="H84" s="18" t="s">
        <v>15</v>
      </c>
      <c r="I84" s="16" t="s">
        <v>231</v>
      </c>
      <c r="J84" s="17" t="s">
        <v>16</v>
      </c>
    </row>
    <row r="85" s="3" customFormat="1" ht="30" customHeight="1" spans="1:10">
      <c r="A85" s="13" t="s">
        <v>233</v>
      </c>
      <c r="B85" s="11" t="s">
        <v>234</v>
      </c>
      <c r="C85" s="12" t="s">
        <v>235</v>
      </c>
      <c r="D85" s="13" t="s">
        <v>82</v>
      </c>
      <c r="E85" s="14">
        <v>24</v>
      </c>
      <c r="F85" s="18">
        <v>12.5</v>
      </c>
      <c r="G85" s="18">
        <f t="shared" si="4"/>
        <v>300</v>
      </c>
      <c r="H85" s="18" t="s">
        <v>15</v>
      </c>
      <c r="I85" s="16" t="s">
        <v>233</v>
      </c>
      <c r="J85" s="17" t="s">
        <v>16</v>
      </c>
    </row>
    <row r="86" s="3" customFormat="1" ht="30" customHeight="1" spans="1:10">
      <c r="A86" s="13" t="s">
        <v>233</v>
      </c>
      <c r="B86" s="11" t="s">
        <v>234</v>
      </c>
      <c r="C86" s="12" t="s">
        <v>236</v>
      </c>
      <c r="D86" s="13" t="s">
        <v>82</v>
      </c>
      <c r="E86" s="14">
        <v>24</v>
      </c>
      <c r="F86" s="18">
        <v>10.25</v>
      </c>
      <c r="G86" s="18">
        <f t="shared" si="4"/>
        <v>246</v>
      </c>
      <c r="H86" s="18" t="s">
        <v>15</v>
      </c>
      <c r="I86" s="16" t="s">
        <v>233</v>
      </c>
      <c r="J86" s="17" t="s">
        <v>16</v>
      </c>
    </row>
    <row r="87" s="3" customFormat="1" ht="30" customHeight="1" spans="1:10">
      <c r="A87" s="13">
        <v>61001</v>
      </c>
      <c r="B87" s="11" t="s">
        <v>237</v>
      </c>
      <c r="C87" s="12" t="s">
        <v>238</v>
      </c>
      <c r="D87" s="13" t="s">
        <v>82</v>
      </c>
      <c r="E87" s="14">
        <v>150</v>
      </c>
      <c r="F87" s="18">
        <v>0.572</v>
      </c>
      <c r="G87" s="18">
        <f t="shared" ref="G87:G113" si="5">F87*E87</f>
        <v>85.8</v>
      </c>
      <c r="H87" s="18" t="s">
        <v>15</v>
      </c>
      <c r="I87" s="16" t="s">
        <v>239</v>
      </c>
      <c r="J87" s="17" t="s">
        <v>16</v>
      </c>
    </row>
    <row r="88" s="3" customFormat="1" ht="30" customHeight="1" spans="1:10">
      <c r="A88" s="13">
        <v>61001</v>
      </c>
      <c r="B88" s="11" t="s">
        <v>237</v>
      </c>
      <c r="C88" s="12" t="s">
        <v>240</v>
      </c>
      <c r="D88" s="13" t="s">
        <v>82</v>
      </c>
      <c r="E88" s="14">
        <v>150</v>
      </c>
      <c r="F88" s="18">
        <v>0.8008</v>
      </c>
      <c r="G88" s="18">
        <f t="shared" si="5"/>
        <v>120.12</v>
      </c>
      <c r="H88" s="18" t="s">
        <v>15</v>
      </c>
      <c r="I88" s="16" t="s">
        <v>239</v>
      </c>
      <c r="J88" s="17" t="s">
        <v>16</v>
      </c>
    </row>
    <row r="89" s="3" customFormat="1" ht="30" customHeight="1" spans="1:10">
      <c r="A89" s="13">
        <v>61001</v>
      </c>
      <c r="B89" s="11" t="s">
        <v>237</v>
      </c>
      <c r="C89" s="12" t="s">
        <v>241</v>
      </c>
      <c r="D89" s="13" t="s">
        <v>82</v>
      </c>
      <c r="E89" s="14">
        <v>100</v>
      </c>
      <c r="F89" s="18">
        <v>1.1</v>
      </c>
      <c r="G89" s="18">
        <f t="shared" si="5"/>
        <v>110</v>
      </c>
      <c r="H89" s="18" t="s">
        <v>15</v>
      </c>
      <c r="I89" s="16" t="s">
        <v>239</v>
      </c>
      <c r="J89" s="17" t="s">
        <v>16</v>
      </c>
    </row>
    <row r="90" s="3" customFormat="1" ht="30" customHeight="1" spans="1:10">
      <c r="A90" s="13">
        <v>61001</v>
      </c>
      <c r="B90" s="11" t="s">
        <v>237</v>
      </c>
      <c r="C90" s="12" t="s">
        <v>242</v>
      </c>
      <c r="D90" s="13" t="s">
        <v>82</v>
      </c>
      <c r="E90" s="14">
        <v>150</v>
      </c>
      <c r="F90" s="18">
        <v>1.7</v>
      </c>
      <c r="G90" s="18">
        <f t="shared" si="5"/>
        <v>255</v>
      </c>
      <c r="H90" s="18" t="s">
        <v>15</v>
      </c>
      <c r="I90" s="16" t="s">
        <v>239</v>
      </c>
      <c r="J90" s="17" t="s">
        <v>16</v>
      </c>
    </row>
    <row r="91" s="3" customFormat="1" ht="30" customHeight="1" spans="1:10">
      <c r="A91" s="13">
        <v>61001</v>
      </c>
      <c r="B91" s="11" t="s">
        <v>237</v>
      </c>
      <c r="C91" s="12" t="s">
        <v>243</v>
      </c>
      <c r="D91" s="13" t="s">
        <v>82</v>
      </c>
      <c r="E91" s="14">
        <v>30</v>
      </c>
      <c r="F91" s="18">
        <v>2.25</v>
      </c>
      <c r="G91" s="18">
        <f t="shared" si="5"/>
        <v>67.5</v>
      </c>
      <c r="H91" s="18" t="s">
        <v>15</v>
      </c>
      <c r="I91" s="16" t="s">
        <v>239</v>
      </c>
      <c r="J91" s="17" t="s">
        <v>16</v>
      </c>
    </row>
    <row r="92" s="3" customFormat="1" ht="30" customHeight="1" spans="1:10">
      <c r="A92" s="13">
        <v>61001</v>
      </c>
      <c r="B92" s="11" t="s">
        <v>237</v>
      </c>
      <c r="C92" s="12" t="s">
        <v>244</v>
      </c>
      <c r="D92" s="13" t="s">
        <v>82</v>
      </c>
      <c r="E92" s="14">
        <v>30</v>
      </c>
      <c r="F92" s="18">
        <v>2.9</v>
      </c>
      <c r="G92" s="18">
        <f t="shared" si="5"/>
        <v>87</v>
      </c>
      <c r="H92" s="18" t="s">
        <v>15</v>
      </c>
      <c r="I92" s="16" t="s">
        <v>239</v>
      </c>
      <c r="J92" s="17" t="s">
        <v>16</v>
      </c>
    </row>
    <row r="93" s="3" customFormat="1" ht="30" customHeight="1" spans="1:10">
      <c r="A93" s="13" t="s">
        <v>245</v>
      </c>
      <c r="B93" s="11" t="s">
        <v>246</v>
      </c>
      <c r="C93" s="12" t="s">
        <v>241</v>
      </c>
      <c r="D93" s="13" t="s">
        <v>82</v>
      </c>
      <c r="E93" s="14">
        <v>20</v>
      </c>
      <c r="F93" s="18">
        <v>2.3</v>
      </c>
      <c r="G93" s="18">
        <f t="shared" si="5"/>
        <v>46</v>
      </c>
      <c r="H93" s="18" t="s">
        <v>15</v>
      </c>
      <c r="I93" s="16" t="s">
        <v>245</v>
      </c>
      <c r="J93" s="17" t="s">
        <v>16</v>
      </c>
    </row>
    <row r="94" s="3" customFormat="1" ht="30" customHeight="1" spans="1:10">
      <c r="A94" s="13" t="s">
        <v>245</v>
      </c>
      <c r="B94" s="11" t="s">
        <v>246</v>
      </c>
      <c r="C94" s="12" t="s">
        <v>242</v>
      </c>
      <c r="D94" s="13" t="s">
        <v>82</v>
      </c>
      <c r="E94" s="14">
        <v>20</v>
      </c>
      <c r="F94" s="18">
        <v>2.3</v>
      </c>
      <c r="G94" s="18">
        <f t="shared" si="5"/>
        <v>46</v>
      </c>
      <c r="H94" s="18" t="s">
        <v>15</v>
      </c>
      <c r="I94" s="16" t="s">
        <v>245</v>
      </c>
      <c r="J94" s="17" t="s">
        <v>16</v>
      </c>
    </row>
    <row r="95" s="3" customFormat="1" ht="30" customHeight="1" spans="1:10">
      <c r="A95" s="13" t="s">
        <v>247</v>
      </c>
      <c r="B95" s="11" t="s">
        <v>248</v>
      </c>
      <c r="C95" s="12" t="s">
        <v>240</v>
      </c>
      <c r="D95" s="13" t="s">
        <v>82</v>
      </c>
      <c r="E95" s="14">
        <v>30</v>
      </c>
      <c r="F95" s="18">
        <v>2.3</v>
      </c>
      <c r="G95" s="18">
        <f t="shared" si="5"/>
        <v>69</v>
      </c>
      <c r="H95" s="18" t="s">
        <v>15</v>
      </c>
      <c r="I95" s="16" t="s">
        <v>247</v>
      </c>
      <c r="J95" s="17" t="s">
        <v>16</v>
      </c>
    </row>
    <row r="96" s="3" customFormat="1" ht="30" customHeight="1" spans="1:10">
      <c r="A96" s="13" t="s">
        <v>247</v>
      </c>
      <c r="B96" s="11" t="s">
        <v>248</v>
      </c>
      <c r="C96" s="12" t="s">
        <v>249</v>
      </c>
      <c r="D96" s="13" t="s">
        <v>82</v>
      </c>
      <c r="E96" s="14">
        <v>10</v>
      </c>
      <c r="F96" s="18">
        <v>2.3</v>
      </c>
      <c r="G96" s="18">
        <f t="shared" si="5"/>
        <v>23</v>
      </c>
      <c r="H96" s="18" t="s">
        <v>15</v>
      </c>
      <c r="I96" s="16" t="s">
        <v>247</v>
      </c>
      <c r="J96" s="17" t="s">
        <v>16</v>
      </c>
    </row>
    <row r="97" s="3" customFormat="1" ht="30" customHeight="1" spans="1:10">
      <c r="A97" s="13" t="s">
        <v>250</v>
      </c>
      <c r="B97" s="11" t="s">
        <v>251</v>
      </c>
      <c r="C97" s="12" t="s">
        <v>252</v>
      </c>
      <c r="D97" s="13" t="s">
        <v>82</v>
      </c>
      <c r="E97" s="14">
        <v>2</v>
      </c>
      <c r="F97" s="18">
        <v>2.75</v>
      </c>
      <c r="G97" s="18">
        <f t="shared" si="5"/>
        <v>5.5</v>
      </c>
      <c r="H97" s="18" t="s">
        <v>15</v>
      </c>
      <c r="I97" s="16" t="s">
        <v>250</v>
      </c>
      <c r="J97" s="17" t="s">
        <v>16</v>
      </c>
    </row>
    <row r="98" s="3" customFormat="1" ht="30" customHeight="1" spans="1:10">
      <c r="A98" s="13" t="s">
        <v>253</v>
      </c>
      <c r="B98" s="11" t="s">
        <v>254</v>
      </c>
      <c r="C98" s="12" t="s">
        <v>255</v>
      </c>
      <c r="D98" s="13" t="s">
        <v>82</v>
      </c>
      <c r="E98" s="14">
        <v>3</v>
      </c>
      <c r="F98" s="18">
        <v>6.3</v>
      </c>
      <c r="G98" s="18">
        <f t="shared" si="5"/>
        <v>18.9</v>
      </c>
      <c r="H98" s="18" t="s">
        <v>15</v>
      </c>
      <c r="I98" s="16" t="s">
        <v>253</v>
      </c>
      <c r="J98" s="17" t="s">
        <v>16</v>
      </c>
    </row>
    <row r="99" s="3" customFormat="1" ht="30" customHeight="1" spans="1:10">
      <c r="A99" s="13" t="s">
        <v>256</v>
      </c>
      <c r="B99" s="11" t="s">
        <v>257</v>
      </c>
      <c r="C99" s="12" t="s">
        <v>258</v>
      </c>
      <c r="D99" s="13" t="s">
        <v>24</v>
      </c>
      <c r="E99" s="14">
        <v>24</v>
      </c>
      <c r="F99" s="18">
        <v>2.3</v>
      </c>
      <c r="G99" s="18">
        <f t="shared" si="5"/>
        <v>55.2</v>
      </c>
      <c r="H99" s="18" t="s">
        <v>15</v>
      </c>
      <c r="I99" s="16" t="s">
        <v>256</v>
      </c>
      <c r="J99" s="17" t="s">
        <v>16</v>
      </c>
    </row>
    <row r="100" s="3" customFormat="1" ht="30" customHeight="1" spans="1:10">
      <c r="A100" s="13" t="s">
        <v>256</v>
      </c>
      <c r="B100" s="11" t="s">
        <v>257</v>
      </c>
      <c r="C100" s="12" t="s">
        <v>222</v>
      </c>
      <c r="D100" s="13" t="s">
        <v>24</v>
      </c>
      <c r="E100" s="14">
        <v>24</v>
      </c>
      <c r="F100" s="18">
        <v>2.3</v>
      </c>
      <c r="G100" s="18">
        <f t="shared" si="5"/>
        <v>55.2</v>
      </c>
      <c r="H100" s="18" t="s">
        <v>15</v>
      </c>
      <c r="I100" s="16" t="s">
        <v>256</v>
      </c>
      <c r="J100" s="17" t="s">
        <v>16</v>
      </c>
    </row>
    <row r="101" s="3" customFormat="1" ht="30" customHeight="1" spans="1:10">
      <c r="A101" s="13" t="s">
        <v>256</v>
      </c>
      <c r="B101" s="11" t="s">
        <v>257</v>
      </c>
      <c r="C101" s="12" t="s">
        <v>224</v>
      </c>
      <c r="D101" s="13" t="s">
        <v>24</v>
      </c>
      <c r="E101" s="14">
        <v>24</v>
      </c>
      <c r="F101" s="18">
        <v>2.75</v>
      </c>
      <c r="G101" s="18">
        <f t="shared" si="5"/>
        <v>66</v>
      </c>
      <c r="H101" s="18" t="s">
        <v>15</v>
      </c>
      <c r="I101" s="16" t="s">
        <v>256</v>
      </c>
      <c r="J101" s="17" t="s">
        <v>16</v>
      </c>
    </row>
    <row r="102" s="3" customFormat="1" ht="30" customHeight="1" spans="1:10">
      <c r="A102" s="13" t="s">
        <v>256</v>
      </c>
      <c r="B102" s="11" t="s">
        <v>257</v>
      </c>
      <c r="C102" s="12" t="s">
        <v>225</v>
      </c>
      <c r="D102" s="13" t="s">
        <v>24</v>
      </c>
      <c r="E102" s="14">
        <v>24</v>
      </c>
      <c r="F102" s="18">
        <v>3.4</v>
      </c>
      <c r="G102" s="18">
        <f t="shared" si="5"/>
        <v>81.6</v>
      </c>
      <c r="H102" s="18" t="s">
        <v>15</v>
      </c>
      <c r="I102" s="16" t="s">
        <v>256</v>
      </c>
      <c r="J102" s="17" t="s">
        <v>16</v>
      </c>
    </row>
    <row r="103" s="3" customFormat="1" ht="30" customHeight="1" spans="1:10">
      <c r="A103" s="13" t="s">
        <v>256</v>
      </c>
      <c r="B103" s="11" t="s">
        <v>257</v>
      </c>
      <c r="C103" s="12" t="s">
        <v>226</v>
      </c>
      <c r="D103" s="13" t="s">
        <v>24</v>
      </c>
      <c r="E103" s="14">
        <v>24</v>
      </c>
      <c r="F103" s="18">
        <v>4</v>
      </c>
      <c r="G103" s="18">
        <f t="shared" si="5"/>
        <v>96</v>
      </c>
      <c r="H103" s="18" t="s">
        <v>15</v>
      </c>
      <c r="I103" s="16" t="s">
        <v>256</v>
      </c>
      <c r="J103" s="17" t="s">
        <v>16</v>
      </c>
    </row>
    <row r="104" s="3" customFormat="1" ht="30" customHeight="1" spans="1:10">
      <c r="A104" s="13" t="s">
        <v>256</v>
      </c>
      <c r="B104" s="11" t="s">
        <v>257</v>
      </c>
      <c r="C104" s="12" t="s">
        <v>67</v>
      </c>
      <c r="D104" s="13" t="s">
        <v>24</v>
      </c>
      <c r="E104" s="14">
        <v>24</v>
      </c>
      <c r="F104" s="18">
        <v>5.5</v>
      </c>
      <c r="G104" s="18">
        <f t="shared" si="5"/>
        <v>132</v>
      </c>
      <c r="H104" s="18" t="s">
        <v>15</v>
      </c>
      <c r="I104" s="16" t="s">
        <v>256</v>
      </c>
      <c r="J104" s="17" t="s">
        <v>16</v>
      </c>
    </row>
    <row r="105" s="3" customFormat="1" ht="30" customHeight="1" spans="1:10">
      <c r="A105" s="13" t="s">
        <v>256</v>
      </c>
      <c r="B105" s="11" t="s">
        <v>257</v>
      </c>
      <c r="C105" s="12" t="s">
        <v>227</v>
      </c>
      <c r="D105" s="13" t="s">
        <v>24</v>
      </c>
      <c r="E105" s="14">
        <v>24</v>
      </c>
      <c r="F105" s="18">
        <v>9</v>
      </c>
      <c r="G105" s="18">
        <f t="shared" si="5"/>
        <v>216</v>
      </c>
      <c r="H105" s="18" t="s">
        <v>15</v>
      </c>
      <c r="I105" s="16" t="s">
        <v>256</v>
      </c>
      <c r="J105" s="17" t="s">
        <v>16</v>
      </c>
    </row>
    <row r="106" s="3" customFormat="1" ht="30" customHeight="1" spans="1:10">
      <c r="A106" s="13" t="s">
        <v>256</v>
      </c>
      <c r="B106" s="11" t="s">
        <v>257</v>
      </c>
      <c r="C106" s="12" t="s">
        <v>228</v>
      </c>
      <c r="D106" s="13" t="s">
        <v>24</v>
      </c>
      <c r="E106" s="14">
        <v>4</v>
      </c>
      <c r="F106" s="18">
        <v>13.5</v>
      </c>
      <c r="G106" s="18">
        <f t="shared" si="5"/>
        <v>54</v>
      </c>
      <c r="H106" s="18" t="s">
        <v>15</v>
      </c>
      <c r="I106" s="16" t="s">
        <v>256</v>
      </c>
      <c r="J106" s="17" t="s">
        <v>16</v>
      </c>
    </row>
    <row r="107" s="3" customFormat="1" ht="30" customHeight="1" spans="1:10">
      <c r="A107" s="13" t="s">
        <v>259</v>
      </c>
      <c r="B107" s="11" t="s">
        <v>260</v>
      </c>
      <c r="C107" s="12" t="s">
        <v>261</v>
      </c>
      <c r="D107" s="13" t="s">
        <v>24</v>
      </c>
      <c r="E107" s="14">
        <v>24</v>
      </c>
      <c r="F107" s="18">
        <v>14.75</v>
      </c>
      <c r="G107" s="18">
        <f t="shared" si="5"/>
        <v>354</v>
      </c>
      <c r="H107" s="18" t="s">
        <v>15</v>
      </c>
      <c r="I107" s="16" t="s">
        <v>259</v>
      </c>
      <c r="J107" s="17" t="s">
        <v>16</v>
      </c>
    </row>
    <row r="108" s="3" customFormat="1" ht="30" customHeight="1" spans="1:10">
      <c r="A108" s="13" t="s">
        <v>259</v>
      </c>
      <c r="B108" s="11" t="s">
        <v>260</v>
      </c>
      <c r="C108" s="12" t="s">
        <v>262</v>
      </c>
      <c r="D108" s="13" t="s">
        <v>24</v>
      </c>
      <c r="E108" s="14">
        <v>24</v>
      </c>
      <c r="F108" s="18">
        <v>17</v>
      </c>
      <c r="G108" s="18">
        <f t="shared" si="5"/>
        <v>408</v>
      </c>
      <c r="H108" s="18" t="s">
        <v>15</v>
      </c>
      <c r="I108" s="16" t="s">
        <v>259</v>
      </c>
      <c r="J108" s="17" t="s">
        <v>16</v>
      </c>
    </row>
    <row r="109" s="3" customFormat="1" ht="30" customHeight="1" spans="1:10">
      <c r="A109" s="13" t="s">
        <v>259</v>
      </c>
      <c r="B109" s="11" t="s">
        <v>260</v>
      </c>
      <c r="C109" s="12" t="s">
        <v>263</v>
      </c>
      <c r="D109" s="13" t="s">
        <v>24</v>
      </c>
      <c r="E109" s="14">
        <v>24</v>
      </c>
      <c r="F109" s="18">
        <v>17</v>
      </c>
      <c r="G109" s="18">
        <f t="shared" si="5"/>
        <v>408</v>
      </c>
      <c r="H109" s="18" t="s">
        <v>15</v>
      </c>
      <c r="I109" s="16" t="s">
        <v>259</v>
      </c>
      <c r="J109" s="17" t="s">
        <v>16</v>
      </c>
    </row>
    <row r="110" s="3" customFormat="1" ht="30" customHeight="1" spans="1:10">
      <c r="A110" s="13" t="s">
        <v>259</v>
      </c>
      <c r="B110" s="11" t="s">
        <v>260</v>
      </c>
      <c r="C110" s="12" t="s">
        <v>264</v>
      </c>
      <c r="D110" s="13" t="s">
        <v>24</v>
      </c>
      <c r="E110" s="14">
        <v>5</v>
      </c>
      <c r="F110" s="18">
        <v>14.75</v>
      </c>
      <c r="G110" s="18">
        <f t="shared" si="5"/>
        <v>73.75</v>
      </c>
      <c r="H110" s="18" t="s">
        <v>15</v>
      </c>
      <c r="I110" s="16" t="s">
        <v>259</v>
      </c>
      <c r="J110" s="17" t="s">
        <v>16</v>
      </c>
    </row>
    <row r="111" s="3" customFormat="1" ht="30" customHeight="1" spans="1:10">
      <c r="A111" s="13" t="s">
        <v>265</v>
      </c>
      <c r="B111" s="11" t="s">
        <v>266</v>
      </c>
      <c r="C111" s="12" t="s">
        <v>226</v>
      </c>
      <c r="D111" s="13" t="s">
        <v>24</v>
      </c>
      <c r="E111" s="14">
        <v>24</v>
      </c>
      <c r="F111" s="18">
        <v>6.75</v>
      </c>
      <c r="G111" s="18">
        <f t="shared" si="5"/>
        <v>162</v>
      </c>
      <c r="H111" s="18" t="s">
        <v>15</v>
      </c>
      <c r="I111" s="16" t="s">
        <v>265</v>
      </c>
      <c r="J111" s="17" t="s">
        <v>16</v>
      </c>
    </row>
    <row r="112" s="3" customFormat="1" ht="30" customHeight="1" spans="1:10">
      <c r="A112" s="13" t="s">
        <v>265</v>
      </c>
      <c r="B112" s="11" t="s">
        <v>266</v>
      </c>
      <c r="C112" s="12" t="s">
        <v>67</v>
      </c>
      <c r="D112" s="13" t="s">
        <v>24</v>
      </c>
      <c r="E112" s="14">
        <v>14</v>
      </c>
      <c r="F112" s="18">
        <v>9</v>
      </c>
      <c r="G112" s="18">
        <f t="shared" si="5"/>
        <v>126</v>
      </c>
      <c r="H112" s="18" t="s">
        <v>15</v>
      </c>
      <c r="I112" s="16" t="s">
        <v>265</v>
      </c>
      <c r="J112" s="17" t="s">
        <v>16</v>
      </c>
    </row>
    <row r="113" s="3" customFormat="1" ht="30" customHeight="1" spans="1:10">
      <c r="A113" s="13" t="s">
        <v>267</v>
      </c>
      <c r="B113" s="11" t="s">
        <v>268</v>
      </c>
      <c r="C113" s="12" t="s">
        <v>67</v>
      </c>
      <c r="D113" s="13" t="s">
        <v>24</v>
      </c>
      <c r="E113" s="14">
        <v>24</v>
      </c>
      <c r="F113" s="18">
        <v>10.25</v>
      </c>
      <c r="G113" s="18">
        <f t="shared" si="5"/>
        <v>246</v>
      </c>
      <c r="H113" s="18" t="s">
        <v>15</v>
      </c>
      <c r="I113" s="16" t="s">
        <v>267</v>
      </c>
      <c r="J113" s="17" t="s">
        <v>16</v>
      </c>
    </row>
    <row r="114" s="3" customFormat="1" ht="30" customHeight="1" spans="1:10">
      <c r="A114" s="13">
        <v>62001</v>
      </c>
      <c r="B114" s="11" t="s">
        <v>269</v>
      </c>
      <c r="C114" s="12" t="s">
        <v>270</v>
      </c>
      <c r="D114" s="13" t="s">
        <v>24</v>
      </c>
      <c r="E114" s="14">
        <v>24</v>
      </c>
      <c r="F114" s="18">
        <v>2.75</v>
      </c>
      <c r="G114" s="18">
        <f t="shared" ref="G114:G145" si="6">F114*E114</f>
        <v>66</v>
      </c>
      <c r="H114" s="18" t="s">
        <v>15</v>
      </c>
      <c r="I114" s="16" t="s">
        <v>271</v>
      </c>
      <c r="J114" s="17" t="s">
        <v>16</v>
      </c>
    </row>
    <row r="115" s="3" customFormat="1" ht="30" customHeight="1" spans="1:10">
      <c r="A115" s="13">
        <v>62001</v>
      </c>
      <c r="B115" s="11" t="s">
        <v>269</v>
      </c>
      <c r="C115" s="12" t="s">
        <v>272</v>
      </c>
      <c r="D115" s="13" t="s">
        <v>24</v>
      </c>
      <c r="E115" s="14">
        <v>2</v>
      </c>
      <c r="F115" s="18">
        <v>4.5</v>
      </c>
      <c r="G115" s="18">
        <f t="shared" si="6"/>
        <v>9</v>
      </c>
      <c r="H115" s="18" t="s">
        <v>15</v>
      </c>
      <c r="I115" s="16" t="s">
        <v>271</v>
      </c>
      <c r="J115" s="17" t="s">
        <v>16</v>
      </c>
    </row>
    <row r="116" s="3" customFormat="1" ht="30" customHeight="1" spans="1:10">
      <c r="A116" s="13">
        <v>62001</v>
      </c>
      <c r="B116" s="11" t="s">
        <v>269</v>
      </c>
      <c r="C116" s="12" t="s">
        <v>273</v>
      </c>
      <c r="D116" s="13" t="s">
        <v>24</v>
      </c>
      <c r="E116" s="14">
        <v>2</v>
      </c>
      <c r="F116" s="18">
        <v>16</v>
      </c>
      <c r="G116" s="18">
        <f t="shared" si="6"/>
        <v>32</v>
      </c>
      <c r="H116" s="18" t="s">
        <v>15</v>
      </c>
      <c r="I116" s="16" t="s">
        <v>271</v>
      </c>
      <c r="J116" s="17" t="s">
        <v>16</v>
      </c>
    </row>
    <row r="117" s="3" customFormat="1" ht="30" customHeight="1" spans="1:10">
      <c r="A117" s="13" t="s">
        <v>274</v>
      </c>
      <c r="B117" s="11" t="s">
        <v>275</v>
      </c>
      <c r="C117" s="12" t="s">
        <v>67</v>
      </c>
      <c r="D117" s="13" t="s">
        <v>24</v>
      </c>
      <c r="E117" s="14">
        <v>2</v>
      </c>
      <c r="F117" s="18">
        <v>29.5</v>
      </c>
      <c r="G117" s="18">
        <f t="shared" si="6"/>
        <v>59</v>
      </c>
      <c r="H117" s="18" t="s">
        <v>15</v>
      </c>
      <c r="I117" s="16">
        <v>62002</v>
      </c>
      <c r="J117" s="17" t="s">
        <v>16</v>
      </c>
    </row>
    <row r="118" s="3" customFormat="1" ht="30" customHeight="1" spans="1:10">
      <c r="A118" s="13" t="s">
        <v>276</v>
      </c>
      <c r="B118" s="11" t="s">
        <v>277</v>
      </c>
      <c r="C118" s="12" t="s">
        <v>67</v>
      </c>
      <c r="D118" s="13" t="s">
        <v>24</v>
      </c>
      <c r="E118" s="14">
        <v>2</v>
      </c>
      <c r="F118" s="18">
        <v>18.25</v>
      </c>
      <c r="G118" s="18">
        <f t="shared" si="6"/>
        <v>36.5</v>
      </c>
      <c r="H118" s="18" t="s">
        <v>15</v>
      </c>
      <c r="I118" s="16" t="s">
        <v>276</v>
      </c>
      <c r="J118" s="17" t="s">
        <v>16</v>
      </c>
    </row>
    <row r="119" s="3" customFormat="1" ht="30" customHeight="1" spans="1:10">
      <c r="A119" s="13" t="s">
        <v>278</v>
      </c>
      <c r="B119" s="11" t="s">
        <v>279</v>
      </c>
      <c r="C119" s="12" t="s">
        <v>227</v>
      </c>
      <c r="D119" s="13" t="s">
        <v>24</v>
      </c>
      <c r="E119" s="14">
        <v>2</v>
      </c>
      <c r="F119" s="18">
        <v>18.25</v>
      </c>
      <c r="G119" s="18">
        <f t="shared" si="6"/>
        <v>36.5</v>
      </c>
      <c r="H119" s="18" t="s">
        <v>15</v>
      </c>
      <c r="I119" s="16">
        <v>62004</v>
      </c>
      <c r="J119" s="17" t="s">
        <v>16</v>
      </c>
    </row>
    <row r="120" s="3" customFormat="1" ht="30" customHeight="1" spans="1:10">
      <c r="A120" s="13">
        <v>62005</v>
      </c>
      <c r="B120" s="11" t="s">
        <v>280</v>
      </c>
      <c r="C120" s="79" t="s">
        <v>281</v>
      </c>
      <c r="D120" s="13" t="s">
        <v>24</v>
      </c>
      <c r="E120" s="14">
        <v>2</v>
      </c>
      <c r="F120" s="18">
        <v>13.5</v>
      </c>
      <c r="G120" s="18">
        <f t="shared" si="6"/>
        <v>27</v>
      </c>
      <c r="H120" s="18" t="s">
        <v>15</v>
      </c>
      <c r="I120" s="16">
        <v>62005</v>
      </c>
      <c r="J120" s="17" t="s">
        <v>16</v>
      </c>
    </row>
    <row r="121" s="3" customFormat="1" ht="30" customHeight="1" spans="1:10">
      <c r="A121" s="13" t="s">
        <v>282</v>
      </c>
      <c r="B121" s="11" t="s">
        <v>283</v>
      </c>
      <c r="C121" s="12" t="s">
        <v>284</v>
      </c>
      <c r="D121" s="13" t="s">
        <v>24</v>
      </c>
      <c r="E121" s="14">
        <v>4</v>
      </c>
      <c r="F121" s="18">
        <v>28.5</v>
      </c>
      <c r="G121" s="18">
        <f t="shared" si="6"/>
        <v>114</v>
      </c>
      <c r="H121" s="18" t="s">
        <v>15</v>
      </c>
      <c r="I121" s="16" t="s">
        <v>282</v>
      </c>
      <c r="J121" s="17" t="s">
        <v>16</v>
      </c>
    </row>
    <row r="122" s="3" customFormat="1" ht="30" customHeight="1" spans="1:10">
      <c r="A122" s="13" t="s">
        <v>285</v>
      </c>
      <c r="B122" s="11" t="s">
        <v>286</v>
      </c>
      <c r="C122" s="12" t="s">
        <v>67</v>
      </c>
      <c r="D122" s="13" t="s">
        <v>24</v>
      </c>
      <c r="E122" s="14">
        <v>4</v>
      </c>
      <c r="F122" s="18">
        <v>77.5</v>
      </c>
      <c r="G122" s="18">
        <f t="shared" si="6"/>
        <v>310</v>
      </c>
      <c r="H122" s="18" t="s">
        <v>15</v>
      </c>
      <c r="I122" s="16" t="s">
        <v>285</v>
      </c>
      <c r="J122" s="17" t="s">
        <v>16</v>
      </c>
    </row>
    <row r="123" s="3" customFormat="1" ht="30" customHeight="1" spans="1:10">
      <c r="A123" s="13" t="s">
        <v>287</v>
      </c>
      <c r="B123" s="11" t="s">
        <v>288</v>
      </c>
      <c r="C123" s="12" t="s">
        <v>289</v>
      </c>
      <c r="D123" s="13" t="s">
        <v>82</v>
      </c>
      <c r="E123" s="14">
        <v>24</v>
      </c>
      <c r="F123" s="18">
        <v>11</v>
      </c>
      <c r="G123" s="18">
        <f t="shared" si="6"/>
        <v>264</v>
      </c>
      <c r="H123" s="18" t="s">
        <v>15</v>
      </c>
      <c r="I123" s="16" t="s">
        <v>287</v>
      </c>
      <c r="J123" s="17" t="s">
        <v>16</v>
      </c>
    </row>
    <row r="124" s="3" customFormat="1" ht="30" customHeight="1" spans="1:10">
      <c r="A124" s="13" t="s">
        <v>287</v>
      </c>
      <c r="B124" s="11" t="s">
        <v>288</v>
      </c>
      <c r="C124" s="12" t="s">
        <v>290</v>
      </c>
      <c r="D124" s="13" t="s">
        <v>82</v>
      </c>
      <c r="E124" s="14">
        <v>1</v>
      </c>
      <c r="F124" s="18">
        <v>18.25</v>
      </c>
      <c r="G124" s="18">
        <f t="shared" si="6"/>
        <v>18.25</v>
      </c>
      <c r="H124" s="18" t="s">
        <v>15</v>
      </c>
      <c r="I124" s="16" t="s">
        <v>287</v>
      </c>
      <c r="J124" s="17" t="s">
        <v>16</v>
      </c>
    </row>
    <row r="125" s="3" customFormat="1" ht="30" customHeight="1" spans="1:10">
      <c r="A125" s="13" t="s">
        <v>291</v>
      </c>
      <c r="B125" s="11" t="s">
        <v>292</v>
      </c>
      <c r="C125" s="12" t="s">
        <v>293</v>
      </c>
      <c r="D125" s="13" t="s">
        <v>82</v>
      </c>
      <c r="E125" s="14">
        <v>24</v>
      </c>
      <c r="F125" s="18">
        <v>3</v>
      </c>
      <c r="G125" s="18">
        <f t="shared" si="6"/>
        <v>72</v>
      </c>
      <c r="H125" s="18" t="s">
        <v>15</v>
      </c>
      <c r="I125" s="16" t="s">
        <v>291</v>
      </c>
      <c r="J125" s="17" t="s">
        <v>16</v>
      </c>
    </row>
    <row r="126" s="3" customFormat="1" ht="30" customHeight="1" spans="1:10">
      <c r="A126" s="13" t="s">
        <v>294</v>
      </c>
      <c r="B126" s="11" t="s">
        <v>295</v>
      </c>
      <c r="C126" s="12" t="s">
        <v>296</v>
      </c>
      <c r="D126" s="13" t="s">
        <v>24</v>
      </c>
      <c r="E126" s="14">
        <v>24</v>
      </c>
      <c r="F126" s="18">
        <v>4.5</v>
      </c>
      <c r="G126" s="18">
        <f t="shared" si="6"/>
        <v>108</v>
      </c>
      <c r="H126" s="18" t="s">
        <v>15</v>
      </c>
      <c r="I126" s="16" t="s">
        <v>294</v>
      </c>
      <c r="J126" s="17" t="s">
        <v>16</v>
      </c>
    </row>
    <row r="127" s="3" customFormat="1" ht="30" customHeight="1" spans="1:10">
      <c r="A127" s="13" t="s">
        <v>294</v>
      </c>
      <c r="B127" s="11" t="s">
        <v>295</v>
      </c>
      <c r="C127" s="12" t="s">
        <v>297</v>
      </c>
      <c r="D127" s="13" t="s">
        <v>24</v>
      </c>
      <c r="E127" s="14">
        <v>6</v>
      </c>
      <c r="F127" s="18">
        <v>6.75</v>
      </c>
      <c r="G127" s="18">
        <f t="shared" si="6"/>
        <v>40.5</v>
      </c>
      <c r="H127" s="18" t="s">
        <v>15</v>
      </c>
      <c r="I127" s="16" t="s">
        <v>294</v>
      </c>
      <c r="J127" s="17" t="s">
        <v>16</v>
      </c>
    </row>
    <row r="128" s="3" customFormat="1" ht="30" customHeight="1" spans="1:10">
      <c r="A128" s="13" t="s">
        <v>298</v>
      </c>
      <c r="B128" s="11" t="s">
        <v>299</v>
      </c>
      <c r="C128" s="12" t="s">
        <v>300</v>
      </c>
      <c r="D128" s="13" t="s">
        <v>24</v>
      </c>
      <c r="E128" s="14">
        <v>5</v>
      </c>
      <c r="F128" s="18">
        <v>5.5</v>
      </c>
      <c r="G128" s="18">
        <f t="shared" si="6"/>
        <v>27.5</v>
      </c>
      <c r="H128" s="18" t="s">
        <v>15</v>
      </c>
      <c r="I128" s="16" t="s">
        <v>298</v>
      </c>
      <c r="J128" s="17" t="s">
        <v>16</v>
      </c>
    </row>
    <row r="129" s="3" customFormat="1" ht="30" customHeight="1" spans="1:10">
      <c r="A129" s="13" t="s">
        <v>298</v>
      </c>
      <c r="B129" s="11" t="s">
        <v>299</v>
      </c>
      <c r="C129" s="12" t="s">
        <v>301</v>
      </c>
      <c r="D129" s="13" t="s">
        <v>24</v>
      </c>
      <c r="E129" s="14">
        <v>2</v>
      </c>
      <c r="F129" s="18">
        <v>8</v>
      </c>
      <c r="G129" s="18">
        <f t="shared" si="6"/>
        <v>16</v>
      </c>
      <c r="H129" s="18" t="s">
        <v>15</v>
      </c>
      <c r="I129" s="16" t="s">
        <v>298</v>
      </c>
      <c r="J129" s="17" t="s">
        <v>16</v>
      </c>
    </row>
    <row r="130" s="3" customFormat="1" ht="30" customHeight="1" spans="1:10">
      <c r="A130" s="13" t="s">
        <v>302</v>
      </c>
      <c r="B130" s="11" t="s">
        <v>303</v>
      </c>
      <c r="C130" s="12" t="s">
        <v>304</v>
      </c>
      <c r="D130" s="13" t="s">
        <v>24</v>
      </c>
      <c r="E130" s="14">
        <v>24</v>
      </c>
      <c r="F130" s="18">
        <v>18</v>
      </c>
      <c r="G130" s="18">
        <f t="shared" si="6"/>
        <v>432</v>
      </c>
      <c r="H130" s="18" t="s">
        <v>15</v>
      </c>
      <c r="I130" s="16" t="s">
        <v>302</v>
      </c>
      <c r="J130" s="17" t="s">
        <v>16</v>
      </c>
    </row>
    <row r="131" s="3" customFormat="1" ht="30" customHeight="1" spans="1:10">
      <c r="A131" s="13" t="s">
        <v>302</v>
      </c>
      <c r="B131" s="11" t="s">
        <v>303</v>
      </c>
      <c r="C131" s="12" t="s">
        <v>305</v>
      </c>
      <c r="D131" s="13" t="s">
        <v>24</v>
      </c>
      <c r="E131" s="14">
        <v>24</v>
      </c>
      <c r="F131" s="18">
        <v>16</v>
      </c>
      <c r="G131" s="18">
        <f t="shared" si="6"/>
        <v>384</v>
      </c>
      <c r="H131" s="18" t="s">
        <v>15</v>
      </c>
      <c r="I131" s="16" t="s">
        <v>302</v>
      </c>
      <c r="J131" s="17" t="s">
        <v>16</v>
      </c>
    </row>
    <row r="132" s="3" customFormat="1" ht="30" customHeight="1" spans="1:10">
      <c r="A132" s="13" t="s">
        <v>306</v>
      </c>
      <c r="B132" s="11" t="s">
        <v>307</v>
      </c>
      <c r="C132" s="12" t="s">
        <v>308</v>
      </c>
      <c r="D132" s="13" t="s">
        <v>24</v>
      </c>
      <c r="E132" s="14">
        <v>2</v>
      </c>
      <c r="F132" s="18">
        <v>11</v>
      </c>
      <c r="G132" s="18">
        <f t="shared" si="6"/>
        <v>22</v>
      </c>
      <c r="H132" s="18" t="s">
        <v>15</v>
      </c>
      <c r="I132" s="16">
        <v>62039</v>
      </c>
      <c r="J132" s="17" t="s">
        <v>16</v>
      </c>
    </row>
    <row r="133" s="3" customFormat="1" ht="30" customHeight="1" spans="1:10">
      <c r="A133" s="13" t="s">
        <v>309</v>
      </c>
      <c r="B133" s="11" t="s">
        <v>310</v>
      </c>
      <c r="C133" s="12" t="s">
        <v>311</v>
      </c>
      <c r="D133" s="13" t="s">
        <v>24</v>
      </c>
      <c r="E133" s="14">
        <v>24</v>
      </c>
      <c r="F133" s="18">
        <v>2.3</v>
      </c>
      <c r="G133" s="18">
        <f t="shared" si="6"/>
        <v>55.2</v>
      </c>
      <c r="H133" s="18" t="s">
        <v>15</v>
      </c>
      <c r="I133" s="13" t="s">
        <v>309</v>
      </c>
      <c r="J133" s="17" t="s">
        <v>16</v>
      </c>
    </row>
    <row r="134" s="3" customFormat="1" ht="30" customHeight="1" spans="1:10">
      <c r="A134" s="13" t="s">
        <v>312</v>
      </c>
      <c r="B134" s="11" t="s">
        <v>313</v>
      </c>
      <c r="C134" s="12" t="s">
        <v>311</v>
      </c>
      <c r="D134" s="13" t="s">
        <v>24</v>
      </c>
      <c r="E134" s="14">
        <v>24</v>
      </c>
      <c r="F134" s="18">
        <v>2.3</v>
      </c>
      <c r="G134" s="18">
        <f t="shared" si="6"/>
        <v>55.2</v>
      </c>
      <c r="H134" s="18" t="s">
        <v>15</v>
      </c>
      <c r="I134" s="16">
        <v>62072</v>
      </c>
      <c r="J134" s="17" t="s">
        <v>16</v>
      </c>
    </row>
    <row r="135" s="3" customFormat="1" ht="30" customHeight="1" spans="1:10">
      <c r="A135" s="13" t="s">
        <v>314</v>
      </c>
      <c r="B135" s="11" t="s">
        <v>315</v>
      </c>
      <c r="C135" s="12" t="s">
        <v>222</v>
      </c>
      <c r="D135" s="13" t="s">
        <v>82</v>
      </c>
      <c r="E135" s="14">
        <v>10</v>
      </c>
      <c r="F135" s="18">
        <v>1.7</v>
      </c>
      <c r="G135" s="18">
        <f t="shared" si="6"/>
        <v>17</v>
      </c>
      <c r="H135" s="18" t="s">
        <v>15</v>
      </c>
      <c r="I135" s="16">
        <v>62074</v>
      </c>
      <c r="J135" s="17" t="s">
        <v>16</v>
      </c>
    </row>
    <row r="136" s="3" customFormat="1" ht="30" customHeight="1" spans="1:10">
      <c r="A136" s="13" t="s">
        <v>316</v>
      </c>
      <c r="B136" s="11" t="s">
        <v>317</v>
      </c>
      <c r="C136" s="12" t="s">
        <v>318</v>
      </c>
      <c r="D136" s="13" t="s">
        <v>82</v>
      </c>
      <c r="E136" s="14">
        <v>24</v>
      </c>
      <c r="F136" s="18">
        <v>2.85</v>
      </c>
      <c r="G136" s="18">
        <f t="shared" si="6"/>
        <v>68.4</v>
      </c>
      <c r="H136" s="18" t="s">
        <v>15</v>
      </c>
      <c r="I136" s="16" t="s">
        <v>316</v>
      </c>
      <c r="J136" s="17" t="s">
        <v>16</v>
      </c>
    </row>
    <row r="137" s="3" customFormat="1" ht="30" customHeight="1" spans="1:10">
      <c r="A137" s="13" t="s">
        <v>316</v>
      </c>
      <c r="B137" s="11" t="s">
        <v>317</v>
      </c>
      <c r="C137" s="12" t="s">
        <v>319</v>
      </c>
      <c r="D137" s="13" t="s">
        <v>82</v>
      </c>
      <c r="E137" s="14">
        <v>24</v>
      </c>
      <c r="F137" s="18">
        <v>2.85</v>
      </c>
      <c r="G137" s="18">
        <f t="shared" si="6"/>
        <v>68.4</v>
      </c>
      <c r="H137" s="18" t="s">
        <v>15</v>
      </c>
      <c r="I137" s="16" t="s">
        <v>316</v>
      </c>
      <c r="J137" s="17" t="s">
        <v>16</v>
      </c>
    </row>
    <row r="138" s="3" customFormat="1" ht="30" customHeight="1" spans="1:10">
      <c r="A138" s="13" t="s">
        <v>316</v>
      </c>
      <c r="B138" s="11" t="s">
        <v>317</v>
      </c>
      <c r="C138" s="12" t="s">
        <v>320</v>
      </c>
      <c r="D138" s="13" t="s">
        <v>82</v>
      </c>
      <c r="E138" s="14">
        <v>3</v>
      </c>
      <c r="F138" s="18">
        <v>4.5</v>
      </c>
      <c r="G138" s="18">
        <f t="shared" si="6"/>
        <v>13.5</v>
      </c>
      <c r="H138" s="18" t="s">
        <v>15</v>
      </c>
      <c r="I138" s="16" t="s">
        <v>316</v>
      </c>
      <c r="J138" s="17" t="s">
        <v>16</v>
      </c>
    </row>
    <row r="139" s="3" customFormat="1" ht="30" customHeight="1" spans="1:10">
      <c r="A139" s="13" t="s">
        <v>316</v>
      </c>
      <c r="B139" s="11" t="s">
        <v>317</v>
      </c>
      <c r="C139" s="12" t="s">
        <v>321</v>
      </c>
      <c r="D139" s="13" t="s">
        <v>82</v>
      </c>
      <c r="E139" s="14">
        <v>3</v>
      </c>
      <c r="F139" s="18">
        <v>4.5</v>
      </c>
      <c r="G139" s="18">
        <f t="shared" si="6"/>
        <v>13.5</v>
      </c>
      <c r="H139" s="18" t="s">
        <v>15</v>
      </c>
      <c r="I139" s="16" t="s">
        <v>316</v>
      </c>
      <c r="J139" s="17" t="s">
        <v>16</v>
      </c>
    </row>
    <row r="140" s="3" customFormat="1" ht="30" customHeight="1" spans="1:10">
      <c r="A140" s="13" t="s">
        <v>322</v>
      </c>
      <c r="B140" s="11" t="s">
        <v>323</v>
      </c>
      <c r="C140" s="12" t="s">
        <v>300</v>
      </c>
      <c r="D140" s="13" t="s">
        <v>82</v>
      </c>
      <c r="E140" s="14">
        <v>5</v>
      </c>
      <c r="F140" s="18">
        <v>8</v>
      </c>
      <c r="G140" s="18">
        <f t="shared" si="6"/>
        <v>40</v>
      </c>
      <c r="H140" s="18" t="s">
        <v>15</v>
      </c>
      <c r="I140" s="16" t="s">
        <v>322</v>
      </c>
      <c r="J140" s="17" t="s">
        <v>16</v>
      </c>
    </row>
    <row r="141" s="3" customFormat="1" ht="30" customHeight="1" spans="1:10">
      <c r="A141" s="13" t="s">
        <v>322</v>
      </c>
      <c r="B141" s="11" t="s">
        <v>323</v>
      </c>
      <c r="C141" s="12" t="s">
        <v>324</v>
      </c>
      <c r="D141" s="13" t="s">
        <v>82</v>
      </c>
      <c r="E141" s="14">
        <v>2</v>
      </c>
      <c r="F141" s="18">
        <v>15.25</v>
      </c>
      <c r="G141" s="18">
        <f t="shared" si="6"/>
        <v>30.5</v>
      </c>
      <c r="H141" s="18" t="s">
        <v>15</v>
      </c>
      <c r="I141" s="16" t="s">
        <v>322</v>
      </c>
      <c r="J141" s="17" t="s">
        <v>16</v>
      </c>
    </row>
    <row r="142" s="3" customFormat="1" ht="30" customHeight="1" spans="1:10">
      <c r="A142" s="13" t="s">
        <v>325</v>
      </c>
      <c r="B142" s="11" t="s">
        <v>326</v>
      </c>
      <c r="C142" s="12" t="s">
        <v>327</v>
      </c>
      <c r="D142" s="13" t="s">
        <v>24</v>
      </c>
      <c r="E142" s="14">
        <v>4</v>
      </c>
      <c r="F142" s="18">
        <v>16</v>
      </c>
      <c r="G142" s="18">
        <f t="shared" si="6"/>
        <v>64</v>
      </c>
      <c r="H142" s="18" t="s">
        <v>15</v>
      </c>
      <c r="I142" s="16" t="s">
        <v>325</v>
      </c>
      <c r="J142" s="17" t="s">
        <v>16</v>
      </c>
    </row>
    <row r="143" s="3" customFormat="1" ht="30" customHeight="1" spans="1:10">
      <c r="A143" s="13" t="s">
        <v>325</v>
      </c>
      <c r="B143" s="11" t="s">
        <v>326</v>
      </c>
      <c r="C143" s="12" t="s">
        <v>328</v>
      </c>
      <c r="D143" s="13" t="s">
        <v>24</v>
      </c>
      <c r="E143" s="14">
        <v>4</v>
      </c>
      <c r="F143" s="18">
        <v>18.25</v>
      </c>
      <c r="G143" s="18">
        <f t="shared" si="6"/>
        <v>73</v>
      </c>
      <c r="H143" s="18" t="s">
        <v>15</v>
      </c>
      <c r="I143" s="16" t="s">
        <v>325</v>
      </c>
      <c r="J143" s="17" t="s">
        <v>16</v>
      </c>
    </row>
    <row r="144" s="3" customFormat="1" ht="30" customHeight="1" spans="1:10">
      <c r="A144" s="13" t="s">
        <v>329</v>
      </c>
      <c r="B144" s="11" t="s">
        <v>330</v>
      </c>
      <c r="C144" s="12" t="s">
        <v>331</v>
      </c>
      <c r="D144" s="13" t="s">
        <v>24</v>
      </c>
      <c r="E144" s="14">
        <v>2</v>
      </c>
      <c r="F144" s="18">
        <v>36</v>
      </c>
      <c r="G144" s="18">
        <f t="shared" si="6"/>
        <v>72</v>
      </c>
      <c r="H144" s="18" t="s">
        <v>15</v>
      </c>
      <c r="I144" s="16" t="s">
        <v>329</v>
      </c>
      <c r="J144" s="17" t="s">
        <v>16</v>
      </c>
    </row>
    <row r="145" s="3" customFormat="1" ht="30" customHeight="1" spans="1:10">
      <c r="A145" s="13" t="s">
        <v>332</v>
      </c>
      <c r="B145" s="11" t="s">
        <v>333</v>
      </c>
      <c r="C145" s="12"/>
      <c r="D145" s="13" t="s">
        <v>24</v>
      </c>
      <c r="E145" s="14">
        <v>24</v>
      </c>
      <c r="F145" s="18">
        <v>4.5</v>
      </c>
      <c r="G145" s="18">
        <f t="shared" si="6"/>
        <v>108</v>
      </c>
      <c r="H145" s="18" t="s">
        <v>15</v>
      </c>
      <c r="I145" s="16">
        <v>62095</v>
      </c>
      <c r="J145" s="17" t="s">
        <v>16</v>
      </c>
    </row>
    <row r="146" s="3" customFormat="1" ht="30" customHeight="1" spans="1:10">
      <c r="A146" s="13">
        <v>63002</v>
      </c>
      <c r="B146" s="11" t="s">
        <v>334</v>
      </c>
      <c r="C146" s="12" t="s">
        <v>335</v>
      </c>
      <c r="D146" s="13" t="s">
        <v>24</v>
      </c>
      <c r="E146" s="14">
        <v>48</v>
      </c>
      <c r="F146" s="18">
        <v>3.4</v>
      </c>
      <c r="G146" s="18">
        <f t="shared" ref="G146:G173" si="7">F146*E146</f>
        <v>163.2</v>
      </c>
      <c r="H146" s="18" t="s">
        <v>15</v>
      </c>
      <c r="I146" s="16" t="s">
        <v>336</v>
      </c>
      <c r="J146" s="17" t="s">
        <v>16</v>
      </c>
    </row>
    <row r="147" s="3" customFormat="1" ht="30" customHeight="1" spans="1:10">
      <c r="A147" s="13" t="s">
        <v>336</v>
      </c>
      <c r="B147" s="11" t="s">
        <v>334</v>
      </c>
      <c r="C147" s="12" t="s">
        <v>337</v>
      </c>
      <c r="D147" s="13" t="s">
        <v>24</v>
      </c>
      <c r="E147" s="14">
        <v>20</v>
      </c>
      <c r="F147" s="18">
        <v>4.5</v>
      </c>
      <c r="G147" s="18">
        <f t="shared" si="7"/>
        <v>90</v>
      </c>
      <c r="H147" s="18" t="s">
        <v>15</v>
      </c>
      <c r="I147" s="16" t="s">
        <v>336</v>
      </c>
      <c r="J147" s="17" t="s">
        <v>16</v>
      </c>
    </row>
    <row r="148" s="3" customFormat="1" ht="30" customHeight="1" spans="1:10">
      <c r="A148" s="13" t="s">
        <v>336</v>
      </c>
      <c r="B148" s="11" t="s">
        <v>334</v>
      </c>
      <c r="C148" s="12" t="s">
        <v>338</v>
      </c>
      <c r="D148" s="13" t="s">
        <v>24</v>
      </c>
      <c r="E148" s="14">
        <v>5</v>
      </c>
      <c r="F148" s="18">
        <v>5</v>
      </c>
      <c r="G148" s="18">
        <f t="shared" si="7"/>
        <v>25</v>
      </c>
      <c r="H148" s="18" t="s">
        <v>15</v>
      </c>
      <c r="I148" s="16" t="s">
        <v>336</v>
      </c>
      <c r="J148" s="17" t="s">
        <v>16</v>
      </c>
    </row>
    <row r="149" s="3" customFormat="1" ht="30" customHeight="1" spans="1:10">
      <c r="A149" s="13" t="s">
        <v>339</v>
      </c>
      <c r="B149" s="11" t="s">
        <v>340</v>
      </c>
      <c r="C149" s="12" t="s">
        <v>67</v>
      </c>
      <c r="D149" s="13" t="s">
        <v>24</v>
      </c>
      <c r="E149" s="14">
        <v>5</v>
      </c>
      <c r="F149" s="18">
        <v>19.25</v>
      </c>
      <c r="G149" s="18">
        <f t="shared" si="7"/>
        <v>96.25</v>
      </c>
      <c r="H149" s="18" t="s">
        <v>15</v>
      </c>
      <c r="I149" s="16" t="s">
        <v>339</v>
      </c>
      <c r="J149" s="17" t="s">
        <v>16</v>
      </c>
    </row>
    <row r="150" s="3" customFormat="1" ht="30" customHeight="1" spans="1:10">
      <c r="A150" s="13" t="s">
        <v>341</v>
      </c>
      <c r="B150" s="11" t="s">
        <v>342</v>
      </c>
      <c r="C150" s="12" t="s">
        <v>343</v>
      </c>
      <c r="D150" s="13" t="s">
        <v>24</v>
      </c>
      <c r="E150" s="14">
        <v>100</v>
      </c>
      <c r="F150" s="18">
        <v>2.75</v>
      </c>
      <c r="G150" s="18">
        <f t="shared" si="7"/>
        <v>275</v>
      </c>
      <c r="H150" s="18" t="s">
        <v>15</v>
      </c>
      <c r="I150" s="16" t="s">
        <v>341</v>
      </c>
      <c r="J150" s="17" t="s">
        <v>16</v>
      </c>
    </row>
    <row r="151" s="3" customFormat="1" ht="30" customHeight="1" spans="1:10">
      <c r="A151" s="13" t="s">
        <v>341</v>
      </c>
      <c r="B151" s="11" t="s">
        <v>342</v>
      </c>
      <c r="C151" s="12" t="s">
        <v>344</v>
      </c>
      <c r="D151" s="13" t="s">
        <v>24</v>
      </c>
      <c r="E151" s="14">
        <v>48</v>
      </c>
      <c r="F151" s="18">
        <v>4</v>
      </c>
      <c r="G151" s="18">
        <f t="shared" si="7"/>
        <v>192</v>
      </c>
      <c r="H151" s="18" t="s">
        <v>15</v>
      </c>
      <c r="I151" s="16" t="s">
        <v>341</v>
      </c>
      <c r="J151" s="17" t="s">
        <v>16</v>
      </c>
    </row>
    <row r="152" s="3" customFormat="1" ht="30" customHeight="1" spans="1:10">
      <c r="A152" s="13" t="s">
        <v>341</v>
      </c>
      <c r="B152" s="11" t="s">
        <v>342</v>
      </c>
      <c r="C152" s="12" t="s">
        <v>67</v>
      </c>
      <c r="D152" s="13" t="s">
        <v>24</v>
      </c>
      <c r="E152" s="14">
        <v>48</v>
      </c>
      <c r="F152" s="18">
        <v>5</v>
      </c>
      <c r="G152" s="18">
        <f t="shared" si="7"/>
        <v>240</v>
      </c>
      <c r="H152" s="18" t="s">
        <v>15</v>
      </c>
      <c r="I152" s="16" t="s">
        <v>341</v>
      </c>
      <c r="J152" s="17" t="s">
        <v>16</v>
      </c>
    </row>
    <row r="153" s="3" customFormat="1" ht="30" customHeight="1" spans="1:10">
      <c r="A153" s="13" t="s">
        <v>341</v>
      </c>
      <c r="B153" s="11" t="s">
        <v>342</v>
      </c>
      <c r="C153" s="12" t="s">
        <v>227</v>
      </c>
      <c r="D153" s="13" t="s">
        <v>24</v>
      </c>
      <c r="E153" s="14">
        <v>5</v>
      </c>
      <c r="F153" s="18">
        <v>6.75</v>
      </c>
      <c r="G153" s="18">
        <f t="shared" si="7"/>
        <v>33.75</v>
      </c>
      <c r="H153" s="18" t="s">
        <v>15</v>
      </c>
      <c r="I153" s="16" t="s">
        <v>341</v>
      </c>
      <c r="J153" s="17" t="s">
        <v>16</v>
      </c>
    </row>
    <row r="154" s="3" customFormat="1" ht="30" customHeight="1" spans="1:10">
      <c r="A154" s="13" t="s">
        <v>341</v>
      </c>
      <c r="B154" s="11" t="s">
        <v>342</v>
      </c>
      <c r="C154" s="12" t="s">
        <v>345</v>
      </c>
      <c r="D154" s="13" t="s">
        <v>24</v>
      </c>
      <c r="E154" s="14">
        <v>48</v>
      </c>
      <c r="F154" s="18">
        <v>3.4</v>
      </c>
      <c r="G154" s="18">
        <f t="shared" si="7"/>
        <v>163.2</v>
      </c>
      <c r="H154" s="18" t="s">
        <v>15</v>
      </c>
      <c r="I154" s="16" t="s">
        <v>341</v>
      </c>
      <c r="J154" s="17" t="s">
        <v>16</v>
      </c>
    </row>
    <row r="155" s="3" customFormat="1" ht="30" customHeight="1" spans="1:10">
      <c r="A155" s="13" t="s">
        <v>341</v>
      </c>
      <c r="B155" s="11" t="s">
        <v>342</v>
      </c>
      <c r="C155" s="12" t="s">
        <v>346</v>
      </c>
      <c r="D155" s="13" t="s">
        <v>24</v>
      </c>
      <c r="E155" s="14">
        <v>20</v>
      </c>
      <c r="F155" s="18">
        <v>4.5</v>
      </c>
      <c r="G155" s="18">
        <f t="shared" si="7"/>
        <v>90</v>
      </c>
      <c r="H155" s="18" t="s">
        <v>15</v>
      </c>
      <c r="I155" s="16" t="s">
        <v>341</v>
      </c>
      <c r="J155" s="17" t="s">
        <v>16</v>
      </c>
    </row>
    <row r="156" s="3" customFormat="1" ht="30" customHeight="1" spans="1:10">
      <c r="A156" s="13" t="s">
        <v>341</v>
      </c>
      <c r="B156" s="11" t="s">
        <v>342</v>
      </c>
      <c r="C156" s="12" t="s">
        <v>347</v>
      </c>
      <c r="D156" s="13" t="s">
        <v>24</v>
      </c>
      <c r="E156" s="14">
        <v>20</v>
      </c>
      <c r="F156" s="18">
        <v>5.7</v>
      </c>
      <c r="G156" s="18">
        <f t="shared" si="7"/>
        <v>114</v>
      </c>
      <c r="H156" s="18" t="s">
        <v>15</v>
      </c>
      <c r="I156" s="16" t="s">
        <v>341</v>
      </c>
      <c r="J156" s="17" t="s">
        <v>16</v>
      </c>
    </row>
    <row r="157" s="3" customFormat="1" ht="30" customHeight="1" spans="1:10">
      <c r="A157" s="13" t="s">
        <v>348</v>
      </c>
      <c r="B157" s="11" t="s">
        <v>349</v>
      </c>
      <c r="C157" s="12" t="s">
        <v>343</v>
      </c>
      <c r="D157" s="13" t="s">
        <v>24</v>
      </c>
      <c r="E157" s="14">
        <v>50</v>
      </c>
      <c r="F157" s="18">
        <v>2.75</v>
      </c>
      <c r="G157" s="18">
        <f t="shared" si="7"/>
        <v>137.5</v>
      </c>
      <c r="H157" s="18" t="s">
        <v>15</v>
      </c>
      <c r="I157" s="16" t="s">
        <v>348</v>
      </c>
      <c r="J157" s="17" t="s">
        <v>16</v>
      </c>
    </row>
    <row r="158" s="3" customFormat="1" ht="30" customHeight="1" spans="1:10">
      <c r="A158" s="13" t="s">
        <v>348</v>
      </c>
      <c r="B158" s="11" t="s">
        <v>349</v>
      </c>
      <c r="C158" s="12" t="s">
        <v>344</v>
      </c>
      <c r="D158" s="13" t="s">
        <v>24</v>
      </c>
      <c r="E158" s="14">
        <v>100</v>
      </c>
      <c r="F158" s="18">
        <v>4</v>
      </c>
      <c r="G158" s="18">
        <f t="shared" si="7"/>
        <v>400</v>
      </c>
      <c r="H158" s="18" t="s">
        <v>15</v>
      </c>
      <c r="I158" s="16" t="s">
        <v>348</v>
      </c>
      <c r="J158" s="17" t="s">
        <v>16</v>
      </c>
    </row>
    <row r="159" s="3" customFormat="1" ht="30" customHeight="1" spans="1:10">
      <c r="A159" s="13" t="s">
        <v>348</v>
      </c>
      <c r="B159" s="11" t="s">
        <v>349</v>
      </c>
      <c r="C159" s="12" t="s">
        <v>67</v>
      </c>
      <c r="D159" s="13" t="s">
        <v>24</v>
      </c>
      <c r="E159" s="14">
        <v>50</v>
      </c>
      <c r="F159" s="18">
        <v>5</v>
      </c>
      <c r="G159" s="18">
        <f t="shared" si="7"/>
        <v>250</v>
      </c>
      <c r="H159" s="18" t="s">
        <v>15</v>
      </c>
      <c r="I159" s="16" t="s">
        <v>348</v>
      </c>
      <c r="J159" s="17" t="s">
        <v>16</v>
      </c>
    </row>
    <row r="160" s="3" customFormat="1" ht="30" customHeight="1" spans="1:10">
      <c r="A160" s="13" t="s">
        <v>348</v>
      </c>
      <c r="B160" s="11" t="s">
        <v>349</v>
      </c>
      <c r="C160" s="12" t="s">
        <v>227</v>
      </c>
      <c r="D160" s="13" t="s">
        <v>24</v>
      </c>
      <c r="E160" s="14">
        <v>15</v>
      </c>
      <c r="F160" s="18">
        <v>6.75</v>
      </c>
      <c r="G160" s="18">
        <f t="shared" si="7"/>
        <v>101.25</v>
      </c>
      <c r="H160" s="18" t="s">
        <v>15</v>
      </c>
      <c r="I160" s="16" t="s">
        <v>348</v>
      </c>
      <c r="J160" s="17" t="s">
        <v>16</v>
      </c>
    </row>
    <row r="161" s="3" customFormat="1" ht="30" customHeight="1" spans="1:10">
      <c r="A161" s="13" t="s">
        <v>348</v>
      </c>
      <c r="B161" s="11" t="s">
        <v>349</v>
      </c>
      <c r="C161" s="12" t="s">
        <v>228</v>
      </c>
      <c r="D161" s="13" t="s">
        <v>24</v>
      </c>
      <c r="E161" s="14">
        <v>15</v>
      </c>
      <c r="F161" s="18">
        <v>11.25</v>
      </c>
      <c r="G161" s="18">
        <f t="shared" si="7"/>
        <v>168.75</v>
      </c>
      <c r="H161" s="18" t="s">
        <v>15</v>
      </c>
      <c r="I161" s="16" t="s">
        <v>348</v>
      </c>
      <c r="J161" s="17" t="s">
        <v>16</v>
      </c>
    </row>
    <row r="162" s="3" customFormat="1" ht="30" customHeight="1" spans="1:10">
      <c r="A162" s="13" t="s">
        <v>348</v>
      </c>
      <c r="B162" s="11" t="s">
        <v>349</v>
      </c>
      <c r="C162" s="12" t="s">
        <v>350</v>
      </c>
      <c r="D162" s="13" t="s">
        <v>24</v>
      </c>
      <c r="E162" s="14">
        <v>2</v>
      </c>
      <c r="F162" s="18">
        <v>20</v>
      </c>
      <c r="G162" s="18">
        <f t="shared" si="7"/>
        <v>40</v>
      </c>
      <c r="H162" s="18" t="s">
        <v>15</v>
      </c>
      <c r="I162" s="16" t="s">
        <v>348</v>
      </c>
      <c r="J162" s="17" t="s">
        <v>16</v>
      </c>
    </row>
    <row r="163" s="3" customFormat="1" ht="30" customHeight="1" spans="1:10">
      <c r="A163" s="13" t="s">
        <v>348</v>
      </c>
      <c r="B163" s="11" t="s">
        <v>349</v>
      </c>
      <c r="C163" s="12" t="s">
        <v>345</v>
      </c>
      <c r="D163" s="13" t="s">
        <v>24</v>
      </c>
      <c r="E163" s="14">
        <v>50</v>
      </c>
      <c r="F163" s="18">
        <v>3.4</v>
      </c>
      <c r="G163" s="18">
        <f t="shared" si="7"/>
        <v>170</v>
      </c>
      <c r="H163" s="18" t="s">
        <v>15</v>
      </c>
      <c r="I163" s="16" t="s">
        <v>348</v>
      </c>
      <c r="J163" s="17" t="s">
        <v>16</v>
      </c>
    </row>
    <row r="164" s="3" customFormat="1" ht="30" customHeight="1" spans="1:10">
      <c r="A164" s="13" t="s">
        <v>348</v>
      </c>
      <c r="B164" s="11" t="s">
        <v>349</v>
      </c>
      <c r="C164" s="12" t="s">
        <v>346</v>
      </c>
      <c r="D164" s="13" t="s">
        <v>24</v>
      </c>
      <c r="E164" s="14">
        <v>50</v>
      </c>
      <c r="F164" s="18">
        <v>5</v>
      </c>
      <c r="G164" s="18">
        <f t="shared" si="7"/>
        <v>250</v>
      </c>
      <c r="H164" s="18" t="s">
        <v>15</v>
      </c>
      <c r="I164" s="16" t="s">
        <v>348</v>
      </c>
      <c r="J164" s="17" t="s">
        <v>16</v>
      </c>
    </row>
    <row r="165" s="3" customFormat="1" ht="30" customHeight="1" spans="1:10">
      <c r="A165" s="13" t="s">
        <v>348</v>
      </c>
      <c r="B165" s="11" t="s">
        <v>349</v>
      </c>
      <c r="C165" s="12" t="s">
        <v>347</v>
      </c>
      <c r="D165" s="13" t="s">
        <v>24</v>
      </c>
      <c r="E165" s="14">
        <v>14</v>
      </c>
      <c r="F165" s="18">
        <v>5.5</v>
      </c>
      <c r="G165" s="18">
        <f t="shared" si="7"/>
        <v>77</v>
      </c>
      <c r="H165" s="18" t="s">
        <v>15</v>
      </c>
      <c r="I165" s="16" t="s">
        <v>348</v>
      </c>
      <c r="J165" s="17" t="s">
        <v>16</v>
      </c>
    </row>
    <row r="166" s="3" customFormat="1" ht="30" customHeight="1" spans="1:10">
      <c r="A166" s="13" t="s">
        <v>348</v>
      </c>
      <c r="B166" s="11" t="s">
        <v>349</v>
      </c>
      <c r="C166" s="12" t="s">
        <v>351</v>
      </c>
      <c r="D166" s="13" t="s">
        <v>24</v>
      </c>
      <c r="E166" s="14">
        <v>2</v>
      </c>
      <c r="F166" s="18">
        <v>7.25</v>
      </c>
      <c r="G166" s="18">
        <f t="shared" si="7"/>
        <v>14.5</v>
      </c>
      <c r="H166" s="18" t="s">
        <v>15</v>
      </c>
      <c r="I166" s="16" t="s">
        <v>348</v>
      </c>
      <c r="J166" s="17" t="s">
        <v>16</v>
      </c>
    </row>
    <row r="167" s="3" customFormat="1" ht="30" customHeight="1" spans="1:10">
      <c r="A167" s="13" t="s">
        <v>348</v>
      </c>
      <c r="B167" s="11" t="s">
        <v>349</v>
      </c>
      <c r="C167" s="12" t="s">
        <v>352</v>
      </c>
      <c r="D167" s="13" t="s">
        <v>24</v>
      </c>
      <c r="E167" s="14">
        <v>1</v>
      </c>
      <c r="F167" s="18">
        <v>12.5</v>
      </c>
      <c r="G167" s="18">
        <f t="shared" si="7"/>
        <v>12.5</v>
      </c>
      <c r="H167" s="18" t="s">
        <v>15</v>
      </c>
      <c r="I167" s="16" t="s">
        <v>348</v>
      </c>
      <c r="J167" s="17" t="s">
        <v>16</v>
      </c>
    </row>
    <row r="168" s="3" customFormat="1" ht="30" customHeight="1" spans="1:10">
      <c r="A168" s="13" t="s">
        <v>348</v>
      </c>
      <c r="B168" s="11" t="s">
        <v>349</v>
      </c>
      <c r="C168" s="12" t="s">
        <v>353</v>
      </c>
      <c r="D168" s="13" t="s">
        <v>24</v>
      </c>
      <c r="E168" s="14">
        <v>1</v>
      </c>
      <c r="F168" s="18">
        <v>29.5</v>
      </c>
      <c r="G168" s="18">
        <f t="shared" si="7"/>
        <v>29.5</v>
      </c>
      <c r="H168" s="18" t="s">
        <v>15</v>
      </c>
      <c r="I168" s="16" t="s">
        <v>348</v>
      </c>
      <c r="J168" s="17" t="s">
        <v>16</v>
      </c>
    </row>
    <row r="169" s="3" customFormat="1" ht="30" customHeight="1" spans="1:10">
      <c r="A169" s="13" t="s">
        <v>354</v>
      </c>
      <c r="B169" s="11" t="s">
        <v>355</v>
      </c>
      <c r="C169" s="12" t="s">
        <v>356</v>
      </c>
      <c r="D169" s="13" t="s">
        <v>24</v>
      </c>
      <c r="E169" s="14">
        <v>2</v>
      </c>
      <c r="F169" s="18">
        <v>160</v>
      </c>
      <c r="G169" s="18">
        <f t="shared" si="7"/>
        <v>320</v>
      </c>
      <c r="H169" s="18" t="s">
        <v>15</v>
      </c>
      <c r="I169" s="16">
        <v>63037</v>
      </c>
      <c r="J169" s="17" t="s">
        <v>16</v>
      </c>
    </row>
    <row r="170" s="3" customFormat="1" ht="30" customHeight="1" spans="1:10">
      <c r="A170" s="13" t="s">
        <v>357</v>
      </c>
      <c r="B170" s="11" t="s">
        <v>358</v>
      </c>
      <c r="C170" s="12" t="s">
        <v>359</v>
      </c>
      <c r="D170" s="13" t="s">
        <v>24</v>
      </c>
      <c r="E170" s="14">
        <v>48</v>
      </c>
      <c r="F170" s="18">
        <v>3.4</v>
      </c>
      <c r="G170" s="18">
        <f t="shared" si="7"/>
        <v>163.2</v>
      </c>
      <c r="H170" s="18" t="s">
        <v>15</v>
      </c>
      <c r="I170" s="16" t="s">
        <v>357</v>
      </c>
      <c r="J170" s="17" t="s">
        <v>16</v>
      </c>
    </row>
    <row r="171" s="3" customFormat="1" ht="30" customHeight="1" spans="1:10">
      <c r="A171" s="13" t="s">
        <v>357</v>
      </c>
      <c r="B171" s="11" t="s">
        <v>358</v>
      </c>
      <c r="C171" s="12" t="s">
        <v>343</v>
      </c>
      <c r="D171" s="13" t="s">
        <v>24</v>
      </c>
      <c r="E171" s="14">
        <v>100</v>
      </c>
      <c r="F171" s="18">
        <v>4.3</v>
      </c>
      <c r="G171" s="18">
        <f t="shared" si="7"/>
        <v>430</v>
      </c>
      <c r="H171" s="18" t="s">
        <v>15</v>
      </c>
      <c r="I171" s="16" t="s">
        <v>357</v>
      </c>
      <c r="J171" s="17" t="s">
        <v>16</v>
      </c>
    </row>
    <row r="172" s="3" customFormat="1" ht="30" customHeight="1" spans="1:10">
      <c r="A172" s="13" t="s">
        <v>357</v>
      </c>
      <c r="B172" s="11" t="s">
        <v>358</v>
      </c>
      <c r="C172" s="12" t="s">
        <v>360</v>
      </c>
      <c r="D172" s="13" t="s">
        <v>24</v>
      </c>
      <c r="E172" s="14">
        <v>48</v>
      </c>
      <c r="F172" s="18">
        <v>3.4</v>
      </c>
      <c r="G172" s="18">
        <f t="shared" si="7"/>
        <v>163.2</v>
      </c>
      <c r="H172" s="18" t="s">
        <v>15</v>
      </c>
      <c r="I172" s="16" t="s">
        <v>357</v>
      </c>
      <c r="J172" s="17" t="s">
        <v>16</v>
      </c>
    </row>
    <row r="173" s="3" customFormat="1" ht="30" customHeight="1" spans="1:10">
      <c r="A173" s="13" t="s">
        <v>357</v>
      </c>
      <c r="B173" s="11" t="s">
        <v>358</v>
      </c>
      <c r="C173" s="12" t="s">
        <v>345</v>
      </c>
      <c r="D173" s="13" t="s">
        <v>24</v>
      </c>
      <c r="E173" s="14">
        <v>48</v>
      </c>
      <c r="F173" s="18">
        <v>4.3</v>
      </c>
      <c r="G173" s="18">
        <f t="shared" si="7"/>
        <v>206.4</v>
      </c>
      <c r="H173" s="18" t="s">
        <v>15</v>
      </c>
      <c r="I173" s="16" t="s">
        <v>357</v>
      </c>
      <c r="J173" s="17" t="s">
        <v>16</v>
      </c>
    </row>
    <row r="174" s="3" customFormat="1" ht="30" customHeight="1" spans="1:10">
      <c r="A174" s="13" t="s">
        <v>361</v>
      </c>
      <c r="B174" s="11" t="s">
        <v>362</v>
      </c>
      <c r="C174" s="12" t="s">
        <v>363</v>
      </c>
      <c r="D174" s="13" t="s">
        <v>24</v>
      </c>
      <c r="E174" s="14">
        <v>24</v>
      </c>
      <c r="F174" s="18">
        <v>3.4</v>
      </c>
      <c r="G174" s="18">
        <f t="shared" ref="G174:G208" si="8">F174*E174</f>
        <v>81.6</v>
      </c>
      <c r="H174" s="18" t="s">
        <v>15</v>
      </c>
      <c r="I174" s="16" t="s">
        <v>361</v>
      </c>
      <c r="J174" s="17" t="s">
        <v>16</v>
      </c>
    </row>
    <row r="175" s="3" customFormat="1" ht="30" customHeight="1" spans="1:10">
      <c r="A175" s="13" t="s">
        <v>364</v>
      </c>
      <c r="B175" s="11" t="s">
        <v>365</v>
      </c>
      <c r="C175" s="12" t="s">
        <v>366</v>
      </c>
      <c r="D175" s="13" t="s">
        <v>24</v>
      </c>
      <c r="E175" s="14">
        <v>24</v>
      </c>
      <c r="F175" s="18">
        <v>5.7</v>
      </c>
      <c r="G175" s="18">
        <f t="shared" si="8"/>
        <v>136.8</v>
      </c>
      <c r="H175" s="18" t="s">
        <v>15</v>
      </c>
      <c r="I175" s="16" t="s">
        <v>364</v>
      </c>
      <c r="J175" s="17" t="s">
        <v>16</v>
      </c>
    </row>
    <row r="176" s="3" customFormat="1" ht="30" customHeight="1" spans="1:10">
      <c r="A176" s="13" t="s">
        <v>367</v>
      </c>
      <c r="B176" s="11" t="s">
        <v>368</v>
      </c>
      <c r="C176" s="12" t="s">
        <v>369</v>
      </c>
      <c r="D176" s="13" t="s">
        <v>24</v>
      </c>
      <c r="E176" s="14">
        <v>4</v>
      </c>
      <c r="F176" s="18">
        <v>5.7</v>
      </c>
      <c r="G176" s="18">
        <f t="shared" si="8"/>
        <v>22.8</v>
      </c>
      <c r="H176" s="18" t="s">
        <v>15</v>
      </c>
      <c r="I176" s="16" t="s">
        <v>367</v>
      </c>
      <c r="J176" s="17" t="s">
        <v>16</v>
      </c>
    </row>
    <row r="177" s="3" customFormat="1" ht="30" customHeight="1" spans="1:10">
      <c r="A177" s="13" t="s">
        <v>370</v>
      </c>
      <c r="B177" s="11" t="s">
        <v>371</v>
      </c>
      <c r="C177" s="12" t="s">
        <v>372</v>
      </c>
      <c r="D177" s="13" t="s">
        <v>24</v>
      </c>
      <c r="E177" s="14">
        <v>24</v>
      </c>
      <c r="F177" s="18">
        <v>2.75</v>
      </c>
      <c r="G177" s="18">
        <f t="shared" si="8"/>
        <v>66</v>
      </c>
      <c r="H177" s="18" t="s">
        <v>15</v>
      </c>
      <c r="I177" s="16" t="s">
        <v>370</v>
      </c>
      <c r="J177" s="17" t="s">
        <v>16</v>
      </c>
    </row>
    <row r="178" s="3" customFormat="1" ht="30" customHeight="1" spans="1:10">
      <c r="A178" s="13" t="s">
        <v>373</v>
      </c>
      <c r="B178" s="11" t="s">
        <v>374</v>
      </c>
      <c r="C178" s="12" t="s">
        <v>375</v>
      </c>
      <c r="D178" s="13" t="s">
        <v>24</v>
      </c>
      <c r="E178" s="14">
        <v>24</v>
      </c>
      <c r="F178" s="18">
        <v>1.25</v>
      </c>
      <c r="G178" s="18">
        <f t="shared" si="8"/>
        <v>30</v>
      </c>
      <c r="H178" s="18" t="s">
        <v>15</v>
      </c>
      <c r="I178" s="16" t="s">
        <v>373</v>
      </c>
      <c r="J178" s="17" t="s">
        <v>16</v>
      </c>
    </row>
    <row r="179" s="3" customFormat="1" ht="30" customHeight="1" spans="1:10">
      <c r="A179" s="13" t="s">
        <v>376</v>
      </c>
      <c r="B179" s="11" t="s">
        <v>377</v>
      </c>
      <c r="C179" s="12" t="s">
        <v>378</v>
      </c>
      <c r="D179" s="13" t="s">
        <v>24</v>
      </c>
      <c r="E179" s="14">
        <v>24</v>
      </c>
      <c r="F179" s="18">
        <v>1.25</v>
      </c>
      <c r="G179" s="18">
        <f t="shared" si="8"/>
        <v>30</v>
      </c>
      <c r="H179" s="18" t="s">
        <v>15</v>
      </c>
      <c r="I179" s="16" t="s">
        <v>376</v>
      </c>
      <c r="J179" s="17" t="s">
        <v>16</v>
      </c>
    </row>
    <row r="180" s="3" customFormat="1" ht="30" customHeight="1" spans="1:10">
      <c r="A180" s="13" t="s">
        <v>379</v>
      </c>
      <c r="B180" s="11" t="s">
        <v>380</v>
      </c>
      <c r="C180" s="12" t="s">
        <v>381</v>
      </c>
      <c r="D180" s="13" t="s">
        <v>24</v>
      </c>
      <c r="E180" s="14">
        <v>5</v>
      </c>
      <c r="F180" s="18">
        <v>1.25</v>
      </c>
      <c r="G180" s="18">
        <f t="shared" si="8"/>
        <v>6.25</v>
      </c>
      <c r="H180" s="18" t="s">
        <v>15</v>
      </c>
      <c r="I180" s="16" t="s">
        <v>379</v>
      </c>
      <c r="J180" s="17" t="s">
        <v>16</v>
      </c>
    </row>
    <row r="181" s="3" customFormat="1" ht="30" customHeight="1" spans="1:10">
      <c r="A181" s="13" t="s">
        <v>382</v>
      </c>
      <c r="B181" s="11" t="s">
        <v>383</v>
      </c>
      <c r="C181" s="12" t="s">
        <v>384</v>
      </c>
      <c r="D181" s="13" t="s">
        <v>24</v>
      </c>
      <c r="E181" s="14">
        <v>24</v>
      </c>
      <c r="F181" s="18">
        <v>1.6016</v>
      </c>
      <c r="G181" s="18">
        <f t="shared" si="8"/>
        <v>38.4384</v>
      </c>
      <c r="H181" s="18" t="s">
        <v>15</v>
      </c>
      <c r="I181" s="16" t="s">
        <v>382</v>
      </c>
      <c r="J181" s="17" t="s">
        <v>16</v>
      </c>
    </row>
    <row r="182" s="3" customFormat="1" ht="30" customHeight="1" spans="1:10">
      <c r="A182" s="13" t="s">
        <v>385</v>
      </c>
      <c r="B182" s="11" t="s">
        <v>386</v>
      </c>
      <c r="C182" s="12" t="s">
        <v>387</v>
      </c>
      <c r="D182" s="13" t="s">
        <v>24</v>
      </c>
      <c r="E182" s="14">
        <v>2</v>
      </c>
      <c r="F182" s="18">
        <v>12.5</v>
      </c>
      <c r="G182" s="18">
        <f t="shared" si="8"/>
        <v>25</v>
      </c>
      <c r="H182" s="18" t="s">
        <v>15</v>
      </c>
      <c r="I182" s="16">
        <v>64035</v>
      </c>
      <c r="J182" s="17" t="s">
        <v>16</v>
      </c>
    </row>
    <row r="183" s="3" customFormat="1" ht="30" customHeight="1" spans="1:10">
      <c r="A183" s="13" t="s">
        <v>388</v>
      </c>
      <c r="B183" s="11" t="s">
        <v>389</v>
      </c>
      <c r="C183" s="12" t="s">
        <v>390</v>
      </c>
      <c r="D183" s="13" t="s">
        <v>24</v>
      </c>
      <c r="E183" s="14">
        <v>24</v>
      </c>
      <c r="F183" s="18">
        <v>2.3</v>
      </c>
      <c r="G183" s="18">
        <f t="shared" si="8"/>
        <v>55.2</v>
      </c>
      <c r="H183" s="18" t="s">
        <v>15</v>
      </c>
      <c r="I183" s="16" t="s">
        <v>388</v>
      </c>
      <c r="J183" s="17" t="s">
        <v>16</v>
      </c>
    </row>
    <row r="184" s="3" customFormat="1" ht="30" customHeight="1" spans="1:10">
      <c r="A184" s="13" t="s">
        <v>391</v>
      </c>
      <c r="B184" s="11" t="s">
        <v>392</v>
      </c>
      <c r="C184" s="12" t="s">
        <v>393</v>
      </c>
      <c r="D184" s="13" t="s">
        <v>24</v>
      </c>
      <c r="E184" s="14">
        <v>24</v>
      </c>
      <c r="F184" s="18">
        <v>1.1</v>
      </c>
      <c r="G184" s="18">
        <f t="shared" si="8"/>
        <v>26.4</v>
      </c>
      <c r="H184" s="18" t="s">
        <v>15</v>
      </c>
      <c r="I184" s="16" t="s">
        <v>391</v>
      </c>
      <c r="J184" s="17" t="s">
        <v>16</v>
      </c>
    </row>
    <row r="185" s="3" customFormat="1" ht="30" customHeight="1" spans="1:10">
      <c r="A185" s="13" t="s">
        <v>394</v>
      </c>
      <c r="B185" s="11" t="s">
        <v>395</v>
      </c>
      <c r="C185" s="12" t="s">
        <v>396</v>
      </c>
      <c r="D185" s="13" t="s">
        <v>397</v>
      </c>
      <c r="E185" s="14">
        <v>4</v>
      </c>
      <c r="F185" s="18">
        <v>13.5</v>
      </c>
      <c r="G185" s="18">
        <f t="shared" si="8"/>
        <v>54</v>
      </c>
      <c r="H185" s="18" t="s">
        <v>15</v>
      </c>
      <c r="I185" s="16" t="s">
        <v>394</v>
      </c>
      <c r="J185" s="17" t="s">
        <v>16</v>
      </c>
    </row>
    <row r="186" s="3" customFormat="1" ht="30" customHeight="1" spans="1:10">
      <c r="A186" s="13" t="s">
        <v>394</v>
      </c>
      <c r="B186" s="11" t="s">
        <v>395</v>
      </c>
      <c r="C186" s="12" t="s">
        <v>398</v>
      </c>
      <c r="D186" s="13" t="s">
        <v>397</v>
      </c>
      <c r="E186" s="14">
        <v>4</v>
      </c>
      <c r="F186" s="18">
        <v>13.5</v>
      </c>
      <c r="G186" s="18">
        <f t="shared" si="8"/>
        <v>54</v>
      </c>
      <c r="H186" s="18" t="s">
        <v>15</v>
      </c>
      <c r="I186" s="16" t="s">
        <v>394</v>
      </c>
      <c r="J186" s="17" t="s">
        <v>16</v>
      </c>
    </row>
    <row r="187" s="3" customFormat="1" ht="30" customHeight="1" spans="1:10">
      <c r="A187" s="13" t="s">
        <v>399</v>
      </c>
      <c r="B187" s="11" t="s">
        <v>400</v>
      </c>
      <c r="C187" s="12" t="s">
        <v>401</v>
      </c>
      <c r="D187" s="13" t="s">
        <v>397</v>
      </c>
      <c r="E187" s="14">
        <v>4</v>
      </c>
      <c r="F187" s="18">
        <v>13.5</v>
      </c>
      <c r="G187" s="18">
        <f t="shared" si="8"/>
        <v>54</v>
      </c>
      <c r="H187" s="18" t="s">
        <v>15</v>
      </c>
      <c r="I187" s="16" t="s">
        <v>399</v>
      </c>
      <c r="J187" s="17" t="s">
        <v>16</v>
      </c>
    </row>
    <row r="188" s="3" customFormat="1" ht="30" customHeight="1" spans="1:10">
      <c r="A188" s="13" t="s">
        <v>399</v>
      </c>
      <c r="B188" s="11" t="s">
        <v>400</v>
      </c>
      <c r="C188" s="12" t="s">
        <v>396</v>
      </c>
      <c r="D188" s="13" t="s">
        <v>397</v>
      </c>
      <c r="E188" s="14">
        <v>4</v>
      </c>
      <c r="F188" s="18">
        <v>13.5</v>
      </c>
      <c r="G188" s="18">
        <f t="shared" si="8"/>
        <v>54</v>
      </c>
      <c r="H188" s="18" t="s">
        <v>15</v>
      </c>
      <c r="I188" s="16" t="s">
        <v>399</v>
      </c>
      <c r="J188" s="17" t="s">
        <v>16</v>
      </c>
    </row>
    <row r="189" s="3" customFormat="1" ht="30" customHeight="1" spans="1:10">
      <c r="A189" s="13" t="s">
        <v>402</v>
      </c>
      <c r="B189" s="11" t="s">
        <v>403</v>
      </c>
      <c r="C189" s="12" t="s">
        <v>404</v>
      </c>
      <c r="D189" s="13" t="s">
        <v>397</v>
      </c>
      <c r="E189" s="14">
        <v>4</v>
      </c>
      <c r="F189" s="18">
        <v>28.5</v>
      </c>
      <c r="G189" s="18">
        <f t="shared" si="8"/>
        <v>114</v>
      </c>
      <c r="H189" s="18" t="s">
        <v>15</v>
      </c>
      <c r="I189" s="16" t="s">
        <v>402</v>
      </c>
      <c r="J189" s="17" t="s">
        <v>16</v>
      </c>
    </row>
    <row r="190" s="3" customFormat="1" ht="30" customHeight="1" spans="1:10">
      <c r="A190" s="13" t="s">
        <v>405</v>
      </c>
      <c r="B190" s="11" t="s">
        <v>406</v>
      </c>
      <c r="C190" s="12" t="s">
        <v>407</v>
      </c>
      <c r="D190" s="13" t="s">
        <v>397</v>
      </c>
      <c r="E190" s="14">
        <v>4</v>
      </c>
      <c r="F190" s="18">
        <v>32</v>
      </c>
      <c r="G190" s="18">
        <f t="shared" si="8"/>
        <v>128</v>
      </c>
      <c r="H190" s="18" t="s">
        <v>15</v>
      </c>
      <c r="I190" s="16" t="s">
        <v>405</v>
      </c>
      <c r="J190" s="17" t="s">
        <v>16</v>
      </c>
    </row>
    <row r="191" s="3" customFormat="1" ht="30" customHeight="1" spans="1:10">
      <c r="A191" s="13" t="s">
        <v>408</v>
      </c>
      <c r="B191" s="11" t="s">
        <v>409</v>
      </c>
      <c r="C191" s="12" t="s">
        <v>410</v>
      </c>
      <c r="D191" s="13" t="s">
        <v>411</v>
      </c>
      <c r="E191" s="14">
        <v>14</v>
      </c>
      <c r="F191" s="18">
        <v>3.4</v>
      </c>
      <c r="G191" s="18">
        <f t="shared" si="8"/>
        <v>47.6</v>
      </c>
      <c r="H191" s="18" t="s">
        <v>15</v>
      </c>
      <c r="I191" s="16" t="s">
        <v>408</v>
      </c>
      <c r="J191" s="17" t="s">
        <v>16</v>
      </c>
    </row>
    <row r="192" s="3" customFormat="1" ht="30" customHeight="1" spans="1:10">
      <c r="A192" s="13" t="s">
        <v>412</v>
      </c>
      <c r="B192" s="11" t="s">
        <v>413</v>
      </c>
      <c r="C192" s="12" t="s">
        <v>414</v>
      </c>
      <c r="D192" s="13" t="s">
        <v>24</v>
      </c>
      <c r="E192" s="14">
        <v>24</v>
      </c>
      <c r="F192" s="18">
        <v>1.1</v>
      </c>
      <c r="G192" s="18">
        <f t="shared" si="8"/>
        <v>26.4</v>
      </c>
      <c r="H192" s="18" t="s">
        <v>15</v>
      </c>
      <c r="I192" s="16" t="s">
        <v>412</v>
      </c>
      <c r="J192" s="17" t="s">
        <v>16</v>
      </c>
    </row>
    <row r="193" s="3" customFormat="1" ht="30" customHeight="1" spans="1:10">
      <c r="A193" s="13" t="s">
        <v>415</v>
      </c>
      <c r="B193" s="11" t="s">
        <v>416</v>
      </c>
      <c r="C193" s="12" t="s">
        <v>417</v>
      </c>
      <c r="D193" s="13" t="s">
        <v>24</v>
      </c>
      <c r="E193" s="14">
        <v>24</v>
      </c>
      <c r="F193" s="18">
        <v>2.3</v>
      </c>
      <c r="G193" s="18">
        <f t="shared" si="8"/>
        <v>55.2</v>
      </c>
      <c r="H193" s="18" t="s">
        <v>15</v>
      </c>
      <c r="I193" s="16" t="s">
        <v>415</v>
      </c>
      <c r="J193" s="17" t="s">
        <v>16</v>
      </c>
    </row>
    <row r="194" s="3" customFormat="1" ht="30" customHeight="1" spans="1:10">
      <c r="A194" s="13" t="s">
        <v>418</v>
      </c>
      <c r="B194" s="11" t="s">
        <v>419</v>
      </c>
      <c r="C194" s="12" t="s">
        <v>420</v>
      </c>
      <c r="D194" s="13" t="s">
        <v>24</v>
      </c>
      <c r="E194" s="14">
        <v>24</v>
      </c>
      <c r="F194" s="18">
        <v>1.7</v>
      </c>
      <c r="G194" s="18">
        <f t="shared" si="8"/>
        <v>40.8</v>
      </c>
      <c r="H194" s="18" t="s">
        <v>15</v>
      </c>
      <c r="I194" s="16">
        <v>64074</v>
      </c>
      <c r="J194" s="17" t="s">
        <v>16</v>
      </c>
    </row>
    <row r="195" s="3" customFormat="1" ht="30" customHeight="1" spans="1:10">
      <c r="A195" s="13" t="s">
        <v>421</v>
      </c>
      <c r="B195" s="11" t="s">
        <v>422</v>
      </c>
      <c r="C195" s="12" t="s">
        <v>423</v>
      </c>
      <c r="D195" s="13" t="s">
        <v>24</v>
      </c>
      <c r="E195" s="14">
        <v>2</v>
      </c>
      <c r="F195" s="18">
        <v>4.5</v>
      </c>
      <c r="G195" s="18">
        <f t="shared" si="8"/>
        <v>9</v>
      </c>
      <c r="H195" s="18" t="s">
        <v>15</v>
      </c>
      <c r="I195" s="16" t="s">
        <v>421</v>
      </c>
      <c r="J195" s="17" t="s">
        <v>16</v>
      </c>
    </row>
    <row r="196" s="3" customFormat="1" ht="30" customHeight="1" spans="1:10">
      <c r="A196" s="13" t="s">
        <v>424</v>
      </c>
      <c r="B196" s="11" t="s">
        <v>425</v>
      </c>
      <c r="C196" s="12" t="s">
        <v>296</v>
      </c>
      <c r="D196" s="13" t="s">
        <v>24</v>
      </c>
      <c r="E196" s="14">
        <v>24</v>
      </c>
      <c r="F196" s="18">
        <v>3.4</v>
      </c>
      <c r="G196" s="18">
        <f t="shared" si="8"/>
        <v>81.6</v>
      </c>
      <c r="H196" s="18" t="s">
        <v>15</v>
      </c>
      <c r="I196" s="16" t="s">
        <v>424</v>
      </c>
      <c r="J196" s="17" t="s">
        <v>16</v>
      </c>
    </row>
    <row r="197" s="3" customFormat="1" ht="30" customHeight="1" spans="1:10">
      <c r="A197" s="13" t="s">
        <v>424</v>
      </c>
      <c r="B197" s="11" t="s">
        <v>425</v>
      </c>
      <c r="C197" s="12" t="s">
        <v>426</v>
      </c>
      <c r="D197" s="13" t="s">
        <v>24</v>
      </c>
      <c r="E197" s="14">
        <v>4</v>
      </c>
      <c r="F197" s="18">
        <v>4.75</v>
      </c>
      <c r="G197" s="18">
        <f t="shared" si="8"/>
        <v>19</v>
      </c>
      <c r="H197" s="18" t="s">
        <v>15</v>
      </c>
      <c r="I197" s="16" t="s">
        <v>424</v>
      </c>
      <c r="J197" s="17" t="s">
        <v>16</v>
      </c>
    </row>
    <row r="198" s="3" customFormat="1" ht="30" customHeight="1" spans="1:10">
      <c r="A198" s="13" t="s">
        <v>427</v>
      </c>
      <c r="B198" s="11" t="s">
        <v>428</v>
      </c>
      <c r="C198" s="12" t="s">
        <v>429</v>
      </c>
      <c r="D198" s="13" t="s">
        <v>24</v>
      </c>
      <c r="E198" s="14">
        <v>24</v>
      </c>
      <c r="F198" s="18">
        <v>4.3</v>
      </c>
      <c r="G198" s="18">
        <f t="shared" si="8"/>
        <v>103.2</v>
      </c>
      <c r="H198" s="18" t="s">
        <v>15</v>
      </c>
      <c r="I198" s="16" t="s">
        <v>427</v>
      </c>
      <c r="J198" s="17" t="s">
        <v>16</v>
      </c>
    </row>
    <row r="199" s="3" customFormat="1" ht="30" customHeight="1" spans="1:10">
      <c r="A199" s="13" t="s">
        <v>427</v>
      </c>
      <c r="B199" s="11" t="s">
        <v>428</v>
      </c>
      <c r="C199" s="12" t="s">
        <v>430</v>
      </c>
      <c r="D199" s="13" t="s">
        <v>24</v>
      </c>
      <c r="E199" s="14">
        <v>2</v>
      </c>
      <c r="F199" s="18">
        <v>6</v>
      </c>
      <c r="G199" s="18">
        <f t="shared" si="8"/>
        <v>12</v>
      </c>
      <c r="H199" s="18" t="s">
        <v>15</v>
      </c>
      <c r="I199" s="16" t="s">
        <v>427</v>
      </c>
      <c r="J199" s="17" t="s">
        <v>16</v>
      </c>
    </row>
    <row r="200" s="3" customFormat="1" ht="30" customHeight="1" spans="1:10">
      <c r="A200" s="13" t="s">
        <v>431</v>
      </c>
      <c r="B200" s="11" t="s">
        <v>432</v>
      </c>
      <c r="C200" s="12" t="s">
        <v>429</v>
      </c>
      <c r="D200" s="13" t="s">
        <v>24</v>
      </c>
      <c r="E200" s="14">
        <v>24</v>
      </c>
      <c r="F200" s="18">
        <v>3.2</v>
      </c>
      <c r="G200" s="18">
        <f t="shared" si="8"/>
        <v>76.8</v>
      </c>
      <c r="H200" s="18" t="s">
        <v>15</v>
      </c>
      <c r="I200" s="16" t="s">
        <v>431</v>
      </c>
      <c r="J200" s="17" t="s">
        <v>16</v>
      </c>
    </row>
    <row r="201" s="3" customFormat="1" ht="30" customHeight="1" spans="1:10">
      <c r="A201" s="13" t="s">
        <v>431</v>
      </c>
      <c r="B201" s="11" t="s">
        <v>432</v>
      </c>
      <c r="C201" s="12" t="s">
        <v>433</v>
      </c>
      <c r="D201" s="13" t="s">
        <v>24</v>
      </c>
      <c r="E201" s="14">
        <v>5</v>
      </c>
      <c r="F201" s="18">
        <v>4.5</v>
      </c>
      <c r="G201" s="18">
        <f t="shared" si="8"/>
        <v>22.5</v>
      </c>
      <c r="H201" s="18" t="s">
        <v>15</v>
      </c>
      <c r="I201" s="16" t="s">
        <v>431</v>
      </c>
      <c r="J201" s="17" t="s">
        <v>16</v>
      </c>
    </row>
    <row r="202" s="3" customFormat="1" ht="30" customHeight="1" spans="1:10">
      <c r="A202" s="13" t="s">
        <v>434</v>
      </c>
      <c r="B202" s="11" t="s">
        <v>435</v>
      </c>
      <c r="C202" s="12" t="s">
        <v>436</v>
      </c>
      <c r="D202" s="13" t="s">
        <v>24</v>
      </c>
      <c r="E202" s="14">
        <v>24</v>
      </c>
      <c r="F202" s="18">
        <v>2.75</v>
      </c>
      <c r="G202" s="18">
        <f t="shared" si="8"/>
        <v>66</v>
      </c>
      <c r="H202" s="18" t="s">
        <v>15</v>
      </c>
      <c r="I202" s="16" t="s">
        <v>434</v>
      </c>
      <c r="J202" s="17" t="s">
        <v>16</v>
      </c>
    </row>
    <row r="203" s="3" customFormat="1" ht="30" customHeight="1" spans="1:10">
      <c r="A203" s="13" t="s">
        <v>437</v>
      </c>
      <c r="B203" s="11" t="s">
        <v>438</v>
      </c>
      <c r="C203" s="12" t="s">
        <v>439</v>
      </c>
      <c r="D203" s="13" t="s">
        <v>24</v>
      </c>
      <c r="E203" s="14">
        <v>24</v>
      </c>
      <c r="F203" s="18">
        <v>1.5</v>
      </c>
      <c r="G203" s="18">
        <f t="shared" si="8"/>
        <v>36</v>
      </c>
      <c r="H203" s="18" t="s">
        <v>15</v>
      </c>
      <c r="I203" s="16" t="s">
        <v>437</v>
      </c>
      <c r="J203" s="17" t="s">
        <v>16</v>
      </c>
    </row>
    <row r="204" s="3" customFormat="1" ht="30" customHeight="1" spans="1:10">
      <c r="A204" s="13" t="s">
        <v>437</v>
      </c>
      <c r="B204" s="11" t="s">
        <v>438</v>
      </c>
      <c r="C204" s="12" t="s">
        <v>440</v>
      </c>
      <c r="D204" s="13" t="s">
        <v>24</v>
      </c>
      <c r="E204" s="14">
        <v>24</v>
      </c>
      <c r="F204" s="18">
        <v>6.8</v>
      </c>
      <c r="G204" s="18">
        <f t="shared" si="8"/>
        <v>163.2</v>
      </c>
      <c r="H204" s="18" t="s">
        <v>15</v>
      </c>
      <c r="I204" s="16" t="s">
        <v>437</v>
      </c>
      <c r="J204" s="17" t="s">
        <v>16</v>
      </c>
    </row>
    <row r="205" s="3" customFormat="1" ht="30" customHeight="1" spans="1:10">
      <c r="A205" s="13" t="s">
        <v>441</v>
      </c>
      <c r="B205" s="11" t="s">
        <v>442</v>
      </c>
      <c r="C205" s="12" t="s">
        <v>443</v>
      </c>
      <c r="D205" s="13" t="s">
        <v>82</v>
      </c>
      <c r="E205" s="14">
        <v>500</v>
      </c>
      <c r="F205" s="18">
        <v>0.45</v>
      </c>
      <c r="G205" s="18">
        <f t="shared" si="8"/>
        <v>225</v>
      </c>
      <c r="H205" s="18" t="s">
        <v>15</v>
      </c>
      <c r="I205" s="16" t="s">
        <v>441</v>
      </c>
      <c r="J205" s="17" t="s">
        <v>16</v>
      </c>
    </row>
    <row r="206" s="3" customFormat="1" ht="30" customHeight="1" spans="1:10">
      <c r="A206" s="13" t="s">
        <v>444</v>
      </c>
      <c r="B206" s="11" t="s">
        <v>445</v>
      </c>
      <c r="C206" s="12" t="s">
        <v>446</v>
      </c>
      <c r="D206" s="13" t="s">
        <v>82</v>
      </c>
      <c r="E206" s="14">
        <v>2</v>
      </c>
      <c r="F206" s="18">
        <v>10</v>
      </c>
      <c r="G206" s="18">
        <f t="shared" si="8"/>
        <v>20</v>
      </c>
      <c r="H206" s="18" t="s">
        <v>15</v>
      </c>
      <c r="I206" s="16" t="s">
        <v>444</v>
      </c>
      <c r="J206" s="17" t="s">
        <v>16</v>
      </c>
    </row>
    <row r="207" s="3" customFormat="1" ht="30" customHeight="1" spans="1:10">
      <c r="A207" s="13">
        <v>80202</v>
      </c>
      <c r="B207" s="12" t="s">
        <v>447</v>
      </c>
      <c r="C207" s="12" t="s">
        <v>448</v>
      </c>
      <c r="D207" s="13" t="s">
        <v>449</v>
      </c>
      <c r="E207" s="14">
        <v>24</v>
      </c>
      <c r="F207" s="18">
        <v>40</v>
      </c>
      <c r="G207" s="18">
        <f t="shared" si="8"/>
        <v>960</v>
      </c>
      <c r="H207" s="18" t="s">
        <v>15</v>
      </c>
      <c r="I207" s="16">
        <v>80202</v>
      </c>
      <c r="J207" s="17" t="s">
        <v>16</v>
      </c>
    </row>
    <row r="208" s="3" customFormat="1" ht="30" customHeight="1" spans="1:10">
      <c r="A208" s="13">
        <v>80203</v>
      </c>
      <c r="B208" s="12" t="s">
        <v>450</v>
      </c>
      <c r="C208" s="12" t="s">
        <v>451</v>
      </c>
      <c r="D208" s="13" t="s">
        <v>452</v>
      </c>
      <c r="E208" s="14">
        <v>24</v>
      </c>
      <c r="F208" s="18">
        <v>40</v>
      </c>
      <c r="G208" s="18">
        <f t="shared" si="8"/>
        <v>960</v>
      </c>
      <c r="H208" s="18" t="s">
        <v>15</v>
      </c>
      <c r="I208" s="16">
        <v>80203</v>
      </c>
      <c r="J208" s="17" t="s">
        <v>16</v>
      </c>
    </row>
    <row r="209" s="3" customFormat="1" ht="30" customHeight="1" spans="1:10">
      <c r="A209" s="10" t="s">
        <v>453</v>
      </c>
      <c r="B209" s="11" t="s">
        <v>454</v>
      </c>
      <c r="C209" s="12" t="s">
        <v>455</v>
      </c>
      <c r="D209" s="13" t="s">
        <v>82</v>
      </c>
      <c r="E209" s="14">
        <v>1</v>
      </c>
      <c r="F209" s="18">
        <v>4.5</v>
      </c>
      <c r="G209" s="18">
        <f t="shared" ref="G209:G221" si="9">F209*E209</f>
        <v>4.5</v>
      </c>
      <c r="H209" s="18" t="s">
        <v>15</v>
      </c>
      <c r="I209" s="16" t="s">
        <v>453</v>
      </c>
      <c r="J209" s="17" t="s">
        <v>16</v>
      </c>
    </row>
    <row r="210" s="3" customFormat="1" ht="30" customHeight="1" spans="1:10">
      <c r="A210" s="10" t="s">
        <v>456</v>
      </c>
      <c r="B210" s="11" t="s">
        <v>457</v>
      </c>
      <c r="C210" s="12" t="s">
        <v>455</v>
      </c>
      <c r="D210" s="13" t="s">
        <v>82</v>
      </c>
      <c r="E210" s="14">
        <v>1</v>
      </c>
      <c r="F210" s="18">
        <v>4.5</v>
      </c>
      <c r="G210" s="18">
        <f t="shared" si="9"/>
        <v>4.5</v>
      </c>
      <c r="H210" s="18" t="s">
        <v>15</v>
      </c>
      <c r="I210" s="16" t="s">
        <v>456</v>
      </c>
      <c r="J210" s="17" t="s">
        <v>16</v>
      </c>
    </row>
    <row r="211" s="3" customFormat="1" ht="30" customHeight="1" spans="1:10">
      <c r="A211" s="10" t="s">
        <v>458</v>
      </c>
      <c r="B211" s="11" t="s">
        <v>459</v>
      </c>
      <c r="C211" s="12" t="s">
        <v>460</v>
      </c>
      <c r="D211" s="13" t="s">
        <v>461</v>
      </c>
      <c r="E211" s="14">
        <v>1</v>
      </c>
      <c r="F211" s="18">
        <v>13.75</v>
      </c>
      <c r="G211" s="18">
        <f t="shared" si="9"/>
        <v>13.75</v>
      </c>
      <c r="H211" s="15" t="s">
        <v>15</v>
      </c>
      <c r="I211" s="16">
        <v>81004</v>
      </c>
      <c r="J211" s="17" t="s">
        <v>16</v>
      </c>
    </row>
    <row r="212" s="3" customFormat="1" ht="30" customHeight="1" spans="1:10">
      <c r="A212" s="10" t="s">
        <v>462</v>
      </c>
      <c r="B212" s="11" t="s">
        <v>463</v>
      </c>
      <c r="C212" s="12" t="s">
        <v>464</v>
      </c>
      <c r="D212" s="13" t="s">
        <v>461</v>
      </c>
      <c r="E212" s="14">
        <v>1</v>
      </c>
      <c r="F212" s="18">
        <v>12.5</v>
      </c>
      <c r="G212" s="18">
        <f t="shared" si="9"/>
        <v>12.5</v>
      </c>
      <c r="H212" s="45" t="s">
        <v>15</v>
      </c>
      <c r="I212" s="46" t="s">
        <v>465</v>
      </c>
      <c r="J212" s="17" t="s">
        <v>16</v>
      </c>
    </row>
    <row r="213" s="3" customFormat="1" ht="30" customHeight="1" spans="1:10">
      <c r="A213" s="10" t="s">
        <v>466</v>
      </c>
      <c r="B213" s="11" t="s">
        <v>467</v>
      </c>
      <c r="C213" s="12" t="s">
        <v>468</v>
      </c>
      <c r="D213" s="13" t="s">
        <v>24</v>
      </c>
      <c r="E213" s="14">
        <v>1</v>
      </c>
      <c r="F213" s="18">
        <v>11.25</v>
      </c>
      <c r="G213" s="18">
        <f t="shared" si="9"/>
        <v>11.25</v>
      </c>
      <c r="H213" s="15" t="s">
        <v>15</v>
      </c>
      <c r="I213" s="19" t="s">
        <v>466</v>
      </c>
      <c r="J213" s="17" t="s">
        <v>16</v>
      </c>
    </row>
    <row r="214" s="3" customFormat="1" ht="30" customHeight="1" spans="1:10">
      <c r="A214" s="10" t="s">
        <v>469</v>
      </c>
      <c r="B214" s="11" t="s">
        <v>470</v>
      </c>
      <c r="C214" s="12" t="s">
        <v>471</v>
      </c>
      <c r="D214" s="13" t="s">
        <v>461</v>
      </c>
      <c r="E214" s="14">
        <v>1</v>
      </c>
      <c r="F214" s="18">
        <v>8</v>
      </c>
      <c r="G214" s="18">
        <f t="shared" si="9"/>
        <v>8</v>
      </c>
      <c r="H214" s="15" t="s">
        <v>15</v>
      </c>
      <c r="I214" s="19" t="s">
        <v>469</v>
      </c>
      <c r="J214" s="17" t="s">
        <v>16</v>
      </c>
    </row>
    <row r="215" s="3" customFormat="1" ht="30" customHeight="1" spans="1:10">
      <c r="A215" s="10" t="s">
        <v>472</v>
      </c>
      <c r="B215" s="11" t="s">
        <v>473</v>
      </c>
      <c r="C215" s="12" t="s">
        <v>474</v>
      </c>
      <c r="D215" s="13" t="s">
        <v>20</v>
      </c>
      <c r="E215" s="14">
        <v>1</v>
      </c>
      <c r="F215" s="18">
        <v>22.75</v>
      </c>
      <c r="G215" s="18">
        <f t="shared" si="9"/>
        <v>22.75</v>
      </c>
      <c r="H215" s="18" t="s">
        <v>15</v>
      </c>
      <c r="I215" s="16" t="s">
        <v>472</v>
      </c>
      <c r="J215" s="17" t="s">
        <v>16</v>
      </c>
    </row>
    <row r="216" s="3" customFormat="1" ht="30" customHeight="1" spans="1:10">
      <c r="A216" s="10" t="s">
        <v>475</v>
      </c>
      <c r="B216" s="11" t="s">
        <v>476</v>
      </c>
      <c r="C216" s="12" t="s">
        <v>477</v>
      </c>
      <c r="D216" s="13" t="s">
        <v>24</v>
      </c>
      <c r="E216" s="14">
        <v>1</v>
      </c>
      <c r="F216" s="18">
        <v>22.75</v>
      </c>
      <c r="G216" s="18">
        <f t="shared" si="9"/>
        <v>22.75</v>
      </c>
      <c r="H216" s="18" t="s">
        <v>15</v>
      </c>
      <c r="I216" s="16" t="s">
        <v>475</v>
      </c>
      <c r="J216" s="17" t="s">
        <v>16</v>
      </c>
    </row>
    <row r="217" s="3" customFormat="1" ht="30" customHeight="1" spans="1:10">
      <c r="A217" s="10" t="s">
        <v>478</v>
      </c>
      <c r="B217" s="11" t="s">
        <v>479</v>
      </c>
      <c r="C217" s="11" t="s">
        <v>480</v>
      </c>
      <c r="D217" s="13" t="s">
        <v>220</v>
      </c>
      <c r="E217" s="14">
        <v>48</v>
      </c>
      <c r="F217" s="18">
        <v>33</v>
      </c>
      <c r="G217" s="18">
        <f t="shared" si="9"/>
        <v>1584</v>
      </c>
      <c r="H217" s="15" t="s">
        <v>15</v>
      </c>
      <c r="I217" s="16" t="s">
        <v>478</v>
      </c>
      <c r="J217" s="17" t="s">
        <v>16</v>
      </c>
    </row>
    <row r="218" s="3" customFormat="1" ht="30" customHeight="1" spans="1:10">
      <c r="A218" s="10" t="s">
        <v>481</v>
      </c>
      <c r="B218" s="11" t="s">
        <v>482</v>
      </c>
      <c r="C218" s="11" t="s">
        <v>483</v>
      </c>
      <c r="D218" s="13" t="s">
        <v>24</v>
      </c>
      <c r="E218" s="14">
        <v>48</v>
      </c>
      <c r="F218" s="18">
        <v>7.4</v>
      </c>
      <c r="G218" s="18">
        <f t="shared" si="9"/>
        <v>355.2</v>
      </c>
      <c r="H218" s="18" t="s">
        <v>15</v>
      </c>
      <c r="I218" s="16" t="s">
        <v>484</v>
      </c>
      <c r="J218" s="17" t="s">
        <v>16</v>
      </c>
    </row>
    <row r="219" s="3" customFormat="1" ht="30" customHeight="1" spans="1:10">
      <c r="A219" s="10" t="s">
        <v>485</v>
      </c>
      <c r="B219" s="11" t="s">
        <v>486</v>
      </c>
      <c r="C219" s="12" t="s">
        <v>487</v>
      </c>
      <c r="D219" s="13" t="s">
        <v>24</v>
      </c>
      <c r="E219" s="14">
        <v>1</v>
      </c>
      <c r="F219" s="18">
        <v>27.25</v>
      </c>
      <c r="G219" s="18">
        <f t="shared" si="9"/>
        <v>27.25</v>
      </c>
      <c r="H219" s="18" t="s">
        <v>15</v>
      </c>
      <c r="I219" s="16" t="s">
        <v>485</v>
      </c>
      <c r="J219" s="17" t="s">
        <v>16</v>
      </c>
    </row>
    <row r="220" s="3" customFormat="1" ht="30" customHeight="1" spans="1:10">
      <c r="A220" s="10" t="s">
        <v>488</v>
      </c>
      <c r="B220" s="12" t="s">
        <v>489</v>
      </c>
      <c r="C220" s="12" t="s">
        <v>490</v>
      </c>
      <c r="D220" s="80" t="s">
        <v>20</v>
      </c>
      <c r="E220" s="14">
        <v>1</v>
      </c>
      <c r="F220" s="18">
        <v>137</v>
      </c>
      <c r="G220" s="18">
        <f t="shared" si="9"/>
        <v>137</v>
      </c>
      <c r="H220" s="45" t="s">
        <v>15</v>
      </c>
      <c r="I220" s="46" t="s">
        <v>488</v>
      </c>
      <c r="J220" s="17" t="s">
        <v>16</v>
      </c>
    </row>
    <row r="221" s="3" customFormat="1" ht="30" customHeight="1" spans="1:10">
      <c r="A221" s="10" t="s">
        <v>491</v>
      </c>
      <c r="B221" s="11" t="s">
        <v>492</v>
      </c>
      <c r="C221" s="12" t="s">
        <v>493</v>
      </c>
      <c r="D221" s="13" t="s">
        <v>220</v>
      </c>
      <c r="E221" s="14">
        <v>1</v>
      </c>
      <c r="F221" s="18">
        <v>74</v>
      </c>
      <c r="G221" s="18">
        <f t="shared" si="9"/>
        <v>74</v>
      </c>
      <c r="H221" s="18" t="s">
        <v>15</v>
      </c>
      <c r="I221" s="16" t="s">
        <v>491</v>
      </c>
      <c r="J221" s="17" t="s">
        <v>16</v>
      </c>
    </row>
    <row r="222" spans="1:10">
      <c r="A222" s="47"/>
      <c r="B222" s="47"/>
      <c r="C222" s="47"/>
      <c r="D222" s="47"/>
      <c r="E222" s="81"/>
      <c r="F222" s="82" t="s">
        <v>494</v>
      </c>
      <c r="G222" s="18">
        <f>SUM(G3:G221)</f>
        <v>44162.8784</v>
      </c>
      <c r="H222" s="18"/>
      <c r="I222" s="16"/>
      <c r="J222" s="18"/>
    </row>
  </sheetData>
  <mergeCells count="1">
    <mergeCell ref="A1:G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5"/>
  <sheetViews>
    <sheetView topLeftCell="C85" workbookViewId="0">
      <selection activeCell="N94" sqref="N94"/>
    </sheetView>
  </sheetViews>
  <sheetFormatPr defaultColWidth="8" defaultRowHeight="14.4"/>
  <cols>
    <col min="1" max="1" width="7" style="51" customWidth="1"/>
    <col min="2" max="2" width="17.25" style="52" customWidth="1"/>
    <col min="3" max="3" width="28.2" style="52" customWidth="1"/>
    <col min="4" max="4" width="4.5" style="53" customWidth="1"/>
    <col min="5" max="5" width="6.375" style="53" customWidth="1"/>
    <col min="6" max="7" width="10.125" style="54" customWidth="1"/>
    <col min="8" max="8" width="7.6" style="54" customWidth="1"/>
    <col min="9" max="9" width="15.4" style="55" customWidth="1"/>
    <col min="10" max="10" width="10.125" style="54" customWidth="1"/>
    <col min="11" max="16384" width="8" style="53"/>
  </cols>
  <sheetData>
    <row r="1" s="48" customFormat="1" ht="34.5" customHeight="1" spans="1:10">
      <c r="A1" s="56" t="s">
        <v>495</v>
      </c>
      <c r="B1" s="56"/>
      <c r="C1" s="56"/>
      <c r="D1" s="56"/>
      <c r="E1" s="56"/>
      <c r="F1" s="56"/>
      <c r="G1" s="56"/>
      <c r="H1" s="56"/>
      <c r="I1" s="57"/>
      <c r="J1" s="56"/>
    </row>
    <row r="2" s="49" customFormat="1" ht="14.25" customHeight="1" spans="1:10">
      <c r="A2" s="58" t="s">
        <v>1</v>
      </c>
      <c r="B2" s="59" t="s">
        <v>2</v>
      </c>
      <c r="C2" s="59" t="s">
        <v>3</v>
      </c>
      <c r="D2" s="59" t="s">
        <v>4</v>
      </c>
      <c r="E2" s="59" t="s">
        <v>5</v>
      </c>
      <c r="F2" s="60" t="s">
        <v>6</v>
      </c>
      <c r="G2" s="59" t="s">
        <v>7</v>
      </c>
      <c r="H2" s="9" t="s">
        <v>8</v>
      </c>
      <c r="I2" s="8" t="s">
        <v>9</v>
      </c>
      <c r="J2" s="9" t="s">
        <v>10</v>
      </c>
    </row>
    <row r="3" s="50" customFormat="1" ht="14.25" customHeight="1" spans="1:10">
      <c r="A3" s="45" t="s">
        <v>17</v>
      </c>
      <c r="B3" s="45" t="s">
        <v>18</v>
      </c>
      <c r="C3" s="45" t="s">
        <v>19</v>
      </c>
      <c r="D3" s="45" t="s">
        <v>20</v>
      </c>
      <c r="E3" s="61">
        <v>6</v>
      </c>
      <c r="F3" s="45">
        <v>6.75</v>
      </c>
      <c r="G3" s="45">
        <f t="shared" ref="G3:G25" si="0">F3*E3</f>
        <v>40.5</v>
      </c>
      <c r="H3" s="45" t="s">
        <v>15</v>
      </c>
      <c r="I3" s="46" t="s">
        <v>17</v>
      </c>
      <c r="J3" s="17" t="s">
        <v>16</v>
      </c>
    </row>
    <row r="4" s="50" customFormat="1" ht="14.25" customHeight="1" spans="1:10">
      <c r="A4" s="45" t="s">
        <v>37</v>
      </c>
      <c r="B4" s="45" t="s">
        <v>38</v>
      </c>
      <c r="C4" s="45" t="s">
        <v>39</v>
      </c>
      <c r="D4" s="45" t="s">
        <v>40</v>
      </c>
      <c r="E4" s="61">
        <v>2</v>
      </c>
      <c r="F4" s="45">
        <v>194</v>
      </c>
      <c r="G4" s="45">
        <f t="shared" si="0"/>
        <v>388</v>
      </c>
      <c r="H4" s="45" t="s">
        <v>15</v>
      </c>
      <c r="I4" s="46" t="s">
        <v>37</v>
      </c>
      <c r="J4" s="17" t="s">
        <v>16</v>
      </c>
    </row>
    <row r="5" s="50" customFormat="1" ht="14.25" customHeight="1" spans="1:10">
      <c r="A5" s="45" t="s">
        <v>496</v>
      </c>
      <c r="B5" s="45" t="s">
        <v>497</v>
      </c>
      <c r="C5" s="45" t="s">
        <v>498</v>
      </c>
      <c r="D5" s="45" t="s">
        <v>31</v>
      </c>
      <c r="E5" s="61">
        <v>24</v>
      </c>
      <c r="F5" s="45">
        <v>297.5</v>
      </c>
      <c r="G5" s="45">
        <f t="shared" si="0"/>
        <v>7140</v>
      </c>
      <c r="H5" s="45" t="s">
        <v>15</v>
      </c>
      <c r="I5" s="46" t="s">
        <v>496</v>
      </c>
      <c r="J5" s="17" t="s">
        <v>16</v>
      </c>
    </row>
    <row r="6" s="50" customFormat="1" ht="14.25" customHeight="1" spans="1:10">
      <c r="A6" s="45" t="s">
        <v>496</v>
      </c>
      <c r="B6" s="45" t="s">
        <v>497</v>
      </c>
      <c r="C6" s="45" t="s">
        <v>499</v>
      </c>
      <c r="D6" s="45" t="s">
        <v>31</v>
      </c>
      <c r="E6" s="61">
        <v>2</v>
      </c>
      <c r="F6" s="45">
        <v>1144</v>
      </c>
      <c r="G6" s="45">
        <f t="shared" si="0"/>
        <v>2288</v>
      </c>
      <c r="H6" s="45" t="s">
        <v>15</v>
      </c>
      <c r="I6" s="62" t="s">
        <v>500</v>
      </c>
      <c r="J6" s="17" t="s">
        <v>16</v>
      </c>
    </row>
    <row r="7" s="50" customFormat="1" ht="12" customHeight="1" spans="1:10">
      <c r="A7" s="45" t="s">
        <v>501</v>
      </c>
      <c r="B7" s="45" t="s">
        <v>502</v>
      </c>
      <c r="C7" s="45" t="s">
        <v>503</v>
      </c>
      <c r="D7" s="45" t="s">
        <v>31</v>
      </c>
      <c r="E7" s="61">
        <v>2</v>
      </c>
      <c r="F7" s="45">
        <v>343</v>
      </c>
      <c r="G7" s="45">
        <f t="shared" si="0"/>
        <v>686</v>
      </c>
      <c r="H7" s="45" t="s">
        <v>15</v>
      </c>
      <c r="I7" s="46" t="s">
        <v>504</v>
      </c>
      <c r="J7" s="17" t="s">
        <v>16</v>
      </c>
    </row>
    <row r="8" s="50" customFormat="1" ht="14.25" customHeight="1" spans="1:10">
      <c r="A8" s="45" t="s">
        <v>505</v>
      </c>
      <c r="B8" s="45" t="s">
        <v>506</v>
      </c>
      <c r="C8" s="45" t="s">
        <v>507</v>
      </c>
      <c r="D8" s="45" t="s">
        <v>24</v>
      </c>
      <c r="E8" s="61">
        <v>24</v>
      </c>
      <c r="F8" s="45">
        <v>2.288</v>
      </c>
      <c r="G8" s="45">
        <f t="shared" si="0"/>
        <v>54.912</v>
      </c>
      <c r="H8" s="45" t="s">
        <v>15</v>
      </c>
      <c r="I8" s="46" t="s">
        <v>505</v>
      </c>
      <c r="J8" s="17" t="s">
        <v>16</v>
      </c>
    </row>
    <row r="9" s="50" customFormat="1" ht="84" spans="1:10">
      <c r="A9" s="45" t="s">
        <v>41</v>
      </c>
      <c r="B9" s="45" t="s">
        <v>42</v>
      </c>
      <c r="C9" s="63" t="s">
        <v>43</v>
      </c>
      <c r="D9" s="45" t="s">
        <v>31</v>
      </c>
      <c r="E9" s="61">
        <v>1</v>
      </c>
      <c r="F9" s="45">
        <v>251</v>
      </c>
      <c r="G9" s="45">
        <f t="shared" si="0"/>
        <v>251</v>
      </c>
      <c r="H9" s="45" t="s">
        <v>15</v>
      </c>
      <c r="I9" s="46" t="s">
        <v>41</v>
      </c>
      <c r="J9" s="17" t="s">
        <v>16</v>
      </c>
    </row>
    <row r="10" s="50" customFormat="1" ht="14.25" customHeight="1" spans="1:10">
      <c r="A10" s="45" t="s">
        <v>508</v>
      </c>
      <c r="B10" s="45" t="s">
        <v>509</v>
      </c>
      <c r="C10" s="63" t="s">
        <v>510</v>
      </c>
      <c r="D10" s="45" t="s">
        <v>31</v>
      </c>
      <c r="E10" s="61">
        <v>1</v>
      </c>
      <c r="F10" s="45">
        <v>1030</v>
      </c>
      <c r="G10" s="45">
        <f t="shared" si="0"/>
        <v>1030</v>
      </c>
      <c r="H10" s="45" t="s">
        <v>15</v>
      </c>
      <c r="I10" s="46" t="s">
        <v>508</v>
      </c>
      <c r="J10" s="17" t="s">
        <v>16</v>
      </c>
    </row>
    <row r="11" s="50" customFormat="1" ht="14.25" customHeight="1" spans="1:10">
      <c r="A11" s="45" t="s">
        <v>511</v>
      </c>
      <c r="B11" s="45" t="s">
        <v>512</v>
      </c>
      <c r="C11" s="63" t="s">
        <v>513</v>
      </c>
      <c r="D11" s="45" t="s">
        <v>31</v>
      </c>
      <c r="E11" s="61">
        <v>2</v>
      </c>
      <c r="F11" s="45">
        <v>297.5</v>
      </c>
      <c r="G11" s="45">
        <f t="shared" si="0"/>
        <v>595</v>
      </c>
      <c r="H11" s="45" t="s">
        <v>15</v>
      </c>
      <c r="I11" s="46" t="s">
        <v>511</v>
      </c>
      <c r="J11" s="17" t="s">
        <v>16</v>
      </c>
    </row>
    <row r="12" s="50" customFormat="1" ht="84" spans="1:10">
      <c r="A12" s="45" t="s">
        <v>53</v>
      </c>
      <c r="B12" s="45" t="s">
        <v>54</v>
      </c>
      <c r="C12" s="63" t="s">
        <v>55</v>
      </c>
      <c r="D12" s="45" t="s">
        <v>31</v>
      </c>
      <c r="E12" s="61">
        <v>1</v>
      </c>
      <c r="F12" s="45">
        <v>890</v>
      </c>
      <c r="G12" s="45">
        <f t="shared" si="0"/>
        <v>890</v>
      </c>
      <c r="H12" s="45" t="s">
        <v>15</v>
      </c>
      <c r="I12" s="46" t="s">
        <v>53</v>
      </c>
      <c r="J12" s="17" t="s">
        <v>16</v>
      </c>
    </row>
    <row r="13" s="50" customFormat="1" ht="84" spans="1:10">
      <c r="A13" s="45" t="s">
        <v>514</v>
      </c>
      <c r="B13" s="45" t="s">
        <v>515</v>
      </c>
      <c r="C13" s="63" t="s">
        <v>516</v>
      </c>
      <c r="D13" s="45" t="s">
        <v>31</v>
      </c>
      <c r="E13" s="61">
        <v>1</v>
      </c>
      <c r="F13" s="45">
        <v>858</v>
      </c>
      <c r="G13" s="45">
        <f t="shared" si="0"/>
        <v>858</v>
      </c>
      <c r="H13" s="45" t="s">
        <v>15</v>
      </c>
      <c r="I13" s="46" t="s">
        <v>514</v>
      </c>
      <c r="J13" s="17" t="s">
        <v>16</v>
      </c>
    </row>
    <row r="14" s="50" customFormat="1" ht="14.25" customHeight="1" spans="1:10">
      <c r="A14" s="45" t="s">
        <v>61</v>
      </c>
      <c r="B14" s="45" t="s">
        <v>62</v>
      </c>
      <c r="C14" s="63" t="s">
        <v>517</v>
      </c>
      <c r="D14" s="45" t="s">
        <v>82</v>
      </c>
      <c r="E14" s="61">
        <v>24</v>
      </c>
      <c r="F14" s="45">
        <v>9.152</v>
      </c>
      <c r="G14" s="45">
        <f t="shared" si="0"/>
        <v>219.648</v>
      </c>
      <c r="H14" s="18" t="s">
        <v>15</v>
      </c>
      <c r="I14" s="46" t="s">
        <v>61</v>
      </c>
      <c r="J14" s="17" t="s">
        <v>16</v>
      </c>
    </row>
    <row r="15" s="50" customFormat="1" ht="14.25" customHeight="1" spans="1:10">
      <c r="A15" s="45" t="s">
        <v>518</v>
      </c>
      <c r="B15" s="45" t="s">
        <v>519</v>
      </c>
      <c r="C15" s="63" t="s">
        <v>520</v>
      </c>
      <c r="D15" s="45" t="s">
        <v>24</v>
      </c>
      <c r="E15" s="61">
        <v>4</v>
      </c>
      <c r="F15" s="45">
        <v>28.6</v>
      </c>
      <c r="G15" s="45">
        <f t="shared" si="0"/>
        <v>114.4</v>
      </c>
      <c r="H15" s="45" t="s">
        <v>15</v>
      </c>
      <c r="I15" s="46" t="s">
        <v>518</v>
      </c>
      <c r="J15" s="17" t="s">
        <v>16</v>
      </c>
    </row>
    <row r="16" s="50" customFormat="1" ht="14.25" customHeight="1" spans="1:10">
      <c r="A16" s="45" t="s">
        <v>65</v>
      </c>
      <c r="B16" s="45" t="s">
        <v>66</v>
      </c>
      <c r="C16" s="63" t="s">
        <v>521</v>
      </c>
      <c r="D16" s="45" t="s">
        <v>24</v>
      </c>
      <c r="E16" s="61">
        <v>4</v>
      </c>
      <c r="F16" s="45">
        <v>4</v>
      </c>
      <c r="G16" s="45">
        <f t="shared" si="0"/>
        <v>16</v>
      </c>
      <c r="H16" s="45" t="s">
        <v>15</v>
      </c>
      <c r="I16" s="46" t="s">
        <v>65</v>
      </c>
      <c r="J16" s="17" t="s">
        <v>16</v>
      </c>
    </row>
    <row r="17" s="50" customFormat="1" ht="72" spans="1:10">
      <c r="A17" s="45" t="s">
        <v>83</v>
      </c>
      <c r="B17" s="45" t="s">
        <v>84</v>
      </c>
      <c r="C17" s="64" t="s">
        <v>85</v>
      </c>
      <c r="D17" s="45" t="s">
        <v>20</v>
      </c>
      <c r="E17" s="61">
        <v>24</v>
      </c>
      <c r="F17" s="45">
        <v>41</v>
      </c>
      <c r="G17" s="45">
        <f t="shared" si="0"/>
        <v>984</v>
      </c>
      <c r="H17" s="15" t="s">
        <v>15</v>
      </c>
      <c r="I17" s="46" t="s">
        <v>83</v>
      </c>
      <c r="J17" s="17" t="s">
        <v>16</v>
      </c>
    </row>
    <row r="18" s="50" customFormat="1" ht="36" spans="1:10">
      <c r="A18" s="45" t="s">
        <v>89</v>
      </c>
      <c r="B18" s="45" t="s">
        <v>90</v>
      </c>
      <c r="C18" s="64" t="s">
        <v>91</v>
      </c>
      <c r="D18" s="45" t="s">
        <v>24</v>
      </c>
      <c r="E18" s="61">
        <v>24</v>
      </c>
      <c r="F18" s="45">
        <v>5.5</v>
      </c>
      <c r="G18" s="45">
        <f t="shared" si="0"/>
        <v>132</v>
      </c>
      <c r="H18" s="45" t="s">
        <v>15</v>
      </c>
      <c r="I18" s="46" t="s">
        <v>89</v>
      </c>
      <c r="J18" s="17" t="s">
        <v>16</v>
      </c>
    </row>
    <row r="19" s="50" customFormat="1" ht="27" customHeight="1" spans="1:10">
      <c r="A19" s="45" t="s">
        <v>95</v>
      </c>
      <c r="B19" s="45" t="s">
        <v>96</v>
      </c>
      <c r="C19" s="64" t="s">
        <v>522</v>
      </c>
      <c r="D19" s="45" t="s">
        <v>24</v>
      </c>
      <c r="E19" s="61">
        <v>24</v>
      </c>
      <c r="F19" s="45">
        <v>8</v>
      </c>
      <c r="G19" s="45">
        <f t="shared" si="0"/>
        <v>192</v>
      </c>
      <c r="H19" s="45" t="s">
        <v>15</v>
      </c>
      <c r="I19" s="46" t="s">
        <v>95</v>
      </c>
      <c r="J19" s="17" t="s">
        <v>16</v>
      </c>
    </row>
    <row r="20" s="50" customFormat="1" ht="27" customHeight="1" spans="1:10">
      <c r="A20" s="45" t="s">
        <v>95</v>
      </c>
      <c r="B20" s="45" t="s">
        <v>96</v>
      </c>
      <c r="C20" s="64" t="s">
        <v>523</v>
      </c>
      <c r="D20" s="45" t="s">
        <v>24</v>
      </c>
      <c r="E20" s="61">
        <v>2</v>
      </c>
      <c r="F20" s="45">
        <v>32</v>
      </c>
      <c r="G20" s="45">
        <f t="shared" si="0"/>
        <v>64</v>
      </c>
      <c r="H20" s="45" t="s">
        <v>15</v>
      </c>
      <c r="I20" s="46" t="s">
        <v>95</v>
      </c>
      <c r="J20" s="17" t="s">
        <v>16</v>
      </c>
    </row>
    <row r="21" s="50" customFormat="1" ht="14.25" customHeight="1" spans="1:10">
      <c r="A21" s="45" t="s">
        <v>117</v>
      </c>
      <c r="B21" s="45" t="s">
        <v>118</v>
      </c>
      <c r="C21" s="64" t="s">
        <v>524</v>
      </c>
      <c r="D21" s="45" t="s">
        <v>31</v>
      </c>
      <c r="E21" s="61">
        <v>4</v>
      </c>
      <c r="F21" s="45">
        <v>34.3</v>
      </c>
      <c r="G21" s="45">
        <f t="shared" si="0"/>
        <v>137.2</v>
      </c>
      <c r="H21" s="45" t="s">
        <v>120</v>
      </c>
      <c r="I21" s="46" t="s">
        <v>525</v>
      </c>
      <c r="J21" s="17" t="s">
        <v>121</v>
      </c>
    </row>
    <row r="22" s="50" customFormat="1" ht="14.25" customHeight="1" spans="1:10">
      <c r="A22" s="45" t="s">
        <v>130</v>
      </c>
      <c r="B22" s="45" t="s">
        <v>131</v>
      </c>
      <c r="C22" s="64" t="s">
        <v>132</v>
      </c>
      <c r="D22" s="45" t="s">
        <v>82</v>
      </c>
      <c r="E22" s="61">
        <v>24</v>
      </c>
      <c r="F22" s="45">
        <v>2.288</v>
      </c>
      <c r="G22" s="45">
        <f t="shared" si="0"/>
        <v>54.912</v>
      </c>
      <c r="H22" s="15" t="s">
        <v>15</v>
      </c>
      <c r="I22" s="27">
        <v>13001</v>
      </c>
      <c r="J22" s="17" t="s">
        <v>16</v>
      </c>
    </row>
    <row r="23" s="50" customFormat="1" ht="14.25" customHeight="1" spans="1:10">
      <c r="A23" s="45" t="s">
        <v>130</v>
      </c>
      <c r="B23" s="45" t="s">
        <v>131</v>
      </c>
      <c r="C23" s="64" t="s">
        <v>526</v>
      </c>
      <c r="D23" s="45" t="s">
        <v>82</v>
      </c>
      <c r="E23" s="61">
        <v>5</v>
      </c>
      <c r="F23" s="45">
        <v>3.432</v>
      </c>
      <c r="G23" s="45">
        <f t="shared" si="0"/>
        <v>17.16</v>
      </c>
      <c r="H23" s="15" t="s">
        <v>15</v>
      </c>
      <c r="I23" s="27">
        <v>13003</v>
      </c>
      <c r="J23" s="17" t="s">
        <v>16</v>
      </c>
    </row>
    <row r="24" s="50" customFormat="1" ht="14.25" customHeight="1" spans="1:10">
      <c r="A24" s="45" t="s">
        <v>151</v>
      </c>
      <c r="B24" s="45" t="s">
        <v>152</v>
      </c>
      <c r="C24" s="64" t="s">
        <v>527</v>
      </c>
      <c r="D24" s="45" t="s">
        <v>31</v>
      </c>
      <c r="E24" s="61">
        <v>2</v>
      </c>
      <c r="F24" s="45">
        <v>74</v>
      </c>
      <c r="G24" s="45">
        <f t="shared" si="0"/>
        <v>148</v>
      </c>
      <c r="H24" s="15" t="s">
        <v>15</v>
      </c>
      <c r="I24" s="19" t="s">
        <v>151</v>
      </c>
      <c r="J24" s="17" t="s">
        <v>16</v>
      </c>
    </row>
    <row r="25" s="50" customFormat="1" ht="108" spans="1:10">
      <c r="A25" s="45" t="s">
        <v>528</v>
      </c>
      <c r="B25" s="45" t="s">
        <v>529</v>
      </c>
      <c r="C25" s="64" t="s">
        <v>530</v>
      </c>
      <c r="D25" s="45" t="s">
        <v>531</v>
      </c>
      <c r="E25" s="61">
        <v>2</v>
      </c>
      <c r="F25" s="45">
        <v>22.75</v>
      </c>
      <c r="G25" s="45">
        <f t="shared" si="0"/>
        <v>45.5</v>
      </c>
      <c r="H25" s="15" t="s">
        <v>15</v>
      </c>
      <c r="I25" s="46" t="s">
        <v>528</v>
      </c>
      <c r="J25" s="17" t="s">
        <v>16</v>
      </c>
    </row>
    <row r="26" s="50" customFormat="1" ht="14.25" customHeight="1" spans="1:10">
      <c r="A26" s="45" t="s">
        <v>532</v>
      </c>
      <c r="B26" s="45" t="s">
        <v>533</v>
      </c>
      <c r="C26" s="64" t="s">
        <v>534</v>
      </c>
      <c r="D26" s="45" t="s">
        <v>82</v>
      </c>
      <c r="E26" s="61">
        <v>24</v>
      </c>
      <c r="F26" s="45">
        <v>9.152</v>
      </c>
      <c r="G26" s="45">
        <f t="shared" ref="G26:G31" si="1">F26*E26</f>
        <v>219.648</v>
      </c>
      <c r="H26" s="45" t="s">
        <v>15</v>
      </c>
      <c r="I26" s="46">
        <v>27006</v>
      </c>
      <c r="J26" s="17" t="s">
        <v>16</v>
      </c>
    </row>
    <row r="27" s="50" customFormat="1" ht="14.25" customHeight="1" spans="1:10">
      <c r="A27" s="45" t="s">
        <v>535</v>
      </c>
      <c r="B27" s="45" t="s">
        <v>536</v>
      </c>
      <c r="C27" s="64" t="s">
        <v>537</v>
      </c>
      <c r="D27" s="45" t="s">
        <v>461</v>
      </c>
      <c r="E27" s="61">
        <v>24</v>
      </c>
      <c r="F27" s="45">
        <v>9.152</v>
      </c>
      <c r="G27" s="45">
        <f t="shared" si="1"/>
        <v>219.648</v>
      </c>
      <c r="H27" s="45" t="s">
        <v>15</v>
      </c>
      <c r="I27" s="46" t="s">
        <v>535</v>
      </c>
      <c r="J27" s="17" t="s">
        <v>16</v>
      </c>
    </row>
    <row r="28" s="50" customFormat="1" ht="14.25" customHeight="1" spans="1:10">
      <c r="A28" s="45" t="s">
        <v>538</v>
      </c>
      <c r="B28" s="45" t="s">
        <v>539</v>
      </c>
      <c r="C28" s="64" t="s">
        <v>540</v>
      </c>
      <c r="D28" s="45" t="s">
        <v>461</v>
      </c>
      <c r="E28" s="61">
        <v>2</v>
      </c>
      <c r="F28" s="45">
        <v>9.152</v>
      </c>
      <c r="G28" s="45">
        <f t="shared" si="1"/>
        <v>18.304</v>
      </c>
      <c r="H28" s="45" t="s">
        <v>15</v>
      </c>
      <c r="I28" s="46" t="s">
        <v>538</v>
      </c>
      <c r="J28" s="17" t="s">
        <v>16</v>
      </c>
    </row>
    <row r="29" s="50" customFormat="1" ht="14.25" customHeight="1" spans="1:10">
      <c r="A29" s="45" t="s">
        <v>541</v>
      </c>
      <c r="B29" s="45" t="s">
        <v>542</v>
      </c>
      <c r="C29" s="64" t="s">
        <v>543</v>
      </c>
      <c r="D29" s="45" t="s">
        <v>461</v>
      </c>
      <c r="E29" s="61">
        <v>24</v>
      </c>
      <c r="F29" s="45">
        <v>2.86</v>
      </c>
      <c r="G29" s="45">
        <f t="shared" si="1"/>
        <v>68.64</v>
      </c>
      <c r="H29" s="45" t="s">
        <v>15</v>
      </c>
      <c r="I29" s="46" t="s">
        <v>541</v>
      </c>
      <c r="J29" s="17" t="s">
        <v>16</v>
      </c>
    </row>
    <row r="30" s="50" customFormat="1" ht="14.25" customHeight="1" spans="1:10">
      <c r="A30" s="45" t="s">
        <v>541</v>
      </c>
      <c r="B30" s="45" t="s">
        <v>542</v>
      </c>
      <c r="C30" s="64" t="s">
        <v>544</v>
      </c>
      <c r="D30" s="45" t="s">
        <v>461</v>
      </c>
      <c r="E30" s="61">
        <v>24</v>
      </c>
      <c r="F30" s="45">
        <v>2.86</v>
      </c>
      <c r="G30" s="45">
        <f t="shared" si="1"/>
        <v>68.64</v>
      </c>
      <c r="H30" s="45" t="s">
        <v>15</v>
      </c>
      <c r="I30" s="46" t="s">
        <v>541</v>
      </c>
      <c r="J30" s="17" t="s">
        <v>16</v>
      </c>
    </row>
    <row r="31" s="50" customFormat="1" ht="14.25" customHeight="1" spans="1:10">
      <c r="A31" s="45" t="s">
        <v>545</v>
      </c>
      <c r="B31" s="45" t="s">
        <v>546</v>
      </c>
      <c r="C31" s="64" t="s">
        <v>547</v>
      </c>
      <c r="D31" s="45" t="s">
        <v>461</v>
      </c>
      <c r="E31" s="61">
        <v>2</v>
      </c>
      <c r="F31" s="45">
        <v>5.72</v>
      </c>
      <c r="G31" s="45">
        <f t="shared" si="1"/>
        <v>11.44</v>
      </c>
      <c r="H31" s="45" t="s">
        <v>15</v>
      </c>
      <c r="I31" s="46" t="s">
        <v>545</v>
      </c>
      <c r="J31" s="17" t="s">
        <v>16</v>
      </c>
    </row>
    <row r="32" s="50" customFormat="1" ht="108" spans="1:10">
      <c r="A32" s="45" t="s">
        <v>548</v>
      </c>
      <c r="B32" s="45" t="s">
        <v>549</v>
      </c>
      <c r="C32" s="64" t="s">
        <v>550</v>
      </c>
      <c r="D32" s="45"/>
      <c r="E32" s="61">
        <v>1</v>
      </c>
      <c r="F32" s="45">
        <v>80</v>
      </c>
      <c r="G32" s="45">
        <f t="shared" ref="G32:G57" si="2">F32*E32</f>
        <v>80</v>
      </c>
      <c r="H32" s="45" t="s">
        <v>15</v>
      </c>
      <c r="I32" s="46" t="s">
        <v>548</v>
      </c>
      <c r="J32" s="17" t="s">
        <v>16</v>
      </c>
    </row>
    <row r="33" s="50" customFormat="1" ht="36" spans="1:10">
      <c r="A33" s="45" t="s">
        <v>551</v>
      </c>
      <c r="B33" s="45" t="s">
        <v>552</v>
      </c>
      <c r="C33" s="64" t="s">
        <v>553</v>
      </c>
      <c r="D33" s="45"/>
      <c r="E33" s="61">
        <v>1</v>
      </c>
      <c r="F33" s="45">
        <v>147.5</v>
      </c>
      <c r="G33" s="45">
        <f t="shared" si="2"/>
        <v>147.5</v>
      </c>
      <c r="H33" s="45" t="s">
        <v>15</v>
      </c>
      <c r="I33" s="46">
        <v>33302</v>
      </c>
      <c r="J33" s="17" t="s">
        <v>16</v>
      </c>
    </row>
    <row r="34" s="50" customFormat="1" ht="144" spans="1:10">
      <c r="A34" s="45" t="s">
        <v>554</v>
      </c>
      <c r="B34" s="45" t="s">
        <v>555</v>
      </c>
      <c r="C34" s="64" t="s">
        <v>556</v>
      </c>
      <c r="D34" s="45"/>
      <c r="E34" s="61">
        <v>1</v>
      </c>
      <c r="F34" s="45">
        <v>80</v>
      </c>
      <c r="G34" s="45">
        <f t="shared" si="2"/>
        <v>80</v>
      </c>
      <c r="H34" s="45" t="s">
        <v>15</v>
      </c>
      <c r="I34" s="46">
        <v>33303</v>
      </c>
      <c r="J34" s="17" t="s">
        <v>16</v>
      </c>
    </row>
    <row r="35" s="50" customFormat="1" ht="36" spans="1:10">
      <c r="A35" s="45" t="s">
        <v>557</v>
      </c>
      <c r="B35" s="65" t="s">
        <v>558</v>
      </c>
      <c r="C35" s="64" t="s">
        <v>559</v>
      </c>
      <c r="D35" s="45"/>
      <c r="E35" s="61">
        <v>24</v>
      </c>
      <c r="F35" s="45">
        <v>48</v>
      </c>
      <c r="G35" s="45">
        <f t="shared" si="2"/>
        <v>1152</v>
      </c>
      <c r="H35" s="45" t="s">
        <v>15</v>
      </c>
      <c r="I35" s="46">
        <v>33305</v>
      </c>
      <c r="J35" s="17" t="s">
        <v>16</v>
      </c>
    </row>
    <row r="36" s="50" customFormat="1" ht="156" spans="1:10">
      <c r="A36" s="45" t="s">
        <v>560</v>
      </c>
      <c r="B36" s="45" t="s">
        <v>561</v>
      </c>
      <c r="C36" s="64" t="s">
        <v>562</v>
      </c>
      <c r="D36" s="45"/>
      <c r="E36" s="61">
        <v>1</v>
      </c>
      <c r="F36" s="45">
        <v>108.5</v>
      </c>
      <c r="G36" s="45">
        <f t="shared" si="2"/>
        <v>108.5</v>
      </c>
      <c r="H36" s="45" t="s">
        <v>15</v>
      </c>
      <c r="I36" s="46" t="s">
        <v>560</v>
      </c>
      <c r="J36" s="17" t="s">
        <v>16</v>
      </c>
    </row>
    <row r="37" s="50" customFormat="1" ht="84" spans="1:10">
      <c r="A37" s="45" t="s">
        <v>563</v>
      </c>
      <c r="B37" s="45" t="s">
        <v>564</v>
      </c>
      <c r="C37" s="64" t="s">
        <v>565</v>
      </c>
      <c r="D37" s="45"/>
      <c r="E37" s="61">
        <v>24</v>
      </c>
      <c r="F37" s="45">
        <v>22.75</v>
      </c>
      <c r="G37" s="45">
        <f t="shared" si="2"/>
        <v>546</v>
      </c>
      <c r="H37" s="45" t="s">
        <v>15</v>
      </c>
      <c r="I37" s="46" t="s">
        <v>563</v>
      </c>
      <c r="J37" s="17" t="s">
        <v>16</v>
      </c>
    </row>
    <row r="38" s="50" customFormat="1" ht="14.25" customHeight="1" spans="1:10">
      <c r="A38" s="45" t="s">
        <v>566</v>
      </c>
      <c r="B38" s="45" t="s">
        <v>567</v>
      </c>
      <c r="C38" s="64" t="s">
        <v>568</v>
      </c>
      <c r="D38" s="45" t="s">
        <v>531</v>
      </c>
      <c r="E38" s="61">
        <v>24</v>
      </c>
      <c r="F38" s="45">
        <v>2.25</v>
      </c>
      <c r="G38" s="45">
        <f t="shared" si="2"/>
        <v>54</v>
      </c>
      <c r="H38" s="45" t="s">
        <v>569</v>
      </c>
      <c r="I38" s="46">
        <v>43208</v>
      </c>
      <c r="J38" s="17" t="s">
        <v>570</v>
      </c>
    </row>
    <row r="39" s="50" customFormat="1" ht="14.25" customHeight="1" spans="1:10">
      <c r="A39" s="45" t="s">
        <v>571</v>
      </c>
      <c r="B39" s="45" t="s">
        <v>572</v>
      </c>
      <c r="C39" s="64" t="s">
        <v>573</v>
      </c>
      <c r="D39" s="45" t="s">
        <v>531</v>
      </c>
      <c r="E39" s="61">
        <v>24</v>
      </c>
      <c r="F39" s="45">
        <v>2.25</v>
      </c>
      <c r="G39" s="45">
        <f t="shared" si="2"/>
        <v>54</v>
      </c>
      <c r="H39" s="45" t="s">
        <v>569</v>
      </c>
      <c r="I39" s="46" t="s">
        <v>571</v>
      </c>
      <c r="J39" s="17" t="s">
        <v>570</v>
      </c>
    </row>
    <row r="40" s="50" customFormat="1" ht="14.25" customHeight="1" spans="1:10">
      <c r="A40" s="45" t="s">
        <v>574</v>
      </c>
      <c r="B40" s="45" t="s">
        <v>575</v>
      </c>
      <c r="C40" s="64" t="s">
        <v>576</v>
      </c>
      <c r="D40" s="45" t="s">
        <v>531</v>
      </c>
      <c r="E40" s="61">
        <v>24</v>
      </c>
      <c r="F40" s="45">
        <v>2.25</v>
      </c>
      <c r="G40" s="45">
        <f t="shared" si="2"/>
        <v>54</v>
      </c>
      <c r="H40" s="45" t="s">
        <v>569</v>
      </c>
      <c r="I40" s="46">
        <v>43211</v>
      </c>
      <c r="J40" s="17" t="s">
        <v>570</v>
      </c>
    </row>
    <row r="41" s="50" customFormat="1" ht="14.25" customHeight="1" spans="1:10">
      <c r="A41" s="45" t="s">
        <v>577</v>
      </c>
      <c r="B41" s="45" t="s">
        <v>578</v>
      </c>
      <c r="C41" s="64" t="s">
        <v>579</v>
      </c>
      <c r="D41" s="45" t="s">
        <v>531</v>
      </c>
      <c r="E41" s="61">
        <v>24</v>
      </c>
      <c r="F41" s="45">
        <v>2.25</v>
      </c>
      <c r="G41" s="45">
        <f t="shared" si="2"/>
        <v>54</v>
      </c>
      <c r="H41" s="45" t="s">
        <v>569</v>
      </c>
      <c r="I41" s="46">
        <v>43224</v>
      </c>
      <c r="J41" s="17" t="s">
        <v>570</v>
      </c>
    </row>
    <row r="42" s="50" customFormat="1" ht="14.25" customHeight="1" spans="1:10">
      <c r="A42" s="45" t="s">
        <v>580</v>
      </c>
      <c r="B42" s="45" t="s">
        <v>581</v>
      </c>
      <c r="C42" s="64" t="s">
        <v>582</v>
      </c>
      <c r="D42" s="45" t="s">
        <v>531</v>
      </c>
      <c r="E42" s="61">
        <v>24</v>
      </c>
      <c r="F42" s="45">
        <v>2.25</v>
      </c>
      <c r="G42" s="45">
        <f t="shared" si="2"/>
        <v>54</v>
      </c>
      <c r="H42" s="45" t="s">
        <v>569</v>
      </c>
      <c r="I42" s="46">
        <v>43305</v>
      </c>
      <c r="J42" s="17" t="s">
        <v>570</v>
      </c>
    </row>
    <row r="43" s="50" customFormat="1" ht="14.25" customHeight="1" spans="1:10">
      <c r="A43" s="45" t="s">
        <v>583</v>
      </c>
      <c r="B43" s="45" t="s">
        <v>584</v>
      </c>
      <c r="C43" s="64" t="s">
        <v>585</v>
      </c>
      <c r="D43" s="45" t="s">
        <v>531</v>
      </c>
      <c r="E43" s="61">
        <v>24</v>
      </c>
      <c r="F43" s="45">
        <v>2.25</v>
      </c>
      <c r="G43" s="45">
        <f t="shared" si="2"/>
        <v>54</v>
      </c>
      <c r="H43" s="45" t="s">
        <v>569</v>
      </c>
      <c r="I43" s="46">
        <v>43307</v>
      </c>
      <c r="J43" s="17" t="s">
        <v>570</v>
      </c>
    </row>
    <row r="44" s="50" customFormat="1" ht="14.25" customHeight="1" spans="1:10">
      <c r="A44" s="45" t="s">
        <v>586</v>
      </c>
      <c r="B44" s="45" t="s">
        <v>587</v>
      </c>
      <c r="C44" s="64" t="s">
        <v>588</v>
      </c>
      <c r="D44" s="45" t="s">
        <v>531</v>
      </c>
      <c r="E44" s="61">
        <v>24</v>
      </c>
      <c r="F44" s="45">
        <v>4.5</v>
      </c>
      <c r="G44" s="45">
        <f t="shared" si="2"/>
        <v>108</v>
      </c>
      <c r="H44" s="45" t="s">
        <v>569</v>
      </c>
      <c r="I44" s="46">
        <v>43312</v>
      </c>
      <c r="J44" s="17" t="s">
        <v>570</v>
      </c>
    </row>
    <row r="45" s="50" customFormat="1" ht="27" customHeight="1" spans="1:10">
      <c r="A45" s="45" t="s">
        <v>589</v>
      </c>
      <c r="B45" s="65" t="s">
        <v>590</v>
      </c>
      <c r="C45" s="64" t="s">
        <v>591</v>
      </c>
      <c r="D45" s="45" t="s">
        <v>531</v>
      </c>
      <c r="E45" s="61">
        <v>24</v>
      </c>
      <c r="F45" s="45">
        <v>9</v>
      </c>
      <c r="G45" s="45">
        <f t="shared" si="2"/>
        <v>216</v>
      </c>
      <c r="H45" s="45" t="s">
        <v>569</v>
      </c>
      <c r="I45" s="46" t="s">
        <v>589</v>
      </c>
      <c r="J45" s="17" t="s">
        <v>570</v>
      </c>
    </row>
    <row r="46" s="50" customFormat="1" ht="14.25" customHeight="1" spans="1:10">
      <c r="A46" s="45" t="s">
        <v>592</v>
      </c>
      <c r="B46" s="45" t="s">
        <v>593</v>
      </c>
      <c r="C46" s="64" t="s">
        <v>594</v>
      </c>
      <c r="D46" s="45" t="s">
        <v>531</v>
      </c>
      <c r="E46" s="61">
        <v>24</v>
      </c>
      <c r="F46" s="45">
        <v>6.75</v>
      </c>
      <c r="G46" s="45">
        <f t="shared" si="2"/>
        <v>162</v>
      </c>
      <c r="H46" s="45" t="s">
        <v>569</v>
      </c>
      <c r="I46" s="46">
        <v>43405</v>
      </c>
      <c r="J46" s="17" t="s">
        <v>570</v>
      </c>
    </row>
    <row r="47" s="50" customFormat="1" ht="14.25" customHeight="1" spans="1:10">
      <c r="A47" s="45" t="s">
        <v>595</v>
      </c>
      <c r="B47" s="45" t="s">
        <v>596</v>
      </c>
      <c r="C47" s="64" t="s">
        <v>597</v>
      </c>
      <c r="D47" s="45" t="s">
        <v>531</v>
      </c>
      <c r="E47" s="61">
        <v>24</v>
      </c>
      <c r="F47" s="45">
        <v>6.75</v>
      </c>
      <c r="G47" s="45">
        <f t="shared" si="2"/>
        <v>162</v>
      </c>
      <c r="H47" s="45" t="s">
        <v>569</v>
      </c>
      <c r="I47" s="46">
        <v>43414</v>
      </c>
      <c r="J47" s="17" t="s">
        <v>570</v>
      </c>
    </row>
    <row r="48" s="50" customFormat="1" ht="14.25" customHeight="1" spans="1:10">
      <c r="A48" s="45" t="s">
        <v>598</v>
      </c>
      <c r="B48" s="45" t="s">
        <v>599</v>
      </c>
      <c r="C48" s="64" t="s">
        <v>588</v>
      </c>
      <c r="D48" s="45" t="s">
        <v>531</v>
      </c>
      <c r="E48" s="61">
        <v>24</v>
      </c>
      <c r="F48" s="45">
        <v>4.5</v>
      </c>
      <c r="G48" s="45">
        <f t="shared" si="2"/>
        <v>108</v>
      </c>
      <c r="H48" s="45" t="s">
        <v>569</v>
      </c>
      <c r="I48" s="46">
        <v>43415</v>
      </c>
      <c r="J48" s="17" t="s">
        <v>570</v>
      </c>
    </row>
    <row r="49" s="50" customFormat="1" ht="14.25" customHeight="1" spans="1:10">
      <c r="A49" s="45" t="s">
        <v>600</v>
      </c>
      <c r="B49" s="45" t="s">
        <v>601</v>
      </c>
      <c r="C49" s="64" t="s">
        <v>602</v>
      </c>
      <c r="D49" s="45" t="s">
        <v>531</v>
      </c>
      <c r="E49" s="61">
        <v>24</v>
      </c>
      <c r="F49" s="45">
        <v>4.5</v>
      </c>
      <c r="G49" s="45">
        <f t="shared" si="2"/>
        <v>108</v>
      </c>
      <c r="H49" s="45" t="s">
        <v>569</v>
      </c>
      <c r="I49" s="46" t="s">
        <v>600</v>
      </c>
      <c r="J49" s="17" t="s">
        <v>570</v>
      </c>
    </row>
    <row r="50" s="50" customFormat="1" ht="14.25" customHeight="1" spans="1:10">
      <c r="A50" s="45" t="s">
        <v>603</v>
      </c>
      <c r="B50" s="65" t="s">
        <v>604</v>
      </c>
      <c r="C50" s="64" t="s">
        <v>605</v>
      </c>
      <c r="D50" s="45" t="s">
        <v>531</v>
      </c>
      <c r="E50" s="61">
        <v>24</v>
      </c>
      <c r="F50" s="45">
        <v>2.25</v>
      </c>
      <c r="G50" s="45">
        <f t="shared" si="2"/>
        <v>54</v>
      </c>
      <c r="H50" s="45" t="s">
        <v>569</v>
      </c>
      <c r="I50" s="46">
        <v>43508</v>
      </c>
      <c r="J50" s="17" t="s">
        <v>570</v>
      </c>
    </row>
    <row r="51" s="50" customFormat="1" ht="14.25" customHeight="1" spans="1:10">
      <c r="A51" s="45" t="s">
        <v>606</v>
      </c>
      <c r="B51" s="65" t="s">
        <v>607</v>
      </c>
      <c r="C51" s="64" t="s">
        <v>608</v>
      </c>
      <c r="D51" s="45" t="s">
        <v>531</v>
      </c>
      <c r="E51" s="61">
        <v>24</v>
      </c>
      <c r="F51" s="45">
        <v>2.25</v>
      </c>
      <c r="G51" s="45">
        <f t="shared" si="2"/>
        <v>54</v>
      </c>
      <c r="H51" s="45" t="s">
        <v>569</v>
      </c>
      <c r="I51" s="46">
        <v>43509</v>
      </c>
      <c r="J51" s="17" t="s">
        <v>570</v>
      </c>
    </row>
    <row r="52" s="50" customFormat="1" ht="14.25" customHeight="1" spans="1:10">
      <c r="A52" s="45" t="s">
        <v>609</v>
      </c>
      <c r="B52" s="65" t="s">
        <v>610</v>
      </c>
      <c r="C52" s="64" t="s">
        <v>611</v>
      </c>
      <c r="D52" s="45" t="s">
        <v>531</v>
      </c>
      <c r="E52" s="61">
        <v>24</v>
      </c>
      <c r="F52" s="45">
        <v>2.25</v>
      </c>
      <c r="G52" s="45">
        <f t="shared" si="2"/>
        <v>54</v>
      </c>
      <c r="H52" s="45" t="s">
        <v>569</v>
      </c>
      <c r="I52" s="46">
        <v>43510</v>
      </c>
      <c r="J52" s="17" t="s">
        <v>570</v>
      </c>
    </row>
    <row r="53" s="50" customFormat="1" ht="14.25" customHeight="1" spans="1:10">
      <c r="A53" s="45" t="s">
        <v>612</v>
      </c>
      <c r="B53" s="65" t="s">
        <v>613</v>
      </c>
      <c r="C53" s="64" t="s">
        <v>614</v>
      </c>
      <c r="D53" s="45" t="s">
        <v>531</v>
      </c>
      <c r="E53" s="61">
        <v>24</v>
      </c>
      <c r="F53" s="45">
        <v>2.25</v>
      </c>
      <c r="G53" s="45">
        <f t="shared" si="2"/>
        <v>54</v>
      </c>
      <c r="H53" s="45" t="s">
        <v>569</v>
      </c>
      <c r="I53" s="46">
        <v>43511</v>
      </c>
      <c r="J53" s="17" t="s">
        <v>570</v>
      </c>
    </row>
    <row r="54" s="50" customFormat="1" ht="14.25" customHeight="1" spans="1:10">
      <c r="A54" s="45" t="s">
        <v>615</v>
      </c>
      <c r="B54" s="65" t="s">
        <v>616</v>
      </c>
      <c r="C54" s="64" t="s">
        <v>597</v>
      </c>
      <c r="D54" s="45" t="s">
        <v>531</v>
      </c>
      <c r="E54" s="61">
        <v>24</v>
      </c>
      <c r="F54" s="45">
        <v>4.5</v>
      </c>
      <c r="G54" s="45">
        <f t="shared" si="2"/>
        <v>108</v>
      </c>
      <c r="H54" s="45" t="s">
        <v>569</v>
      </c>
      <c r="I54" s="46">
        <v>43525</v>
      </c>
      <c r="J54" s="17" t="s">
        <v>570</v>
      </c>
    </row>
    <row r="55" s="50" customFormat="1" ht="14.25" customHeight="1" spans="1:10">
      <c r="A55" s="45" t="s">
        <v>617</v>
      </c>
      <c r="B55" s="65" t="s">
        <v>618</v>
      </c>
      <c r="C55" s="64" t="s">
        <v>619</v>
      </c>
      <c r="D55" s="45" t="s">
        <v>531</v>
      </c>
      <c r="E55" s="61">
        <v>24</v>
      </c>
      <c r="F55" s="45">
        <v>9</v>
      </c>
      <c r="G55" s="45">
        <f t="shared" si="2"/>
        <v>216</v>
      </c>
      <c r="H55" s="45" t="s">
        <v>569</v>
      </c>
      <c r="I55" s="46">
        <v>43603</v>
      </c>
      <c r="J55" s="17" t="s">
        <v>570</v>
      </c>
    </row>
    <row r="56" s="50" customFormat="1" ht="14.25" customHeight="1" spans="1:10">
      <c r="A56" s="45" t="s">
        <v>620</v>
      </c>
      <c r="B56" s="65" t="s">
        <v>621</v>
      </c>
      <c r="C56" s="64" t="s">
        <v>597</v>
      </c>
      <c r="D56" s="45" t="s">
        <v>531</v>
      </c>
      <c r="E56" s="61">
        <v>24</v>
      </c>
      <c r="F56" s="45">
        <v>6.75</v>
      </c>
      <c r="G56" s="45">
        <f t="shared" si="2"/>
        <v>162</v>
      </c>
      <c r="H56" s="45" t="s">
        <v>569</v>
      </c>
      <c r="I56" s="46" t="s">
        <v>620</v>
      </c>
      <c r="J56" s="17" t="s">
        <v>570</v>
      </c>
    </row>
    <row r="57" s="50" customFormat="1" ht="14.25" customHeight="1" spans="1:10">
      <c r="A57" s="45" t="s">
        <v>622</v>
      </c>
      <c r="B57" s="65" t="s">
        <v>623</v>
      </c>
      <c r="C57" s="64" t="s">
        <v>588</v>
      </c>
      <c r="D57" s="45" t="s">
        <v>531</v>
      </c>
      <c r="E57" s="61">
        <v>24</v>
      </c>
      <c r="F57" s="45">
        <v>6.75</v>
      </c>
      <c r="G57" s="45">
        <f t="shared" si="2"/>
        <v>162</v>
      </c>
      <c r="H57" s="45" t="s">
        <v>569</v>
      </c>
      <c r="I57" s="46">
        <v>43605</v>
      </c>
      <c r="J57" s="17" t="s">
        <v>570</v>
      </c>
    </row>
    <row r="58" s="50" customFormat="1" ht="14.25" customHeight="1" spans="1:10">
      <c r="A58" s="66">
        <v>60001</v>
      </c>
      <c r="B58" s="65" t="s">
        <v>221</v>
      </c>
      <c r="C58" s="64" t="s">
        <v>222</v>
      </c>
      <c r="D58" s="45" t="s">
        <v>24</v>
      </c>
      <c r="E58" s="61">
        <v>24</v>
      </c>
      <c r="F58" s="45">
        <v>4</v>
      </c>
      <c r="G58" s="45">
        <f t="shared" ref="G58:G64" si="3">F58*E58</f>
        <v>96</v>
      </c>
      <c r="H58" s="45" t="s">
        <v>15</v>
      </c>
      <c r="I58" s="46">
        <v>60001</v>
      </c>
      <c r="J58" s="17" t="s">
        <v>16</v>
      </c>
    </row>
    <row r="59" s="50" customFormat="1" ht="14.25" customHeight="1" spans="1:10">
      <c r="A59" s="66">
        <v>60001</v>
      </c>
      <c r="B59" s="65" t="s">
        <v>221</v>
      </c>
      <c r="C59" s="64" t="s">
        <v>224</v>
      </c>
      <c r="D59" s="45" t="s">
        <v>24</v>
      </c>
      <c r="E59" s="61">
        <v>24</v>
      </c>
      <c r="F59" s="45">
        <v>4.5</v>
      </c>
      <c r="G59" s="45">
        <f t="shared" si="3"/>
        <v>108</v>
      </c>
      <c r="H59" s="45" t="s">
        <v>15</v>
      </c>
      <c r="I59" s="46">
        <v>60001</v>
      </c>
      <c r="J59" s="17" t="s">
        <v>16</v>
      </c>
    </row>
    <row r="60" s="50" customFormat="1" ht="14.25" customHeight="1" spans="1:10">
      <c r="A60" s="66">
        <v>60001</v>
      </c>
      <c r="B60" s="65" t="s">
        <v>221</v>
      </c>
      <c r="C60" s="64" t="s">
        <v>225</v>
      </c>
      <c r="D60" s="45" t="s">
        <v>24</v>
      </c>
      <c r="E60" s="61">
        <v>24</v>
      </c>
      <c r="F60" s="45">
        <v>5</v>
      </c>
      <c r="G60" s="45">
        <f t="shared" si="3"/>
        <v>120</v>
      </c>
      <c r="H60" s="45" t="s">
        <v>15</v>
      </c>
      <c r="I60" s="46">
        <v>60001</v>
      </c>
      <c r="J60" s="17" t="s">
        <v>16</v>
      </c>
    </row>
    <row r="61" s="50" customFormat="1" ht="14.25" customHeight="1" spans="1:10">
      <c r="A61" s="66">
        <v>60001</v>
      </c>
      <c r="B61" s="65" t="s">
        <v>221</v>
      </c>
      <c r="C61" s="64" t="s">
        <v>226</v>
      </c>
      <c r="D61" s="45" t="s">
        <v>24</v>
      </c>
      <c r="E61" s="61">
        <v>24</v>
      </c>
      <c r="F61" s="45">
        <v>8</v>
      </c>
      <c r="G61" s="45">
        <f t="shared" si="3"/>
        <v>192</v>
      </c>
      <c r="H61" s="45" t="s">
        <v>15</v>
      </c>
      <c r="I61" s="46">
        <v>60001</v>
      </c>
      <c r="J61" s="17" t="s">
        <v>16</v>
      </c>
    </row>
    <row r="62" s="50" customFormat="1" ht="14.25" customHeight="1" spans="1:10">
      <c r="A62" s="66">
        <v>60001</v>
      </c>
      <c r="B62" s="65" t="s">
        <v>221</v>
      </c>
      <c r="C62" s="64" t="s">
        <v>227</v>
      </c>
      <c r="D62" s="45" t="s">
        <v>24</v>
      </c>
      <c r="E62" s="61">
        <v>5</v>
      </c>
      <c r="F62" s="45">
        <v>13.7</v>
      </c>
      <c r="G62" s="45">
        <f t="shared" si="3"/>
        <v>68.5</v>
      </c>
      <c r="H62" s="45" t="s">
        <v>15</v>
      </c>
      <c r="I62" s="46">
        <v>60001</v>
      </c>
      <c r="J62" s="17" t="s">
        <v>16</v>
      </c>
    </row>
    <row r="63" s="50" customFormat="1" ht="14.25" customHeight="1" spans="1:10">
      <c r="A63" s="66">
        <v>60001</v>
      </c>
      <c r="B63" s="65" t="s">
        <v>221</v>
      </c>
      <c r="C63" s="64" t="s">
        <v>228</v>
      </c>
      <c r="D63" s="45" t="s">
        <v>24</v>
      </c>
      <c r="E63" s="61">
        <v>5</v>
      </c>
      <c r="F63" s="45">
        <v>25</v>
      </c>
      <c r="G63" s="45">
        <f t="shared" si="3"/>
        <v>125</v>
      </c>
      <c r="H63" s="45" t="s">
        <v>15</v>
      </c>
      <c r="I63" s="46">
        <v>60001</v>
      </c>
      <c r="J63" s="17" t="s">
        <v>16</v>
      </c>
    </row>
    <row r="64" s="50" customFormat="1" ht="14.25" customHeight="1" spans="1:10">
      <c r="A64" s="66" t="s">
        <v>231</v>
      </c>
      <c r="B64" s="65" t="s">
        <v>232</v>
      </c>
      <c r="C64" s="64" t="s">
        <v>226</v>
      </c>
      <c r="D64" s="45" t="s">
        <v>24</v>
      </c>
      <c r="E64" s="61">
        <v>5</v>
      </c>
      <c r="F64" s="45">
        <v>5.7</v>
      </c>
      <c r="G64" s="45">
        <f t="shared" si="3"/>
        <v>28.5</v>
      </c>
      <c r="H64" s="45" t="s">
        <v>15</v>
      </c>
      <c r="I64" s="46">
        <v>60023</v>
      </c>
      <c r="J64" s="17" t="s">
        <v>16</v>
      </c>
    </row>
    <row r="65" s="50" customFormat="1" ht="14.25" customHeight="1" spans="1:10">
      <c r="A65" s="66" t="s">
        <v>239</v>
      </c>
      <c r="B65" s="65" t="s">
        <v>237</v>
      </c>
      <c r="C65" s="64" t="s">
        <v>240</v>
      </c>
      <c r="D65" s="45" t="s">
        <v>24</v>
      </c>
      <c r="E65" s="61">
        <v>200</v>
      </c>
      <c r="F65" s="45">
        <v>0.8008</v>
      </c>
      <c r="G65" s="45">
        <f t="shared" ref="G65:G71" si="4">F65*E65</f>
        <v>160.16</v>
      </c>
      <c r="H65" s="45" t="s">
        <v>15</v>
      </c>
      <c r="I65" s="46">
        <v>61001</v>
      </c>
      <c r="J65" s="17" t="s">
        <v>16</v>
      </c>
    </row>
    <row r="66" s="50" customFormat="1" ht="14.25" customHeight="1" spans="1:10">
      <c r="A66" s="66" t="s">
        <v>256</v>
      </c>
      <c r="B66" s="65" t="s">
        <v>257</v>
      </c>
      <c r="C66" s="64" t="s">
        <v>225</v>
      </c>
      <c r="D66" s="45" t="s">
        <v>24</v>
      </c>
      <c r="E66" s="61">
        <v>200</v>
      </c>
      <c r="F66" s="45">
        <v>3.4</v>
      </c>
      <c r="G66" s="45">
        <f t="shared" si="4"/>
        <v>680</v>
      </c>
      <c r="H66" s="45" t="s">
        <v>15</v>
      </c>
      <c r="I66" s="46">
        <v>61020</v>
      </c>
      <c r="J66" s="17" t="s">
        <v>16</v>
      </c>
    </row>
    <row r="67" s="50" customFormat="1" ht="14.25" customHeight="1" spans="1:10">
      <c r="A67" s="66" t="s">
        <v>256</v>
      </c>
      <c r="B67" s="65" t="s">
        <v>257</v>
      </c>
      <c r="C67" s="64" t="s">
        <v>226</v>
      </c>
      <c r="D67" s="45" t="s">
        <v>24</v>
      </c>
      <c r="E67" s="61">
        <v>100</v>
      </c>
      <c r="F67" s="45">
        <v>4</v>
      </c>
      <c r="G67" s="45">
        <f t="shared" si="4"/>
        <v>400</v>
      </c>
      <c r="H67" s="45" t="s">
        <v>15</v>
      </c>
      <c r="I67" s="46">
        <v>61020</v>
      </c>
      <c r="J67" s="17" t="s">
        <v>16</v>
      </c>
    </row>
    <row r="68" s="50" customFormat="1" ht="14.25" customHeight="1" spans="1:10">
      <c r="A68" s="66" t="s">
        <v>256</v>
      </c>
      <c r="B68" s="65" t="s">
        <v>257</v>
      </c>
      <c r="C68" s="64" t="s">
        <v>67</v>
      </c>
      <c r="D68" s="45" t="s">
        <v>24</v>
      </c>
      <c r="E68" s="61">
        <v>48</v>
      </c>
      <c r="F68" s="45">
        <v>5.7</v>
      </c>
      <c r="G68" s="45">
        <f t="shared" si="4"/>
        <v>273.6</v>
      </c>
      <c r="H68" s="45" t="s">
        <v>15</v>
      </c>
      <c r="I68" s="46">
        <v>61020</v>
      </c>
      <c r="J68" s="17" t="s">
        <v>16</v>
      </c>
    </row>
    <row r="69" s="50" customFormat="1" ht="14.25" customHeight="1" spans="1:10">
      <c r="A69" s="66" t="s">
        <v>256</v>
      </c>
      <c r="B69" s="65" t="s">
        <v>257</v>
      </c>
      <c r="C69" s="64" t="s">
        <v>227</v>
      </c>
      <c r="D69" s="45" t="s">
        <v>24</v>
      </c>
      <c r="E69" s="61">
        <v>20</v>
      </c>
      <c r="F69" s="45">
        <v>9</v>
      </c>
      <c r="G69" s="45">
        <f t="shared" si="4"/>
        <v>180</v>
      </c>
      <c r="H69" s="45" t="s">
        <v>15</v>
      </c>
      <c r="I69" s="46">
        <v>61020</v>
      </c>
      <c r="J69" s="17" t="s">
        <v>16</v>
      </c>
    </row>
    <row r="70" s="50" customFormat="1" ht="14.25" customHeight="1" spans="1:10">
      <c r="A70" s="66" t="s">
        <v>256</v>
      </c>
      <c r="B70" s="65" t="s">
        <v>257</v>
      </c>
      <c r="C70" s="64" t="s">
        <v>228</v>
      </c>
      <c r="D70" s="45" t="s">
        <v>24</v>
      </c>
      <c r="E70" s="61">
        <v>20</v>
      </c>
      <c r="F70" s="45">
        <v>13.5</v>
      </c>
      <c r="G70" s="45">
        <f t="shared" si="4"/>
        <v>270</v>
      </c>
      <c r="H70" s="45" t="s">
        <v>15</v>
      </c>
      <c r="I70" s="46">
        <v>61020</v>
      </c>
      <c r="J70" s="17" t="s">
        <v>16</v>
      </c>
    </row>
    <row r="71" s="50" customFormat="1" ht="17.1" customHeight="1" spans="1:10">
      <c r="A71" s="66" t="s">
        <v>265</v>
      </c>
      <c r="B71" s="65" t="s">
        <v>266</v>
      </c>
      <c r="C71" s="64" t="s">
        <v>225</v>
      </c>
      <c r="D71" s="45" t="s">
        <v>24</v>
      </c>
      <c r="E71" s="61">
        <v>100</v>
      </c>
      <c r="F71" s="45">
        <v>5.1</v>
      </c>
      <c r="G71" s="45">
        <f t="shared" si="4"/>
        <v>510</v>
      </c>
      <c r="H71" s="45" t="s">
        <v>15</v>
      </c>
      <c r="I71" s="46">
        <v>61041</v>
      </c>
      <c r="J71" s="17" t="s">
        <v>16</v>
      </c>
    </row>
    <row r="72" s="50" customFormat="1" ht="14.25" customHeight="1" spans="1:10">
      <c r="A72" s="66">
        <v>62001</v>
      </c>
      <c r="B72" s="65" t="s">
        <v>269</v>
      </c>
      <c r="C72" s="64" t="s">
        <v>624</v>
      </c>
      <c r="D72" s="45" t="s">
        <v>24</v>
      </c>
      <c r="E72" s="61">
        <v>24</v>
      </c>
      <c r="F72" s="45">
        <v>2.75</v>
      </c>
      <c r="G72" s="45">
        <f t="shared" ref="G72:G87" si="5">F72*E72</f>
        <v>66</v>
      </c>
      <c r="H72" s="45" t="s">
        <v>15</v>
      </c>
      <c r="I72" s="46">
        <v>62001</v>
      </c>
      <c r="J72" s="17" t="s">
        <v>16</v>
      </c>
    </row>
    <row r="73" s="50" customFormat="1" ht="14.25" customHeight="1" spans="1:10">
      <c r="A73" s="66" t="s">
        <v>282</v>
      </c>
      <c r="B73" s="65" t="s">
        <v>283</v>
      </c>
      <c r="C73" s="64" t="s">
        <v>284</v>
      </c>
      <c r="D73" s="45" t="s">
        <v>24</v>
      </c>
      <c r="E73" s="61">
        <v>1</v>
      </c>
      <c r="F73" s="45">
        <v>28.5</v>
      </c>
      <c r="G73" s="45">
        <f t="shared" si="5"/>
        <v>28.5</v>
      </c>
      <c r="H73" s="45" t="s">
        <v>15</v>
      </c>
      <c r="I73" s="46">
        <v>62006</v>
      </c>
      <c r="J73" s="17" t="s">
        <v>16</v>
      </c>
    </row>
    <row r="74" s="50" customFormat="1" ht="14.25" customHeight="1" spans="1:10">
      <c r="A74" s="66">
        <v>62020</v>
      </c>
      <c r="B74" s="65" t="s">
        <v>625</v>
      </c>
      <c r="C74" s="64"/>
      <c r="D74" s="45" t="s">
        <v>24</v>
      </c>
      <c r="E74" s="61">
        <v>2</v>
      </c>
      <c r="F74" s="45">
        <v>27.5</v>
      </c>
      <c r="G74" s="45">
        <f t="shared" si="5"/>
        <v>55</v>
      </c>
      <c r="H74" s="45" t="s">
        <v>15</v>
      </c>
      <c r="I74" s="46">
        <v>62020</v>
      </c>
      <c r="J74" s="17" t="s">
        <v>16</v>
      </c>
    </row>
    <row r="75" s="50" customFormat="1" ht="14.25" customHeight="1" spans="1:10">
      <c r="A75" s="66" t="s">
        <v>294</v>
      </c>
      <c r="B75" s="65" t="s">
        <v>295</v>
      </c>
      <c r="C75" s="64" t="s">
        <v>296</v>
      </c>
      <c r="D75" s="45" t="s">
        <v>24</v>
      </c>
      <c r="E75" s="61">
        <v>24</v>
      </c>
      <c r="F75" s="45">
        <v>4.5</v>
      </c>
      <c r="G75" s="45">
        <f t="shared" si="5"/>
        <v>108</v>
      </c>
      <c r="H75" s="45" t="s">
        <v>15</v>
      </c>
      <c r="I75" s="46">
        <v>62031</v>
      </c>
      <c r="J75" s="17" t="s">
        <v>16</v>
      </c>
    </row>
    <row r="76" s="50" customFormat="1" ht="14.25" customHeight="1" spans="1:10">
      <c r="A76" s="66" t="s">
        <v>294</v>
      </c>
      <c r="B76" s="65" t="s">
        <v>295</v>
      </c>
      <c r="C76" s="64" t="s">
        <v>297</v>
      </c>
      <c r="D76" s="45" t="s">
        <v>24</v>
      </c>
      <c r="E76" s="61">
        <v>24</v>
      </c>
      <c r="F76" s="45">
        <v>6.75</v>
      </c>
      <c r="G76" s="45">
        <f t="shared" si="5"/>
        <v>162</v>
      </c>
      <c r="H76" s="45" t="s">
        <v>15</v>
      </c>
      <c r="I76" s="46">
        <v>62031</v>
      </c>
      <c r="J76" s="17" t="s">
        <v>16</v>
      </c>
    </row>
    <row r="77" s="50" customFormat="1" ht="14.25" customHeight="1" spans="1:10">
      <c r="A77" s="66" t="s">
        <v>626</v>
      </c>
      <c r="B77" s="65" t="s">
        <v>627</v>
      </c>
      <c r="C77" s="64"/>
      <c r="D77" s="45" t="s">
        <v>82</v>
      </c>
      <c r="E77" s="61">
        <v>150</v>
      </c>
      <c r="F77" s="45">
        <v>1.15</v>
      </c>
      <c r="G77" s="45">
        <f t="shared" si="5"/>
        <v>172.5</v>
      </c>
      <c r="H77" s="45" t="s">
        <v>15</v>
      </c>
      <c r="I77" s="46">
        <v>62073</v>
      </c>
      <c r="J77" s="17" t="s">
        <v>16</v>
      </c>
    </row>
    <row r="78" s="50" customFormat="1" ht="14.25" customHeight="1" spans="1:10">
      <c r="A78" s="66" t="s">
        <v>628</v>
      </c>
      <c r="B78" s="65" t="s">
        <v>629</v>
      </c>
      <c r="C78" s="64" t="s">
        <v>224</v>
      </c>
      <c r="D78" s="45" t="s">
        <v>82</v>
      </c>
      <c r="E78" s="61">
        <v>100</v>
      </c>
      <c r="F78" s="45">
        <v>4</v>
      </c>
      <c r="G78" s="45">
        <f t="shared" si="5"/>
        <v>400</v>
      </c>
      <c r="H78" s="45" t="s">
        <v>15</v>
      </c>
      <c r="I78" s="46">
        <v>62077</v>
      </c>
      <c r="J78" s="17" t="s">
        <v>16</v>
      </c>
    </row>
    <row r="79" s="50" customFormat="1" ht="14.25" customHeight="1" spans="1:10">
      <c r="A79" s="66">
        <v>63011</v>
      </c>
      <c r="B79" s="65" t="s">
        <v>342</v>
      </c>
      <c r="C79" s="64" t="s">
        <v>67</v>
      </c>
      <c r="D79" s="45" t="s">
        <v>24</v>
      </c>
      <c r="E79" s="61">
        <v>100</v>
      </c>
      <c r="F79" s="45">
        <v>5</v>
      </c>
      <c r="G79" s="45">
        <f t="shared" si="5"/>
        <v>500</v>
      </c>
      <c r="H79" s="45" t="s">
        <v>15</v>
      </c>
      <c r="I79" s="46">
        <v>63012</v>
      </c>
      <c r="J79" s="17" t="s">
        <v>16</v>
      </c>
    </row>
    <row r="80" s="50" customFormat="1" ht="14.25" customHeight="1" spans="1:10">
      <c r="A80" s="66" t="s">
        <v>357</v>
      </c>
      <c r="B80" s="65" t="s">
        <v>358</v>
      </c>
      <c r="C80" s="64" t="s">
        <v>359</v>
      </c>
      <c r="D80" s="45" t="s">
        <v>24</v>
      </c>
      <c r="E80" s="61">
        <v>200</v>
      </c>
      <c r="F80" s="45">
        <v>3.4</v>
      </c>
      <c r="G80" s="45">
        <f t="shared" si="5"/>
        <v>680</v>
      </c>
      <c r="H80" s="45" t="s">
        <v>15</v>
      </c>
      <c r="I80" s="46">
        <v>63041</v>
      </c>
      <c r="J80" s="17" t="s">
        <v>16</v>
      </c>
    </row>
    <row r="81" s="50" customFormat="1" ht="14.25" customHeight="1" spans="1:10">
      <c r="A81" s="66" t="s">
        <v>357</v>
      </c>
      <c r="B81" s="65" t="s">
        <v>358</v>
      </c>
      <c r="C81" s="64" t="s">
        <v>343</v>
      </c>
      <c r="D81" s="45" t="s">
        <v>24</v>
      </c>
      <c r="E81" s="61">
        <v>200</v>
      </c>
      <c r="F81" s="45">
        <v>4.3</v>
      </c>
      <c r="G81" s="45">
        <f t="shared" si="5"/>
        <v>860</v>
      </c>
      <c r="H81" s="45" t="s">
        <v>15</v>
      </c>
      <c r="I81" s="46">
        <v>63041</v>
      </c>
      <c r="J81" s="17" t="s">
        <v>16</v>
      </c>
    </row>
    <row r="82" s="50" customFormat="1" ht="14.25" customHeight="1" spans="1:10">
      <c r="A82" s="66" t="s">
        <v>357</v>
      </c>
      <c r="B82" s="65" t="s">
        <v>358</v>
      </c>
      <c r="C82" s="64" t="s">
        <v>360</v>
      </c>
      <c r="D82" s="45" t="s">
        <v>24</v>
      </c>
      <c r="E82" s="61">
        <v>100</v>
      </c>
      <c r="F82" s="45">
        <v>3.4</v>
      </c>
      <c r="G82" s="45">
        <f t="shared" si="5"/>
        <v>340</v>
      </c>
      <c r="H82" s="45" t="s">
        <v>15</v>
      </c>
      <c r="I82" s="46">
        <v>63041</v>
      </c>
      <c r="J82" s="17" t="s">
        <v>16</v>
      </c>
    </row>
    <row r="83" s="50" customFormat="1" ht="36" spans="1:10">
      <c r="A83" s="66" t="s">
        <v>373</v>
      </c>
      <c r="B83" s="65" t="s">
        <v>374</v>
      </c>
      <c r="C83" s="67" t="s">
        <v>630</v>
      </c>
      <c r="D83" s="45" t="s">
        <v>461</v>
      </c>
      <c r="E83" s="61">
        <v>24</v>
      </c>
      <c r="F83" s="45">
        <v>1.25</v>
      </c>
      <c r="G83" s="45">
        <f t="shared" si="5"/>
        <v>30</v>
      </c>
      <c r="H83" s="45" t="s">
        <v>15</v>
      </c>
      <c r="I83" s="46">
        <v>64006</v>
      </c>
      <c r="J83" s="17" t="s">
        <v>16</v>
      </c>
    </row>
    <row r="84" s="50" customFormat="1" ht="132" spans="1:10">
      <c r="A84" s="66" t="s">
        <v>382</v>
      </c>
      <c r="B84" s="65" t="s">
        <v>383</v>
      </c>
      <c r="C84" s="67" t="s">
        <v>631</v>
      </c>
      <c r="D84" s="45" t="s">
        <v>24</v>
      </c>
      <c r="E84" s="61">
        <v>24</v>
      </c>
      <c r="F84" s="45">
        <v>1.5</v>
      </c>
      <c r="G84" s="45">
        <f t="shared" si="5"/>
        <v>36</v>
      </c>
      <c r="H84" s="45" t="s">
        <v>15</v>
      </c>
      <c r="I84" s="46" t="s">
        <v>382</v>
      </c>
      <c r="J84" s="17" t="s">
        <v>16</v>
      </c>
    </row>
    <row r="85" s="50" customFormat="1" ht="60" spans="1:10">
      <c r="A85" s="66" t="s">
        <v>391</v>
      </c>
      <c r="B85" s="65" t="s">
        <v>392</v>
      </c>
      <c r="C85" s="67" t="s">
        <v>632</v>
      </c>
      <c r="D85" s="45" t="s">
        <v>461</v>
      </c>
      <c r="E85" s="61">
        <v>24</v>
      </c>
      <c r="F85" s="45">
        <v>1.1</v>
      </c>
      <c r="G85" s="45">
        <f t="shared" si="5"/>
        <v>26.4</v>
      </c>
      <c r="H85" s="45" t="s">
        <v>15</v>
      </c>
      <c r="I85" s="46">
        <v>64042</v>
      </c>
      <c r="J85" s="17" t="s">
        <v>16</v>
      </c>
    </row>
    <row r="86" s="50" customFormat="1" ht="14.25" customHeight="1" spans="1:10">
      <c r="A86" s="66" t="s">
        <v>399</v>
      </c>
      <c r="B86" s="65" t="s">
        <v>400</v>
      </c>
      <c r="C86" s="64" t="s">
        <v>633</v>
      </c>
      <c r="D86" s="45" t="s">
        <v>397</v>
      </c>
      <c r="E86" s="61">
        <v>1</v>
      </c>
      <c r="F86" s="45">
        <v>13.5</v>
      </c>
      <c r="G86" s="45">
        <f t="shared" si="5"/>
        <v>13.5</v>
      </c>
      <c r="H86" s="45" t="s">
        <v>15</v>
      </c>
      <c r="I86" s="46">
        <v>64053</v>
      </c>
      <c r="J86" s="17" t="s">
        <v>16</v>
      </c>
    </row>
    <row r="87" s="50" customFormat="1" ht="14.25" customHeight="1" spans="1:10">
      <c r="A87" s="66" t="s">
        <v>427</v>
      </c>
      <c r="B87" s="65" t="s">
        <v>428</v>
      </c>
      <c r="C87" s="64" t="s">
        <v>634</v>
      </c>
      <c r="D87" s="45" t="s">
        <v>24</v>
      </c>
      <c r="E87" s="61">
        <v>24</v>
      </c>
      <c r="F87" s="45">
        <v>4.3</v>
      </c>
      <c r="G87" s="45">
        <f t="shared" si="5"/>
        <v>103.2</v>
      </c>
      <c r="H87" s="45" t="s">
        <v>15</v>
      </c>
      <c r="I87" s="46">
        <v>64086</v>
      </c>
      <c r="J87" s="17" t="s">
        <v>16</v>
      </c>
    </row>
    <row r="88" s="50" customFormat="1" ht="14.25" customHeight="1" spans="1:10">
      <c r="A88" s="66" t="s">
        <v>635</v>
      </c>
      <c r="B88" s="65" t="s">
        <v>636</v>
      </c>
      <c r="C88" s="64" t="s">
        <v>637</v>
      </c>
      <c r="D88" s="45" t="s">
        <v>82</v>
      </c>
      <c r="E88" s="61">
        <v>1</v>
      </c>
      <c r="F88" s="45">
        <v>4.5</v>
      </c>
      <c r="G88" s="45">
        <f t="shared" ref="G88:G100" si="6">F88*E88</f>
        <v>4.5</v>
      </c>
      <c r="H88" s="15" t="s">
        <v>15</v>
      </c>
      <c r="I88" s="27">
        <v>81001</v>
      </c>
      <c r="J88" s="17" t="s">
        <v>16</v>
      </c>
    </row>
    <row r="89" s="50" customFormat="1" ht="14.25" customHeight="1" spans="1:10">
      <c r="A89" s="66" t="s">
        <v>453</v>
      </c>
      <c r="B89" s="65" t="s">
        <v>454</v>
      </c>
      <c r="C89" s="64" t="s">
        <v>638</v>
      </c>
      <c r="D89" s="45" t="s">
        <v>82</v>
      </c>
      <c r="E89" s="61">
        <v>1</v>
      </c>
      <c r="F89" s="45">
        <v>4.5</v>
      </c>
      <c r="G89" s="45">
        <f t="shared" si="6"/>
        <v>4.5</v>
      </c>
      <c r="H89" s="45" t="s">
        <v>15</v>
      </c>
      <c r="I89" s="46">
        <v>81002</v>
      </c>
      <c r="J89" s="17" t="s">
        <v>16</v>
      </c>
    </row>
    <row r="90" s="50" customFormat="1" ht="14.25" customHeight="1" spans="1:10">
      <c r="A90" s="66" t="s">
        <v>456</v>
      </c>
      <c r="B90" s="65" t="s">
        <v>457</v>
      </c>
      <c r="C90" s="64" t="s">
        <v>639</v>
      </c>
      <c r="D90" s="45" t="s">
        <v>82</v>
      </c>
      <c r="E90" s="61">
        <v>1</v>
      </c>
      <c r="F90" s="45">
        <v>4.5</v>
      </c>
      <c r="G90" s="45">
        <f t="shared" si="6"/>
        <v>4.5</v>
      </c>
      <c r="H90" s="45" t="s">
        <v>15</v>
      </c>
      <c r="I90" s="46">
        <v>81003</v>
      </c>
      <c r="J90" s="17" t="s">
        <v>16</v>
      </c>
    </row>
    <row r="91" s="50" customFormat="1" ht="14.25" customHeight="1" spans="1:10">
      <c r="A91" s="66" t="s">
        <v>465</v>
      </c>
      <c r="B91" s="65" t="s">
        <v>640</v>
      </c>
      <c r="C91" s="64" t="s">
        <v>641</v>
      </c>
      <c r="D91" s="45" t="s">
        <v>461</v>
      </c>
      <c r="E91" s="61">
        <v>1</v>
      </c>
      <c r="F91" s="45">
        <v>12.5</v>
      </c>
      <c r="G91" s="45">
        <f t="shared" si="6"/>
        <v>12.5</v>
      </c>
      <c r="H91" s="45" t="s">
        <v>15</v>
      </c>
      <c r="I91" s="46" t="s">
        <v>465</v>
      </c>
      <c r="J91" s="17" t="s">
        <v>16</v>
      </c>
    </row>
    <row r="92" s="50" customFormat="1" ht="14.25" customHeight="1" spans="1:10">
      <c r="A92" s="66" t="s">
        <v>642</v>
      </c>
      <c r="B92" s="65" t="s">
        <v>643</v>
      </c>
      <c r="C92" s="64" t="s">
        <v>644</v>
      </c>
      <c r="D92" s="45" t="s">
        <v>461</v>
      </c>
      <c r="E92" s="61">
        <v>1</v>
      </c>
      <c r="F92" s="45">
        <v>17</v>
      </c>
      <c r="G92" s="45">
        <f t="shared" si="6"/>
        <v>17</v>
      </c>
      <c r="H92" s="45" t="s">
        <v>15</v>
      </c>
      <c r="I92" s="46">
        <v>81012</v>
      </c>
      <c r="J92" s="17" t="s">
        <v>16</v>
      </c>
    </row>
    <row r="93" s="50" customFormat="1" ht="14.25" customHeight="1" spans="1:10">
      <c r="A93" s="66" t="s">
        <v>645</v>
      </c>
      <c r="B93" s="65" t="s">
        <v>646</v>
      </c>
      <c r="C93" s="67" t="s">
        <v>460</v>
      </c>
      <c r="D93" s="45" t="s">
        <v>461</v>
      </c>
      <c r="E93" s="61">
        <v>1</v>
      </c>
      <c r="F93" s="45">
        <v>12.5</v>
      </c>
      <c r="G93" s="45">
        <f t="shared" si="6"/>
        <v>12.5</v>
      </c>
      <c r="H93" s="45" t="s">
        <v>15</v>
      </c>
      <c r="I93" s="46">
        <v>81013</v>
      </c>
      <c r="J93" s="17" t="s">
        <v>16</v>
      </c>
    </row>
    <row r="94" s="50" customFormat="1" ht="14.25" customHeight="1" spans="1:10">
      <c r="A94" s="66" t="s">
        <v>647</v>
      </c>
      <c r="B94" s="65" t="s">
        <v>648</v>
      </c>
      <c r="C94" s="64" t="s">
        <v>649</v>
      </c>
      <c r="D94" s="45" t="s">
        <v>461</v>
      </c>
      <c r="E94" s="61">
        <v>1</v>
      </c>
      <c r="F94" s="45">
        <v>25</v>
      </c>
      <c r="G94" s="45">
        <f t="shared" si="6"/>
        <v>25</v>
      </c>
      <c r="H94" s="45" t="s">
        <v>15</v>
      </c>
      <c r="I94" s="46">
        <v>81014</v>
      </c>
      <c r="J94" s="17" t="s">
        <v>16</v>
      </c>
    </row>
    <row r="95" s="50" customFormat="1" ht="14.25" customHeight="1" spans="1:10">
      <c r="A95" s="66" t="s">
        <v>650</v>
      </c>
      <c r="B95" s="65" t="s">
        <v>651</v>
      </c>
      <c r="C95" s="64" t="s">
        <v>652</v>
      </c>
      <c r="D95" s="45" t="s">
        <v>461</v>
      </c>
      <c r="E95" s="61">
        <v>1</v>
      </c>
      <c r="F95" s="45">
        <v>17</v>
      </c>
      <c r="G95" s="45">
        <f t="shared" si="6"/>
        <v>17</v>
      </c>
      <c r="H95" s="45" t="s">
        <v>15</v>
      </c>
      <c r="I95" s="46">
        <v>81020</v>
      </c>
      <c r="J95" s="17" t="s">
        <v>16</v>
      </c>
    </row>
    <row r="96" s="50" customFormat="1" ht="14.25" customHeight="1" spans="1:10">
      <c r="A96" s="66" t="s">
        <v>478</v>
      </c>
      <c r="B96" s="65" t="s">
        <v>479</v>
      </c>
      <c r="C96" s="64" t="s">
        <v>480</v>
      </c>
      <c r="D96" s="45" t="s">
        <v>220</v>
      </c>
      <c r="E96" s="61">
        <v>48</v>
      </c>
      <c r="F96" s="45">
        <v>33</v>
      </c>
      <c r="G96" s="45">
        <f t="shared" si="6"/>
        <v>1584</v>
      </c>
      <c r="H96" s="45" t="s">
        <v>15</v>
      </c>
      <c r="I96" s="46" t="s">
        <v>478</v>
      </c>
      <c r="J96" s="17" t="s">
        <v>16</v>
      </c>
    </row>
    <row r="97" s="50" customFormat="1" ht="14.25" customHeight="1" spans="1:10">
      <c r="A97" s="66" t="s">
        <v>481</v>
      </c>
      <c r="B97" s="65" t="s">
        <v>482</v>
      </c>
      <c r="C97" s="64" t="s">
        <v>653</v>
      </c>
      <c r="D97" s="45" t="s">
        <v>24</v>
      </c>
      <c r="E97" s="61">
        <v>48</v>
      </c>
      <c r="F97" s="45">
        <v>6.75</v>
      </c>
      <c r="G97" s="45">
        <f t="shared" si="6"/>
        <v>324</v>
      </c>
      <c r="H97" s="45" t="s">
        <v>15</v>
      </c>
      <c r="I97" s="46">
        <v>82002</v>
      </c>
      <c r="J97" s="17" t="s">
        <v>16</v>
      </c>
    </row>
    <row r="98" s="50" customFormat="1" ht="14.25" customHeight="1" spans="1:10">
      <c r="A98" s="66" t="s">
        <v>654</v>
      </c>
      <c r="B98" s="65" t="s">
        <v>655</v>
      </c>
      <c r="C98" s="64" t="s">
        <v>656</v>
      </c>
      <c r="D98" s="45" t="s">
        <v>657</v>
      </c>
      <c r="E98" s="61">
        <v>4</v>
      </c>
      <c r="F98" s="45">
        <v>9</v>
      </c>
      <c r="G98" s="45">
        <f t="shared" si="6"/>
        <v>36</v>
      </c>
      <c r="H98" s="45" t="s">
        <v>15</v>
      </c>
      <c r="I98" s="46">
        <v>82008</v>
      </c>
      <c r="J98" s="17" t="s">
        <v>16</v>
      </c>
    </row>
    <row r="99" s="50" customFormat="1" ht="48" spans="1:10">
      <c r="A99" s="66" t="s">
        <v>658</v>
      </c>
      <c r="B99" s="65" t="s">
        <v>659</v>
      </c>
      <c r="C99" s="64" t="s">
        <v>660</v>
      </c>
      <c r="D99" s="45" t="s">
        <v>20</v>
      </c>
      <c r="E99" s="61">
        <v>1</v>
      </c>
      <c r="F99" s="45">
        <v>320</v>
      </c>
      <c r="G99" s="45">
        <f t="shared" si="6"/>
        <v>320</v>
      </c>
      <c r="H99" s="45" t="s">
        <v>15</v>
      </c>
      <c r="I99" s="46" t="s">
        <v>658</v>
      </c>
      <c r="J99" s="17" t="s">
        <v>16</v>
      </c>
    </row>
    <row r="100" s="50" customFormat="1" ht="65.1" customHeight="1" spans="1:10">
      <c r="A100" s="66" t="s">
        <v>488</v>
      </c>
      <c r="B100" s="65" t="s">
        <v>489</v>
      </c>
      <c r="C100" s="64" t="s">
        <v>490</v>
      </c>
      <c r="D100" s="45" t="s">
        <v>20</v>
      </c>
      <c r="E100" s="61">
        <v>1</v>
      </c>
      <c r="F100" s="45">
        <v>137</v>
      </c>
      <c r="G100" s="45">
        <f t="shared" si="6"/>
        <v>137</v>
      </c>
      <c r="H100" s="45" t="s">
        <v>15</v>
      </c>
      <c r="I100" s="46" t="s">
        <v>488</v>
      </c>
      <c r="J100" s="17" t="s">
        <v>16</v>
      </c>
    </row>
    <row r="101" ht="20.1" customHeight="1" spans="1:10">
      <c r="A101" s="66"/>
      <c r="B101" s="68"/>
      <c r="C101" s="68"/>
      <c r="D101" s="69"/>
      <c r="E101" s="69"/>
      <c r="F101" s="70" t="s">
        <v>494</v>
      </c>
      <c r="G101" s="45">
        <f>SUM(G3:G100)</f>
        <v>30409.912</v>
      </c>
      <c r="H101" s="45"/>
      <c r="I101" s="46"/>
      <c r="J101" s="45"/>
    </row>
    <row r="102" ht="20.1" customHeight="1"/>
    <row r="103" ht="20.1" customHeight="1"/>
    <row r="104" ht="20.1" customHeight="1"/>
    <row r="105" ht="20.1" customHeight="1"/>
  </sheetData>
  <mergeCells count="1">
    <mergeCell ref="A1:G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2"/>
  <sheetViews>
    <sheetView topLeftCell="B1" workbookViewId="0">
      <selection activeCell="P60" sqref="P60"/>
    </sheetView>
  </sheetViews>
  <sheetFormatPr defaultColWidth="8.75" defaultRowHeight="23.1" customHeight="1"/>
  <cols>
    <col min="1" max="1" width="11.5" style="4"/>
    <col min="2" max="2" width="15.25" style="4" customWidth="1"/>
    <col min="3" max="3" width="36.875" style="4" customWidth="1"/>
    <col min="4" max="4" width="5" style="4" customWidth="1"/>
    <col min="5" max="8" width="8.75" style="4"/>
    <col min="9" max="9" width="12.4" style="5" customWidth="1"/>
    <col min="10" max="16384" width="8.75" style="4"/>
  </cols>
  <sheetData>
    <row r="1" s="1" customFormat="1" customHeight="1" spans="1:10">
      <c r="A1" s="6" t="s">
        <v>661</v>
      </c>
      <c r="B1" s="6"/>
      <c r="C1" s="6"/>
      <c r="D1" s="6"/>
      <c r="E1" s="6"/>
      <c r="F1" s="6"/>
      <c r="G1" s="6"/>
      <c r="H1" s="6"/>
      <c r="I1" s="7"/>
      <c r="J1" s="6"/>
    </row>
    <row r="2" s="2" customFormat="1" customHeight="1" spans="1:10">
      <c r="A2" s="8" t="s">
        <v>1</v>
      </c>
      <c r="B2" s="9" t="s">
        <v>2</v>
      </c>
      <c r="C2" s="9" t="s">
        <v>3</v>
      </c>
      <c r="D2" s="9" t="s">
        <v>4</v>
      </c>
      <c r="E2" s="9" t="s">
        <v>5</v>
      </c>
      <c r="F2" s="9" t="s">
        <v>662</v>
      </c>
      <c r="G2" s="9" t="s">
        <v>7</v>
      </c>
      <c r="H2" s="9" t="s">
        <v>8</v>
      </c>
      <c r="I2" s="8" t="s">
        <v>9</v>
      </c>
      <c r="J2" s="9" t="s">
        <v>10</v>
      </c>
    </row>
    <row r="3" s="3" customFormat="1" customHeight="1" spans="1:10">
      <c r="A3" s="10" t="s">
        <v>663</v>
      </c>
      <c r="B3" s="11" t="s">
        <v>664</v>
      </c>
      <c r="C3" s="12" t="s">
        <v>665</v>
      </c>
      <c r="D3" s="13" t="s">
        <v>24</v>
      </c>
      <c r="E3" s="14">
        <v>24</v>
      </c>
      <c r="F3" s="15">
        <v>16</v>
      </c>
      <c r="G3" s="15">
        <f>F3*E3</f>
        <v>384</v>
      </c>
      <c r="H3" s="15" t="s">
        <v>666</v>
      </c>
      <c r="I3" s="16" t="s">
        <v>667</v>
      </c>
      <c r="J3" s="17" t="s">
        <v>668</v>
      </c>
    </row>
    <row r="4" s="3" customFormat="1" customHeight="1" spans="1:10">
      <c r="A4" s="10" t="s">
        <v>11</v>
      </c>
      <c r="B4" s="11" t="s">
        <v>12</v>
      </c>
      <c r="C4" s="11" t="s">
        <v>13</v>
      </c>
      <c r="D4" s="13" t="s">
        <v>14</v>
      </c>
      <c r="E4" s="14">
        <v>1</v>
      </c>
      <c r="F4" s="15">
        <v>63</v>
      </c>
      <c r="G4" s="15">
        <f t="shared" ref="G4:G35" si="0">F4*E4</f>
        <v>63</v>
      </c>
      <c r="H4" s="18" t="s">
        <v>15</v>
      </c>
      <c r="I4" s="19" t="s">
        <v>11</v>
      </c>
      <c r="J4" s="17" t="s">
        <v>16</v>
      </c>
    </row>
    <row r="5" s="3" customFormat="1" customHeight="1" spans="1:10">
      <c r="A5" s="10" t="s">
        <v>17</v>
      </c>
      <c r="B5" s="11" t="s">
        <v>18</v>
      </c>
      <c r="C5" s="12" t="s">
        <v>19</v>
      </c>
      <c r="D5" s="13" t="s">
        <v>20</v>
      </c>
      <c r="E5" s="14">
        <v>1</v>
      </c>
      <c r="F5" s="15">
        <v>6.75</v>
      </c>
      <c r="G5" s="15">
        <f t="shared" si="0"/>
        <v>6.75</v>
      </c>
      <c r="H5" s="15" t="s">
        <v>15</v>
      </c>
      <c r="I5" s="16" t="s">
        <v>17</v>
      </c>
      <c r="J5" s="17" t="s">
        <v>16</v>
      </c>
    </row>
    <row r="6" s="3" customFormat="1" customHeight="1" spans="1:10">
      <c r="A6" s="10" t="s">
        <v>669</v>
      </c>
      <c r="B6" s="11" t="s">
        <v>670</v>
      </c>
      <c r="C6" s="11" t="s">
        <v>671</v>
      </c>
      <c r="D6" s="13" t="s">
        <v>31</v>
      </c>
      <c r="E6" s="14">
        <v>1</v>
      </c>
      <c r="F6" s="15">
        <v>387.5</v>
      </c>
      <c r="G6" s="15">
        <f t="shared" si="0"/>
        <v>387.5</v>
      </c>
      <c r="H6" s="17" t="s">
        <v>672</v>
      </c>
      <c r="I6" s="83" t="s">
        <v>669</v>
      </c>
      <c r="J6" s="17" t="s">
        <v>673</v>
      </c>
    </row>
    <row r="7" s="3" customFormat="1" customHeight="1" spans="1:10">
      <c r="A7" s="10" t="s">
        <v>674</v>
      </c>
      <c r="B7" s="11" t="s">
        <v>675</v>
      </c>
      <c r="C7" s="11" t="s">
        <v>676</v>
      </c>
      <c r="D7" s="13" t="s">
        <v>20</v>
      </c>
      <c r="E7" s="14">
        <v>1</v>
      </c>
      <c r="F7" s="15">
        <v>97.5</v>
      </c>
      <c r="G7" s="15">
        <f t="shared" si="0"/>
        <v>97.5</v>
      </c>
      <c r="H7" s="15" t="s">
        <v>15</v>
      </c>
      <c r="I7" s="16" t="s">
        <v>674</v>
      </c>
      <c r="J7" s="17" t="s">
        <v>16</v>
      </c>
    </row>
    <row r="8" s="3" customFormat="1" customHeight="1" spans="1:10">
      <c r="A8" s="10" t="s">
        <v>37</v>
      </c>
      <c r="B8" s="11" t="s">
        <v>38</v>
      </c>
      <c r="C8" s="11" t="s">
        <v>677</v>
      </c>
      <c r="D8" s="13" t="s">
        <v>40</v>
      </c>
      <c r="E8" s="14">
        <v>1</v>
      </c>
      <c r="F8" s="15">
        <v>200</v>
      </c>
      <c r="G8" s="15">
        <f t="shared" si="0"/>
        <v>200</v>
      </c>
      <c r="H8" s="15" t="s">
        <v>15</v>
      </c>
      <c r="I8" s="16" t="s">
        <v>37</v>
      </c>
      <c r="J8" s="17" t="s">
        <v>16</v>
      </c>
    </row>
    <row r="9" s="3" customFormat="1" customHeight="1" spans="1:10">
      <c r="A9" s="10" t="s">
        <v>37</v>
      </c>
      <c r="B9" s="11" t="s">
        <v>38</v>
      </c>
      <c r="C9" s="20" t="s">
        <v>678</v>
      </c>
      <c r="D9" s="13" t="s">
        <v>40</v>
      </c>
      <c r="E9" s="14">
        <v>1</v>
      </c>
      <c r="F9" s="15">
        <v>387.5</v>
      </c>
      <c r="G9" s="15">
        <f t="shared" si="0"/>
        <v>387.5</v>
      </c>
      <c r="H9" s="15" t="s">
        <v>15</v>
      </c>
      <c r="I9" s="16" t="s">
        <v>37</v>
      </c>
      <c r="J9" s="17" t="s">
        <v>16</v>
      </c>
    </row>
    <row r="10" s="3" customFormat="1" customHeight="1" spans="1:10">
      <c r="A10" s="10" t="s">
        <v>679</v>
      </c>
      <c r="B10" s="11" t="s">
        <v>680</v>
      </c>
      <c r="C10" s="21" t="s">
        <v>681</v>
      </c>
      <c r="D10" s="13" t="s">
        <v>31</v>
      </c>
      <c r="E10" s="14">
        <v>1</v>
      </c>
      <c r="F10" s="15">
        <v>107.5</v>
      </c>
      <c r="G10" s="15">
        <f t="shared" si="0"/>
        <v>107.5</v>
      </c>
      <c r="H10" s="15" t="s">
        <v>15</v>
      </c>
      <c r="I10" s="16" t="s">
        <v>679</v>
      </c>
      <c r="J10" s="17" t="s">
        <v>16</v>
      </c>
    </row>
    <row r="11" s="3" customFormat="1" customHeight="1" spans="1:10">
      <c r="A11" s="10" t="s">
        <v>61</v>
      </c>
      <c r="B11" s="11" t="s">
        <v>62</v>
      </c>
      <c r="C11" s="12" t="s">
        <v>226</v>
      </c>
      <c r="D11" s="13" t="s">
        <v>24</v>
      </c>
      <c r="E11" s="14">
        <v>2</v>
      </c>
      <c r="F11" s="15">
        <v>10</v>
      </c>
      <c r="G11" s="15">
        <f t="shared" si="0"/>
        <v>20</v>
      </c>
      <c r="H11" s="15" t="s">
        <v>15</v>
      </c>
      <c r="I11" s="22" t="s">
        <v>61</v>
      </c>
      <c r="J11" s="17" t="s">
        <v>16</v>
      </c>
    </row>
    <row r="12" s="3" customFormat="1" customHeight="1" spans="1:10">
      <c r="A12" s="10" t="s">
        <v>682</v>
      </c>
      <c r="B12" s="11" t="s">
        <v>683</v>
      </c>
      <c r="C12" s="11" t="s">
        <v>684</v>
      </c>
      <c r="D12" s="13" t="s">
        <v>24</v>
      </c>
      <c r="E12" s="14">
        <v>2</v>
      </c>
      <c r="F12" s="15">
        <v>17</v>
      </c>
      <c r="G12" s="15">
        <f t="shared" si="0"/>
        <v>34</v>
      </c>
      <c r="H12" s="15" t="s">
        <v>15</v>
      </c>
      <c r="I12" s="16" t="s">
        <v>682</v>
      </c>
      <c r="J12" s="17" t="s">
        <v>16</v>
      </c>
    </row>
    <row r="13" s="3" customFormat="1" customHeight="1" spans="1:10">
      <c r="A13" s="10" t="s">
        <v>685</v>
      </c>
      <c r="B13" s="11" t="s">
        <v>686</v>
      </c>
      <c r="C13" s="12" t="s">
        <v>687</v>
      </c>
      <c r="D13" s="13" t="s">
        <v>20</v>
      </c>
      <c r="E13" s="14">
        <v>2</v>
      </c>
      <c r="F13" s="15">
        <v>103</v>
      </c>
      <c r="G13" s="15">
        <f t="shared" si="0"/>
        <v>206</v>
      </c>
      <c r="H13" s="15" t="s">
        <v>15</v>
      </c>
      <c r="I13" s="16" t="s">
        <v>685</v>
      </c>
      <c r="J13" s="17" t="s">
        <v>16</v>
      </c>
    </row>
    <row r="14" s="3" customFormat="1" customHeight="1" spans="1:10">
      <c r="A14" s="10" t="s">
        <v>83</v>
      </c>
      <c r="B14" s="11" t="s">
        <v>84</v>
      </c>
      <c r="C14" s="12" t="s">
        <v>85</v>
      </c>
      <c r="D14" s="13" t="s">
        <v>20</v>
      </c>
      <c r="E14" s="14">
        <v>24</v>
      </c>
      <c r="F14" s="15">
        <v>41</v>
      </c>
      <c r="G14" s="15">
        <f t="shared" si="0"/>
        <v>984</v>
      </c>
      <c r="H14" s="15" t="s">
        <v>15</v>
      </c>
      <c r="I14" s="16" t="s">
        <v>83</v>
      </c>
      <c r="J14" s="17" t="s">
        <v>16</v>
      </c>
    </row>
    <row r="15" s="3" customFormat="1" customHeight="1" spans="1:10">
      <c r="A15" s="10" t="s">
        <v>688</v>
      </c>
      <c r="B15" s="11" t="s">
        <v>689</v>
      </c>
      <c r="C15" s="12" t="s">
        <v>690</v>
      </c>
      <c r="D15" s="13" t="s">
        <v>20</v>
      </c>
      <c r="E15" s="14">
        <v>2</v>
      </c>
      <c r="F15" s="15">
        <v>154</v>
      </c>
      <c r="G15" s="15">
        <f t="shared" si="0"/>
        <v>308</v>
      </c>
      <c r="H15" s="15" t="s">
        <v>15</v>
      </c>
      <c r="I15" s="16" t="s">
        <v>688</v>
      </c>
      <c r="J15" s="17" t="s">
        <v>16</v>
      </c>
    </row>
    <row r="16" s="3" customFormat="1" customHeight="1" spans="1:10">
      <c r="A16" s="10" t="s">
        <v>691</v>
      </c>
      <c r="B16" s="11" t="s">
        <v>692</v>
      </c>
      <c r="C16" s="12" t="s">
        <v>693</v>
      </c>
      <c r="D16" s="13" t="s">
        <v>31</v>
      </c>
      <c r="E16" s="14">
        <v>2</v>
      </c>
      <c r="F16" s="18">
        <v>62.75</v>
      </c>
      <c r="G16" s="15">
        <f t="shared" si="0"/>
        <v>125.5</v>
      </c>
      <c r="H16" s="15" t="s">
        <v>15</v>
      </c>
      <c r="I16" s="16" t="s">
        <v>691</v>
      </c>
      <c r="J16" s="17" t="s">
        <v>16</v>
      </c>
    </row>
    <row r="17" s="3" customFormat="1" customHeight="1" spans="1:10">
      <c r="A17" s="23" t="s">
        <v>110</v>
      </c>
      <c r="B17" s="11" t="s">
        <v>111</v>
      </c>
      <c r="C17" s="11" t="s">
        <v>112</v>
      </c>
      <c r="D17" s="13" t="s">
        <v>31</v>
      </c>
      <c r="E17" s="14">
        <v>24</v>
      </c>
      <c r="F17" s="15">
        <v>160</v>
      </c>
      <c r="G17" s="15">
        <f t="shared" si="0"/>
        <v>3840</v>
      </c>
      <c r="H17" s="15" t="s">
        <v>15</v>
      </c>
      <c r="I17" s="16" t="s">
        <v>113</v>
      </c>
      <c r="J17" s="17" t="s">
        <v>16</v>
      </c>
    </row>
    <row r="18" s="3" customFormat="1" ht="69" customHeight="1" spans="1:10">
      <c r="A18" s="23" t="s">
        <v>114</v>
      </c>
      <c r="B18" s="11" t="s">
        <v>115</v>
      </c>
      <c r="C18" s="24" t="s">
        <v>694</v>
      </c>
      <c r="D18" s="13" t="s">
        <v>31</v>
      </c>
      <c r="E18" s="14">
        <v>1</v>
      </c>
      <c r="F18" s="15">
        <v>388.5</v>
      </c>
      <c r="G18" s="15">
        <f t="shared" si="0"/>
        <v>388.5</v>
      </c>
      <c r="H18" s="15" t="s">
        <v>15</v>
      </c>
      <c r="I18" s="16" t="s">
        <v>114</v>
      </c>
      <c r="J18" s="17" t="s">
        <v>16</v>
      </c>
    </row>
    <row r="19" s="3" customFormat="1" customHeight="1" spans="1:10">
      <c r="A19" s="10" t="s">
        <v>695</v>
      </c>
      <c r="B19" s="11" t="s">
        <v>696</v>
      </c>
      <c r="C19" s="11" t="s">
        <v>697</v>
      </c>
      <c r="D19" s="13" t="s">
        <v>31</v>
      </c>
      <c r="E19" s="14">
        <v>1</v>
      </c>
      <c r="F19" s="15">
        <v>275</v>
      </c>
      <c r="G19" s="15">
        <f t="shared" si="0"/>
        <v>275</v>
      </c>
      <c r="H19" s="15" t="s">
        <v>15</v>
      </c>
      <c r="I19" s="16" t="s">
        <v>695</v>
      </c>
      <c r="J19" s="17" t="s">
        <v>16</v>
      </c>
    </row>
    <row r="20" s="3" customFormat="1" customHeight="1" spans="1:10">
      <c r="A20" s="10" t="s">
        <v>698</v>
      </c>
      <c r="B20" s="11" t="s">
        <v>699</v>
      </c>
      <c r="C20" s="12" t="s">
        <v>700</v>
      </c>
      <c r="D20" s="13" t="s">
        <v>31</v>
      </c>
      <c r="E20" s="14">
        <v>1</v>
      </c>
      <c r="F20" s="15">
        <v>251</v>
      </c>
      <c r="G20" s="15">
        <f t="shared" si="0"/>
        <v>251</v>
      </c>
      <c r="H20" s="15" t="s">
        <v>15</v>
      </c>
      <c r="I20" s="16" t="s">
        <v>698</v>
      </c>
      <c r="J20" s="17" t="s">
        <v>16</v>
      </c>
    </row>
    <row r="21" s="3" customFormat="1" customHeight="1" spans="1:10">
      <c r="A21" s="23" t="s">
        <v>701</v>
      </c>
      <c r="B21" s="25" t="s">
        <v>702</v>
      </c>
      <c r="C21" s="26" t="s">
        <v>703</v>
      </c>
      <c r="D21" s="13" t="s">
        <v>31</v>
      </c>
      <c r="E21" s="14">
        <v>1</v>
      </c>
      <c r="F21" s="15">
        <v>432.5</v>
      </c>
      <c r="G21" s="15">
        <f t="shared" si="0"/>
        <v>432.5</v>
      </c>
      <c r="H21" s="15" t="s">
        <v>15</v>
      </c>
      <c r="I21" s="16" t="s">
        <v>701</v>
      </c>
      <c r="J21" s="17" t="s">
        <v>16</v>
      </c>
    </row>
    <row r="22" s="3" customFormat="1" customHeight="1" spans="1:10">
      <c r="A22" s="10" t="s">
        <v>704</v>
      </c>
      <c r="B22" s="11" t="s">
        <v>705</v>
      </c>
      <c r="C22" s="11" t="s">
        <v>706</v>
      </c>
      <c r="D22" s="13" t="s">
        <v>64</v>
      </c>
      <c r="E22" s="14">
        <v>24</v>
      </c>
      <c r="F22" s="15">
        <v>6.75</v>
      </c>
      <c r="G22" s="15">
        <f t="shared" si="0"/>
        <v>162</v>
      </c>
      <c r="H22" s="15" t="s">
        <v>15</v>
      </c>
      <c r="I22" s="16" t="s">
        <v>704</v>
      </c>
      <c r="J22" s="17" t="s">
        <v>16</v>
      </c>
    </row>
    <row r="23" s="3" customFormat="1" customHeight="1" spans="1:10">
      <c r="A23" s="10" t="s">
        <v>707</v>
      </c>
      <c r="B23" s="11" t="s">
        <v>708</v>
      </c>
      <c r="C23" s="11" t="s">
        <v>366</v>
      </c>
      <c r="D23" s="13" t="s">
        <v>64</v>
      </c>
      <c r="E23" s="14">
        <v>24</v>
      </c>
      <c r="F23" s="15">
        <v>5.5</v>
      </c>
      <c r="G23" s="15">
        <f t="shared" si="0"/>
        <v>132</v>
      </c>
      <c r="H23" s="15" t="s">
        <v>15</v>
      </c>
      <c r="I23" s="16">
        <v>10304</v>
      </c>
      <c r="J23" s="17" t="s">
        <v>16</v>
      </c>
    </row>
    <row r="24" s="3" customFormat="1" customHeight="1" spans="1:10">
      <c r="A24" s="10" t="s">
        <v>707</v>
      </c>
      <c r="B24" s="11" t="s">
        <v>708</v>
      </c>
      <c r="C24" s="11" t="s">
        <v>709</v>
      </c>
      <c r="D24" s="13" t="s">
        <v>64</v>
      </c>
      <c r="E24" s="14">
        <v>24</v>
      </c>
      <c r="F24" s="15">
        <v>12</v>
      </c>
      <c r="G24" s="15">
        <f t="shared" si="0"/>
        <v>288</v>
      </c>
      <c r="H24" s="15" t="s">
        <v>15</v>
      </c>
      <c r="I24" s="16">
        <v>10304</v>
      </c>
      <c r="J24" s="17" t="s">
        <v>16</v>
      </c>
    </row>
    <row r="25" s="3" customFormat="1" customHeight="1" spans="1:10">
      <c r="A25" s="10" t="s">
        <v>710</v>
      </c>
      <c r="B25" s="11" t="s">
        <v>711</v>
      </c>
      <c r="C25" s="11" t="s">
        <v>712</v>
      </c>
      <c r="D25" s="13" t="s">
        <v>461</v>
      </c>
      <c r="E25" s="14">
        <v>24</v>
      </c>
      <c r="F25" s="15">
        <v>34.25</v>
      </c>
      <c r="G25" s="15">
        <f t="shared" si="0"/>
        <v>822</v>
      </c>
      <c r="H25" s="15" t="s">
        <v>15</v>
      </c>
      <c r="I25" s="16">
        <v>10010</v>
      </c>
      <c r="J25" s="17" t="s">
        <v>16</v>
      </c>
    </row>
    <row r="26" s="3" customFormat="1" customHeight="1" spans="1:10">
      <c r="A26" s="10" t="s">
        <v>713</v>
      </c>
      <c r="B26" s="11" t="s">
        <v>714</v>
      </c>
      <c r="C26" s="11" t="s">
        <v>715</v>
      </c>
      <c r="D26" s="13" t="s">
        <v>64</v>
      </c>
      <c r="E26" s="14">
        <v>24</v>
      </c>
      <c r="F26" s="15">
        <v>34.25</v>
      </c>
      <c r="G26" s="15">
        <f t="shared" si="0"/>
        <v>822</v>
      </c>
      <c r="H26" s="15" t="s">
        <v>15</v>
      </c>
      <c r="I26" s="27">
        <v>10038</v>
      </c>
      <c r="J26" s="17" t="s">
        <v>16</v>
      </c>
    </row>
    <row r="27" s="3" customFormat="1" customHeight="1" spans="1:10">
      <c r="A27" s="10" t="s">
        <v>117</v>
      </c>
      <c r="B27" s="12" t="s">
        <v>118</v>
      </c>
      <c r="C27" s="11" t="s">
        <v>524</v>
      </c>
      <c r="D27" s="13" t="s">
        <v>31</v>
      </c>
      <c r="E27" s="14">
        <v>24</v>
      </c>
      <c r="F27" s="15">
        <v>34.25</v>
      </c>
      <c r="G27" s="15">
        <f t="shared" si="0"/>
        <v>822</v>
      </c>
      <c r="H27" s="15" t="s">
        <v>120</v>
      </c>
      <c r="I27" s="16" t="s">
        <v>525</v>
      </c>
      <c r="J27" s="17" t="s">
        <v>121</v>
      </c>
    </row>
    <row r="28" s="3" customFormat="1" customHeight="1" spans="1:10">
      <c r="A28" s="10" t="s">
        <v>117</v>
      </c>
      <c r="B28" s="12" t="s">
        <v>118</v>
      </c>
      <c r="C28" s="11" t="s">
        <v>122</v>
      </c>
      <c r="D28" s="13" t="s">
        <v>31</v>
      </c>
      <c r="E28" s="14">
        <v>1</v>
      </c>
      <c r="F28" s="15">
        <v>63</v>
      </c>
      <c r="G28" s="15">
        <f t="shared" si="0"/>
        <v>63</v>
      </c>
      <c r="H28" s="15" t="s">
        <v>120</v>
      </c>
      <c r="I28" s="16" t="s">
        <v>122</v>
      </c>
      <c r="J28" s="17" t="s">
        <v>121</v>
      </c>
    </row>
    <row r="29" s="3" customFormat="1" customHeight="1" spans="1:10">
      <c r="A29" s="10" t="s">
        <v>123</v>
      </c>
      <c r="B29" s="11" t="s">
        <v>124</v>
      </c>
      <c r="C29" s="11" t="s">
        <v>716</v>
      </c>
      <c r="D29" s="13" t="s">
        <v>31</v>
      </c>
      <c r="E29" s="14">
        <v>1</v>
      </c>
      <c r="F29" s="15">
        <v>205</v>
      </c>
      <c r="G29" s="15">
        <f t="shared" si="0"/>
        <v>205</v>
      </c>
      <c r="H29" s="15" t="s">
        <v>120</v>
      </c>
      <c r="I29" s="16" t="s">
        <v>716</v>
      </c>
      <c r="J29" s="17" t="s">
        <v>121</v>
      </c>
    </row>
    <row r="30" s="3" customFormat="1" customHeight="1" spans="1:10">
      <c r="A30" s="10" t="s">
        <v>717</v>
      </c>
      <c r="B30" s="12" t="s">
        <v>718</v>
      </c>
      <c r="C30" s="12" t="s">
        <v>719</v>
      </c>
      <c r="D30" s="13" t="s">
        <v>31</v>
      </c>
      <c r="E30" s="14">
        <v>1</v>
      </c>
      <c r="F30" s="15">
        <v>389</v>
      </c>
      <c r="G30" s="15">
        <f t="shared" si="0"/>
        <v>389</v>
      </c>
      <c r="H30" s="28" t="s">
        <v>120</v>
      </c>
      <c r="I30" s="16" t="s">
        <v>720</v>
      </c>
      <c r="J30" s="29" t="s">
        <v>121</v>
      </c>
    </row>
    <row r="31" s="3" customFormat="1" customHeight="1" spans="1:10">
      <c r="A31" s="23" t="s">
        <v>721</v>
      </c>
      <c r="B31" s="12" t="s">
        <v>722</v>
      </c>
      <c r="C31" s="12" t="s">
        <v>723</v>
      </c>
      <c r="D31" s="13" t="s">
        <v>20</v>
      </c>
      <c r="E31" s="14">
        <v>24</v>
      </c>
      <c r="F31" s="15">
        <v>18.25</v>
      </c>
      <c r="G31" s="15">
        <f t="shared" si="0"/>
        <v>438</v>
      </c>
      <c r="H31" s="15" t="s">
        <v>15</v>
      </c>
      <c r="I31" s="16">
        <v>11021</v>
      </c>
      <c r="J31" s="17" t="s">
        <v>16</v>
      </c>
    </row>
    <row r="32" s="3" customFormat="1" customHeight="1" spans="1:10">
      <c r="A32" s="23" t="s">
        <v>724</v>
      </c>
      <c r="B32" s="12" t="s">
        <v>725</v>
      </c>
      <c r="C32" s="12" t="s">
        <v>726</v>
      </c>
      <c r="D32" s="13" t="s">
        <v>20</v>
      </c>
      <c r="E32" s="14">
        <v>24</v>
      </c>
      <c r="F32" s="15">
        <v>40</v>
      </c>
      <c r="G32" s="15">
        <f t="shared" si="0"/>
        <v>960</v>
      </c>
      <c r="H32" s="15" t="s">
        <v>15</v>
      </c>
      <c r="I32" s="16">
        <v>11022</v>
      </c>
      <c r="J32" s="17" t="s">
        <v>16</v>
      </c>
    </row>
    <row r="33" s="3" customFormat="1" customHeight="1" spans="1:10">
      <c r="A33" s="23" t="s">
        <v>127</v>
      </c>
      <c r="B33" s="30" t="s">
        <v>128</v>
      </c>
      <c r="C33" s="11" t="s">
        <v>727</v>
      </c>
      <c r="D33" s="13" t="s">
        <v>14</v>
      </c>
      <c r="E33" s="14">
        <v>24</v>
      </c>
      <c r="F33" s="15">
        <v>16</v>
      </c>
      <c r="G33" s="15">
        <f t="shared" si="0"/>
        <v>384</v>
      </c>
      <c r="H33" s="17" t="s">
        <v>15</v>
      </c>
      <c r="I33" s="16">
        <v>12003</v>
      </c>
      <c r="J33" s="17" t="s">
        <v>16</v>
      </c>
    </row>
    <row r="34" s="3" customFormat="1" customHeight="1" spans="1:10">
      <c r="A34" s="23" t="s">
        <v>728</v>
      </c>
      <c r="B34" s="31" t="s">
        <v>729</v>
      </c>
      <c r="C34" s="11" t="s">
        <v>730</v>
      </c>
      <c r="D34" s="13" t="s">
        <v>24</v>
      </c>
      <c r="E34" s="14">
        <v>24</v>
      </c>
      <c r="F34" s="15">
        <v>43.25</v>
      </c>
      <c r="G34" s="15">
        <f t="shared" si="0"/>
        <v>1038</v>
      </c>
      <c r="H34" s="15" t="s">
        <v>15</v>
      </c>
      <c r="I34" s="16">
        <v>12005</v>
      </c>
      <c r="J34" s="17" t="s">
        <v>16</v>
      </c>
    </row>
    <row r="35" s="3" customFormat="1" customHeight="1" spans="1:10">
      <c r="A35" s="23" t="s">
        <v>731</v>
      </c>
      <c r="B35" s="11" t="s">
        <v>732</v>
      </c>
      <c r="C35" s="12" t="s">
        <v>733</v>
      </c>
      <c r="D35" s="13" t="s">
        <v>31</v>
      </c>
      <c r="E35" s="14">
        <v>24</v>
      </c>
      <c r="F35" s="15">
        <v>148.5</v>
      </c>
      <c r="G35" s="15">
        <f t="shared" si="0"/>
        <v>3564</v>
      </c>
      <c r="H35" s="15" t="s">
        <v>15</v>
      </c>
      <c r="I35" s="16">
        <v>12007</v>
      </c>
      <c r="J35" s="17" t="s">
        <v>16</v>
      </c>
    </row>
    <row r="36" s="3" customFormat="1" customHeight="1" spans="1:10">
      <c r="A36" s="23" t="s">
        <v>734</v>
      </c>
      <c r="B36" s="11" t="s">
        <v>735</v>
      </c>
      <c r="C36" s="11" t="s">
        <v>736</v>
      </c>
      <c r="D36" s="13" t="s">
        <v>31</v>
      </c>
      <c r="E36" s="14">
        <v>1</v>
      </c>
      <c r="F36" s="15">
        <v>125</v>
      </c>
      <c r="G36" s="15">
        <f t="shared" ref="G36:G67" si="1">F36*E36</f>
        <v>125</v>
      </c>
      <c r="H36" s="15" t="s">
        <v>15</v>
      </c>
      <c r="I36" s="16" t="s">
        <v>734</v>
      </c>
      <c r="J36" s="17" t="s">
        <v>16</v>
      </c>
    </row>
    <row r="37" s="3" customFormat="1" customHeight="1" spans="1:10">
      <c r="A37" s="10" t="s">
        <v>130</v>
      </c>
      <c r="B37" s="12" t="s">
        <v>131</v>
      </c>
      <c r="C37" s="12" t="s">
        <v>132</v>
      </c>
      <c r="D37" s="13" t="s">
        <v>82</v>
      </c>
      <c r="E37" s="14">
        <v>24</v>
      </c>
      <c r="F37" s="15">
        <v>2.3</v>
      </c>
      <c r="G37" s="15">
        <f t="shared" si="1"/>
        <v>55.2</v>
      </c>
      <c r="H37" s="15" t="s">
        <v>15</v>
      </c>
      <c r="I37" s="16">
        <v>13001</v>
      </c>
      <c r="J37" s="17" t="s">
        <v>16</v>
      </c>
    </row>
    <row r="38" s="3" customFormat="1" customHeight="1" spans="1:10">
      <c r="A38" s="10" t="s">
        <v>737</v>
      </c>
      <c r="B38" s="12" t="s">
        <v>738</v>
      </c>
      <c r="C38" s="12" t="s">
        <v>739</v>
      </c>
      <c r="D38" s="13" t="s">
        <v>24</v>
      </c>
      <c r="E38" s="14">
        <v>48</v>
      </c>
      <c r="F38" s="15">
        <v>5.7</v>
      </c>
      <c r="G38" s="15">
        <f t="shared" si="1"/>
        <v>273.6</v>
      </c>
      <c r="H38" s="15" t="s">
        <v>15</v>
      </c>
      <c r="I38" s="32" t="s">
        <v>740</v>
      </c>
      <c r="J38" s="17" t="s">
        <v>16</v>
      </c>
    </row>
    <row r="39" s="3" customFormat="1" customHeight="1" spans="1:10">
      <c r="A39" s="10" t="s">
        <v>737</v>
      </c>
      <c r="B39" s="12" t="s">
        <v>738</v>
      </c>
      <c r="C39" s="12" t="s">
        <v>741</v>
      </c>
      <c r="D39" s="13" t="s">
        <v>24</v>
      </c>
      <c r="E39" s="14">
        <v>24</v>
      </c>
      <c r="F39" s="15">
        <v>5.7</v>
      </c>
      <c r="G39" s="15">
        <f t="shared" si="1"/>
        <v>136.8</v>
      </c>
      <c r="H39" s="15" t="s">
        <v>15</v>
      </c>
      <c r="I39" s="32" t="s">
        <v>742</v>
      </c>
      <c r="J39" s="17" t="s">
        <v>16</v>
      </c>
    </row>
    <row r="40" s="3" customFormat="1" customHeight="1" spans="1:10">
      <c r="A40" s="10" t="s">
        <v>743</v>
      </c>
      <c r="B40" s="11" t="s">
        <v>744</v>
      </c>
      <c r="C40" s="12" t="s">
        <v>745</v>
      </c>
      <c r="D40" s="13" t="s">
        <v>24</v>
      </c>
      <c r="E40" s="14">
        <v>2</v>
      </c>
      <c r="F40" s="15">
        <v>116</v>
      </c>
      <c r="G40" s="15">
        <f t="shared" si="1"/>
        <v>232</v>
      </c>
      <c r="H40" s="15" t="s">
        <v>15</v>
      </c>
      <c r="I40" s="16" t="s">
        <v>743</v>
      </c>
      <c r="J40" s="17" t="s">
        <v>16</v>
      </c>
    </row>
    <row r="41" s="3" customFormat="1" customHeight="1" spans="1:10">
      <c r="A41" s="10" t="s">
        <v>746</v>
      </c>
      <c r="B41" s="11" t="s">
        <v>747</v>
      </c>
      <c r="C41" s="11" t="s">
        <v>748</v>
      </c>
      <c r="D41" s="13" t="s">
        <v>64</v>
      </c>
      <c r="E41" s="14">
        <v>1</v>
      </c>
      <c r="F41" s="15">
        <v>742.5</v>
      </c>
      <c r="G41" s="15">
        <f t="shared" si="1"/>
        <v>742.5</v>
      </c>
      <c r="H41" s="15" t="s">
        <v>140</v>
      </c>
      <c r="I41" s="33">
        <v>15002</v>
      </c>
      <c r="J41" s="17" t="s">
        <v>142</v>
      </c>
    </row>
    <row r="42" s="3" customFormat="1" customHeight="1" spans="1:10">
      <c r="A42" s="10" t="s">
        <v>749</v>
      </c>
      <c r="B42" s="11" t="s">
        <v>750</v>
      </c>
      <c r="C42" s="11" t="s">
        <v>751</v>
      </c>
      <c r="D42" s="13" t="s">
        <v>64</v>
      </c>
      <c r="E42" s="14">
        <v>24</v>
      </c>
      <c r="F42" s="15">
        <v>19</v>
      </c>
      <c r="G42" s="15">
        <f t="shared" si="1"/>
        <v>456</v>
      </c>
      <c r="H42" s="15" t="s">
        <v>140</v>
      </c>
      <c r="I42" s="16">
        <v>15008</v>
      </c>
      <c r="J42" s="17" t="s">
        <v>142</v>
      </c>
    </row>
    <row r="43" s="3" customFormat="1" customHeight="1" spans="1:10">
      <c r="A43" s="10" t="s">
        <v>752</v>
      </c>
      <c r="B43" s="11" t="s">
        <v>753</v>
      </c>
      <c r="C43" s="11" t="s">
        <v>754</v>
      </c>
      <c r="D43" s="13" t="s">
        <v>64</v>
      </c>
      <c r="E43" s="14">
        <v>24</v>
      </c>
      <c r="F43" s="15">
        <v>19</v>
      </c>
      <c r="G43" s="15">
        <f t="shared" si="1"/>
        <v>456</v>
      </c>
      <c r="H43" s="15" t="s">
        <v>140</v>
      </c>
      <c r="I43" s="16">
        <v>15009</v>
      </c>
      <c r="J43" s="17" t="s">
        <v>142</v>
      </c>
    </row>
    <row r="44" s="3" customFormat="1" customHeight="1" spans="1:10">
      <c r="A44" s="10" t="s">
        <v>755</v>
      </c>
      <c r="B44" s="11" t="s">
        <v>756</v>
      </c>
      <c r="C44" s="11" t="s">
        <v>757</v>
      </c>
      <c r="D44" s="13" t="s">
        <v>64</v>
      </c>
      <c r="E44" s="14">
        <v>24</v>
      </c>
      <c r="F44" s="15">
        <v>19</v>
      </c>
      <c r="G44" s="15">
        <f t="shared" si="1"/>
        <v>456</v>
      </c>
      <c r="H44" s="15" t="s">
        <v>140</v>
      </c>
      <c r="I44" s="16">
        <v>15010</v>
      </c>
      <c r="J44" s="17" t="s">
        <v>142</v>
      </c>
    </row>
    <row r="45" s="3" customFormat="1" customHeight="1" spans="1:10">
      <c r="A45" s="23" t="s">
        <v>137</v>
      </c>
      <c r="B45" s="11" t="s">
        <v>138</v>
      </c>
      <c r="C45" s="11" t="s">
        <v>139</v>
      </c>
      <c r="D45" s="13" t="s">
        <v>64</v>
      </c>
      <c r="E45" s="14">
        <v>24</v>
      </c>
      <c r="F45" s="15">
        <v>74.25</v>
      </c>
      <c r="G45" s="15">
        <f t="shared" si="1"/>
        <v>1782</v>
      </c>
      <c r="H45" s="15" t="s">
        <v>140</v>
      </c>
      <c r="I45" s="16">
        <v>15011</v>
      </c>
      <c r="J45" s="17" t="s">
        <v>142</v>
      </c>
    </row>
    <row r="46" s="3" customFormat="1" customHeight="1" spans="1:10">
      <c r="A46" s="23" t="s">
        <v>137</v>
      </c>
      <c r="B46" s="11" t="s">
        <v>138</v>
      </c>
      <c r="C46" s="12" t="s">
        <v>758</v>
      </c>
      <c r="D46" s="13" t="s">
        <v>64</v>
      </c>
      <c r="E46" s="14">
        <v>2</v>
      </c>
      <c r="F46" s="15">
        <v>147.5</v>
      </c>
      <c r="G46" s="15">
        <f t="shared" si="1"/>
        <v>295</v>
      </c>
      <c r="H46" s="34" t="s">
        <v>759</v>
      </c>
      <c r="I46" s="16" t="s">
        <v>760</v>
      </c>
      <c r="J46" s="35" t="s">
        <v>761</v>
      </c>
    </row>
    <row r="47" s="3" customFormat="1" customHeight="1" spans="1:10">
      <c r="A47" s="23" t="s">
        <v>137</v>
      </c>
      <c r="B47" s="11" t="s">
        <v>138</v>
      </c>
      <c r="C47" s="12" t="s">
        <v>762</v>
      </c>
      <c r="D47" s="13" t="s">
        <v>64</v>
      </c>
      <c r="E47" s="14">
        <v>1</v>
      </c>
      <c r="F47" s="15">
        <v>331.5</v>
      </c>
      <c r="G47" s="15">
        <f t="shared" si="1"/>
        <v>331.5</v>
      </c>
      <c r="H47" s="34" t="s">
        <v>759</v>
      </c>
      <c r="I47" s="33" t="s">
        <v>763</v>
      </c>
      <c r="J47" s="35" t="s">
        <v>761</v>
      </c>
    </row>
    <row r="48" s="3" customFormat="1" customHeight="1" spans="1:10">
      <c r="A48" s="23" t="s">
        <v>143</v>
      </c>
      <c r="B48" s="24" t="s">
        <v>144</v>
      </c>
      <c r="C48" s="20" t="s">
        <v>764</v>
      </c>
      <c r="D48" s="36" t="s">
        <v>31</v>
      </c>
      <c r="E48" s="14">
        <v>1</v>
      </c>
      <c r="F48" s="37">
        <v>227.5</v>
      </c>
      <c r="G48" s="15">
        <f t="shared" si="1"/>
        <v>227.5</v>
      </c>
      <c r="H48" s="15" t="s">
        <v>140</v>
      </c>
      <c r="I48" s="33">
        <v>15016</v>
      </c>
      <c r="J48" s="17" t="s">
        <v>142</v>
      </c>
    </row>
    <row r="49" s="3" customFormat="1" customHeight="1" spans="1:10">
      <c r="A49" s="23" t="s">
        <v>765</v>
      </c>
      <c r="B49" s="24" t="s">
        <v>766</v>
      </c>
      <c r="C49" s="20" t="s">
        <v>767</v>
      </c>
      <c r="D49" s="36" t="s">
        <v>31</v>
      </c>
      <c r="E49" s="14">
        <v>1</v>
      </c>
      <c r="F49" s="37">
        <v>274</v>
      </c>
      <c r="G49" s="15">
        <f t="shared" si="1"/>
        <v>274</v>
      </c>
      <c r="H49" s="15" t="s">
        <v>140</v>
      </c>
      <c r="I49" s="33" t="s">
        <v>768</v>
      </c>
      <c r="J49" s="17" t="s">
        <v>142</v>
      </c>
    </row>
    <row r="50" s="3" customFormat="1" customHeight="1" spans="1:10">
      <c r="A50" s="23" t="s">
        <v>769</v>
      </c>
      <c r="B50" s="24" t="s">
        <v>770</v>
      </c>
      <c r="C50" s="20" t="s">
        <v>771</v>
      </c>
      <c r="D50" s="36" t="s">
        <v>31</v>
      </c>
      <c r="E50" s="14">
        <v>1</v>
      </c>
      <c r="F50" s="37">
        <v>1372.5</v>
      </c>
      <c r="G50" s="15">
        <f t="shared" si="1"/>
        <v>1372.5</v>
      </c>
      <c r="H50" s="15" t="s">
        <v>15</v>
      </c>
      <c r="I50" s="16">
        <v>15020</v>
      </c>
      <c r="J50" s="17" t="s">
        <v>16</v>
      </c>
    </row>
    <row r="51" s="3" customFormat="1" customHeight="1" spans="1:10">
      <c r="A51" s="23" t="s">
        <v>772</v>
      </c>
      <c r="B51" s="24" t="s">
        <v>773</v>
      </c>
      <c r="C51" s="20" t="s">
        <v>774</v>
      </c>
      <c r="D51" s="36" t="s">
        <v>31</v>
      </c>
      <c r="E51" s="14">
        <v>1</v>
      </c>
      <c r="F51" s="37">
        <v>91</v>
      </c>
      <c r="G51" s="15">
        <f t="shared" si="1"/>
        <v>91</v>
      </c>
      <c r="H51" s="15" t="s">
        <v>15</v>
      </c>
      <c r="I51" s="16">
        <v>15032</v>
      </c>
      <c r="J51" s="17" t="s">
        <v>16</v>
      </c>
    </row>
    <row r="52" s="3" customFormat="1" customHeight="1" spans="1:10">
      <c r="A52" s="23" t="s">
        <v>775</v>
      </c>
      <c r="B52" s="11" t="s">
        <v>776</v>
      </c>
      <c r="C52" s="11" t="s">
        <v>777</v>
      </c>
      <c r="D52" s="13" t="s">
        <v>24</v>
      </c>
      <c r="E52" s="14">
        <v>1</v>
      </c>
      <c r="F52" s="15">
        <v>13.7</v>
      </c>
      <c r="G52" s="15">
        <f t="shared" si="1"/>
        <v>13.7</v>
      </c>
      <c r="H52" s="15" t="s">
        <v>15</v>
      </c>
      <c r="I52" s="16" t="s">
        <v>775</v>
      </c>
      <c r="J52" s="17" t="s">
        <v>16</v>
      </c>
    </row>
    <row r="53" s="3" customFormat="1" customHeight="1" spans="1:10">
      <c r="A53" s="23" t="s">
        <v>778</v>
      </c>
      <c r="B53" s="11" t="s">
        <v>779</v>
      </c>
      <c r="C53" s="11" t="s">
        <v>780</v>
      </c>
      <c r="D53" s="13" t="s">
        <v>31</v>
      </c>
      <c r="E53" s="14">
        <v>1</v>
      </c>
      <c r="F53" s="15">
        <v>183</v>
      </c>
      <c r="G53" s="15">
        <f t="shared" si="1"/>
        <v>183</v>
      </c>
      <c r="H53" s="15" t="s">
        <v>15</v>
      </c>
      <c r="I53" s="33">
        <v>16008</v>
      </c>
      <c r="J53" s="17" t="s">
        <v>16</v>
      </c>
    </row>
    <row r="54" s="3" customFormat="1" customHeight="1" spans="1:10">
      <c r="A54" s="23" t="s">
        <v>781</v>
      </c>
      <c r="B54" s="31" t="s">
        <v>782</v>
      </c>
      <c r="C54" s="11" t="s">
        <v>783</v>
      </c>
      <c r="D54" s="13" t="s">
        <v>24</v>
      </c>
      <c r="E54" s="14">
        <v>24</v>
      </c>
      <c r="F54" s="15">
        <v>6.75</v>
      </c>
      <c r="G54" s="15">
        <f t="shared" si="1"/>
        <v>162</v>
      </c>
      <c r="H54" s="15" t="s">
        <v>15</v>
      </c>
      <c r="I54" s="16">
        <v>16030</v>
      </c>
      <c r="J54" s="17" t="s">
        <v>16</v>
      </c>
    </row>
    <row r="55" s="3" customFormat="1" customHeight="1" spans="1:10">
      <c r="A55" s="10" t="s">
        <v>784</v>
      </c>
      <c r="B55" s="11" t="s">
        <v>785</v>
      </c>
      <c r="C55" s="38" t="s">
        <v>786</v>
      </c>
      <c r="D55" s="13" t="s">
        <v>20</v>
      </c>
      <c r="E55" s="14">
        <v>1</v>
      </c>
      <c r="F55" s="15">
        <v>11.25</v>
      </c>
      <c r="G55" s="15">
        <f t="shared" si="1"/>
        <v>11.25</v>
      </c>
      <c r="H55" s="15" t="s">
        <v>15</v>
      </c>
      <c r="I55" s="16" t="s">
        <v>784</v>
      </c>
      <c r="J55" s="17" t="s">
        <v>16</v>
      </c>
    </row>
    <row r="56" s="3" customFormat="1" customHeight="1" spans="1:10">
      <c r="A56" s="10" t="s">
        <v>787</v>
      </c>
      <c r="B56" s="11" t="s">
        <v>788</v>
      </c>
      <c r="C56" s="11" t="s">
        <v>789</v>
      </c>
      <c r="D56" s="13" t="s">
        <v>20</v>
      </c>
      <c r="E56" s="14">
        <v>24</v>
      </c>
      <c r="F56" s="15">
        <v>9</v>
      </c>
      <c r="G56" s="15">
        <f t="shared" si="1"/>
        <v>216</v>
      </c>
      <c r="H56" s="15" t="s">
        <v>15</v>
      </c>
      <c r="I56" s="16" t="s">
        <v>787</v>
      </c>
      <c r="J56" s="17" t="s">
        <v>16</v>
      </c>
    </row>
    <row r="57" s="3" customFormat="1" customHeight="1" spans="1:10">
      <c r="A57" s="10" t="s">
        <v>790</v>
      </c>
      <c r="B57" s="11" t="s">
        <v>791</v>
      </c>
      <c r="C57" s="12" t="s">
        <v>792</v>
      </c>
      <c r="D57" s="13" t="s">
        <v>793</v>
      </c>
      <c r="E57" s="14">
        <v>1</v>
      </c>
      <c r="F57" s="15">
        <v>6.75</v>
      </c>
      <c r="G57" s="15">
        <f t="shared" si="1"/>
        <v>6.75</v>
      </c>
      <c r="H57" s="15" t="s">
        <v>15</v>
      </c>
      <c r="I57" s="16">
        <v>21006</v>
      </c>
      <c r="J57" s="17" t="s">
        <v>16</v>
      </c>
    </row>
    <row r="58" s="3" customFormat="1" customHeight="1" spans="1:10">
      <c r="A58" s="10" t="s">
        <v>794</v>
      </c>
      <c r="B58" s="31" t="s">
        <v>795</v>
      </c>
      <c r="C58" s="12" t="s">
        <v>796</v>
      </c>
      <c r="D58" s="13" t="s">
        <v>20</v>
      </c>
      <c r="E58" s="14">
        <v>1</v>
      </c>
      <c r="F58" s="18">
        <v>40</v>
      </c>
      <c r="G58" s="15">
        <f t="shared" si="1"/>
        <v>40</v>
      </c>
      <c r="H58" s="15" t="s">
        <v>15</v>
      </c>
      <c r="I58" s="16">
        <v>21025</v>
      </c>
      <c r="J58" s="17" t="s">
        <v>16</v>
      </c>
    </row>
    <row r="59" s="3" customFormat="1" customHeight="1" spans="1:10">
      <c r="A59" s="10" t="s">
        <v>797</v>
      </c>
      <c r="B59" s="12" t="s">
        <v>798</v>
      </c>
      <c r="C59" s="12" t="s">
        <v>799</v>
      </c>
      <c r="D59" s="13" t="s">
        <v>20</v>
      </c>
      <c r="E59" s="14">
        <v>1</v>
      </c>
      <c r="F59" s="15">
        <v>51.5</v>
      </c>
      <c r="G59" s="15">
        <f t="shared" si="1"/>
        <v>51.5</v>
      </c>
      <c r="H59" s="15" t="s">
        <v>15</v>
      </c>
      <c r="I59" s="17" t="s">
        <v>797</v>
      </c>
      <c r="J59" s="17" t="s">
        <v>16</v>
      </c>
    </row>
    <row r="60" s="3" customFormat="1" customHeight="1" spans="1:10">
      <c r="A60" s="10" t="s">
        <v>800</v>
      </c>
      <c r="B60" s="11" t="s">
        <v>801</v>
      </c>
      <c r="C60" s="12" t="s">
        <v>802</v>
      </c>
      <c r="D60" s="13" t="s">
        <v>20</v>
      </c>
      <c r="E60" s="14">
        <v>24</v>
      </c>
      <c r="F60" s="15">
        <v>37.75</v>
      </c>
      <c r="G60" s="15">
        <f t="shared" si="1"/>
        <v>906</v>
      </c>
      <c r="H60" s="15" t="s">
        <v>15</v>
      </c>
      <c r="I60" s="19" t="s">
        <v>800</v>
      </c>
      <c r="J60" s="17" t="s">
        <v>16</v>
      </c>
    </row>
    <row r="61" s="3" customFormat="1" customHeight="1" spans="1:10">
      <c r="A61" s="10" t="s">
        <v>803</v>
      </c>
      <c r="B61" s="11" t="s">
        <v>804</v>
      </c>
      <c r="C61" s="12" t="s">
        <v>805</v>
      </c>
      <c r="D61" s="13" t="s">
        <v>20</v>
      </c>
      <c r="E61" s="14">
        <v>1</v>
      </c>
      <c r="F61" s="15">
        <v>240</v>
      </c>
      <c r="G61" s="15">
        <f t="shared" si="1"/>
        <v>240</v>
      </c>
      <c r="H61" s="15" t="s">
        <v>15</v>
      </c>
      <c r="I61" s="19" t="s">
        <v>803</v>
      </c>
      <c r="J61" s="17" t="s">
        <v>16</v>
      </c>
    </row>
    <row r="62" s="3" customFormat="1" customHeight="1" spans="1:10">
      <c r="A62" s="10" t="s">
        <v>806</v>
      </c>
      <c r="B62" s="11" t="s">
        <v>807</v>
      </c>
      <c r="C62" s="38" t="s">
        <v>808</v>
      </c>
      <c r="D62" s="13" t="s">
        <v>24</v>
      </c>
      <c r="E62" s="14">
        <v>2</v>
      </c>
      <c r="F62" s="15">
        <v>51.25</v>
      </c>
      <c r="G62" s="15">
        <f t="shared" si="1"/>
        <v>102.5</v>
      </c>
      <c r="H62" s="15" t="s">
        <v>15</v>
      </c>
      <c r="I62" s="16">
        <v>21033</v>
      </c>
      <c r="J62" s="17" t="s">
        <v>16</v>
      </c>
    </row>
    <row r="63" s="3" customFormat="1" customHeight="1" spans="1:10">
      <c r="A63" s="10" t="s">
        <v>809</v>
      </c>
      <c r="B63" s="11" t="s">
        <v>810</v>
      </c>
      <c r="C63" s="12" t="s">
        <v>811</v>
      </c>
      <c r="D63" s="13" t="s">
        <v>20</v>
      </c>
      <c r="E63" s="14">
        <v>1</v>
      </c>
      <c r="F63" s="18">
        <v>52.5</v>
      </c>
      <c r="G63" s="15">
        <f t="shared" si="1"/>
        <v>52.5</v>
      </c>
      <c r="H63" s="15" t="s">
        <v>15</v>
      </c>
      <c r="I63" s="16">
        <v>21034</v>
      </c>
      <c r="J63" s="17" t="s">
        <v>16</v>
      </c>
    </row>
    <row r="64" s="3" customFormat="1" customHeight="1" spans="1:10">
      <c r="A64" s="10" t="s">
        <v>812</v>
      </c>
      <c r="B64" s="11" t="s">
        <v>813</v>
      </c>
      <c r="C64" s="39" t="s">
        <v>814</v>
      </c>
      <c r="D64" s="13" t="s">
        <v>31</v>
      </c>
      <c r="E64" s="14">
        <v>1</v>
      </c>
      <c r="F64" s="18">
        <v>227.5</v>
      </c>
      <c r="G64" s="15">
        <f t="shared" si="1"/>
        <v>227.5</v>
      </c>
      <c r="H64" s="15" t="s">
        <v>15</v>
      </c>
      <c r="I64" s="16">
        <v>21039</v>
      </c>
      <c r="J64" s="17" t="s">
        <v>16</v>
      </c>
    </row>
    <row r="65" s="3" customFormat="1" customHeight="1" spans="1:10">
      <c r="A65" s="10" t="s">
        <v>815</v>
      </c>
      <c r="B65" s="11" t="s">
        <v>816</v>
      </c>
      <c r="C65" s="12" t="s">
        <v>817</v>
      </c>
      <c r="D65" s="13" t="s">
        <v>20</v>
      </c>
      <c r="E65" s="14">
        <v>1</v>
      </c>
      <c r="F65" s="15">
        <v>67.5</v>
      </c>
      <c r="G65" s="15">
        <f t="shared" si="1"/>
        <v>67.5</v>
      </c>
      <c r="H65" s="15" t="s">
        <v>15</v>
      </c>
      <c r="I65" s="16">
        <v>21046</v>
      </c>
      <c r="J65" s="17" t="s">
        <v>16</v>
      </c>
    </row>
    <row r="66" s="3" customFormat="1" customHeight="1" spans="1:10">
      <c r="A66" s="10" t="s">
        <v>818</v>
      </c>
      <c r="B66" s="11" t="s">
        <v>819</v>
      </c>
      <c r="C66" s="12" t="s">
        <v>820</v>
      </c>
      <c r="D66" s="13" t="s">
        <v>20</v>
      </c>
      <c r="E66" s="14">
        <v>1</v>
      </c>
      <c r="F66" s="18">
        <v>183</v>
      </c>
      <c r="G66" s="15">
        <f t="shared" si="1"/>
        <v>183</v>
      </c>
      <c r="H66" s="15" t="s">
        <v>15</v>
      </c>
      <c r="I66" s="16">
        <v>21047</v>
      </c>
      <c r="J66" s="17" t="s">
        <v>16</v>
      </c>
    </row>
    <row r="67" s="3" customFormat="1" customHeight="1" spans="1:10">
      <c r="A67" s="10" t="s">
        <v>821</v>
      </c>
      <c r="B67" s="11" t="s">
        <v>822</v>
      </c>
      <c r="C67" s="12" t="s">
        <v>823</v>
      </c>
      <c r="D67" s="13" t="s">
        <v>20</v>
      </c>
      <c r="E67" s="14">
        <v>1</v>
      </c>
      <c r="F67" s="15">
        <v>183</v>
      </c>
      <c r="G67" s="15">
        <f t="shared" si="1"/>
        <v>183</v>
      </c>
      <c r="H67" s="15" t="s">
        <v>15</v>
      </c>
      <c r="I67" s="16">
        <v>21049</v>
      </c>
      <c r="J67" s="17" t="s">
        <v>16</v>
      </c>
    </row>
    <row r="68" s="3" customFormat="1" customHeight="1" spans="1:10">
      <c r="A68" s="10" t="s">
        <v>824</v>
      </c>
      <c r="B68" s="11" t="s">
        <v>825</v>
      </c>
      <c r="C68" s="12" t="s">
        <v>826</v>
      </c>
      <c r="D68" s="13" t="s">
        <v>20</v>
      </c>
      <c r="E68" s="14">
        <v>1</v>
      </c>
      <c r="F68" s="15">
        <v>103</v>
      </c>
      <c r="G68" s="15">
        <f t="shared" ref="G68:G99" si="2">F68*E68</f>
        <v>103</v>
      </c>
      <c r="H68" s="15" t="s">
        <v>15</v>
      </c>
      <c r="I68" s="16">
        <v>21050</v>
      </c>
      <c r="J68" s="17" t="s">
        <v>16</v>
      </c>
    </row>
    <row r="69" s="3" customFormat="1" customHeight="1" spans="1:10">
      <c r="A69" s="10" t="s">
        <v>827</v>
      </c>
      <c r="B69" s="11" t="s">
        <v>828</v>
      </c>
      <c r="C69" s="12" t="s">
        <v>829</v>
      </c>
      <c r="D69" s="13" t="s">
        <v>20</v>
      </c>
      <c r="E69" s="14">
        <v>24</v>
      </c>
      <c r="F69" s="15">
        <v>183</v>
      </c>
      <c r="G69" s="15">
        <f t="shared" si="2"/>
        <v>4392</v>
      </c>
      <c r="H69" s="15" t="s">
        <v>15</v>
      </c>
      <c r="I69" s="16">
        <v>21051</v>
      </c>
      <c r="J69" s="17" t="s">
        <v>16</v>
      </c>
    </row>
    <row r="70" s="3" customFormat="1" customHeight="1" spans="1:10">
      <c r="A70" s="10" t="s">
        <v>830</v>
      </c>
      <c r="B70" s="11" t="s">
        <v>831</v>
      </c>
      <c r="C70" s="12" t="s">
        <v>832</v>
      </c>
      <c r="D70" s="13" t="s">
        <v>31</v>
      </c>
      <c r="E70" s="14">
        <v>24</v>
      </c>
      <c r="F70" s="15">
        <v>274</v>
      </c>
      <c r="G70" s="15">
        <f t="shared" si="2"/>
        <v>6576</v>
      </c>
      <c r="H70" s="15" t="s">
        <v>833</v>
      </c>
      <c r="I70" s="16">
        <v>21055</v>
      </c>
      <c r="J70" s="17" t="s">
        <v>834</v>
      </c>
    </row>
    <row r="71" s="3" customFormat="1" customHeight="1" spans="1:10">
      <c r="A71" s="10" t="s">
        <v>835</v>
      </c>
      <c r="B71" s="11" t="s">
        <v>836</v>
      </c>
      <c r="C71" s="12" t="s">
        <v>837</v>
      </c>
      <c r="D71" s="13" t="s">
        <v>31</v>
      </c>
      <c r="E71" s="14">
        <v>24</v>
      </c>
      <c r="F71" s="15">
        <v>183</v>
      </c>
      <c r="G71" s="15">
        <f t="shared" si="2"/>
        <v>4392</v>
      </c>
      <c r="H71" s="15" t="s">
        <v>15</v>
      </c>
      <c r="I71" s="16">
        <v>21056</v>
      </c>
      <c r="J71" s="17" t="s">
        <v>16</v>
      </c>
    </row>
    <row r="72" s="3" customFormat="1" customHeight="1" spans="1:10">
      <c r="A72" s="10" t="s">
        <v>838</v>
      </c>
      <c r="B72" s="11" t="s">
        <v>839</v>
      </c>
      <c r="C72" s="12" t="s">
        <v>840</v>
      </c>
      <c r="D72" s="13" t="s">
        <v>20</v>
      </c>
      <c r="E72" s="10" t="s">
        <v>841</v>
      </c>
      <c r="F72" s="15">
        <v>1600</v>
      </c>
      <c r="G72" s="15">
        <f t="shared" si="2"/>
        <v>1600</v>
      </c>
      <c r="H72" s="15" t="s">
        <v>15</v>
      </c>
      <c r="I72" s="16" t="s">
        <v>842</v>
      </c>
      <c r="J72" s="17" t="s">
        <v>16</v>
      </c>
    </row>
    <row r="73" s="3" customFormat="1" customHeight="1" spans="1:10">
      <c r="A73" s="10" t="s">
        <v>843</v>
      </c>
      <c r="B73" s="12" t="s">
        <v>844</v>
      </c>
      <c r="C73" s="12" t="s">
        <v>845</v>
      </c>
      <c r="D73" s="13" t="s">
        <v>20</v>
      </c>
      <c r="E73" s="14">
        <v>1</v>
      </c>
      <c r="F73" s="15">
        <v>165</v>
      </c>
      <c r="G73" s="15">
        <f t="shared" si="2"/>
        <v>165</v>
      </c>
      <c r="H73" s="15" t="s">
        <v>15</v>
      </c>
      <c r="I73" s="16">
        <v>21059</v>
      </c>
      <c r="J73" s="17" t="s">
        <v>16</v>
      </c>
    </row>
    <row r="74" s="3" customFormat="1" customHeight="1" spans="1:10">
      <c r="A74" s="10" t="s">
        <v>846</v>
      </c>
      <c r="B74" s="31" t="s">
        <v>847</v>
      </c>
      <c r="C74" s="11" t="s">
        <v>848</v>
      </c>
      <c r="D74" s="13" t="s">
        <v>20</v>
      </c>
      <c r="E74" s="14">
        <v>1</v>
      </c>
      <c r="F74" s="15">
        <v>22.75</v>
      </c>
      <c r="G74" s="15">
        <f t="shared" si="2"/>
        <v>22.75</v>
      </c>
      <c r="H74" s="15" t="s">
        <v>15</v>
      </c>
      <c r="I74" s="16">
        <v>21061</v>
      </c>
      <c r="J74" s="17" t="s">
        <v>16</v>
      </c>
    </row>
    <row r="75" s="3" customFormat="1" customHeight="1" spans="1:10">
      <c r="A75" s="10" t="s">
        <v>849</v>
      </c>
      <c r="B75" s="31" t="s">
        <v>850</v>
      </c>
      <c r="C75" s="12" t="s">
        <v>851</v>
      </c>
      <c r="D75" s="13" t="s">
        <v>24</v>
      </c>
      <c r="E75" s="14">
        <v>1</v>
      </c>
      <c r="F75" s="15">
        <v>103</v>
      </c>
      <c r="G75" s="15">
        <f t="shared" si="2"/>
        <v>103</v>
      </c>
      <c r="H75" s="15" t="s">
        <v>15</v>
      </c>
      <c r="I75" s="16">
        <v>21062</v>
      </c>
      <c r="J75" s="17" t="s">
        <v>16</v>
      </c>
    </row>
    <row r="76" s="3" customFormat="1" customHeight="1" spans="1:10">
      <c r="A76" s="10" t="s">
        <v>852</v>
      </c>
      <c r="B76" s="31" t="s">
        <v>853</v>
      </c>
      <c r="C76" s="11" t="s">
        <v>854</v>
      </c>
      <c r="D76" s="13" t="s">
        <v>31</v>
      </c>
      <c r="E76" s="14">
        <v>1</v>
      </c>
      <c r="F76" s="15">
        <v>183</v>
      </c>
      <c r="G76" s="15">
        <f t="shared" si="2"/>
        <v>183</v>
      </c>
      <c r="H76" s="15" t="s">
        <v>15</v>
      </c>
      <c r="I76" s="19" t="s">
        <v>852</v>
      </c>
      <c r="J76" s="17" t="s">
        <v>16</v>
      </c>
    </row>
    <row r="77" s="3" customFormat="1" customHeight="1" spans="1:10">
      <c r="A77" s="10" t="s">
        <v>855</v>
      </c>
      <c r="B77" s="11" t="s">
        <v>856</v>
      </c>
      <c r="C77" s="11" t="s">
        <v>857</v>
      </c>
      <c r="D77" s="13" t="s">
        <v>24</v>
      </c>
      <c r="E77" s="14">
        <v>1</v>
      </c>
      <c r="F77" s="15">
        <v>36</v>
      </c>
      <c r="G77" s="15">
        <f t="shared" si="2"/>
        <v>36</v>
      </c>
      <c r="H77" s="15" t="s">
        <v>15</v>
      </c>
      <c r="I77" s="16">
        <v>21065</v>
      </c>
      <c r="J77" s="17" t="s">
        <v>16</v>
      </c>
    </row>
    <row r="78" s="3" customFormat="1" customHeight="1" spans="1:10">
      <c r="A78" s="10" t="s">
        <v>858</v>
      </c>
      <c r="B78" s="11" t="s">
        <v>859</v>
      </c>
      <c r="C78" s="11" t="s">
        <v>860</v>
      </c>
      <c r="D78" s="13" t="s">
        <v>20</v>
      </c>
      <c r="E78" s="14">
        <v>24</v>
      </c>
      <c r="F78" s="15">
        <v>41</v>
      </c>
      <c r="G78" s="15">
        <f t="shared" si="2"/>
        <v>984</v>
      </c>
      <c r="H78" s="15" t="s">
        <v>15</v>
      </c>
      <c r="I78" s="16">
        <v>21066</v>
      </c>
      <c r="J78" s="17" t="s">
        <v>16</v>
      </c>
    </row>
    <row r="79" s="3" customFormat="1" customHeight="1" spans="1:10">
      <c r="A79" s="10" t="s">
        <v>861</v>
      </c>
      <c r="B79" s="25" t="s">
        <v>862</v>
      </c>
      <c r="C79" s="11" t="s">
        <v>863</v>
      </c>
      <c r="D79" s="13" t="s">
        <v>20</v>
      </c>
      <c r="E79" s="14">
        <v>1</v>
      </c>
      <c r="F79" s="15">
        <v>297</v>
      </c>
      <c r="G79" s="15">
        <f t="shared" si="2"/>
        <v>297</v>
      </c>
      <c r="H79" s="15" t="s">
        <v>15</v>
      </c>
      <c r="I79" s="27">
        <v>21070</v>
      </c>
      <c r="J79" s="17" t="s">
        <v>16</v>
      </c>
    </row>
    <row r="80" s="3" customFormat="1" customHeight="1" spans="1:10">
      <c r="A80" s="10" t="s">
        <v>864</v>
      </c>
      <c r="B80" s="11" t="s">
        <v>865</v>
      </c>
      <c r="C80" s="40" t="s">
        <v>866</v>
      </c>
      <c r="D80" s="13" t="s">
        <v>20</v>
      </c>
      <c r="E80" s="14">
        <v>24</v>
      </c>
      <c r="F80" s="15">
        <v>320</v>
      </c>
      <c r="G80" s="15">
        <f t="shared" si="2"/>
        <v>7680</v>
      </c>
      <c r="H80" s="15" t="s">
        <v>15</v>
      </c>
      <c r="I80" s="16">
        <v>21071</v>
      </c>
      <c r="J80" s="17" t="s">
        <v>16</v>
      </c>
    </row>
    <row r="81" s="3" customFormat="1" customHeight="1" spans="1:10">
      <c r="A81" s="10" t="s">
        <v>867</v>
      </c>
      <c r="B81" s="11" t="s">
        <v>868</v>
      </c>
      <c r="C81" s="41" t="s">
        <v>869</v>
      </c>
      <c r="D81" s="13" t="s">
        <v>31</v>
      </c>
      <c r="E81" s="14">
        <v>1</v>
      </c>
      <c r="F81" s="15">
        <v>251</v>
      </c>
      <c r="G81" s="15">
        <f t="shared" si="2"/>
        <v>251</v>
      </c>
      <c r="H81" s="15" t="s">
        <v>15</v>
      </c>
      <c r="I81" s="16">
        <v>21072</v>
      </c>
      <c r="J81" s="17" t="s">
        <v>16</v>
      </c>
    </row>
    <row r="82" s="3" customFormat="1" customHeight="1" spans="1:10">
      <c r="A82" s="10" t="s">
        <v>870</v>
      </c>
      <c r="B82" s="11" t="s">
        <v>871</v>
      </c>
      <c r="C82" s="12" t="s">
        <v>872</v>
      </c>
      <c r="D82" s="13" t="s">
        <v>20</v>
      </c>
      <c r="E82" s="14">
        <v>1</v>
      </c>
      <c r="F82" s="15">
        <v>28.5</v>
      </c>
      <c r="G82" s="15">
        <f t="shared" si="2"/>
        <v>28.5</v>
      </c>
      <c r="H82" s="15" t="s">
        <v>15</v>
      </c>
      <c r="I82" s="16">
        <v>21079</v>
      </c>
      <c r="J82" s="17" t="s">
        <v>16</v>
      </c>
    </row>
    <row r="83" s="3" customFormat="1" customHeight="1" spans="1:10">
      <c r="A83" s="10" t="s">
        <v>873</v>
      </c>
      <c r="B83" s="11" t="s">
        <v>874</v>
      </c>
      <c r="C83" s="12" t="s">
        <v>875</v>
      </c>
      <c r="D83" s="13" t="s">
        <v>20</v>
      </c>
      <c r="E83" s="14">
        <v>1</v>
      </c>
      <c r="F83" s="15">
        <v>24</v>
      </c>
      <c r="G83" s="15">
        <f t="shared" si="2"/>
        <v>24</v>
      </c>
      <c r="H83" s="15" t="s">
        <v>15</v>
      </c>
      <c r="I83" s="19" t="s">
        <v>873</v>
      </c>
      <c r="J83" s="17" t="s">
        <v>16</v>
      </c>
    </row>
    <row r="84" s="3" customFormat="1" customHeight="1" spans="1:10">
      <c r="A84" s="10" t="s">
        <v>876</v>
      </c>
      <c r="B84" s="11" t="s">
        <v>877</v>
      </c>
      <c r="C84" s="12" t="s">
        <v>878</v>
      </c>
      <c r="D84" s="13" t="s">
        <v>793</v>
      </c>
      <c r="E84" s="14">
        <v>24</v>
      </c>
      <c r="F84" s="15">
        <v>6.75</v>
      </c>
      <c r="G84" s="15">
        <f t="shared" si="2"/>
        <v>162</v>
      </c>
      <c r="H84" s="15" t="s">
        <v>15</v>
      </c>
      <c r="I84" s="16">
        <v>22023</v>
      </c>
      <c r="J84" s="17" t="s">
        <v>16</v>
      </c>
    </row>
    <row r="85" s="3" customFormat="1" customHeight="1" spans="1:10">
      <c r="A85" s="10" t="s">
        <v>879</v>
      </c>
      <c r="B85" s="11" t="s">
        <v>880</v>
      </c>
      <c r="C85" s="12" t="s">
        <v>881</v>
      </c>
      <c r="D85" s="13" t="s">
        <v>24</v>
      </c>
      <c r="E85" s="14">
        <v>1</v>
      </c>
      <c r="F85" s="18">
        <v>18.3</v>
      </c>
      <c r="G85" s="15">
        <f t="shared" si="2"/>
        <v>18.3</v>
      </c>
      <c r="H85" s="15" t="s">
        <v>15</v>
      </c>
      <c r="I85" s="16">
        <v>22203</v>
      </c>
      <c r="J85" s="17" t="s">
        <v>16</v>
      </c>
    </row>
    <row r="86" s="3" customFormat="1" customHeight="1" spans="1:10">
      <c r="A86" s="10" t="s">
        <v>882</v>
      </c>
      <c r="B86" s="11" t="s">
        <v>883</v>
      </c>
      <c r="C86" s="12" t="s">
        <v>884</v>
      </c>
      <c r="D86" s="13" t="s">
        <v>20</v>
      </c>
      <c r="E86" s="14">
        <v>1</v>
      </c>
      <c r="F86" s="15">
        <v>51.5</v>
      </c>
      <c r="G86" s="15">
        <f t="shared" si="2"/>
        <v>51.5</v>
      </c>
      <c r="H86" s="15" t="s">
        <v>15</v>
      </c>
      <c r="I86" s="16">
        <v>22210</v>
      </c>
      <c r="J86" s="17" t="s">
        <v>16</v>
      </c>
    </row>
    <row r="87" s="3" customFormat="1" customHeight="1" spans="1:10">
      <c r="A87" s="10">
        <v>23001</v>
      </c>
      <c r="B87" s="11" t="s">
        <v>885</v>
      </c>
      <c r="C87" s="26" t="s">
        <v>886</v>
      </c>
      <c r="D87" s="13" t="s">
        <v>887</v>
      </c>
      <c r="E87" s="14">
        <v>1</v>
      </c>
      <c r="F87" s="15">
        <v>7.4</v>
      </c>
      <c r="G87" s="15">
        <f t="shared" si="2"/>
        <v>7.4</v>
      </c>
      <c r="H87" s="15" t="s">
        <v>15</v>
      </c>
      <c r="I87" s="16">
        <v>23001</v>
      </c>
      <c r="J87" s="17" t="s">
        <v>16</v>
      </c>
    </row>
    <row r="88" s="3" customFormat="1" customHeight="1" spans="1:10">
      <c r="A88" s="10">
        <v>23003</v>
      </c>
      <c r="B88" s="11" t="s">
        <v>888</v>
      </c>
      <c r="C88" s="26" t="s">
        <v>889</v>
      </c>
      <c r="D88" s="13" t="s">
        <v>887</v>
      </c>
      <c r="E88" s="14">
        <v>1</v>
      </c>
      <c r="F88" s="15">
        <v>7.4</v>
      </c>
      <c r="G88" s="15">
        <f t="shared" si="2"/>
        <v>7.4</v>
      </c>
      <c r="H88" s="15" t="s">
        <v>15</v>
      </c>
      <c r="I88" s="16">
        <v>23003</v>
      </c>
      <c r="J88" s="17" t="s">
        <v>16</v>
      </c>
    </row>
    <row r="89" s="3" customFormat="1" customHeight="1" spans="1:10">
      <c r="A89" s="10">
        <v>23005</v>
      </c>
      <c r="B89" s="11" t="s">
        <v>890</v>
      </c>
      <c r="C89" s="12" t="s">
        <v>891</v>
      </c>
      <c r="D89" s="13" t="s">
        <v>887</v>
      </c>
      <c r="E89" s="14">
        <v>1</v>
      </c>
      <c r="F89" s="18">
        <v>17</v>
      </c>
      <c r="G89" s="15">
        <f t="shared" si="2"/>
        <v>17</v>
      </c>
      <c r="H89" s="15" t="s">
        <v>15</v>
      </c>
      <c r="I89" s="16">
        <v>23005</v>
      </c>
      <c r="J89" s="17" t="s">
        <v>16</v>
      </c>
    </row>
    <row r="90" s="3" customFormat="1" customHeight="1" spans="1:10">
      <c r="A90" s="10">
        <v>23007</v>
      </c>
      <c r="B90" s="11" t="s">
        <v>892</v>
      </c>
      <c r="C90" s="12" t="s">
        <v>893</v>
      </c>
      <c r="D90" s="13" t="s">
        <v>887</v>
      </c>
      <c r="E90" s="14">
        <v>1</v>
      </c>
      <c r="F90" s="18">
        <v>85</v>
      </c>
      <c r="G90" s="15">
        <f t="shared" si="2"/>
        <v>85</v>
      </c>
      <c r="H90" s="15" t="s">
        <v>15</v>
      </c>
      <c r="I90" s="16">
        <v>23007</v>
      </c>
      <c r="J90" s="17" t="s">
        <v>16</v>
      </c>
    </row>
    <row r="91" s="3" customFormat="1" customHeight="1" spans="1:10">
      <c r="A91" s="10" t="s">
        <v>894</v>
      </c>
      <c r="B91" s="11" t="s">
        <v>895</v>
      </c>
      <c r="C91" s="12" t="s">
        <v>896</v>
      </c>
      <c r="D91" s="13" t="s">
        <v>31</v>
      </c>
      <c r="E91" s="14">
        <v>1</v>
      </c>
      <c r="F91" s="15">
        <v>108.5</v>
      </c>
      <c r="G91" s="15">
        <f t="shared" si="2"/>
        <v>108.5</v>
      </c>
      <c r="H91" s="15" t="s">
        <v>15</v>
      </c>
      <c r="I91" s="16">
        <v>23008</v>
      </c>
      <c r="J91" s="17" t="s">
        <v>16</v>
      </c>
    </row>
    <row r="92" s="3" customFormat="1" customHeight="1" spans="1:10">
      <c r="A92" s="10" t="s">
        <v>897</v>
      </c>
      <c r="B92" s="11" t="s">
        <v>898</v>
      </c>
      <c r="C92" s="12" t="s">
        <v>899</v>
      </c>
      <c r="D92" s="13" t="s">
        <v>900</v>
      </c>
      <c r="E92" s="14">
        <v>1</v>
      </c>
      <c r="F92" s="15">
        <v>40</v>
      </c>
      <c r="G92" s="15">
        <f t="shared" si="2"/>
        <v>40</v>
      </c>
      <c r="H92" s="15" t="s">
        <v>15</v>
      </c>
      <c r="I92" s="16">
        <v>23009</v>
      </c>
      <c r="J92" s="17" t="s">
        <v>16</v>
      </c>
    </row>
    <row r="93" s="3" customFormat="1" customHeight="1" spans="1:10">
      <c r="A93" s="10" t="s">
        <v>901</v>
      </c>
      <c r="B93" s="11" t="s">
        <v>902</v>
      </c>
      <c r="C93" s="12" t="s">
        <v>903</v>
      </c>
      <c r="D93" s="13" t="s">
        <v>24</v>
      </c>
      <c r="E93" s="14">
        <v>48</v>
      </c>
      <c r="F93" s="18">
        <v>1.715</v>
      </c>
      <c r="G93" s="15">
        <f t="shared" si="2"/>
        <v>82.32</v>
      </c>
      <c r="H93" s="15" t="s">
        <v>15</v>
      </c>
      <c r="I93" s="19" t="s">
        <v>901</v>
      </c>
      <c r="J93" s="17" t="s">
        <v>16</v>
      </c>
    </row>
    <row r="94" s="3" customFormat="1" customHeight="1" spans="1:10">
      <c r="A94" s="10" t="s">
        <v>904</v>
      </c>
      <c r="B94" s="11" t="s">
        <v>905</v>
      </c>
      <c r="C94" s="12" t="s">
        <v>906</v>
      </c>
      <c r="D94" s="13" t="s">
        <v>24</v>
      </c>
      <c r="E94" s="14">
        <v>48</v>
      </c>
      <c r="F94" s="18">
        <v>2.85</v>
      </c>
      <c r="G94" s="15">
        <f t="shared" si="2"/>
        <v>136.8</v>
      </c>
      <c r="H94" s="15" t="s">
        <v>15</v>
      </c>
      <c r="I94" s="16" t="s">
        <v>904</v>
      </c>
      <c r="J94" s="17" t="s">
        <v>16</v>
      </c>
    </row>
    <row r="95" s="3" customFormat="1" customHeight="1" spans="1:10">
      <c r="A95" s="10" t="s">
        <v>907</v>
      </c>
      <c r="B95" s="12" t="s">
        <v>908</v>
      </c>
      <c r="C95" s="12" t="s">
        <v>909</v>
      </c>
      <c r="D95" s="13" t="s">
        <v>24</v>
      </c>
      <c r="E95" s="14">
        <v>24</v>
      </c>
      <c r="F95" s="15">
        <v>17.25</v>
      </c>
      <c r="G95" s="15">
        <f t="shared" si="2"/>
        <v>414</v>
      </c>
      <c r="H95" s="15" t="s">
        <v>15</v>
      </c>
      <c r="I95" s="16">
        <v>23012</v>
      </c>
      <c r="J95" s="17" t="s">
        <v>16</v>
      </c>
    </row>
    <row r="96" s="3" customFormat="1" customHeight="1" spans="1:10">
      <c r="A96" s="10" t="s">
        <v>907</v>
      </c>
      <c r="B96" s="12" t="s">
        <v>908</v>
      </c>
      <c r="C96" s="12" t="s">
        <v>910</v>
      </c>
      <c r="D96" s="13" t="s">
        <v>24</v>
      </c>
      <c r="E96" s="14">
        <v>24</v>
      </c>
      <c r="F96" s="15">
        <v>22.75</v>
      </c>
      <c r="G96" s="15">
        <f t="shared" si="2"/>
        <v>546</v>
      </c>
      <c r="H96" s="15" t="s">
        <v>15</v>
      </c>
      <c r="I96" s="16">
        <v>23012</v>
      </c>
      <c r="J96" s="17" t="s">
        <v>16</v>
      </c>
    </row>
    <row r="97" s="3" customFormat="1" customHeight="1" spans="1:10">
      <c r="A97" s="10" t="s">
        <v>907</v>
      </c>
      <c r="B97" s="12" t="s">
        <v>908</v>
      </c>
      <c r="C97" s="12" t="s">
        <v>911</v>
      </c>
      <c r="D97" s="13" t="s">
        <v>24</v>
      </c>
      <c r="E97" s="14">
        <v>1</v>
      </c>
      <c r="F97" s="15">
        <v>91</v>
      </c>
      <c r="G97" s="15">
        <f t="shared" si="2"/>
        <v>91</v>
      </c>
      <c r="H97" s="15" t="s">
        <v>15</v>
      </c>
      <c r="I97" s="16">
        <v>23012</v>
      </c>
      <c r="J97" s="17" t="s">
        <v>16</v>
      </c>
    </row>
    <row r="98" s="3" customFormat="1" customHeight="1" spans="1:10">
      <c r="A98" s="10" t="s">
        <v>912</v>
      </c>
      <c r="B98" s="11" t="s">
        <v>913</v>
      </c>
      <c r="C98" s="40" t="s">
        <v>914</v>
      </c>
      <c r="D98" s="13" t="s">
        <v>31</v>
      </c>
      <c r="E98" s="14">
        <v>1</v>
      </c>
      <c r="F98" s="18">
        <v>51</v>
      </c>
      <c r="G98" s="15">
        <f t="shared" si="2"/>
        <v>51</v>
      </c>
      <c r="H98" s="15" t="s">
        <v>15</v>
      </c>
      <c r="I98" s="16">
        <v>23019</v>
      </c>
      <c r="J98" s="17" t="s">
        <v>16</v>
      </c>
    </row>
    <row r="99" s="3" customFormat="1" customHeight="1" spans="1:10">
      <c r="A99" s="10" t="s">
        <v>915</v>
      </c>
      <c r="B99" s="11" t="s">
        <v>916</v>
      </c>
      <c r="C99" s="25" t="s">
        <v>917</v>
      </c>
      <c r="D99" s="13" t="s">
        <v>31</v>
      </c>
      <c r="E99" s="14">
        <v>24</v>
      </c>
      <c r="F99" s="18">
        <v>23</v>
      </c>
      <c r="G99" s="15">
        <f t="shared" si="2"/>
        <v>552</v>
      </c>
      <c r="H99" s="15" t="s">
        <v>15</v>
      </c>
      <c r="I99" s="16">
        <v>23020</v>
      </c>
      <c r="J99" s="17" t="s">
        <v>16</v>
      </c>
    </row>
    <row r="100" s="3" customFormat="1" customHeight="1" spans="1:10">
      <c r="A100" s="10" t="s">
        <v>918</v>
      </c>
      <c r="B100" s="11" t="s">
        <v>919</v>
      </c>
      <c r="C100" s="11" t="s">
        <v>920</v>
      </c>
      <c r="D100" s="13" t="s">
        <v>20</v>
      </c>
      <c r="E100" s="14">
        <v>1</v>
      </c>
      <c r="F100" s="15">
        <v>240</v>
      </c>
      <c r="G100" s="15">
        <f t="shared" ref="G100:G131" si="3">F100*E100</f>
        <v>240</v>
      </c>
      <c r="H100" s="15" t="s">
        <v>15</v>
      </c>
      <c r="I100" s="16" t="s">
        <v>918</v>
      </c>
      <c r="J100" s="17" t="s">
        <v>16</v>
      </c>
    </row>
    <row r="101" s="3" customFormat="1" customHeight="1" spans="1:10">
      <c r="A101" s="10" t="s">
        <v>921</v>
      </c>
      <c r="B101" s="11" t="s">
        <v>922</v>
      </c>
      <c r="C101" s="12" t="s">
        <v>923</v>
      </c>
      <c r="D101" s="13" t="s">
        <v>20</v>
      </c>
      <c r="E101" s="14">
        <v>1</v>
      </c>
      <c r="F101" s="15">
        <v>43.25</v>
      </c>
      <c r="G101" s="15">
        <f t="shared" si="3"/>
        <v>43.25</v>
      </c>
      <c r="H101" s="15" t="s">
        <v>15</v>
      </c>
      <c r="I101" s="16" t="s">
        <v>921</v>
      </c>
      <c r="J101" s="17" t="s">
        <v>16</v>
      </c>
    </row>
    <row r="102" s="3" customFormat="1" customHeight="1" spans="1:10">
      <c r="A102" s="10" t="s">
        <v>924</v>
      </c>
      <c r="B102" s="31" t="s">
        <v>925</v>
      </c>
      <c r="C102" s="12" t="s">
        <v>926</v>
      </c>
      <c r="D102" s="13" t="s">
        <v>24</v>
      </c>
      <c r="E102" s="14">
        <v>1</v>
      </c>
      <c r="F102" s="15">
        <v>28.5</v>
      </c>
      <c r="G102" s="15">
        <f t="shared" si="3"/>
        <v>28.5</v>
      </c>
      <c r="H102" s="15" t="s">
        <v>15</v>
      </c>
      <c r="I102" s="16">
        <v>23041</v>
      </c>
      <c r="J102" s="17" t="s">
        <v>16</v>
      </c>
    </row>
    <row r="103" s="3" customFormat="1" customHeight="1" spans="1:10">
      <c r="A103" s="10" t="s">
        <v>927</v>
      </c>
      <c r="B103" s="31" t="s">
        <v>928</v>
      </c>
      <c r="C103" s="12" t="s">
        <v>929</v>
      </c>
      <c r="D103" s="13" t="s">
        <v>24</v>
      </c>
      <c r="E103" s="14">
        <v>1</v>
      </c>
      <c r="F103" s="15">
        <v>5.5</v>
      </c>
      <c r="G103" s="15">
        <f t="shared" si="3"/>
        <v>5.5</v>
      </c>
      <c r="H103" s="15" t="s">
        <v>15</v>
      </c>
      <c r="I103" s="16">
        <v>23042</v>
      </c>
      <c r="J103" s="17" t="s">
        <v>16</v>
      </c>
    </row>
    <row r="104" s="3" customFormat="1" customHeight="1" spans="1:10">
      <c r="A104" s="10" t="s">
        <v>930</v>
      </c>
      <c r="B104" s="11" t="s">
        <v>931</v>
      </c>
      <c r="C104" s="12" t="s">
        <v>932</v>
      </c>
      <c r="D104" s="13" t="s">
        <v>24</v>
      </c>
      <c r="E104" s="14">
        <v>1</v>
      </c>
      <c r="F104" s="15">
        <v>5.5</v>
      </c>
      <c r="G104" s="15">
        <f t="shared" si="3"/>
        <v>5.5</v>
      </c>
      <c r="H104" s="15" t="s">
        <v>15</v>
      </c>
      <c r="I104" s="27">
        <v>23043</v>
      </c>
      <c r="J104" s="17" t="s">
        <v>16</v>
      </c>
    </row>
    <row r="105" s="3" customFormat="1" customHeight="1" spans="1:10">
      <c r="A105" s="10" t="s">
        <v>933</v>
      </c>
      <c r="B105" s="11" t="s">
        <v>934</v>
      </c>
      <c r="C105" s="12" t="s">
        <v>935</v>
      </c>
      <c r="D105" s="13" t="s">
        <v>887</v>
      </c>
      <c r="E105" s="14">
        <v>1</v>
      </c>
      <c r="F105" s="15">
        <v>9</v>
      </c>
      <c r="G105" s="15">
        <f t="shared" si="3"/>
        <v>9</v>
      </c>
      <c r="H105" s="15" t="s">
        <v>15</v>
      </c>
      <c r="I105" s="16">
        <v>23044</v>
      </c>
      <c r="J105" s="17" t="s">
        <v>16</v>
      </c>
    </row>
    <row r="106" s="3" customFormat="1" customHeight="1" spans="1:10">
      <c r="A106" s="10" t="s">
        <v>936</v>
      </c>
      <c r="B106" s="11" t="s">
        <v>937</v>
      </c>
      <c r="C106" s="12" t="s">
        <v>938</v>
      </c>
      <c r="D106" s="13" t="s">
        <v>24</v>
      </c>
      <c r="E106" s="14">
        <v>1</v>
      </c>
      <c r="F106" s="15">
        <v>54</v>
      </c>
      <c r="G106" s="15">
        <f t="shared" si="3"/>
        <v>54</v>
      </c>
      <c r="H106" s="15" t="s">
        <v>15</v>
      </c>
      <c r="I106" s="16">
        <v>23046</v>
      </c>
      <c r="J106" s="17" t="s">
        <v>16</v>
      </c>
    </row>
    <row r="107" s="3" customFormat="1" customHeight="1" spans="1:10">
      <c r="A107" s="10" t="s">
        <v>939</v>
      </c>
      <c r="B107" s="11" t="s">
        <v>940</v>
      </c>
      <c r="C107" s="12" t="s">
        <v>941</v>
      </c>
      <c r="D107" s="13" t="s">
        <v>20</v>
      </c>
      <c r="E107" s="14">
        <v>1</v>
      </c>
      <c r="F107" s="15">
        <v>205</v>
      </c>
      <c r="G107" s="15">
        <f t="shared" si="3"/>
        <v>205</v>
      </c>
      <c r="H107" s="15" t="s">
        <v>15</v>
      </c>
      <c r="I107" s="16">
        <v>23048</v>
      </c>
      <c r="J107" s="17" t="s">
        <v>16</v>
      </c>
    </row>
    <row r="108" s="3" customFormat="1" customHeight="1" spans="1:10">
      <c r="A108" s="10" t="s">
        <v>942</v>
      </c>
      <c r="B108" s="11" t="s">
        <v>943</v>
      </c>
      <c r="C108" s="12" t="s">
        <v>944</v>
      </c>
      <c r="D108" s="13" t="s">
        <v>24</v>
      </c>
      <c r="E108" s="14">
        <v>1</v>
      </c>
      <c r="F108" s="15">
        <v>62.75</v>
      </c>
      <c r="G108" s="15">
        <f t="shared" si="3"/>
        <v>62.75</v>
      </c>
      <c r="H108" s="15" t="s">
        <v>15</v>
      </c>
      <c r="I108" s="19" t="s">
        <v>942</v>
      </c>
      <c r="J108" s="17" t="s">
        <v>16</v>
      </c>
    </row>
    <row r="109" s="3" customFormat="1" customHeight="1" spans="1:10">
      <c r="A109" s="10" t="s">
        <v>945</v>
      </c>
      <c r="B109" s="11" t="s">
        <v>946</v>
      </c>
      <c r="C109" s="12" t="s">
        <v>947</v>
      </c>
      <c r="D109" s="13" t="s">
        <v>20</v>
      </c>
      <c r="E109" s="14">
        <v>1</v>
      </c>
      <c r="F109" s="15">
        <v>137</v>
      </c>
      <c r="G109" s="15">
        <f t="shared" si="3"/>
        <v>137</v>
      </c>
      <c r="H109" s="15" t="s">
        <v>15</v>
      </c>
      <c r="I109" s="16">
        <v>23050</v>
      </c>
      <c r="J109" s="17" t="s">
        <v>16</v>
      </c>
    </row>
    <row r="110" s="3" customFormat="1" customHeight="1" spans="1:10">
      <c r="A110" s="10" t="s">
        <v>948</v>
      </c>
      <c r="B110" s="31" t="s">
        <v>949</v>
      </c>
      <c r="C110" s="12" t="s">
        <v>950</v>
      </c>
      <c r="D110" s="13" t="s">
        <v>20</v>
      </c>
      <c r="E110" s="14">
        <v>1</v>
      </c>
      <c r="F110" s="15">
        <v>51</v>
      </c>
      <c r="G110" s="15">
        <f t="shared" si="3"/>
        <v>51</v>
      </c>
      <c r="H110" s="15" t="s">
        <v>15</v>
      </c>
      <c r="I110" s="16">
        <v>23053</v>
      </c>
      <c r="J110" s="17" t="s">
        <v>16</v>
      </c>
    </row>
    <row r="111" s="3" customFormat="1" customHeight="1" spans="1:10">
      <c r="A111" s="10" t="s">
        <v>951</v>
      </c>
      <c r="B111" s="11" t="s">
        <v>952</v>
      </c>
      <c r="C111" s="12" t="s">
        <v>953</v>
      </c>
      <c r="D111" s="13" t="s">
        <v>20</v>
      </c>
      <c r="E111" s="14">
        <v>1</v>
      </c>
      <c r="F111" s="15">
        <v>51</v>
      </c>
      <c r="G111" s="15">
        <f t="shared" si="3"/>
        <v>51</v>
      </c>
      <c r="H111" s="15" t="s">
        <v>15</v>
      </c>
      <c r="I111" s="17">
        <v>71186</v>
      </c>
      <c r="J111" s="17" t="s">
        <v>16</v>
      </c>
    </row>
    <row r="112" s="3" customFormat="1" customHeight="1" spans="1:10">
      <c r="A112" s="10" t="s">
        <v>954</v>
      </c>
      <c r="B112" s="11" t="s">
        <v>955</v>
      </c>
      <c r="C112" s="11" t="s">
        <v>956</v>
      </c>
      <c r="D112" s="13" t="s">
        <v>20</v>
      </c>
      <c r="E112" s="14">
        <v>1</v>
      </c>
      <c r="F112" s="15">
        <v>354.5</v>
      </c>
      <c r="G112" s="15">
        <f t="shared" si="3"/>
        <v>354.5</v>
      </c>
      <c r="H112" s="15" t="s">
        <v>15</v>
      </c>
      <c r="I112" s="16">
        <v>23057</v>
      </c>
      <c r="J112" s="17" t="s">
        <v>16</v>
      </c>
    </row>
    <row r="113" s="3" customFormat="1" customHeight="1" spans="1:10">
      <c r="A113" s="10" t="s">
        <v>957</v>
      </c>
      <c r="B113" s="11" t="s">
        <v>958</v>
      </c>
      <c r="C113" s="12" t="s">
        <v>959</v>
      </c>
      <c r="D113" s="13" t="s">
        <v>20</v>
      </c>
      <c r="E113" s="14">
        <v>1</v>
      </c>
      <c r="F113" s="15">
        <v>51.4</v>
      </c>
      <c r="G113" s="15">
        <f t="shared" si="3"/>
        <v>51.4</v>
      </c>
      <c r="H113" s="15" t="s">
        <v>15</v>
      </c>
      <c r="I113" s="16">
        <v>23058</v>
      </c>
      <c r="J113" s="17" t="s">
        <v>16</v>
      </c>
    </row>
    <row r="114" s="3" customFormat="1" customHeight="1" spans="1:10">
      <c r="A114" s="10" t="s">
        <v>960</v>
      </c>
      <c r="B114" s="12" t="s">
        <v>961</v>
      </c>
      <c r="C114" s="42" t="s">
        <v>962</v>
      </c>
      <c r="D114" s="13" t="s">
        <v>20</v>
      </c>
      <c r="E114" s="14">
        <v>1</v>
      </c>
      <c r="F114" s="15">
        <v>51.4</v>
      </c>
      <c r="G114" s="15">
        <f t="shared" si="3"/>
        <v>51.4</v>
      </c>
      <c r="H114" s="15" t="s">
        <v>15</v>
      </c>
      <c r="I114" s="16">
        <v>23059</v>
      </c>
      <c r="J114" s="17" t="s">
        <v>16</v>
      </c>
    </row>
    <row r="115" s="3" customFormat="1" customHeight="1" spans="1:10">
      <c r="A115" s="10" t="s">
        <v>963</v>
      </c>
      <c r="B115" s="11" t="s">
        <v>964</v>
      </c>
      <c r="C115" s="12" t="s">
        <v>965</v>
      </c>
      <c r="D115" s="13" t="s">
        <v>887</v>
      </c>
      <c r="E115" s="14">
        <v>24</v>
      </c>
      <c r="F115" s="18">
        <v>29.5</v>
      </c>
      <c r="G115" s="15">
        <f t="shared" si="3"/>
        <v>708</v>
      </c>
      <c r="H115" s="15" t="s">
        <v>15</v>
      </c>
      <c r="I115" s="16">
        <v>24001</v>
      </c>
      <c r="J115" s="17" t="s">
        <v>16</v>
      </c>
    </row>
    <row r="116" s="3" customFormat="1" customHeight="1" spans="1:10">
      <c r="A116" s="10" t="s">
        <v>966</v>
      </c>
      <c r="B116" s="12" t="s">
        <v>967</v>
      </c>
      <c r="C116" s="12" t="s">
        <v>968</v>
      </c>
      <c r="D116" s="13" t="s">
        <v>24</v>
      </c>
      <c r="E116" s="14">
        <v>24</v>
      </c>
      <c r="F116" s="18">
        <v>27</v>
      </c>
      <c r="G116" s="15">
        <f t="shared" si="3"/>
        <v>648</v>
      </c>
      <c r="H116" s="15" t="s">
        <v>15</v>
      </c>
      <c r="I116" s="16">
        <v>24002</v>
      </c>
      <c r="J116" s="17" t="s">
        <v>16</v>
      </c>
    </row>
    <row r="117" s="3" customFormat="1" customHeight="1" spans="1:10">
      <c r="A117" s="10" t="s">
        <v>969</v>
      </c>
      <c r="B117" s="11" t="s">
        <v>970</v>
      </c>
      <c r="C117" s="12" t="s">
        <v>971</v>
      </c>
      <c r="D117" s="13" t="s">
        <v>20</v>
      </c>
      <c r="E117" s="14">
        <v>1</v>
      </c>
      <c r="F117" s="15">
        <v>85</v>
      </c>
      <c r="G117" s="15">
        <f t="shared" si="3"/>
        <v>85</v>
      </c>
      <c r="H117" s="15" t="s">
        <v>15</v>
      </c>
      <c r="I117" s="16">
        <v>24004</v>
      </c>
      <c r="J117" s="17" t="s">
        <v>16</v>
      </c>
    </row>
    <row r="118" s="3" customFormat="1" customHeight="1" spans="1:10">
      <c r="A118" s="10" t="s">
        <v>972</v>
      </c>
      <c r="B118" s="11" t="s">
        <v>973</v>
      </c>
      <c r="C118" s="12" t="s">
        <v>974</v>
      </c>
      <c r="D118" s="13" t="s">
        <v>20</v>
      </c>
      <c r="E118" s="14">
        <v>1</v>
      </c>
      <c r="F118" s="43">
        <v>41</v>
      </c>
      <c r="G118" s="15">
        <f t="shared" si="3"/>
        <v>41</v>
      </c>
      <c r="H118" s="15" t="s">
        <v>15</v>
      </c>
      <c r="I118" s="16">
        <v>24003</v>
      </c>
      <c r="J118" s="17" t="s">
        <v>16</v>
      </c>
    </row>
    <row r="119" s="3" customFormat="1" customHeight="1" spans="1:10">
      <c r="A119" s="10" t="s">
        <v>975</v>
      </c>
      <c r="B119" s="11" t="s">
        <v>976</v>
      </c>
      <c r="C119" s="12" t="s">
        <v>977</v>
      </c>
      <c r="D119" s="13" t="s">
        <v>20</v>
      </c>
      <c r="E119" s="14">
        <v>2</v>
      </c>
      <c r="F119" s="15">
        <v>51</v>
      </c>
      <c r="G119" s="15">
        <f t="shared" si="3"/>
        <v>102</v>
      </c>
      <c r="H119" s="15" t="s">
        <v>15</v>
      </c>
      <c r="I119" s="16" t="s">
        <v>975</v>
      </c>
      <c r="J119" s="17" t="s">
        <v>16</v>
      </c>
    </row>
    <row r="120" s="3" customFormat="1" customHeight="1" spans="1:10">
      <c r="A120" s="10" t="s">
        <v>978</v>
      </c>
      <c r="B120" s="11" t="s">
        <v>979</v>
      </c>
      <c r="C120" s="12" t="s">
        <v>980</v>
      </c>
      <c r="D120" s="13" t="s">
        <v>20</v>
      </c>
      <c r="E120" s="14">
        <v>24</v>
      </c>
      <c r="F120" s="18">
        <v>6.75</v>
      </c>
      <c r="G120" s="15">
        <f t="shared" si="3"/>
        <v>162</v>
      </c>
      <c r="H120" s="15" t="s">
        <v>15</v>
      </c>
      <c r="I120" s="16">
        <v>24007</v>
      </c>
      <c r="J120" s="17" t="s">
        <v>16</v>
      </c>
    </row>
    <row r="121" s="3" customFormat="1" customHeight="1" spans="1:10">
      <c r="A121" s="10" t="s">
        <v>981</v>
      </c>
      <c r="B121" s="11" t="s">
        <v>982</v>
      </c>
      <c r="C121" s="12" t="s">
        <v>983</v>
      </c>
      <c r="D121" s="13" t="s">
        <v>887</v>
      </c>
      <c r="E121" s="14">
        <v>24</v>
      </c>
      <c r="F121" s="18">
        <v>4.5</v>
      </c>
      <c r="G121" s="15">
        <f t="shared" si="3"/>
        <v>108</v>
      </c>
      <c r="H121" s="15" t="s">
        <v>15</v>
      </c>
      <c r="I121" s="16">
        <v>24008</v>
      </c>
      <c r="J121" s="17" t="s">
        <v>16</v>
      </c>
    </row>
    <row r="122" s="3" customFormat="1" customHeight="1" spans="1:10">
      <c r="A122" s="10" t="s">
        <v>984</v>
      </c>
      <c r="B122" s="11" t="s">
        <v>985</v>
      </c>
      <c r="C122" s="40" t="s">
        <v>986</v>
      </c>
      <c r="D122" s="13" t="s">
        <v>20</v>
      </c>
      <c r="E122" s="14">
        <v>1</v>
      </c>
      <c r="F122" s="18">
        <v>28.5</v>
      </c>
      <c r="G122" s="15">
        <f t="shared" si="3"/>
        <v>28.5</v>
      </c>
      <c r="H122" s="15" t="s">
        <v>15</v>
      </c>
      <c r="I122" s="16">
        <v>24009</v>
      </c>
      <c r="J122" s="17" t="s">
        <v>16</v>
      </c>
    </row>
    <row r="123" s="3" customFormat="1" customHeight="1" spans="1:10">
      <c r="A123" s="10" t="s">
        <v>987</v>
      </c>
      <c r="B123" s="11" t="s">
        <v>988</v>
      </c>
      <c r="C123" s="12" t="s">
        <v>989</v>
      </c>
      <c r="D123" s="13" t="s">
        <v>20</v>
      </c>
      <c r="E123" s="10" t="s">
        <v>990</v>
      </c>
      <c r="F123" s="18">
        <v>13.5</v>
      </c>
      <c r="G123" s="15">
        <f t="shared" si="3"/>
        <v>324</v>
      </c>
      <c r="H123" s="15" t="s">
        <v>15</v>
      </c>
      <c r="I123" s="16">
        <v>24010</v>
      </c>
      <c r="J123" s="17" t="s">
        <v>16</v>
      </c>
    </row>
    <row r="124" s="3" customFormat="1" customHeight="1" spans="1:10">
      <c r="A124" s="10" t="s">
        <v>991</v>
      </c>
      <c r="B124" s="11" t="s">
        <v>992</v>
      </c>
      <c r="C124" s="12" t="s">
        <v>993</v>
      </c>
      <c r="D124" s="13" t="s">
        <v>24</v>
      </c>
      <c r="E124" s="10" t="s">
        <v>990</v>
      </c>
      <c r="F124" s="15">
        <v>24.5</v>
      </c>
      <c r="G124" s="15">
        <f t="shared" si="3"/>
        <v>588</v>
      </c>
      <c r="H124" s="15" t="s">
        <v>15</v>
      </c>
      <c r="I124" s="19" t="s">
        <v>991</v>
      </c>
      <c r="J124" s="17" t="s">
        <v>16</v>
      </c>
    </row>
    <row r="125" s="3" customFormat="1" customHeight="1" spans="1:10">
      <c r="A125" s="10" t="s">
        <v>994</v>
      </c>
      <c r="B125" s="11" t="s">
        <v>995</v>
      </c>
      <c r="C125" s="12" t="s">
        <v>996</v>
      </c>
      <c r="D125" s="13" t="s">
        <v>24</v>
      </c>
      <c r="E125" s="10" t="s">
        <v>841</v>
      </c>
      <c r="F125" s="15">
        <v>107.5</v>
      </c>
      <c r="G125" s="15">
        <f t="shared" si="3"/>
        <v>107.5</v>
      </c>
      <c r="H125" s="15" t="s">
        <v>15</v>
      </c>
      <c r="I125" s="16">
        <v>24019</v>
      </c>
      <c r="J125" s="17" t="s">
        <v>16</v>
      </c>
    </row>
    <row r="126" s="3" customFormat="1" customHeight="1" spans="1:10">
      <c r="A126" s="10" t="s">
        <v>997</v>
      </c>
      <c r="B126" s="12" t="s">
        <v>998</v>
      </c>
      <c r="C126" s="12" t="s">
        <v>999</v>
      </c>
      <c r="D126" s="13" t="s">
        <v>24</v>
      </c>
      <c r="E126" s="10" t="s">
        <v>841</v>
      </c>
      <c r="F126" s="15">
        <v>177</v>
      </c>
      <c r="G126" s="15">
        <f t="shared" si="3"/>
        <v>177</v>
      </c>
      <c r="H126" s="15" t="s">
        <v>15</v>
      </c>
      <c r="I126" s="16">
        <v>24021</v>
      </c>
      <c r="J126" s="17" t="s">
        <v>16</v>
      </c>
    </row>
    <row r="127" s="3" customFormat="1" customHeight="1" spans="1:10">
      <c r="A127" s="10" t="s">
        <v>997</v>
      </c>
      <c r="B127" s="11" t="s">
        <v>998</v>
      </c>
      <c r="C127" s="12" t="s">
        <v>1000</v>
      </c>
      <c r="D127" s="13" t="s">
        <v>82</v>
      </c>
      <c r="E127" s="10" t="s">
        <v>841</v>
      </c>
      <c r="F127" s="15">
        <v>177</v>
      </c>
      <c r="G127" s="15">
        <f t="shared" si="3"/>
        <v>177</v>
      </c>
      <c r="H127" s="15" t="s">
        <v>15</v>
      </c>
      <c r="I127" s="16">
        <v>24021</v>
      </c>
      <c r="J127" s="17" t="s">
        <v>16</v>
      </c>
    </row>
    <row r="128" s="3" customFormat="1" customHeight="1" spans="1:10">
      <c r="A128" s="10" t="s">
        <v>997</v>
      </c>
      <c r="B128" s="11" t="s">
        <v>998</v>
      </c>
      <c r="C128" s="12" t="s">
        <v>1001</v>
      </c>
      <c r="D128" s="13" t="s">
        <v>82</v>
      </c>
      <c r="E128" s="10" t="s">
        <v>841</v>
      </c>
      <c r="F128" s="15">
        <v>177</v>
      </c>
      <c r="G128" s="15">
        <f t="shared" si="3"/>
        <v>177</v>
      </c>
      <c r="H128" s="15" t="s">
        <v>15</v>
      </c>
      <c r="I128" s="16">
        <v>24021</v>
      </c>
      <c r="J128" s="17" t="s">
        <v>16</v>
      </c>
    </row>
    <row r="129" s="3" customFormat="1" customHeight="1" spans="1:10">
      <c r="A129" s="10" t="s">
        <v>997</v>
      </c>
      <c r="B129" s="11" t="s">
        <v>998</v>
      </c>
      <c r="C129" s="12" t="s">
        <v>1002</v>
      </c>
      <c r="D129" s="13" t="s">
        <v>82</v>
      </c>
      <c r="E129" s="10" t="s">
        <v>841</v>
      </c>
      <c r="F129" s="15">
        <v>177</v>
      </c>
      <c r="G129" s="15">
        <f t="shared" si="3"/>
        <v>177</v>
      </c>
      <c r="H129" s="15" t="s">
        <v>15</v>
      </c>
      <c r="I129" s="16">
        <v>24021</v>
      </c>
      <c r="J129" s="17" t="s">
        <v>16</v>
      </c>
    </row>
    <row r="130" s="3" customFormat="1" customHeight="1" spans="1:10">
      <c r="A130" s="10" t="s">
        <v>1003</v>
      </c>
      <c r="B130" s="12" t="s">
        <v>1004</v>
      </c>
      <c r="C130" s="12" t="s">
        <v>1005</v>
      </c>
      <c r="D130" s="13" t="s">
        <v>24</v>
      </c>
      <c r="E130" s="14">
        <v>2</v>
      </c>
      <c r="F130" s="15">
        <v>36.5</v>
      </c>
      <c r="G130" s="15">
        <f t="shared" si="3"/>
        <v>73</v>
      </c>
      <c r="H130" s="15" t="s">
        <v>15</v>
      </c>
      <c r="I130" s="16" t="s">
        <v>1003</v>
      </c>
      <c r="J130" s="17" t="s">
        <v>16</v>
      </c>
    </row>
    <row r="131" s="3" customFormat="1" customHeight="1" spans="1:10">
      <c r="A131" s="10" t="s">
        <v>1006</v>
      </c>
      <c r="B131" s="12" t="s">
        <v>1007</v>
      </c>
      <c r="C131" s="11" t="s">
        <v>1008</v>
      </c>
      <c r="D131" s="13" t="s">
        <v>20</v>
      </c>
      <c r="E131" s="10" t="s">
        <v>841</v>
      </c>
      <c r="F131" s="15">
        <v>275</v>
      </c>
      <c r="G131" s="15">
        <f t="shared" si="3"/>
        <v>275</v>
      </c>
      <c r="H131" s="15" t="s">
        <v>15</v>
      </c>
      <c r="I131" s="16">
        <v>24033</v>
      </c>
      <c r="J131" s="17" t="s">
        <v>16</v>
      </c>
    </row>
    <row r="132" s="3" customFormat="1" customHeight="1" spans="1:10">
      <c r="A132" s="10" t="s">
        <v>1009</v>
      </c>
      <c r="B132" s="31" t="s">
        <v>1010</v>
      </c>
      <c r="C132" s="12" t="s">
        <v>1011</v>
      </c>
      <c r="D132" s="13" t="s">
        <v>20</v>
      </c>
      <c r="E132" s="10" t="s">
        <v>841</v>
      </c>
      <c r="F132" s="15">
        <v>85</v>
      </c>
      <c r="G132" s="15">
        <f t="shared" ref="G132:G163" si="4">F132*E132</f>
        <v>85</v>
      </c>
      <c r="H132" s="15" t="s">
        <v>15</v>
      </c>
      <c r="I132" s="16" t="s">
        <v>1009</v>
      </c>
      <c r="J132" s="17" t="s">
        <v>16</v>
      </c>
    </row>
    <row r="133" s="3" customFormat="1" customHeight="1" spans="1:10">
      <c r="A133" s="10" t="s">
        <v>1012</v>
      </c>
      <c r="B133" s="11" t="s">
        <v>1013</v>
      </c>
      <c r="C133" s="12" t="s">
        <v>1014</v>
      </c>
      <c r="D133" s="13" t="s">
        <v>31</v>
      </c>
      <c r="E133" s="10" t="s">
        <v>841</v>
      </c>
      <c r="F133" s="15">
        <v>171</v>
      </c>
      <c r="G133" s="15">
        <f t="shared" si="4"/>
        <v>171</v>
      </c>
      <c r="H133" s="15" t="s">
        <v>15</v>
      </c>
      <c r="I133" s="16">
        <v>24037</v>
      </c>
      <c r="J133" s="17" t="s">
        <v>16</v>
      </c>
    </row>
    <row r="134" s="3" customFormat="1" customHeight="1" spans="1:10">
      <c r="A134" s="10" t="s">
        <v>1015</v>
      </c>
      <c r="B134" s="31" t="s">
        <v>1016</v>
      </c>
      <c r="C134" s="12" t="s">
        <v>1017</v>
      </c>
      <c r="D134" s="13" t="s">
        <v>20</v>
      </c>
      <c r="E134" s="10" t="s">
        <v>841</v>
      </c>
      <c r="F134" s="15">
        <v>18.3</v>
      </c>
      <c r="G134" s="15">
        <f t="shared" si="4"/>
        <v>18.3</v>
      </c>
      <c r="H134" s="15" t="s">
        <v>15</v>
      </c>
      <c r="I134" s="16">
        <v>24039</v>
      </c>
      <c r="J134" s="17" t="s">
        <v>16</v>
      </c>
    </row>
    <row r="135" s="3" customFormat="1" customHeight="1" spans="1:10">
      <c r="A135" s="10" t="s">
        <v>1018</v>
      </c>
      <c r="B135" s="31" t="s">
        <v>1019</v>
      </c>
      <c r="C135" s="12" t="s">
        <v>1020</v>
      </c>
      <c r="D135" s="13" t="s">
        <v>20</v>
      </c>
      <c r="E135" s="10" t="s">
        <v>841</v>
      </c>
      <c r="F135" s="15">
        <v>137.25</v>
      </c>
      <c r="G135" s="15">
        <f t="shared" si="4"/>
        <v>137.25</v>
      </c>
      <c r="H135" s="15" t="s">
        <v>15</v>
      </c>
      <c r="I135" s="16" t="s">
        <v>1018</v>
      </c>
      <c r="J135" s="17" t="s">
        <v>16</v>
      </c>
    </row>
    <row r="136" s="3" customFormat="1" customHeight="1" spans="1:10">
      <c r="A136" s="10" t="s">
        <v>1021</v>
      </c>
      <c r="B136" s="11" t="s">
        <v>1022</v>
      </c>
      <c r="C136" s="11" t="s">
        <v>1023</v>
      </c>
      <c r="D136" s="13" t="s">
        <v>20</v>
      </c>
      <c r="E136" s="10" t="s">
        <v>841</v>
      </c>
      <c r="F136" s="15">
        <v>108.5</v>
      </c>
      <c r="G136" s="15">
        <f t="shared" si="4"/>
        <v>108.5</v>
      </c>
      <c r="H136" s="15" t="s">
        <v>15</v>
      </c>
      <c r="I136" s="19" t="s">
        <v>1021</v>
      </c>
      <c r="J136" s="17" t="s">
        <v>16</v>
      </c>
    </row>
    <row r="137" s="3" customFormat="1" customHeight="1" spans="1:10">
      <c r="A137" s="10" t="s">
        <v>1024</v>
      </c>
      <c r="B137" s="11" t="s">
        <v>1025</v>
      </c>
      <c r="C137" s="44" t="s">
        <v>1026</v>
      </c>
      <c r="D137" s="13" t="s">
        <v>31</v>
      </c>
      <c r="E137" s="10" t="s">
        <v>841</v>
      </c>
      <c r="F137" s="15">
        <v>202.5</v>
      </c>
      <c r="G137" s="15">
        <f t="shared" si="4"/>
        <v>202.5</v>
      </c>
      <c r="H137" s="15" t="s">
        <v>15</v>
      </c>
      <c r="I137" s="16">
        <v>24047</v>
      </c>
      <c r="J137" s="17" t="s">
        <v>16</v>
      </c>
    </row>
    <row r="138" s="3" customFormat="1" customHeight="1" spans="1:10">
      <c r="A138" s="10" t="s">
        <v>1027</v>
      </c>
      <c r="B138" s="11" t="s">
        <v>1028</v>
      </c>
      <c r="C138" s="12" t="s">
        <v>1029</v>
      </c>
      <c r="D138" s="13" t="s">
        <v>31</v>
      </c>
      <c r="E138" s="10" t="s">
        <v>841</v>
      </c>
      <c r="F138" s="15">
        <v>240</v>
      </c>
      <c r="G138" s="15">
        <f t="shared" si="4"/>
        <v>240</v>
      </c>
      <c r="H138" s="15" t="s">
        <v>15</v>
      </c>
      <c r="I138" s="16">
        <v>24048</v>
      </c>
      <c r="J138" s="17" t="s">
        <v>16</v>
      </c>
    </row>
    <row r="139" s="3" customFormat="1" customHeight="1" spans="1:10">
      <c r="A139" s="10" t="s">
        <v>1030</v>
      </c>
      <c r="B139" s="11" t="s">
        <v>1031</v>
      </c>
      <c r="C139" s="12" t="s">
        <v>1032</v>
      </c>
      <c r="D139" s="13" t="s">
        <v>20</v>
      </c>
      <c r="E139" s="14">
        <v>24</v>
      </c>
      <c r="F139" s="15">
        <v>34.25</v>
      </c>
      <c r="G139" s="15">
        <f t="shared" si="4"/>
        <v>822</v>
      </c>
      <c r="H139" s="15" t="s">
        <v>15</v>
      </c>
      <c r="I139" s="16">
        <v>24049</v>
      </c>
      <c r="J139" s="17" t="s">
        <v>16</v>
      </c>
    </row>
    <row r="140" s="3" customFormat="1" customHeight="1" spans="1:10">
      <c r="A140" s="10" t="s">
        <v>1033</v>
      </c>
      <c r="B140" s="12" t="s">
        <v>1034</v>
      </c>
      <c r="C140" s="12" t="s">
        <v>1035</v>
      </c>
      <c r="D140" s="13" t="s">
        <v>20</v>
      </c>
      <c r="E140" s="14">
        <v>1</v>
      </c>
      <c r="F140" s="15">
        <v>137</v>
      </c>
      <c r="G140" s="15">
        <f t="shared" si="4"/>
        <v>137</v>
      </c>
      <c r="H140" s="15" t="s">
        <v>15</v>
      </c>
      <c r="I140" s="19" t="s">
        <v>1033</v>
      </c>
      <c r="J140" s="17" t="s">
        <v>16</v>
      </c>
    </row>
    <row r="141" s="3" customFormat="1" customHeight="1" spans="1:10">
      <c r="A141" s="10" t="s">
        <v>1036</v>
      </c>
      <c r="B141" s="11" t="s">
        <v>1037</v>
      </c>
      <c r="C141" s="12" t="s">
        <v>1038</v>
      </c>
      <c r="D141" s="13" t="s">
        <v>31</v>
      </c>
      <c r="E141" s="14">
        <v>1</v>
      </c>
      <c r="F141" s="15">
        <v>251</v>
      </c>
      <c r="G141" s="15">
        <f t="shared" si="4"/>
        <v>251</v>
      </c>
      <c r="H141" s="15" t="s">
        <v>15</v>
      </c>
      <c r="I141" s="16">
        <v>24052</v>
      </c>
      <c r="J141" s="17" t="s">
        <v>16</v>
      </c>
    </row>
    <row r="142" s="3" customFormat="1" customHeight="1" spans="1:10">
      <c r="A142" s="10" t="s">
        <v>1039</v>
      </c>
      <c r="B142" s="11" t="s">
        <v>1040</v>
      </c>
      <c r="C142" s="40" t="s">
        <v>1041</v>
      </c>
      <c r="D142" s="13" t="s">
        <v>31</v>
      </c>
      <c r="E142" s="14">
        <v>1</v>
      </c>
      <c r="F142" s="15">
        <v>1120</v>
      </c>
      <c r="G142" s="15">
        <f t="shared" si="4"/>
        <v>1120</v>
      </c>
      <c r="H142" s="15" t="s">
        <v>15</v>
      </c>
      <c r="I142" s="16">
        <v>24053</v>
      </c>
      <c r="J142" s="17" t="s">
        <v>16</v>
      </c>
    </row>
    <row r="143" s="3" customFormat="1" customHeight="1" spans="1:10">
      <c r="A143" s="10" t="s">
        <v>1042</v>
      </c>
      <c r="B143" s="11" t="s">
        <v>1043</v>
      </c>
      <c r="C143" s="12" t="s">
        <v>1044</v>
      </c>
      <c r="D143" s="13" t="s">
        <v>20</v>
      </c>
      <c r="E143" s="14">
        <v>1</v>
      </c>
      <c r="F143" s="15">
        <v>389</v>
      </c>
      <c r="G143" s="15">
        <f t="shared" si="4"/>
        <v>389</v>
      </c>
      <c r="H143" s="15" t="s">
        <v>15</v>
      </c>
      <c r="I143" s="16" t="s">
        <v>1045</v>
      </c>
      <c r="J143" s="17" t="s">
        <v>16</v>
      </c>
    </row>
    <row r="144" s="3" customFormat="1" customHeight="1" spans="1:10">
      <c r="A144" s="10" t="s">
        <v>1046</v>
      </c>
      <c r="B144" s="11" t="s">
        <v>1047</v>
      </c>
      <c r="C144" s="12" t="s">
        <v>1048</v>
      </c>
      <c r="D144" s="13" t="s">
        <v>20</v>
      </c>
      <c r="E144" s="14">
        <v>1</v>
      </c>
      <c r="F144" s="18">
        <v>74</v>
      </c>
      <c r="G144" s="15">
        <f t="shared" si="4"/>
        <v>74</v>
      </c>
      <c r="H144" s="15" t="s">
        <v>15</v>
      </c>
      <c r="I144" s="16">
        <v>31013</v>
      </c>
      <c r="J144" s="17" t="s">
        <v>16</v>
      </c>
    </row>
    <row r="145" s="3" customFormat="1" customHeight="1" spans="1:10">
      <c r="A145" s="10" t="s">
        <v>635</v>
      </c>
      <c r="B145" s="11" t="s">
        <v>636</v>
      </c>
      <c r="C145" s="12" t="s">
        <v>637</v>
      </c>
      <c r="D145" s="13" t="s">
        <v>82</v>
      </c>
      <c r="E145" s="14">
        <v>4</v>
      </c>
      <c r="F145" s="15">
        <v>4.5</v>
      </c>
      <c r="G145" s="15">
        <f t="shared" si="4"/>
        <v>18</v>
      </c>
      <c r="H145" s="15" t="s">
        <v>15</v>
      </c>
      <c r="I145" s="27">
        <v>81001</v>
      </c>
      <c r="J145" s="17" t="s">
        <v>16</v>
      </c>
    </row>
    <row r="146" s="3" customFormat="1" customHeight="1" spans="1:10">
      <c r="A146" s="10" t="s">
        <v>453</v>
      </c>
      <c r="B146" s="12" t="s">
        <v>454</v>
      </c>
      <c r="C146" s="12" t="s">
        <v>1049</v>
      </c>
      <c r="D146" s="13" t="s">
        <v>82</v>
      </c>
      <c r="E146" s="14">
        <v>4</v>
      </c>
      <c r="F146" s="15">
        <v>4.5</v>
      </c>
      <c r="G146" s="15">
        <f t="shared" si="4"/>
        <v>18</v>
      </c>
      <c r="H146" s="15" t="s">
        <v>15</v>
      </c>
      <c r="I146" s="16" t="s">
        <v>453</v>
      </c>
      <c r="J146" s="17" t="s">
        <v>16</v>
      </c>
    </row>
    <row r="147" s="3" customFormat="1" customHeight="1" spans="1:10">
      <c r="A147" s="10" t="s">
        <v>456</v>
      </c>
      <c r="B147" s="12" t="s">
        <v>457</v>
      </c>
      <c r="C147" s="12" t="s">
        <v>1049</v>
      </c>
      <c r="D147" s="13" t="s">
        <v>82</v>
      </c>
      <c r="E147" s="14">
        <v>4</v>
      </c>
      <c r="F147" s="15">
        <v>4.5</v>
      </c>
      <c r="G147" s="15">
        <f t="shared" si="4"/>
        <v>18</v>
      </c>
      <c r="H147" s="15" t="s">
        <v>15</v>
      </c>
      <c r="I147" s="16" t="s">
        <v>456</v>
      </c>
      <c r="J147" s="17" t="s">
        <v>16</v>
      </c>
    </row>
    <row r="148" s="3" customFormat="1" customHeight="1" spans="1:10">
      <c r="A148" s="10" t="s">
        <v>458</v>
      </c>
      <c r="B148" s="11" t="s">
        <v>459</v>
      </c>
      <c r="C148" s="12" t="s">
        <v>460</v>
      </c>
      <c r="D148" s="13" t="s">
        <v>24</v>
      </c>
      <c r="E148" s="10" t="s">
        <v>1050</v>
      </c>
      <c r="F148" s="15">
        <v>13.5</v>
      </c>
      <c r="G148" s="15">
        <f t="shared" si="4"/>
        <v>27</v>
      </c>
      <c r="H148" s="15" t="s">
        <v>15</v>
      </c>
      <c r="I148" s="16">
        <v>81004</v>
      </c>
      <c r="J148" s="17" t="s">
        <v>16</v>
      </c>
    </row>
    <row r="149" s="3" customFormat="1" customHeight="1" spans="1:10">
      <c r="A149" s="10" t="s">
        <v>1051</v>
      </c>
      <c r="B149" s="11" t="s">
        <v>1052</v>
      </c>
      <c r="C149" s="12" t="s">
        <v>1053</v>
      </c>
      <c r="D149" s="13" t="s">
        <v>24</v>
      </c>
      <c r="E149" s="10" t="s">
        <v>841</v>
      </c>
      <c r="F149" s="15">
        <v>12.5</v>
      </c>
      <c r="G149" s="15">
        <f t="shared" si="4"/>
        <v>12.5</v>
      </c>
      <c r="H149" s="15" t="s">
        <v>15</v>
      </c>
      <c r="I149" s="16" t="s">
        <v>1051</v>
      </c>
      <c r="J149" s="17" t="s">
        <v>16</v>
      </c>
    </row>
    <row r="150" s="3" customFormat="1" customHeight="1" spans="1:10">
      <c r="A150" s="10" t="s">
        <v>1054</v>
      </c>
      <c r="B150" s="12" t="s">
        <v>1055</v>
      </c>
      <c r="C150" s="12" t="s">
        <v>1056</v>
      </c>
      <c r="D150" s="13" t="s">
        <v>24</v>
      </c>
      <c r="E150" s="10" t="s">
        <v>841</v>
      </c>
      <c r="F150" s="15">
        <v>74</v>
      </c>
      <c r="G150" s="15">
        <f t="shared" si="4"/>
        <v>74</v>
      </c>
      <c r="H150" s="15" t="s">
        <v>15</v>
      </c>
      <c r="I150" s="16">
        <v>81006</v>
      </c>
      <c r="J150" s="17" t="s">
        <v>16</v>
      </c>
    </row>
    <row r="151" s="3" customFormat="1" customHeight="1" spans="1:10">
      <c r="A151" s="10" t="s">
        <v>1057</v>
      </c>
      <c r="B151" s="11" t="s">
        <v>1058</v>
      </c>
      <c r="C151" s="12" t="s">
        <v>649</v>
      </c>
      <c r="D151" s="13" t="s">
        <v>24</v>
      </c>
      <c r="E151" s="10" t="s">
        <v>841</v>
      </c>
      <c r="F151" s="15">
        <v>11</v>
      </c>
      <c r="G151" s="15">
        <f t="shared" si="4"/>
        <v>11</v>
      </c>
      <c r="H151" s="15" t="s">
        <v>15</v>
      </c>
      <c r="I151" s="16" t="s">
        <v>1057</v>
      </c>
      <c r="J151" s="17" t="s">
        <v>16</v>
      </c>
    </row>
    <row r="152" s="3" customFormat="1" customHeight="1" spans="1:10">
      <c r="A152" s="10" t="s">
        <v>1059</v>
      </c>
      <c r="B152" s="11" t="s">
        <v>1060</v>
      </c>
      <c r="C152" s="12" t="s">
        <v>1061</v>
      </c>
      <c r="D152" s="13" t="s">
        <v>24</v>
      </c>
      <c r="E152" s="10" t="s">
        <v>841</v>
      </c>
      <c r="F152" s="15">
        <v>17</v>
      </c>
      <c r="G152" s="15">
        <f t="shared" si="4"/>
        <v>17</v>
      </c>
      <c r="H152" s="15" t="s">
        <v>15</v>
      </c>
      <c r="I152" s="16" t="s">
        <v>1059</v>
      </c>
      <c r="J152" s="17" t="s">
        <v>16</v>
      </c>
    </row>
    <row r="153" s="3" customFormat="1" customHeight="1" spans="1:10">
      <c r="A153" s="10" t="s">
        <v>465</v>
      </c>
      <c r="B153" s="11" t="s">
        <v>640</v>
      </c>
      <c r="C153" s="12" t="s">
        <v>1062</v>
      </c>
      <c r="D153" s="13" t="s">
        <v>24</v>
      </c>
      <c r="E153" s="10" t="s">
        <v>841</v>
      </c>
      <c r="F153" s="15">
        <v>12.5</v>
      </c>
      <c r="G153" s="15">
        <f t="shared" si="4"/>
        <v>12.5</v>
      </c>
      <c r="H153" s="15" t="s">
        <v>15</v>
      </c>
      <c r="I153" s="16" t="s">
        <v>465</v>
      </c>
      <c r="J153" s="17" t="s">
        <v>16</v>
      </c>
    </row>
    <row r="154" s="3" customFormat="1" customHeight="1" spans="1:10">
      <c r="A154" s="10" t="s">
        <v>1063</v>
      </c>
      <c r="B154" s="11" t="s">
        <v>1064</v>
      </c>
      <c r="C154" s="11" t="s">
        <v>1065</v>
      </c>
      <c r="D154" s="13" t="s">
        <v>24</v>
      </c>
      <c r="E154" s="10" t="s">
        <v>841</v>
      </c>
      <c r="F154" s="15">
        <v>68</v>
      </c>
      <c r="G154" s="15">
        <f t="shared" si="4"/>
        <v>68</v>
      </c>
      <c r="H154" s="15" t="s">
        <v>15</v>
      </c>
      <c r="I154" s="19" t="s">
        <v>1063</v>
      </c>
      <c r="J154" s="17" t="s">
        <v>16</v>
      </c>
    </row>
    <row r="155" s="3" customFormat="1" customHeight="1" spans="1:10">
      <c r="A155" s="10" t="s">
        <v>1066</v>
      </c>
      <c r="B155" s="11" t="s">
        <v>1067</v>
      </c>
      <c r="C155" s="11" t="s">
        <v>1068</v>
      </c>
      <c r="D155" s="13" t="s">
        <v>24</v>
      </c>
      <c r="E155" s="10" t="s">
        <v>841</v>
      </c>
      <c r="F155" s="15">
        <v>68</v>
      </c>
      <c r="G155" s="15">
        <f t="shared" si="4"/>
        <v>68</v>
      </c>
      <c r="H155" s="15" t="s">
        <v>15</v>
      </c>
      <c r="I155" s="16" t="s">
        <v>1066</v>
      </c>
      <c r="J155" s="17" t="s">
        <v>16</v>
      </c>
    </row>
    <row r="156" s="3" customFormat="1" customHeight="1" spans="1:10">
      <c r="A156" s="10" t="s">
        <v>642</v>
      </c>
      <c r="B156" s="11" t="s">
        <v>643</v>
      </c>
      <c r="C156" s="12" t="s">
        <v>1069</v>
      </c>
      <c r="D156" s="13" t="s">
        <v>24</v>
      </c>
      <c r="E156" s="10" t="s">
        <v>841</v>
      </c>
      <c r="F156" s="15">
        <v>17</v>
      </c>
      <c r="G156" s="15">
        <f t="shared" si="4"/>
        <v>17</v>
      </c>
      <c r="H156" s="15" t="s">
        <v>15</v>
      </c>
      <c r="I156" s="16" t="s">
        <v>642</v>
      </c>
      <c r="J156" s="17" t="s">
        <v>16</v>
      </c>
    </row>
    <row r="157" s="3" customFormat="1" customHeight="1" spans="1:10">
      <c r="A157" s="10" t="s">
        <v>645</v>
      </c>
      <c r="B157" s="11" t="s">
        <v>646</v>
      </c>
      <c r="C157" s="12" t="s">
        <v>1070</v>
      </c>
      <c r="D157" s="13" t="s">
        <v>24</v>
      </c>
      <c r="E157" s="10" t="s">
        <v>841</v>
      </c>
      <c r="F157" s="43">
        <v>13.5</v>
      </c>
      <c r="G157" s="15">
        <f t="shared" si="4"/>
        <v>13.5</v>
      </c>
      <c r="H157" s="15" t="s">
        <v>15</v>
      </c>
      <c r="I157" s="16">
        <v>81013</v>
      </c>
      <c r="J157" s="17" t="s">
        <v>16</v>
      </c>
    </row>
    <row r="158" s="3" customFormat="1" customHeight="1" spans="1:10">
      <c r="A158" s="10" t="s">
        <v>647</v>
      </c>
      <c r="B158" s="11" t="s">
        <v>648</v>
      </c>
      <c r="C158" s="12" t="s">
        <v>1071</v>
      </c>
      <c r="D158" s="13" t="s">
        <v>24</v>
      </c>
      <c r="E158" s="10" t="s">
        <v>841</v>
      </c>
      <c r="F158" s="15">
        <v>25</v>
      </c>
      <c r="G158" s="15">
        <f t="shared" si="4"/>
        <v>25</v>
      </c>
      <c r="H158" s="15" t="s">
        <v>15</v>
      </c>
      <c r="I158" s="16">
        <v>81014</v>
      </c>
      <c r="J158" s="17" t="s">
        <v>16</v>
      </c>
    </row>
    <row r="159" s="3" customFormat="1" customHeight="1" spans="1:10">
      <c r="A159" s="10" t="s">
        <v>462</v>
      </c>
      <c r="B159" s="11" t="s">
        <v>463</v>
      </c>
      <c r="C159" s="12" t="s">
        <v>1072</v>
      </c>
      <c r="D159" s="13" t="s">
        <v>24</v>
      </c>
      <c r="E159" s="10" t="s">
        <v>841</v>
      </c>
      <c r="F159" s="15">
        <v>12.5</v>
      </c>
      <c r="G159" s="15">
        <f t="shared" si="4"/>
        <v>12.5</v>
      </c>
      <c r="H159" s="45" t="s">
        <v>15</v>
      </c>
      <c r="I159" s="46" t="s">
        <v>465</v>
      </c>
      <c r="J159" s="17" t="s">
        <v>16</v>
      </c>
    </row>
    <row r="160" s="3" customFormat="1" customHeight="1" spans="1:10">
      <c r="A160" s="10" t="s">
        <v>1073</v>
      </c>
      <c r="B160" s="11" t="s">
        <v>1074</v>
      </c>
      <c r="C160" s="12" t="s">
        <v>1075</v>
      </c>
      <c r="D160" s="13" t="s">
        <v>24</v>
      </c>
      <c r="E160" s="10" t="s">
        <v>841</v>
      </c>
      <c r="F160" s="15">
        <v>9</v>
      </c>
      <c r="G160" s="15">
        <f t="shared" si="4"/>
        <v>9</v>
      </c>
      <c r="H160" s="15" t="s">
        <v>15</v>
      </c>
      <c r="I160" s="16" t="s">
        <v>1073</v>
      </c>
      <c r="J160" s="17" t="s">
        <v>16</v>
      </c>
    </row>
    <row r="161" s="3" customFormat="1" customHeight="1" spans="1:10">
      <c r="A161" s="10" t="s">
        <v>1076</v>
      </c>
      <c r="B161" s="11" t="s">
        <v>1077</v>
      </c>
      <c r="C161" s="12" t="s">
        <v>1078</v>
      </c>
      <c r="D161" s="13" t="s">
        <v>24</v>
      </c>
      <c r="E161" s="10" t="s">
        <v>841</v>
      </c>
      <c r="F161" s="15">
        <v>11</v>
      </c>
      <c r="G161" s="15">
        <f t="shared" si="4"/>
        <v>11</v>
      </c>
      <c r="H161" s="15" t="s">
        <v>15</v>
      </c>
      <c r="I161" s="19" t="s">
        <v>1076</v>
      </c>
      <c r="J161" s="17" t="s">
        <v>16</v>
      </c>
    </row>
    <row r="162" s="3" customFormat="1" customHeight="1" spans="1:10">
      <c r="A162" s="10" t="s">
        <v>466</v>
      </c>
      <c r="B162" s="11" t="s">
        <v>467</v>
      </c>
      <c r="C162" s="12" t="s">
        <v>1078</v>
      </c>
      <c r="D162" s="13" t="s">
        <v>24</v>
      </c>
      <c r="E162" s="10" t="s">
        <v>841</v>
      </c>
      <c r="F162" s="15">
        <v>11</v>
      </c>
      <c r="G162" s="15">
        <f t="shared" si="4"/>
        <v>11</v>
      </c>
      <c r="H162" s="15" t="s">
        <v>15</v>
      </c>
      <c r="I162" s="19" t="s">
        <v>466</v>
      </c>
      <c r="J162" s="17" t="s">
        <v>16</v>
      </c>
    </row>
    <row r="163" s="3" customFormat="1" customHeight="1" spans="1:10">
      <c r="A163" s="10" t="s">
        <v>1079</v>
      </c>
      <c r="B163" s="11" t="s">
        <v>1080</v>
      </c>
      <c r="C163" s="12" t="s">
        <v>1081</v>
      </c>
      <c r="D163" s="13" t="s">
        <v>24</v>
      </c>
      <c r="E163" s="10" t="s">
        <v>841</v>
      </c>
      <c r="F163" s="15">
        <v>36.5</v>
      </c>
      <c r="G163" s="15">
        <f t="shared" si="4"/>
        <v>36.5</v>
      </c>
      <c r="H163" s="15" t="s">
        <v>15</v>
      </c>
      <c r="I163" s="16" t="s">
        <v>1079</v>
      </c>
      <c r="J163" s="17" t="s">
        <v>16</v>
      </c>
    </row>
    <row r="164" s="3" customFormat="1" customHeight="1" spans="1:10">
      <c r="A164" s="10" t="s">
        <v>650</v>
      </c>
      <c r="B164" s="11" t="s">
        <v>651</v>
      </c>
      <c r="C164" s="12" t="s">
        <v>1082</v>
      </c>
      <c r="D164" s="13" t="s">
        <v>24</v>
      </c>
      <c r="E164" s="10" t="s">
        <v>1050</v>
      </c>
      <c r="F164" s="15">
        <v>13.5</v>
      </c>
      <c r="G164" s="15">
        <f t="shared" ref="G164:G181" si="5">F164*E164</f>
        <v>27</v>
      </c>
      <c r="H164" s="15" t="s">
        <v>15</v>
      </c>
      <c r="I164" s="16" t="s">
        <v>650</v>
      </c>
      <c r="J164" s="17" t="s">
        <v>16</v>
      </c>
    </row>
    <row r="165" s="3" customFormat="1" customHeight="1" spans="1:10">
      <c r="A165" s="10" t="s">
        <v>1083</v>
      </c>
      <c r="B165" s="11" t="s">
        <v>1084</v>
      </c>
      <c r="C165" s="12" t="s">
        <v>1085</v>
      </c>
      <c r="D165" s="13" t="s">
        <v>24</v>
      </c>
      <c r="E165" s="10" t="s">
        <v>841</v>
      </c>
      <c r="F165" s="15">
        <v>68.5</v>
      </c>
      <c r="G165" s="15">
        <f t="shared" si="5"/>
        <v>68.5</v>
      </c>
      <c r="H165" s="15" t="s">
        <v>15</v>
      </c>
      <c r="I165" s="19" t="s">
        <v>1083</v>
      </c>
      <c r="J165" s="17" t="s">
        <v>16</v>
      </c>
    </row>
    <row r="166" s="3" customFormat="1" customHeight="1" spans="1:10">
      <c r="A166" s="10" t="s">
        <v>1086</v>
      </c>
      <c r="B166" s="11" t="s">
        <v>1087</v>
      </c>
      <c r="C166" s="12" t="s">
        <v>1088</v>
      </c>
      <c r="D166" s="13" t="s">
        <v>24</v>
      </c>
      <c r="E166" s="10" t="s">
        <v>841</v>
      </c>
      <c r="F166" s="15">
        <v>13.5</v>
      </c>
      <c r="G166" s="15">
        <f t="shared" si="5"/>
        <v>13.5</v>
      </c>
      <c r="H166" s="15" t="s">
        <v>15</v>
      </c>
      <c r="I166" s="16" t="s">
        <v>1086</v>
      </c>
      <c r="J166" s="17" t="s">
        <v>16</v>
      </c>
    </row>
    <row r="167" s="3" customFormat="1" customHeight="1" spans="1:10">
      <c r="A167" s="10" t="s">
        <v>1089</v>
      </c>
      <c r="B167" s="11" t="s">
        <v>1090</v>
      </c>
      <c r="C167" s="12" t="s">
        <v>1091</v>
      </c>
      <c r="D167" s="13" t="s">
        <v>82</v>
      </c>
      <c r="E167" s="10" t="s">
        <v>1050</v>
      </c>
      <c r="F167" s="15">
        <v>55</v>
      </c>
      <c r="G167" s="15">
        <f t="shared" si="5"/>
        <v>110</v>
      </c>
      <c r="H167" s="15" t="s">
        <v>15</v>
      </c>
      <c r="I167" s="16" t="s">
        <v>1089</v>
      </c>
      <c r="J167" s="17" t="s">
        <v>16</v>
      </c>
    </row>
    <row r="168" s="3" customFormat="1" customHeight="1" spans="1:10">
      <c r="A168" s="10" t="s">
        <v>1092</v>
      </c>
      <c r="B168" s="11" t="s">
        <v>1093</v>
      </c>
      <c r="C168" s="12" t="s">
        <v>1094</v>
      </c>
      <c r="D168" s="13" t="s">
        <v>24</v>
      </c>
      <c r="E168" s="10" t="s">
        <v>841</v>
      </c>
      <c r="F168" s="15">
        <v>74</v>
      </c>
      <c r="G168" s="15">
        <f t="shared" si="5"/>
        <v>74</v>
      </c>
      <c r="H168" s="15" t="s">
        <v>15</v>
      </c>
      <c r="I168" s="16" t="s">
        <v>1092</v>
      </c>
      <c r="J168" s="17" t="s">
        <v>16</v>
      </c>
    </row>
    <row r="169" s="3" customFormat="1" customHeight="1" spans="1:10">
      <c r="A169" s="10" t="s">
        <v>1095</v>
      </c>
      <c r="B169" s="11" t="s">
        <v>1096</v>
      </c>
      <c r="C169" s="12" t="s">
        <v>1097</v>
      </c>
      <c r="D169" s="13" t="s">
        <v>31</v>
      </c>
      <c r="E169" s="10" t="s">
        <v>841</v>
      </c>
      <c r="F169" s="15">
        <v>685</v>
      </c>
      <c r="G169" s="15">
        <f t="shared" si="5"/>
        <v>685</v>
      </c>
      <c r="H169" s="15" t="s">
        <v>1098</v>
      </c>
      <c r="I169" s="16" t="s">
        <v>1099</v>
      </c>
      <c r="J169" s="17" t="s">
        <v>1100</v>
      </c>
    </row>
    <row r="170" s="3" customFormat="1" customHeight="1" spans="1:10">
      <c r="A170" s="10" t="s">
        <v>1101</v>
      </c>
      <c r="B170" s="30" t="s">
        <v>1102</v>
      </c>
      <c r="C170" s="12" t="s">
        <v>1097</v>
      </c>
      <c r="D170" s="13" t="s">
        <v>31</v>
      </c>
      <c r="E170" s="10" t="s">
        <v>841</v>
      </c>
      <c r="F170" s="15">
        <v>188.5</v>
      </c>
      <c r="G170" s="15">
        <f t="shared" si="5"/>
        <v>188.5</v>
      </c>
      <c r="H170" s="15" t="s">
        <v>35</v>
      </c>
      <c r="I170" s="16" t="s">
        <v>1103</v>
      </c>
      <c r="J170" s="17" t="s">
        <v>36</v>
      </c>
    </row>
    <row r="171" s="3" customFormat="1" customHeight="1" spans="1:10">
      <c r="A171" s="10" t="s">
        <v>1104</v>
      </c>
      <c r="B171" s="30" t="s">
        <v>1105</v>
      </c>
      <c r="C171" s="12" t="s">
        <v>1097</v>
      </c>
      <c r="D171" s="13" t="s">
        <v>20</v>
      </c>
      <c r="E171" s="10" t="s">
        <v>1050</v>
      </c>
      <c r="F171" s="15">
        <v>80</v>
      </c>
      <c r="G171" s="15">
        <f t="shared" si="5"/>
        <v>160</v>
      </c>
      <c r="H171" s="15" t="s">
        <v>15</v>
      </c>
      <c r="I171" s="16" t="s">
        <v>1104</v>
      </c>
      <c r="J171" s="17" t="s">
        <v>16</v>
      </c>
    </row>
    <row r="172" s="3" customFormat="1" customHeight="1" spans="1:10">
      <c r="A172" s="10" t="s">
        <v>1106</v>
      </c>
      <c r="B172" s="11" t="s">
        <v>1107</v>
      </c>
      <c r="C172" s="12" t="s">
        <v>426</v>
      </c>
      <c r="D172" s="13" t="s">
        <v>31</v>
      </c>
      <c r="E172" s="10" t="s">
        <v>841</v>
      </c>
      <c r="F172" s="15">
        <v>165</v>
      </c>
      <c r="G172" s="15">
        <f t="shared" si="5"/>
        <v>165</v>
      </c>
      <c r="H172" s="15" t="s">
        <v>15</v>
      </c>
      <c r="I172" s="16" t="s">
        <v>1106</v>
      </c>
      <c r="J172" s="17" t="s">
        <v>16</v>
      </c>
    </row>
    <row r="173" s="3" customFormat="1" customHeight="1" spans="1:10">
      <c r="A173" s="10" t="s">
        <v>1108</v>
      </c>
      <c r="B173" s="11" t="s">
        <v>1109</v>
      </c>
      <c r="C173" s="12" t="s">
        <v>1110</v>
      </c>
      <c r="D173" s="13" t="s">
        <v>31</v>
      </c>
      <c r="E173" s="10" t="s">
        <v>841</v>
      </c>
      <c r="F173" s="15">
        <v>320</v>
      </c>
      <c r="G173" s="15">
        <f t="shared" si="5"/>
        <v>320</v>
      </c>
      <c r="H173" s="15" t="s">
        <v>35</v>
      </c>
      <c r="I173" s="16" t="s">
        <v>1111</v>
      </c>
      <c r="J173" s="17" t="s">
        <v>36</v>
      </c>
    </row>
    <row r="174" s="3" customFormat="1" customHeight="1" spans="1:10">
      <c r="A174" s="10" t="s">
        <v>1112</v>
      </c>
      <c r="B174" s="11" t="s">
        <v>1113</v>
      </c>
      <c r="C174" s="12" t="s">
        <v>1114</v>
      </c>
      <c r="D174" s="13" t="s">
        <v>24</v>
      </c>
      <c r="E174" s="10" t="s">
        <v>841</v>
      </c>
      <c r="F174" s="15">
        <v>685</v>
      </c>
      <c r="G174" s="15">
        <f t="shared" si="5"/>
        <v>685</v>
      </c>
      <c r="H174" s="15" t="s">
        <v>15</v>
      </c>
      <c r="I174" s="16" t="s">
        <v>1115</v>
      </c>
      <c r="J174" s="17" t="s">
        <v>16</v>
      </c>
    </row>
    <row r="175" s="3" customFormat="1" customHeight="1" spans="1:10">
      <c r="A175" s="10" t="s">
        <v>1116</v>
      </c>
      <c r="B175" s="31" t="s">
        <v>1117</v>
      </c>
      <c r="C175" s="12"/>
      <c r="D175" s="13" t="s">
        <v>24</v>
      </c>
      <c r="E175" s="10" t="s">
        <v>1050</v>
      </c>
      <c r="F175" s="15">
        <v>13.5</v>
      </c>
      <c r="G175" s="15">
        <f t="shared" si="5"/>
        <v>27</v>
      </c>
      <c r="H175" s="15" t="s">
        <v>15</v>
      </c>
      <c r="I175" s="19" t="s">
        <v>1116</v>
      </c>
      <c r="J175" s="17" t="s">
        <v>16</v>
      </c>
    </row>
    <row r="176" s="3" customFormat="1" customHeight="1" spans="1:10">
      <c r="A176" s="10" t="s">
        <v>1118</v>
      </c>
      <c r="B176" s="11" t="s">
        <v>1119</v>
      </c>
      <c r="C176" s="12" t="s">
        <v>1120</v>
      </c>
      <c r="D176" s="13" t="s">
        <v>24</v>
      </c>
      <c r="E176" s="10" t="s">
        <v>1050</v>
      </c>
      <c r="F176" s="15">
        <v>13.5</v>
      </c>
      <c r="G176" s="15">
        <f t="shared" si="5"/>
        <v>27</v>
      </c>
      <c r="H176" s="15" t="s">
        <v>15</v>
      </c>
      <c r="I176" s="16" t="s">
        <v>1118</v>
      </c>
      <c r="J176" s="17" t="s">
        <v>16</v>
      </c>
    </row>
    <row r="177" s="3" customFormat="1" customHeight="1" spans="1:10">
      <c r="A177" s="10" t="s">
        <v>1121</v>
      </c>
      <c r="B177" s="11" t="s">
        <v>1122</v>
      </c>
      <c r="C177" s="12" t="s">
        <v>1123</v>
      </c>
      <c r="D177" s="13" t="s">
        <v>24</v>
      </c>
      <c r="E177" s="10" t="s">
        <v>841</v>
      </c>
      <c r="F177" s="15">
        <v>11</v>
      </c>
      <c r="G177" s="15">
        <f t="shared" si="5"/>
        <v>11</v>
      </c>
      <c r="H177" s="15" t="s">
        <v>15</v>
      </c>
      <c r="I177" s="19" t="s">
        <v>1121</v>
      </c>
      <c r="J177" s="17" t="s">
        <v>16</v>
      </c>
    </row>
    <row r="178" s="3" customFormat="1" customHeight="1" spans="1:10">
      <c r="A178" s="10" t="s">
        <v>1124</v>
      </c>
      <c r="B178" s="11" t="s">
        <v>1125</v>
      </c>
      <c r="C178" s="12" t="s">
        <v>1126</v>
      </c>
      <c r="D178" s="13" t="s">
        <v>24</v>
      </c>
      <c r="E178" s="10" t="s">
        <v>841</v>
      </c>
      <c r="F178" s="15">
        <v>16</v>
      </c>
      <c r="G178" s="15">
        <f t="shared" si="5"/>
        <v>16</v>
      </c>
      <c r="H178" s="15" t="s">
        <v>15</v>
      </c>
      <c r="I178" s="16">
        <v>81038</v>
      </c>
      <c r="J178" s="17" t="s">
        <v>16</v>
      </c>
    </row>
    <row r="179" s="3" customFormat="1" customHeight="1" spans="1:10">
      <c r="A179" s="10" t="s">
        <v>478</v>
      </c>
      <c r="B179" s="11" t="s">
        <v>479</v>
      </c>
      <c r="C179" s="12" t="s">
        <v>1127</v>
      </c>
      <c r="D179" s="13" t="s">
        <v>220</v>
      </c>
      <c r="E179" s="10" t="s">
        <v>1128</v>
      </c>
      <c r="F179" s="15">
        <v>33</v>
      </c>
      <c r="G179" s="15">
        <f t="shared" si="5"/>
        <v>1584</v>
      </c>
      <c r="H179" s="15" t="s">
        <v>15</v>
      </c>
      <c r="I179" s="16" t="s">
        <v>478</v>
      </c>
      <c r="J179" s="17" t="s">
        <v>16</v>
      </c>
    </row>
    <row r="180" s="3" customFormat="1" customHeight="1" spans="1:10">
      <c r="A180" s="10" t="s">
        <v>481</v>
      </c>
      <c r="B180" s="11" t="s">
        <v>482</v>
      </c>
      <c r="C180" s="12" t="s">
        <v>1129</v>
      </c>
      <c r="D180" s="13" t="s">
        <v>24</v>
      </c>
      <c r="E180" s="10" t="s">
        <v>1128</v>
      </c>
      <c r="F180" s="15">
        <v>17</v>
      </c>
      <c r="G180" s="15">
        <f t="shared" si="5"/>
        <v>816</v>
      </c>
      <c r="H180" s="15" t="s">
        <v>15</v>
      </c>
      <c r="I180" s="16">
        <v>82003</v>
      </c>
      <c r="J180" s="17" t="s">
        <v>16</v>
      </c>
    </row>
    <row r="181" s="3" customFormat="1" customHeight="1" spans="1:10">
      <c r="A181" s="10" t="s">
        <v>1130</v>
      </c>
      <c r="B181" s="12" t="s">
        <v>1131</v>
      </c>
      <c r="C181" s="12" t="s">
        <v>1132</v>
      </c>
      <c r="D181" s="13" t="s">
        <v>1133</v>
      </c>
      <c r="E181" s="10" t="s">
        <v>1128</v>
      </c>
      <c r="F181" s="15">
        <v>4.5</v>
      </c>
      <c r="G181" s="15">
        <f t="shared" si="5"/>
        <v>216</v>
      </c>
      <c r="H181" s="15" t="s">
        <v>15</v>
      </c>
      <c r="I181" s="19" t="s">
        <v>1130</v>
      </c>
      <c r="J181" s="17" t="s">
        <v>16</v>
      </c>
    </row>
    <row r="182" s="3" customFormat="1" customHeight="1" spans="1:10">
      <c r="A182" s="47"/>
      <c r="B182" s="47"/>
      <c r="C182" s="47"/>
      <c r="D182" s="47"/>
      <c r="E182" s="47"/>
      <c r="F182" s="15" t="s">
        <v>494</v>
      </c>
      <c r="G182" s="15">
        <f>SUM(G3:G181)</f>
        <v>72483.87</v>
      </c>
      <c r="H182" s="15"/>
      <c r="I182" s="16"/>
      <c r="J182" s="17"/>
    </row>
  </sheetData>
  <mergeCells count="1">
    <mergeCell ref="A1:G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WwW.YlmF.CoM</Company>
  <Application>Microsoft Excel</Application>
  <HeadingPairs>
    <vt:vector size="2" baseType="variant">
      <vt:variant>
        <vt:lpstr>工作表</vt:lpstr>
      </vt:variant>
      <vt:variant>
        <vt:i4>3</vt:i4>
      </vt:variant>
    </vt:vector>
  </HeadingPairs>
  <TitlesOfParts>
    <vt:vector size="3" baseType="lpstr">
      <vt:lpstr>高中化学仪器</vt:lpstr>
      <vt:lpstr>高中生物仪器</vt:lpstr>
      <vt:lpstr>高中物理仪器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YlmF</dc:creator>
  <cp:lastModifiedBy>沁璇</cp:lastModifiedBy>
  <cp:revision>1</cp:revision>
  <dcterms:created xsi:type="dcterms:W3CDTF">2009-03-31T15:29:00Z</dcterms:created>
  <cp:lastPrinted>2010-06-10T23:43:00Z</cp:lastPrinted>
  <dcterms:modified xsi:type="dcterms:W3CDTF">2026-09-01T09:23:24Z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4A69DE9E16074BFB85974F1F23B62942_13</vt:lpwstr>
  </property>
  <property fmtid="{D5CDD505-2E9C-101B-9397-08002B2CF9AE}" pid="4" name="CalculationRule">
    <vt:i4>0</vt:i4>
  </property>
</Properties>
</file>