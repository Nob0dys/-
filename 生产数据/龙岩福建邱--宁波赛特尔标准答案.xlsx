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<sst xmlns="http://schemas.openxmlformats.org/spreadsheetml/2006/main" count="483" uniqueCount="291">
  <si>
    <t>序号</t>
  </si>
  <si>
    <t>名称</t>
  </si>
  <si>
    <t>规格</t>
  </si>
  <si>
    <t>品牌型号</t>
  </si>
  <si>
    <t>参数</t>
  </si>
  <si>
    <t>单位</t>
  </si>
  <si>
    <t>数量</t>
  </si>
  <si>
    <t>单价</t>
  </si>
  <si>
    <t>总计</t>
  </si>
  <si>
    <t>备注</t>
  </si>
  <si>
    <t>激光防护镜</t>
  </si>
  <si>
    <t>/</t>
  </si>
  <si>
    <t>专用激光防护劳保器具，应能有效阻隔实验激光辐射，保护眼部不受激光光束伤害，适配各类光学激光实验安全防护使用。</t>
  </si>
  <si>
    <t>个</t>
  </si>
  <si>
    <t>普通的9</t>
  </si>
  <si>
    <t>绝缘手套</t>
  </si>
  <si>
    <t>8#、10#</t>
  </si>
  <si>
    <t>电工实验专用防护手套，具备良好绝缘性能，应能有效隔离低压电流，防止触电风险，适用于电学拆装、接线实验安全操作。</t>
  </si>
  <si>
    <t>副</t>
  </si>
  <si>
    <t>电学实验配套绝缘防护用具，绝缘强度达标，质地柔韧贴合手部，应能有效保障高压电路操作过程中的人身安全。</t>
  </si>
  <si>
    <t>绝缘鞋</t>
  </si>
  <si>
    <t>40、41码</t>
  </si>
  <si>
    <t>电工安全防护橡胶鞋款，用于物理电学实验操作，规避接地触电隐患。</t>
  </si>
  <si>
    <t>双</t>
  </si>
  <si>
    <t>工作服</t>
  </si>
  <si>
    <t>L、1XL</t>
  </si>
  <si>
    <t>实验室专用防护工装，适配全品类物理实验操作穿戴。</t>
  </si>
  <si>
    <t>件</t>
  </si>
  <si>
    <t>机械危害防护手套</t>
  </si>
  <si>
    <t>L、XL</t>
  </si>
  <si>
    <t>应采用高强涤纶及不锈钢钢丝组成成，起到防切、防割、耐磨防护。</t>
  </si>
  <si>
    <t>套袖</t>
  </si>
  <si>
    <t>400×180mm</t>
  </si>
  <si>
    <t>实验防护专用袖套，防尘防污、耐磨耐用，可保护衣袖免受实验粉尘、耗材污染及器械摩擦损伤。</t>
  </si>
  <si>
    <t>套</t>
  </si>
  <si>
    <t>仪器车</t>
  </si>
  <si>
    <t>600×450×850mm</t>
  </si>
  <si>
    <t>实验室移动式不锈钢承载推车，结构稳固、承重性好，可转运、收纳各类物理实验仪器，方便器材规整与课堂流转使用。</t>
  </si>
  <si>
    <t>辆</t>
  </si>
  <si>
    <t>多功能实验支架</t>
  </si>
  <si>
    <t>集成式通用实验支架，由以下部件组成：1、底座；2、立杆、长杆、短杆；3、连接头；4、方向夹；5、滴定夹；6、烧瓶夹；7、短杆；8、圆盘；9、试管架板；10、漏斗架板。</t>
  </si>
  <si>
    <t>物理支架</t>
  </si>
  <si>
    <t>物理实验通用支撑设备，可进行夹持、平行、悬挂、平台等多种支架。</t>
  </si>
  <si>
    <t>斜面小车</t>
  </si>
  <si>
    <t>60×120mm</t>
  </si>
  <si>
    <t>用于摩擦定律实验、斜面实验、物体稳度实验。仪器由斜面、小车、摩擦块、砝码桶组成。斜面外形尺寸≥700mm×80mm×15mm，摩擦块由木块制成，正面、侧面有圆柱形槽安放砝码，摩擦块能配重100-200g砝码。</t>
  </si>
  <si>
    <t>演示斜面小车</t>
  </si>
  <si>
    <t>75×160mm</t>
  </si>
  <si>
    <t>可演示物体的惯性、重力势能、在斜面上的受力情况与斜面倾斜度的关系、研究静摩擦滑动摩擦和滚动摩擦实验和匀速度运动的规律、测定重力加速度、验证机械能守恒定律实验。仪器由斜面板、底板、小车及砝码桶和滑轮支架等组成，斜面板应采用优质木材，经脱脂干燥处理加工，全长≥800mm。有演示车，可观摩斜面力学运动规律。</t>
  </si>
  <si>
    <t>轨道小车</t>
  </si>
  <si>
    <t>58×115mm</t>
  </si>
  <si>
    <t>专用轨道配套小车，演示匀速直线运动的规律、测定匀变速直线运动的加速度、验证牛顿第二定律、验证动量定理、验证动能定理等实验。实验器由轨道1支、小车1辆、捕获装置1件、定滑轮1个、砝码袋1个、U型夹1个、轨道斜度调节螺钉2支、小车止动卡1个、计时器固定夹1个组成。</t>
  </si>
  <si>
    <t>演示轨道小车</t>
  </si>
  <si>
    <t>72×165mm</t>
  </si>
  <si>
    <t>演示“力的作用与运动规律”。由铝合金轨道、小车、摩擦块、砝码桶和等组成。轨道为一根长度≥900mm铝型材，一端有一个控制架。配置一控制盒，内有电磁铁的电源电路和控制开关。</t>
  </si>
  <si>
    <t>演示外径千分尺（演示螺旋测微器）</t>
  </si>
  <si>
    <t>158mm</t>
  </si>
  <si>
    <t>教学放大演示款千分尺，刻度放大比例1:20，木质或铝合金材质。</t>
  </si>
  <si>
    <t>把</t>
  </si>
  <si>
    <t>运动频闪观测仪</t>
  </si>
  <si>
    <t>通过频闪成像记录物体运动状态，应能适用于工业控制测量如监测电机、电扇、齿轮等转动时的工作状态；观测振动等快速往复类运动的工作状态。</t>
  </si>
  <si>
    <t>毛钱管(牛顿管)</t>
  </si>
  <si>
    <t>800mm</t>
  </si>
  <si>
    <t>真空力学演示器材，验证轻重不同的物体，在真空中自由下落时，重力加速度都相同。由蝶阀、上下堵头、直管、金属片、羽毛片、磁铁等组成。</t>
  </si>
  <si>
    <t>直联泵</t>
  </si>
  <si>
    <t>直连式小型真空泵，抽气速率为1L/s；配套长度≥1.0m抽气管；附真空泵进气口与转换接口启停稳定、抽气效率高。</t>
  </si>
  <si>
    <t>台</t>
  </si>
  <si>
    <t>两用气筒</t>
  </si>
  <si>
    <t>320mm</t>
  </si>
  <si>
    <t>可手动完成抽气、充气操作，无需电源。金属筒身，长≥100毫米。</t>
  </si>
  <si>
    <t>自由落体实验仪</t>
  </si>
  <si>
    <t>1200mm</t>
  </si>
  <si>
    <t>专用自由落体探究设备，包括主杆、支架座、电磁铁、光电门、钢球、钢球俘获装置、标尺及方向调节座等。</t>
  </si>
  <si>
    <t>演示定滑轮</t>
  </si>
  <si>
    <t>60mm</t>
  </si>
  <si>
    <t>教学演示专用定滑轮，由加厚镀锌铁板和铁轮组成。总高度（含吊环长度）≥120mm。</t>
  </si>
  <si>
    <t>摩擦力演示器</t>
  </si>
  <si>
    <t>电动仪器，带指示、调速功能，全金属结构外壳，底座四个橡皮垫。滚筒转动带动橡皮带运动，通过橡皮带上物体的相对运动结合仪器配备的演示测力计测量物理的最大静摩擦力，仪器的额定电压为220V/50Hz。</t>
  </si>
  <si>
    <t>力的合成分解演示器</t>
  </si>
  <si>
    <t>400mm</t>
  </si>
  <si>
    <t>可直观展示共点力的合成与分解规律，由分度坐标盘、汇力环、测力计、调节器、滑轮、夹具、支架等组成。</t>
  </si>
  <si>
    <t>滚摆</t>
  </si>
  <si>
    <t>650mm</t>
  </si>
  <si>
    <t>机械能转换演示教具，由摆体（摆轮和摆轴）、悬线、支架和底座组成。摆轮直径≥900mm。</t>
  </si>
  <si>
    <t>伽利略理想斜面演示器</t>
  </si>
  <si>
    <t>演示伽利略理想实验，推导匀速运动与惯性规律，长度≥900mm。</t>
  </si>
  <si>
    <t>牛顿第二定律演示仪</t>
  </si>
  <si>
    <t>1000mm</t>
  </si>
  <si>
    <t>直观验证牛顿第二定律。由双轨道、刹车装置、滑轮、2辆车、拉力挂钩等组成。轨道有效运动长度≥500mm，刹车可调，使2车能同时静止或者开始运动。</t>
  </si>
  <si>
    <t>超重失重演示器</t>
  </si>
  <si>
    <t>420mm</t>
  </si>
  <si>
    <t>可直观展示物体在加速、减速运动中的超重与失重现象，帮助理解力学惯性规律。由导轨、定滑轮、传动索、圆盘测力计、槽码、钢丝、支架等组成。</t>
  </si>
  <si>
    <t>气垫导轨</t>
  </si>
  <si>
    <t>1500mm</t>
  </si>
  <si>
    <t>低阻力精密运动实验导轨，利用气垫悬浮减小摩擦，可精准开展匀速运动、碰撞、动量守恒等定量实验，做近似无摩擦力的运动，使结果接近理论值。由导轨、滑行器及其他附件组成。</t>
  </si>
  <si>
    <t>小型气源</t>
  </si>
  <si>
    <t>气垫导轨专用配套供气设备，供气稳定、气压均匀，气压≥5kPa，出气洁净、电源220V。</t>
  </si>
  <si>
    <t>数字计时器</t>
  </si>
  <si>
    <t>高精度数显计时仪器，响应灵敏、计时精准，具有2路光电门接口、2路独立计时触发按钮，有电磁铁接口。</t>
  </si>
  <si>
    <t>二维空间-时间描迹仪</t>
  </si>
  <si>
    <t>350×450mm</t>
  </si>
  <si>
    <t>可同步记录物体二维运动轨迹与时间参数，直观呈现平面运动时空变化规律，结构有：由枪头、电极、频率开关、点迹开关、箱体、玻璃面板、底座、抛体、落体转换开关等组成，运动体主要由放电针及磁芯组成。</t>
  </si>
  <si>
    <t>曲线运动条件实验器</t>
  </si>
  <si>
    <t>直观验证物体做曲线运动的必备条件。仪器应采用一体化设计，由底盘、球体、轨道、钢球、支杆等组成。</t>
  </si>
  <si>
    <t>曲线运动速度方向实验器</t>
  </si>
  <si>
    <t>可直观演示曲线运动中任意时刻速度沿轨迹切线方向的物理规律，由铝合金轨道、钢球、钢球释放装置等组成。</t>
  </si>
  <si>
    <t>运动合成分解演示器</t>
  </si>
  <si>
    <t>可直观展示平面运动的合成与分解过程，验证分运动与合运动的等时性、矢量叠加规律。由导轨、滑块、控制器、底座、立杆、板等部件组成。</t>
  </si>
  <si>
    <t>平抛竖落仪</t>
  </si>
  <si>
    <t>同步演示平抛运动与自由落体运动，可对比验证两种运动竖直方向下落规律一致，直观呈现平抛运动分运动特性。产品由仪器主体、释球板、铁锤和钢球组成。</t>
  </si>
  <si>
    <t>平抛运动演示仪</t>
  </si>
  <si>
    <t>专用平抛实验装置，抛射平稳、轨迹稳定，可清晰呈现平抛运动轨迹，用于探究平抛运动规律。由电磁铁钢球释放器、轨道、钢球捕捉装置、测量器与刻度尺、重锤等组成。</t>
  </si>
  <si>
    <t>平抛和碰撞实验器</t>
  </si>
  <si>
    <t>集成平抛运动与小球碰撞实验功能，可同时完成平抛轨迹探究与动量碰撞规律实验，一机多用。由导轨、球、锤、接球槽、电磁铁、支球总成和演示板组成。</t>
  </si>
  <si>
    <t>离心轨道</t>
  </si>
  <si>
    <t>160mm</t>
  </si>
  <si>
    <t>圆弧离心运动专用轨道，滑行顺畅，可演示圆周运动、离心现象、机械能转化等物理规律，由球、轨道、捕球圈等组成。</t>
  </si>
  <si>
    <t>向心力实验器</t>
  </si>
  <si>
    <t>可定量探究向心力大小与质量、线速度、半径的关系，精准验证圆周运动向心力公式规律。由底座、轮、旋臂、弹簧、尺、横臂等组成。</t>
  </si>
  <si>
    <t>手动的55</t>
  </si>
  <si>
    <t>电子起电机</t>
  </si>
  <si>
    <t>280mm</t>
  </si>
  <si>
    <t>高压静电，做电火花放电实验、电场力实验、电场线实验、静电屏蔽实验、钟摆小球实验、静电吸引水流实验、静电危害实验等。仪器面板上有电压表、电流表、调谐旋钮、电源开关和点开关。输入电压为DC6V。</t>
  </si>
  <si>
    <t>箔片验电器</t>
  </si>
  <si>
    <t>180mm</t>
  </si>
  <si>
    <t>依靠金属箔开合状态，检验物体是否带电，带正电还是带负电。仪器由长方形或圆形金属筒、铁板或圆形塑料底座、透明玻璃（前）、毛玻璃（后）、绝缘子、镀铬金属杆组成。</t>
  </si>
  <si>
    <t>对</t>
  </si>
  <si>
    <t>指针验电器</t>
  </si>
  <si>
    <t>220mm</t>
  </si>
  <si>
    <t>指针偏转式检测仪器，指针验电器，由外壳、圆球、法拉第圆筒、导电杆、绝缘子、指针、指针架、接地线柱组成。</t>
  </si>
  <si>
    <t>移电球（验电球）</t>
  </si>
  <si>
    <t>30×150mm</t>
  </si>
  <si>
    <t>导电构件，带有绝缘棒的金属小球，用于转移电荷、传导静电，辅助静电实验操作。</t>
  </si>
  <si>
    <t>验电器连接杆</t>
  </si>
  <si>
    <t>200mm</t>
  </si>
  <si>
    <t>导电连接配件，含导电杆、绝缘手柄等，导电杆直径≥1.5mm，长度≥200mm，绝缘柄直径≥9mm，长度≥130mm。</t>
  </si>
  <si>
    <t>球形导体</t>
  </si>
  <si>
    <t>Φ80mm</t>
  </si>
  <si>
    <t>球状金属导电体，导体用黄铜镀铬制成，直径≥70mm。</t>
  </si>
  <si>
    <t>枕形导体</t>
  </si>
  <si>
    <t>异形导电试件，由空心圆筒（一边是半球面，另一边是平口，对合后成为一个枕形导体，导体有绝缘支杆及底座。</t>
  </si>
  <si>
    <t>验电羽</t>
  </si>
  <si>
    <t>轻质羽状导电部件，带电后舒展张开，可视化展示静电作用力效果，由圆底座、支架、丝线等组成。</t>
  </si>
  <si>
    <t>验电幡</t>
  </si>
  <si>
    <t>直观反映周边电场带电状态，由一面长方形铜丝网，用三根绝缘支柱支起，绝缘支柱由三部分组成。</t>
  </si>
  <si>
    <t>电场线演示器</t>
  </si>
  <si>
    <t>220×320mm</t>
  </si>
  <si>
    <t>应能视化教具，由单点和双点电极演示板、平行板电极演示板、环形电极演示板、尖形导体演示板组成。</t>
  </si>
  <si>
    <t>平行板电容器</t>
  </si>
  <si>
    <t>应能调节极板间距与正对面积，由底座、极板、介质板等构成，可演示下列实验：演示平行板电容器所带电量和两板之间的电势差有关系、演示平行板电容器的电容与两板间的距离以及两板间的相对面积与两板间的电介质有关系、演示匀强电场的电力线的形象。</t>
  </si>
  <si>
    <t>库仑定律演示器</t>
  </si>
  <si>
    <t>专用实验装置，验证静电力作用变化规律，做库仑定律的验证，由悬丝、横杆、金属小球，平衡小球，移电小球、旋钮和阻尼等组成。</t>
  </si>
  <si>
    <t>常用电容器示教板</t>
  </si>
  <si>
    <t>250×400mm</t>
  </si>
  <si>
    <t>电解电容器示教板、陶瓷电容器示教板、独石电容器示教板、贴片电容器示教板、微调电容器示教板、可变电容器示教板。要求：需标明相应参数，每种电容应使用插拔的方式固定在展示板上，方便近距离观察。</t>
  </si>
  <si>
    <t>尺寸有些不同</t>
  </si>
  <si>
    <t>常用电阻器示教板</t>
  </si>
  <si>
    <t>定值电阻(碳膜电阻、金属膜电阻、绕线电阻、水泥电阻、贴片式电阻等)、可变电阻(电位器、小型滑动变阻器)、特殊电阻(热敏电阻、光敏电阻、压敏电阻）等，每种电容应采用插拔的方式固定在展示板上。</t>
  </si>
  <si>
    <t>高中学生电源</t>
  </si>
  <si>
    <t>教学专用低压稳压电源，输出平稳，将市电转换成可直接使用的安全的低电压，该仪器应采用全金属结构，操控面板为铝合金氧化面板，输出端子应采用插、接两用铜芯接线柱，方便携带，机箱上部装有提手过载保护。满足各类电学演示实验用电。</t>
  </si>
  <si>
    <t>高中教学电源</t>
  </si>
  <si>
    <t>教学演示试验用应采用金属材质，面板附小型电压表一只，交流电压和直流稳压电压以及大直流输出，可调档位多、输出电流大，各输出档均具有过载保护功能，在输出超载时能自动关断输出。</t>
  </si>
  <si>
    <t>电阻定律演示器</t>
  </si>
  <si>
    <t>200×350mm</t>
  </si>
  <si>
    <t>由底板、金属导线、接线柱、连接片、支撑架等组成；同种导电材料的不同横截面积≥3种情况且学生可以直接测量出来、同种导电材料的不同长度≥3种情况且学生可以直接测量出来，导电材料的不同横截面积及不同长度无须通过电学上的串并联关系来推导，使学生在实验室更直观并提高实验效率。</t>
  </si>
  <si>
    <t>电阻定律实验器</t>
  </si>
  <si>
    <t>由底板（喷塑钢板）、三种金属导线分别为：康铜（1条）、碳钢丝（1条）、镍铬丝、14个接线柱组成。不同的导电材料≥3种、同种导电材料的不同横截面积≥3种情况且学生可以直接测量出来、导电材料的不同横截面积及不同长度无须通过电学上的串并联关系来推导，使学生在实验室更直观并提高实验效率。</t>
  </si>
  <si>
    <t>演示电表</t>
  </si>
  <si>
    <t>演示电流电压表为指针式内磁结构，及其测量电路等部分组成。它具有使用方便，性能稳定、安全可靠、演示直观等优点。它共有十四档测量量程，供教学演示实验中作检流计，及测量直流电流、直流电压、交流电流、交流电压等之用。</t>
  </si>
  <si>
    <t>只</t>
  </si>
  <si>
    <t>电阻箱</t>
  </si>
  <si>
    <t>六位，99999.9Ω,1级。</t>
  </si>
  <si>
    <t>滑动变阻器</t>
  </si>
  <si>
    <t>10Ω,2A，滑杆宜应采用正多边形截面（正六边形或正四边形或正三角形）；滑片不应滑出端夹以外。</t>
  </si>
  <si>
    <t>由电阻管、康铜丝、接线柱、滑杆、滑动头、触头、支架等组成。</t>
  </si>
  <si>
    <t>电阻50Ω；额定电流1.5A。用标准线径的老康铜丝，优质金属支架。</t>
  </si>
  <si>
    <t>蹄形磁体</t>
  </si>
  <si>
    <t>100mm</t>
  </si>
  <si>
    <t>一体成型，表面磁感应。</t>
  </si>
  <si>
    <t>充磁器</t>
  </si>
  <si>
    <t>能对磁性物体进行充磁和退磁。由空芯线圈、整流电路、选择开关等组成，工作电压220V±10%/50Hz。</t>
  </si>
  <si>
    <t>灵敏电流计</t>
  </si>
  <si>
    <t>测量结构、测量路线、外壳等组成。准确等级：2.5级。</t>
  </si>
  <si>
    <t>高频信号发生器</t>
  </si>
  <si>
    <t>0.4MHz-130MHz分段连续可调，误差±5%</t>
  </si>
  <si>
    <t>交流电路特性演示器</t>
  </si>
  <si>
    <t>由电感电阻电容及多谐振荡器组成；</t>
  </si>
  <si>
    <t>工作电压：AC220V，50Hz。</t>
  </si>
  <si>
    <t>手摇交直流发电机</t>
  </si>
  <si>
    <t>仪器由定子、转子、电刷、转动机构、集流环（或换向器）、小灯座、底板、接线柱等组成，底板应采用木制。</t>
  </si>
  <si>
    <t>电磁振荡演示仪</t>
  </si>
  <si>
    <t>由电感线圈、电容器、集成电路等元器件和带有原理图的面板组成。</t>
  </si>
  <si>
    <t>赫兹实验演示器</t>
  </si>
  <si>
    <t>由感应圈连接金属杆、带电球、发射天线杆、接收金属杆、氖泡架、底座等组成。</t>
  </si>
  <si>
    <t>光源</t>
  </si>
  <si>
    <t>220V</t>
  </si>
  <si>
    <t>LED光源，发光形状、亮度均可调。</t>
  </si>
  <si>
    <t>感应圈</t>
  </si>
  <si>
    <t>演示实验中产生5KV-50KV的高压脉冲，电子开关式，连续可调。仪器直接使用220V/50Hz市电，消耗功率≤120W，输出端放电火花距离为5-50mm，火花条数在两条以上，配有一对放电针杆。应带有高压输出插座和高压连接导线，可有放电电极。不设放电电极，外部没有火花放电时感应圈不应损坏；设放电电极时，放电电极应定位，在可能调节到的最大放电距离时感应圈应不损坏。应带有高压输出插座和高压连接导线，可有放电电极；应设防护罩，面板显著位置应有“当心触电”的安全警示标志。</t>
  </si>
  <si>
    <t>器材名称</t>
  </si>
  <si>
    <t>单 位</t>
  </si>
  <si>
    <t>弹簧振子</t>
  </si>
  <si>
    <t>700mm</t>
  </si>
  <si>
    <t>标准简谐振动演示器材，弹性稳定、振动规律均匀，由导轨、滑块、弹簧、刻度尺、进气管等组成。</t>
  </si>
  <si>
    <t>动量守恒小车</t>
  </si>
  <si>
    <t>用于定量验证一维碰撞中的动量守恒定律。仪器由底座、轮子、三角架、摆球及杆、横梁等组成。</t>
  </si>
  <si>
    <t>动量传递演示器(碰撞球)</t>
  </si>
  <si>
    <t>多球串联碰撞装置，可直观演示动量传递、能量传递、弹性碰撞的物理现象。含底座、立柱、杆、梁、球等。</t>
  </si>
  <si>
    <t>规格不符合，不是400mm</t>
  </si>
  <si>
    <t>反冲运动演示器</t>
  </si>
  <si>
    <t>专用反冲现象教具，可通过喷射、弹射结构直观展示反冲运动原理与动量守恒应用。含调节器、支承、盛水容器、管、密封座等。</t>
  </si>
  <si>
    <t>波动弹簧</t>
  </si>
  <si>
    <t>长条形演示弹簧密绕，可直观展示横波、纵波传播形态</t>
  </si>
  <si>
    <t>单摆运动规律演示器</t>
  </si>
  <si>
    <t>专用单摆探究设备，可精准调节摆长、摆角，定量探究单摆周期与摆长、重力加速度的关系。由底座、杆、摆球组成；</t>
  </si>
  <si>
    <t>受迫振动和共振演示器</t>
  </si>
  <si>
    <t>应能模拟外界周期性驱动力，能分别使5个摆长不同的单摆发生共振，直观展示物体受迫振动现象及共振产生条件与振动规律。</t>
  </si>
  <si>
    <t>共振演示器</t>
  </si>
  <si>
    <t>多摆同步演示装置，应能直观展示固有频率、受迫振动与共振现象，清晰呈现共振物理特性。本仪器是利用电机做动力策动使三只弹簧振子纵向振动，策动频率程控调节，数码显示。三只弹性系数不同的弹簧振子具有不同的固有频率，具有不同的共振点。</t>
  </si>
  <si>
    <t>共振音叉</t>
  </si>
  <si>
    <t>标准教学音叉，频率精准、共鸣效果清晰，应能演示声音共振、声音产生、声波传播等声学规律。由两只同频率音叉、共鸣箱一对、击槌一把组成。</t>
  </si>
  <si>
    <t>发波水槽</t>
  </si>
  <si>
    <t>280×380mm</t>
  </si>
  <si>
    <t>水波演示专用水槽，应能产生稳定水波、干涉、衍射波形，直观展示机械波传播、叠加规律。由壳体、水槽、振动源及光源等组成</t>
  </si>
  <si>
    <t>纵波演示器</t>
  </si>
  <si>
    <t>机械纵波专用演示设备，应能直观模拟纵波的疏密传播形态，展示纵波振动与传播特点。由支架、弹簧、振源及附件、连接杆和衬布等部件组成。</t>
  </si>
  <si>
    <t>绳波演示器</t>
  </si>
  <si>
    <t>2m</t>
  </si>
  <si>
    <t>绳索波动演示装置，应能快速形成稳定横波，直观展示绳波传播、反射、叠加等波动现象</t>
  </si>
  <si>
    <t>液体表面张力演示器</t>
  </si>
  <si>
    <t>专用演示器具，应能直观展示液体表面张力的收缩、吸附、提拉等物理现象支持表面张力测量实验。</t>
  </si>
  <si>
    <t>气体定律演示器</t>
  </si>
  <si>
    <t>可视化气体实验装置，应能调控气体温度、体积、压强，定性演示气体实验定律基础规律。由玻管、压力表、定容机构、架和标尺等组成。应能验证在温度不变时，压强P与体积V的关系。也可验证查埋定律或盖·吕萨克定律。</t>
  </si>
  <si>
    <t>气体定律实验器</t>
  </si>
  <si>
    <t>精密气体探究设备，应能定量探究理想气体压强、体积、温度三者之间的变化关系。由气柱玻璃管、压力表、定容机构、固定架和体积标尺等主要部件组成。以此可演示在温度不变时，压强（P）与体积（V）的关系或者演示查埋定律或盖·吕萨克定律。</t>
  </si>
  <si>
    <t>激光光学演示仪</t>
  </si>
  <si>
    <t>激光光源配套光学演示设备，光束清晰稳定，可演示光的直线传播、反射、折射、干涉等各类光学现象。由演示屏、光盘、光源、分束器、扩束透镜、双凸柱面透镜、半圆柱面透镜、透镜、凹凸柱面反光镜、平面镜、漫反射镜、等边棱镜、等腰直角棱镜、光纤、光具架、移动尺、平行平板、光刻衍射片、偏振器、劈尖、牛顿环、伽利略望远镜、潜望镜、双面镜等组成。</t>
  </si>
  <si>
    <t>光的传播、反射、折射实验器</t>
  </si>
  <si>
    <t>集成式光学实验装置，应能一站式完成光的传播、镜面反射、漫反射、光的折射规律探究实验。由平面镜、半圆水槽、圆型角度盘、磁吸、激光笔套、支架等组成。</t>
  </si>
  <si>
    <t>光具盘</t>
  </si>
  <si>
    <t>直径400mm</t>
  </si>
  <si>
    <t>光学平面演示盘，刻度精准、光路清晰，可直观展示光路走向、角度变化，适配几何光学演示。由演示板、演示盘、光源、光栏及附件等组成。</t>
  </si>
  <si>
    <t>光具座</t>
  </si>
  <si>
    <t>标准光学实验基座，滑轨平直、滑块可调，可固定光源、透镜、光屏，完成成像、焦距、光学组合实验。由导轨、滑块、白屏支架、LED光源支架、双凸透镜支架及双凹透镜支架组成。</t>
  </si>
  <si>
    <t>空气压缩引火仪</t>
  </si>
  <si>
    <t>直观演示机械能转化为内能现象，由手柄、连杆、端盖、耐油橡皮圈、气缸体、底座等组成。</t>
  </si>
  <si>
    <t>光导纤维原理演示器</t>
  </si>
  <si>
    <t>模拟光纤传导结构，展示光线在内芯全反射传播，讲解光纤基础工作原理，亚克力、激光灯、有机玻璃棒组成。</t>
  </si>
  <si>
    <t>光导纤维应用演示器</t>
  </si>
  <si>
    <t>实景化演示装置，由发射、传像、接收三大部分组成。</t>
  </si>
  <si>
    <t>光的干涉衍射偏振演示器</t>
  </si>
  <si>
    <t>一体化光学设备，可分别展现光干涉、衍射、偏振三类经典光学现象，由分离光学元件、光具座组成，要求能清晰看见白光干涉纹。</t>
  </si>
  <si>
    <t>牛顿环</t>
  </si>
  <si>
    <t>光学干涉专用器件，借助薄膜干涉形成环形纹路，检查光学零件表面时所出现的同心或平行的等厚干涉条纹，称为“牛顿圈”。</t>
  </si>
  <si>
    <t>电路实验板</t>
  </si>
  <si>
    <t>220×350mm</t>
  </si>
  <si>
    <t>线路底板、 电池盒座、单极开关、双极开关、线绕电阻、电阻、电位器组成，镍铬丝、铁铬丝、三极管、电容、电感等。</t>
  </si>
  <si>
    <t>示波器</t>
  </si>
  <si>
    <t>数字式，10MHz，≥18cm屏，能贮存，I类电器，抗电强度3000V。</t>
  </si>
  <si>
    <t>电磁感应演示器</t>
  </si>
  <si>
    <t>匀强磁场的磁感应强度应足够大，闭合矩形线框面积≤匀强磁场区域的面积。部分切割或旋转时能够产生较大电流：单根导线切割磁感线，经过微电流放大器，可用演示电表指示；电动机线圈及支架在电磁铁磁场的匀强区内旋转。</t>
  </si>
  <si>
    <t>磁电式电流表模型</t>
  </si>
  <si>
    <t>由永久磁体、铁芯、线圈、螺旋弹簧、指针、刻度盘等组成。</t>
  </si>
  <si>
    <t>电场中带电粒子运动模拟演示器</t>
  </si>
  <si>
    <t>演示模拟电场中带电粒子加速、偏转。</t>
  </si>
  <si>
    <t>阴极射线管</t>
  </si>
  <si>
    <t>演示阴极射线在磁场内发生偏转的现象，由泡壳、挡板、荧光板、阴极、阳极、胶木座等组成。</t>
  </si>
  <si>
    <t>支</t>
  </si>
  <si>
    <t>楞次定律演示器</t>
  </si>
  <si>
    <t>木制，由闭合紫铜管，开口、闭口铝管，强磁体，螺旋管及led显示灯组成。</t>
  </si>
  <si>
    <t>变压器原理说明器</t>
  </si>
  <si>
    <t>由线圈2个、U型铁芯2个、条形铁轭1个、极掌2个、压板螺钉2个、强阻尼摆1个、弱阻尼摆1个、摆架1个、示教板1套、感应线圈1件、铝环1件、低压小灯泡5只组成。</t>
  </si>
  <si>
    <t>可拆变压器</t>
  </si>
  <si>
    <t>单相芯式结构，铁芯以优质钢矽片冲制并经绝缘处理，U型铁芯及条形铁轭为可拆式，线圈骨架用塑料压制。</t>
  </si>
  <si>
    <t>普朗克常量测定器</t>
  </si>
  <si>
    <t>物理课程中演示光电效应有关规律的实验，根据爱因斯坦光电效应方程测算出普朗克常数。仪器由光源、光接收直流放大显示箱、滤色片等组成，内部还装有稳压电源。能演示光电效应四个基本规律。</t>
  </si>
  <si>
    <t>机械效应管，卧式、立式。滚轮叶片上应涂有不同颜色的荧光粉。</t>
  </si>
  <si>
    <t>静电偏转管，在偏转板上加 250V直流电压时，电子束轨迹末端偏转应≥12 mm，工作时亮度≥100cd/m2。</t>
  </si>
  <si>
    <t>光谱管组</t>
  </si>
  <si>
    <t>六管光谱管组。</t>
  </si>
  <si>
    <t>光电效应演示器</t>
  </si>
  <si>
    <t>由高压电源、微电流放大器、锌板、铜丝网、紫外光源等组成。</t>
  </si>
  <si>
    <t>热敏电阻及应用演示板</t>
  </si>
  <si>
    <t>热敏电阻及应用电路组成，负温度系数型热敏电阻，带演示电表。</t>
  </si>
  <si>
    <t>光敏电阻及应用演示板</t>
  </si>
  <si>
    <t>光敏电阻及其应用电路组成，光敏电阻应用环氧树脂封装，带演示电表。</t>
  </si>
  <si>
    <t>门电路和传感器应用实验箱</t>
  </si>
  <si>
    <t>由门、非门电路、干簧管、霍尔元件、应变片、电阻、感温铁氧体、传感器、光电门、LED灯、电机、蜂鸣器、电源、信号采集器等组成。</t>
  </si>
  <si>
    <t>双缝干涉实验仪</t>
  </si>
  <si>
    <t>精密光学实验装置，由灯泡、照明透镜、遮光板、滤色片及片座、单狭缝及缝座、单缝管、拨杆、遮光管、接长管、测量头、游标尺、滑块、手轮、目镜、半圆形支架环组成。</t>
  </si>
  <si>
    <t>不含税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</si>
</sst>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宋体"/>
      <charset val="134"/>
      <scheme val="minor"/>
    </font>
    <font>
      <b/>
      <sz val="10.5"/>
      <color theme="1"/>
      <name val="宋体"/>
      <charset val="134"/>
    </font>
    <font>
      <sz val="10.5"/>
      <color theme="1"/>
      <name val="宋体"/>
      <charset val="134"/>
    </font>
    <font>
      <sz val="10"/>
      <color theme="1"/>
      <name val="宋体"/>
      <charset val="134"/>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3" borderId="6">
      <alignment vertical="center"/>
    </xf>
    <xf numFmtId="0" fontId="14" fillId="4" borderId="7">
      <alignment vertical="center"/>
    </xf>
    <xf numFmtId="0" fontId="15" fillId="4" borderId="6">
      <alignment vertical="center"/>
    </xf>
    <xf numFmtId="0" fontId="16" fillId="5" borderId="8">
      <alignment vertical="center"/>
    </xf>
    <xf numFmtId="0" fontId="17" fillId="0" borderId="9">
      <alignment vertical="center"/>
    </xf>
    <xf numFmtId="0" fontId="18" fillId="0" borderId="10">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5">
    <xf numFmtId="0" fontId="0" fillId="0" borderId="0" xfId="0" applyAlignment="1">
      <alignment vertical="center"/>
    </xf>
    <xf numFmtId="0" fontId="0" fillId="0" borderId="0" xfId="0" applyFont="1" applyAlignment="1">
      <alignment vertical="center"/>
    </xf>
    <xf numFmtId="0" fontId="0" fillId="0" borderId="0" xfId="0" applyFont="1" applyAlignment="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0" fillId="0" borderId="2" xfId="0" applyFont="1" applyBorder="1" applyAlignment="1"/>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8"/>
  <sheetViews>
    <sheetView tabSelected="1" topLeftCell="A106" workbookViewId="0">
      <selection activeCell="H119" sqref="H119"/>
    </sheetView>
  </sheetViews>
  <sheetFormatPr defaultColWidth="8.88888888888889" defaultRowHeight="14.4"/>
  <cols>
    <col min="1" max="3" width="8.88888888888889" style="1"/>
    <col min="4" max="4" width="13.6666666666667" style="2" customWidth="1"/>
    <col min="5" max="5" width="35.2222222222222" style="2" customWidth="1"/>
    <col min="6" max="6" width="9.77777777777778" style="2" customWidth="1"/>
    <col min="7" max="16384" width="8.88888888888889" style="1"/>
  </cols>
  <sheetData>
    <row r="1" ht="30.3" customHeight="1" spans="1:10">
      <c r="A1" s="3" t="s">
        <v>0</v>
      </c>
      <c r="B1" s="3" t="s">
        <v>1</v>
      </c>
      <c r="C1" s="3" t="s">
        <v>2</v>
      </c>
      <c r="D1" s="3" t="s">
        <v>3</v>
      </c>
      <c r="E1" s="3" t="s">
        <v>4</v>
      </c>
      <c r="F1" s="3" t="s">
        <v>5</v>
      </c>
      <c r="G1" s="3" t="s">
        <v>6</v>
      </c>
      <c r="H1" s="3" t="s">
        <v>7</v>
      </c>
      <c r="I1" s="3" t="s">
        <v>8</v>
      </c>
      <c r="J1" s="3" t="s">
        <v>9</v>
      </c>
    </row>
    <row r="2" ht="57.6" customHeight="1" spans="1:10">
      <c r="A2" s="4">
        <v>1</v>
      </c>
      <c r="B2" s="5" t="s">
        <v>10</v>
      </c>
      <c r="C2" s="5" t="s">
        <v>11</v>
      </c>
      <c r="D2" s="6">
        <v>30802000201</v>
      </c>
      <c r="E2" s="5" t="s">
        <v>12</v>
      </c>
      <c r="F2" s="7" t="s">
        <v>13</v>
      </c>
      <c r="G2" s="4">
        <v>2</v>
      </c>
      <c r="H2" s="4">
        <v>36</v>
      </c>
      <c r="I2" s="4">
        <f>H2*G2</f>
        <v>72</v>
      </c>
      <c r="J2" s="7" t="s">
        <v>14</v>
      </c>
    </row>
    <row r="3" ht="57.6" customHeight="1" spans="1:10">
      <c r="A3" s="4">
        <v>3</v>
      </c>
      <c r="B3" s="5" t="s">
        <v>15</v>
      </c>
      <c r="C3" s="5" t="s">
        <v>16</v>
      </c>
      <c r="D3" s="6">
        <v>30802000550</v>
      </c>
      <c r="E3" s="5" t="s">
        <v>17</v>
      </c>
      <c r="F3" s="7" t="s">
        <v>18</v>
      </c>
      <c r="G3" s="4">
        <v>2</v>
      </c>
      <c r="H3" s="4">
        <v>12</v>
      </c>
      <c r="I3" s="4">
        <f t="shared" ref="I3:I34" si="0">H3*G3</f>
        <v>24</v>
      </c>
      <c r="J3" s="4"/>
    </row>
    <row r="4" ht="43.2" customHeight="1" spans="1:10">
      <c r="A4" s="4">
        <v>4</v>
      </c>
      <c r="B4" s="5" t="s">
        <v>15</v>
      </c>
      <c r="C4" s="5" t="s">
        <v>16</v>
      </c>
      <c r="D4" s="6">
        <v>30802000560</v>
      </c>
      <c r="E4" s="5" t="s">
        <v>19</v>
      </c>
      <c r="F4" s="7" t="s">
        <v>18</v>
      </c>
      <c r="G4" s="4">
        <v>2</v>
      </c>
      <c r="H4" s="4">
        <v>22</v>
      </c>
      <c r="I4" s="4">
        <f t="shared" si="0"/>
        <v>44</v>
      </c>
      <c r="J4" s="4"/>
    </row>
    <row r="5" ht="28.8" customHeight="1" spans="1:10">
      <c r="A5" s="4">
        <v>5</v>
      </c>
      <c r="B5" s="5" t="s">
        <v>20</v>
      </c>
      <c r="C5" s="5" t="s">
        <v>21</v>
      </c>
      <c r="D5" s="6">
        <v>30802002701</v>
      </c>
      <c r="E5" s="5" t="s">
        <v>22</v>
      </c>
      <c r="F5" s="7" t="s">
        <v>23</v>
      </c>
      <c r="G5" s="4">
        <v>2</v>
      </c>
      <c r="H5" s="8">
        <v>80</v>
      </c>
      <c r="I5" s="4">
        <f t="shared" si="0"/>
        <v>160</v>
      </c>
      <c r="J5" s="4"/>
    </row>
    <row r="6" ht="28.8" customHeight="1" spans="1:10">
      <c r="A6" s="4">
        <v>6</v>
      </c>
      <c r="B6" s="5" t="s">
        <v>24</v>
      </c>
      <c r="C6" s="5" t="s">
        <v>25</v>
      </c>
      <c r="D6" s="6">
        <v>30802000110</v>
      </c>
      <c r="E6" s="5" t="s">
        <v>26</v>
      </c>
      <c r="F6" s="7" t="s">
        <v>27</v>
      </c>
      <c r="G6" s="4">
        <v>2</v>
      </c>
      <c r="H6" s="4">
        <v>29</v>
      </c>
      <c r="I6" s="4">
        <f t="shared" si="0"/>
        <v>58</v>
      </c>
      <c r="J6" s="4"/>
    </row>
    <row r="7" ht="28.8" customHeight="1" spans="1:10">
      <c r="A7" s="4">
        <v>7</v>
      </c>
      <c r="B7" s="5" t="s">
        <v>28</v>
      </c>
      <c r="C7" s="5" t="s">
        <v>29</v>
      </c>
      <c r="D7" s="6">
        <v>30802000504</v>
      </c>
      <c r="E7" s="5" t="s">
        <v>30</v>
      </c>
      <c r="F7" s="7" t="s">
        <v>18</v>
      </c>
      <c r="G7" s="4">
        <v>2</v>
      </c>
      <c r="H7" s="4">
        <v>30</v>
      </c>
      <c r="I7" s="4">
        <f t="shared" si="0"/>
        <v>60</v>
      </c>
      <c r="J7" s="4"/>
    </row>
    <row r="8" ht="43.2" customHeight="1" spans="1:10">
      <c r="A8" s="4">
        <v>9</v>
      </c>
      <c r="B8" s="5" t="s">
        <v>31</v>
      </c>
      <c r="C8" s="5" t="s">
        <v>32</v>
      </c>
      <c r="D8" s="9">
        <v>30802005210</v>
      </c>
      <c r="E8" s="5" t="s">
        <v>33</v>
      </c>
      <c r="F8" s="7" t="s">
        <v>34</v>
      </c>
      <c r="G8" s="4">
        <v>2</v>
      </c>
      <c r="H8" s="4">
        <v>4</v>
      </c>
      <c r="I8" s="4">
        <f t="shared" si="0"/>
        <v>8</v>
      </c>
      <c r="J8" s="4"/>
    </row>
    <row r="9" ht="57.6" customHeight="1" spans="1:10">
      <c r="A9" s="4">
        <v>10</v>
      </c>
      <c r="B9" s="5" t="s">
        <v>35</v>
      </c>
      <c r="C9" s="10" t="s">
        <v>36</v>
      </c>
      <c r="D9" s="9">
        <v>30199002002</v>
      </c>
      <c r="E9" s="5" t="s">
        <v>37</v>
      </c>
      <c r="F9" s="7" t="s">
        <v>38</v>
      </c>
      <c r="G9" s="4">
        <v>2</v>
      </c>
      <c r="H9" s="4">
        <v>240</v>
      </c>
      <c r="I9" s="4">
        <f t="shared" si="0"/>
        <v>480</v>
      </c>
      <c r="J9" s="4"/>
    </row>
    <row r="10" ht="72" customHeight="1" spans="1:10">
      <c r="A10" s="4">
        <v>31</v>
      </c>
      <c r="B10" s="5" t="s">
        <v>39</v>
      </c>
      <c r="C10" s="5" t="s">
        <v>11</v>
      </c>
      <c r="D10" s="9">
        <v>30101000310</v>
      </c>
      <c r="E10" s="5" t="s">
        <v>40</v>
      </c>
      <c r="F10" s="7" t="s">
        <v>34</v>
      </c>
      <c r="G10" s="4">
        <v>1</v>
      </c>
      <c r="H10" s="4">
        <v>135</v>
      </c>
      <c r="I10" s="4">
        <f t="shared" si="0"/>
        <v>135</v>
      </c>
      <c r="J10" s="4"/>
    </row>
    <row r="11" ht="28.8" customHeight="1" spans="1:10">
      <c r="A11" s="4">
        <v>34</v>
      </c>
      <c r="B11" s="5" t="s">
        <v>41</v>
      </c>
      <c r="C11" s="5" t="s">
        <v>11</v>
      </c>
      <c r="D11" s="6">
        <v>30101000110</v>
      </c>
      <c r="E11" s="5" t="s">
        <v>42</v>
      </c>
      <c r="F11" s="7" t="s">
        <v>34</v>
      </c>
      <c r="G11" s="4">
        <v>1</v>
      </c>
      <c r="H11" s="4">
        <v>90</v>
      </c>
      <c r="I11" s="4">
        <f t="shared" si="0"/>
        <v>90</v>
      </c>
      <c r="J11" s="4"/>
    </row>
    <row r="12" ht="86.4" customHeight="1" spans="1:10">
      <c r="A12" s="4">
        <v>39</v>
      </c>
      <c r="B12" s="5" t="s">
        <v>43</v>
      </c>
      <c r="C12" s="5" t="s">
        <v>44</v>
      </c>
      <c r="D12" s="9">
        <v>30307106401</v>
      </c>
      <c r="E12" s="5" t="s">
        <v>45</v>
      </c>
      <c r="F12" s="7" t="s">
        <v>34</v>
      </c>
      <c r="G12" s="4">
        <v>23</v>
      </c>
      <c r="H12" s="4">
        <v>46</v>
      </c>
      <c r="I12" s="4">
        <f t="shared" si="0"/>
        <v>1058</v>
      </c>
      <c r="J12" s="4"/>
    </row>
    <row r="13" ht="129.6" customHeight="1" spans="1:10">
      <c r="A13" s="4">
        <v>40</v>
      </c>
      <c r="B13" s="5" t="s">
        <v>46</v>
      </c>
      <c r="C13" s="5" t="s">
        <v>47</v>
      </c>
      <c r="D13" s="9">
        <v>30307106301</v>
      </c>
      <c r="E13" s="5" t="s">
        <v>48</v>
      </c>
      <c r="F13" s="7" t="s">
        <v>34</v>
      </c>
      <c r="G13" s="4">
        <v>1</v>
      </c>
      <c r="H13" s="4">
        <v>70</v>
      </c>
      <c r="I13" s="4">
        <f t="shared" si="0"/>
        <v>70</v>
      </c>
      <c r="J13" s="4"/>
    </row>
    <row r="14" ht="115.2" customHeight="1" spans="1:10">
      <c r="A14" s="4">
        <v>41</v>
      </c>
      <c r="B14" s="5" t="s">
        <v>49</v>
      </c>
      <c r="C14" s="5" t="s">
        <v>50</v>
      </c>
      <c r="D14" s="9">
        <v>30307106210</v>
      </c>
      <c r="E14" s="5" t="s">
        <v>51</v>
      </c>
      <c r="F14" s="7" t="s">
        <v>34</v>
      </c>
      <c r="G14" s="4">
        <v>23</v>
      </c>
      <c r="H14" s="4">
        <v>55</v>
      </c>
      <c r="I14" s="4">
        <f t="shared" si="0"/>
        <v>1265</v>
      </c>
      <c r="J14" s="4"/>
    </row>
    <row r="15" ht="72" customHeight="1" spans="1:10">
      <c r="A15" s="4">
        <v>42</v>
      </c>
      <c r="B15" s="5" t="s">
        <v>52</v>
      </c>
      <c r="C15" s="5" t="s">
        <v>53</v>
      </c>
      <c r="D15" s="9">
        <v>30307106110</v>
      </c>
      <c r="E15" s="5" t="s">
        <v>54</v>
      </c>
      <c r="F15" s="7" t="s">
        <v>34</v>
      </c>
      <c r="G15" s="4">
        <v>1</v>
      </c>
      <c r="H15" s="4">
        <v>90</v>
      </c>
      <c r="I15" s="4">
        <f t="shared" si="0"/>
        <v>90</v>
      </c>
      <c r="J15" s="4"/>
    </row>
    <row r="16" ht="72" customHeight="1" spans="1:10">
      <c r="A16" s="4">
        <v>48</v>
      </c>
      <c r="B16" s="5" t="s">
        <v>55</v>
      </c>
      <c r="C16" s="5" t="s">
        <v>56</v>
      </c>
      <c r="D16" s="9">
        <v>30201001110</v>
      </c>
      <c r="E16" s="5" t="s">
        <v>57</v>
      </c>
      <c r="F16" s="7" t="s">
        <v>58</v>
      </c>
      <c r="G16" s="4">
        <v>1</v>
      </c>
      <c r="H16" s="4">
        <v>380</v>
      </c>
      <c r="I16" s="4">
        <f t="shared" si="0"/>
        <v>380</v>
      </c>
      <c r="J16" s="4"/>
    </row>
    <row r="17" ht="57.6" customHeight="1" spans="1:10">
      <c r="A17" s="4">
        <v>52</v>
      </c>
      <c r="B17" s="5" t="s">
        <v>59</v>
      </c>
      <c r="C17" s="5" t="s">
        <v>11</v>
      </c>
      <c r="D17" s="9">
        <v>30307108201</v>
      </c>
      <c r="E17" s="5" t="s">
        <v>60</v>
      </c>
      <c r="F17" s="7" t="s">
        <v>34</v>
      </c>
      <c r="G17" s="4">
        <v>1</v>
      </c>
      <c r="H17" s="4">
        <v>260</v>
      </c>
      <c r="I17" s="4">
        <f t="shared" si="0"/>
        <v>260</v>
      </c>
      <c r="J17" s="4"/>
    </row>
    <row r="18" ht="57.6" customHeight="1" spans="1:10">
      <c r="A18" s="4">
        <v>53</v>
      </c>
      <c r="B18" s="5" t="s">
        <v>61</v>
      </c>
      <c r="C18" s="5" t="s">
        <v>62</v>
      </c>
      <c r="D18" s="9">
        <v>30307105801</v>
      </c>
      <c r="E18" s="5" t="s">
        <v>63</v>
      </c>
      <c r="F18" s="7" t="s">
        <v>34</v>
      </c>
      <c r="G18" s="4">
        <v>1</v>
      </c>
      <c r="H18" s="4">
        <v>60</v>
      </c>
      <c r="I18" s="4">
        <f t="shared" si="0"/>
        <v>60</v>
      </c>
      <c r="J18" s="4"/>
    </row>
    <row r="19" ht="43.2" customHeight="1" spans="1:10">
      <c r="A19" s="4">
        <v>54</v>
      </c>
      <c r="B19" s="5" t="s">
        <v>64</v>
      </c>
      <c r="C19" s="5" t="s">
        <v>11</v>
      </c>
      <c r="D19" s="9">
        <v>30199001010</v>
      </c>
      <c r="E19" s="5" t="s">
        <v>65</v>
      </c>
      <c r="F19" s="7" t="s">
        <v>66</v>
      </c>
      <c r="G19" s="4">
        <v>2</v>
      </c>
      <c r="H19" s="4">
        <v>340</v>
      </c>
      <c r="I19" s="4">
        <f t="shared" si="0"/>
        <v>680</v>
      </c>
      <c r="J19" s="4"/>
    </row>
    <row r="20" ht="28.8" customHeight="1" spans="1:10">
      <c r="A20" s="4">
        <v>55</v>
      </c>
      <c r="B20" s="5" t="s">
        <v>67</v>
      </c>
      <c r="C20" s="5" t="s">
        <v>68</v>
      </c>
      <c r="D20" s="9">
        <v>30199001310</v>
      </c>
      <c r="E20" s="5" t="s">
        <v>69</v>
      </c>
      <c r="F20" s="7" t="s">
        <v>13</v>
      </c>
      <c r="G20" s="4">
        <v>1</v>
      </c>
      <c r="H20" s="4">
        <v>16</v>
      </c>
      <c r="I20" s="4">
        <f t="shared" si="0"/>
        <v>16</v>
      </c>
      <c r="J20" s="4"/>
    </row>
    <row r="21" ht="43.2" customHeight="1" spans="1:10">
      <c r="A21" s="4">
        <v>56</v>
      </c>
      <c r="B21" s="5" t="s">
        <v>70</v>
      </c>
      <c r="C21" s="5" t="s">
        <v>71</v>
      </c>
      <c r="D21" s="6">
        <v>30307107001</v>
      </c>
      <c r="E21" s="5" t="s">
        <v>72</v>
      </c>
      <c r="F21" s="7" t="s">
        <v>66</v>
      </c>
      <c r="G21" s="4">
        <v>1</v>
      </c>
      <c r="H21" s="4">
        <v>160</v>
      </c>
      <c r="I21" s="4">
        <f t="shared" si="0"/>
        <v>160</v>
      </c>
      <c r="J21" s="4"/>
    </row>
    <row r="22" ht="43.2" customHeight="1" spans="1:10">
      <c r="A22" s="4">
        <v>58</v>
      </c>
      <c r="B22" s="5" t="s">
        <v>73</v>
      </c>
      <c r="C22" s="5" t="s">
        <v>74</v>
      </c>
      <c r="D22" s="9">
        <v>30307110310</v>
      </c>
      <c r="E22" s="5" t="s">
        <v>75</v>
      </c>
      <c r="F22" s="7" t="s">
        <v>13</v>
      </c>
      <c r="G22" s="4">
        <v>4</v>
      </c>
      <c r="H22" s="8">
        <v>26</v>
      </c>
      <c r="I22" s="4">
        <f t="shared" si="0"/>
        <v>104</v>
      </c>
      <c r="J22" s="4"/>
    </row>
    <row r="23" ht="86.4" customHeight="1" spans="1:10">
      <c r="A23" s="4">
        <v>59</v>
      </c>
      <c r="B23" s="5" t="s">
        <v>76</v>
      </c>
      <c r="C23" s="5" t="s">
        <v>62</v>
      </c>
      <c r="D23" s="9">
        <v>30307100601</v>
      </c>
      <c r="E23" s="5" t="s">
        <v>77</v>
      </c>
      <c r="F23" s="7" t="s">
        <v>34</v>
      </c>
      <c r="G23" s="4">
        <v>1</v>
      </c>
      <c r="H23" s="4">
        <v>220</v>
      </c>
      <c r="I23" s="4">
        <f t="shared" si="0"/>
        <v>220</v>
      </c>
      <c r="J23" s="4"/>
    </row>
    <row r="24" ht="43.2" customHeight="1" spans="1:10">
      <c r="A24" s="4">
        <v>60</v>
      </c>
      <c r="B24" s="5" t="s">
        <v>78</v>
      </c>
      <c r="C24" s="5" t="s">
        <v>79</v>
      </c>
      <c r="D24" s="9">
        <v>30307103410</v>
      </c>
      <c r="E24" s="5" t="s">
        <v>80</v>
      </c>
      <c r="F24" s="7" t="s">
        <v>34</v>
      </c>
      <c r="G24" s="4">
        <v>1</v>
      </c>
      <c r="H24" s="4">
        <v>45</v>
      </c>
      <c r="I24" s="4">
        <f t="shared" si="0"/>
        <v>45</v>
      </c>
      <c r="J24" s="4"/>
    </row>
    <row r="25" ht="43.2" customHeight="1" spans="1:10">
      <c r="A25" s="4">
        <v>70</v>
      </c>
      <c r="B25" s="5" t="s">
        <v>81</v>
      </c>
      <c r="C25" s="5" t="s">
        <v>82</v>
      </c>
      <c r="D25" s="9">
        <v>30307105301</v>
      </c>
      <c r="E25" s="5" t="s">
        <v>83</v>
      </c>
      <c r="F25" s="7" t="s">
        <v>13</v>
      </c>
      <c r="G25" s="4">
        <v>1</v>
      </c>
      <c r="H25" s="4">
        <v>45</v>
      </c>
      <c r="I25" s="4">
        <f t="shared" si="0"/>
        <v>45</v>
      </c>
      <c r="J25" s="4"/>
    </row>
    <row r="26" ht="43.2" customHeight="1" spans="1:10">
      <c r="A26" s="4">
        <v>71</v>
      </c>
      <c r="B26" s="5" t="s">
        <v>84</v>
      </c>
      <c r="C26" s="5" t="s">
        <v>71</v>
      </c>
      <c r="D26" s="9">
        <v>30307105910</v>
      </c>
      <c r="E26" s="5" t="s">
        <v>85</v>
      </c>
      <c r="F26" s="7" t="s">
        <v>34</v>
      </c>
      <c r="G26" s="4">
        <v>1</v>
      </c>
      <c r="H26" s="4">
        <v>160</v>
      </c>
      <c r="I26" s="4">
        <f t="shared" si="0"/>
        <v>160</v>
      </c>
      <c r="J26" s="4"/>
    </row>
    <row r="27" ht="72" customHeight="1" spans="1:10">
      <c r="A27" s="4">
        <v>72</v>
      </c>
      <c r="B27" s="5" t="s">
        <v>86</v>
      </c>
      <c r="C27" s="5" t="s">
        <v>87</v>
      </c>
      <c r="D27" s="9">
        <v>30307107111</v>
      </c>
      <c r="E27" s="5" t="s">
        <v>88</v>
      </c>
      <c r="F27" s="7" t="s">
        <v>34</v>
      </c>
      <c r="G27" s="4">
        <v>1</v>
      </c>
      <c r="H27" s="4">
        <v>145</v>
      </c>
      <c r="I27" s="4">
        <f t="shared" si="0"/>
        <v>145</v>
      </c>
      <c r="J27" s="4"/>
    </row>
    <row r="28" ht="57.6" customHeight="1" spans="1:10">
      <c r="A28" s="4">
        <v>74</v>
      </c>
      <c r="B28" s="5" t="s">
        <v>89</v>
      </c>
      <c r="C28" s="5" t="s">
        <v>90</v>
      </c>
      <c r="D28" s="6">
        <v>30307107401</v>
      </c>
      <c r="E28" s="5" t="s">
        <v>91</v>
      </c>
      <c r="F28" s="7" t="s">
        <v>66</v>
      </c>
      <c r="G28" s="4">
        <v>1</v>
      </c>
      <c r="H28" s="4">
        <v>90</v>
      </c>
      <c r="I28" s="4">
        <f t="shared" si="0"/>
        <v>90</v>
      </c>
      <c r="J28" s="4"/>
    </row>
    <row r="29" ht="72" customHeight="1" spans="1:10">
      <c r="A29" s="4">
        <v>75</v>
      </c>
      <c r="B29" s="5" t="s">
        <v>92</v>
      </c>
      <c r="C29" s="5" t="s">
        <v>93</v>
      </c>
      <c r="D29" s="9">
        <v>30307106701</v>
      </c>
      <c r="E29" s="5" t="s">
        <v>94</v>
      </c>
      <c r="F29" s="7" t="s">
        <v>66</v>
      </c>
      <c r="G29" s="4">
        <v>23</v>
      </c>
      <c r="H29" s="4">
        <v>240</v>
      </c>
      <c r="I29" s="4">
        <f t="shared" si="0"/>
        <v>5520</v>
      </c>
      <c r="J29" s="4"/>
    </row>
    <row r="30" ht="43.2" customHeight="1" spans="1:10">
      <c r="A30" s="4">
        <v>76</v>
      </c>
      <c r="B30" s="5" t="s">
        <v>95</v>
      </c>
      <c r="C30" s="5" t="s">
        <v>11</v>
      </c>
      <c r="D30" s="9">
        <v>30307106801</v>
      </c>
      <c r="E30" s="5" t="s">
        <v>96</v>
      </c>
      <c r="F30" s="7" t="s">
        <v>66</v>
      </c>
      <c r="G30" s="4">
        <v>23</v>
      </c>
      <c r="H30" s="4">
        <v>160</v>
      </c>
      <c r="I30" s="4">
        <f t="shared" si="0"/>
        <v>3680</v>
      </c>
      <c r="J30" s="4"/>
    </row>
    <row r="31" ht="43.2" customHeight="1" spans="1:10">
      <c r="A31" s="4">
        <v>77</v>
      </c>
      <c r="B31" s="5" t="s">
        <v>97</v>
      </c>
      <c r="C31" s="5" t="s">
        <v>11</v>
      </c>
      <c r="D31" s="9">
        <v>30203000510</v>
      </c>
      <c r="E31" s="5" t="s">
        <v>98</v>
      </c>
      <c r="F31" s="7" t="s">
        <v>66</v>
      </c>
      <c r="G31" s="4">
        <v>23</v>
      </c>
      <c r="H31" s="4">
        <v>130</v>
      </c>
      <c r="I31" s="4">
        <f t="shared" si="0"/>
        <v>2990</v>
      </c>
      <c r="J31" s="4"/>
    </row>
    <row r="32" ht="86.4" customHeight="1" spans="1:10">
      <c r="A32" s="4">
        <v>78</v>
      </c>
      <c r="B32" s="5" t="s">
        <v>99</v>
      </c>
      <c r="C32" s="5" t="s">
        <v>100</v>
      </c>
      <c r="D32" s="9">
        <v>30307108301</v>
      </c>
      <c r="E32" s="5" t="s">
        <v>101</v>
      </c>
      <c r="F32" s="7" t="s">
        <v>34</v>
      </c>
      <c r="G32" s="4">
        <v>1</v>
      </c>
      <c r="H32" s="4">
        <v>350</v>
      </c>
      <c r="I32" s="4">
        <f t="shared" si="0"/>
        <v>350</v>
      </c>
      <c r="J32" s="4"/>
    </row>
    <row r="33" ht="43.2" customHeight="1" spans="1:10">
      <c r="A33" s="4">
        <v>79</v>
      </c>
      <c r="B33" s="5" t="s">
        <v>102</v>
      </c>
      <c r="C33" s="5" t="s">
        <v>11</v>
      </c>
      <c r="D33" s="9">
        <v>30307111110</v>
      </c>
      <c r="E33" s="5" t="s">
        <v>103</v>
      </c>
      <c r="F33" s="7" t="s">
        <v>66</v>
      </c>
      <c r="G33" s="4">
        <v>1</v>
      </c>
      <c r="H33" s="8">
        <v>210</v>
      </c>
      <c r="I33" s="4">
        <f t="shared" si="0"/>
        <v>210</v>
      </c>
      <c r="J33" s="4"/>
    </row>
    <row r="34" ht="43.2" customHeight="1" spans="1:10">
      <c r="A34" s="4">
        <v>80</v>
      </c>
      <c r="B34" s="5" t="s">
        <v>104</v>
      </c>
      <c r="C34" s="5" t="s">
        <v>11</v>
      </c>
      <c r="D34" s="9">
        <v>30307111010</v>
      </c>
      <c r="E34" s="5" t="s">
        <v>105</v>
      </c>
      <c r="F34" s="7" t="s">
        <v>34</v>
      </c>
      <c r="G34" s="4">
        <v>1</v>
      </c>
      <c r="H34" s="8">
        <v>1200</v>
      </c>
      <c r="I34" s="4">
        <f t="shared" si="0"/>
        <v>1200</v>
      </c>
      <c r="J34" s="4"/>
    </row>
    <row r="35" ht="57.6" customHeight="1" spans="1:10">
      <c r="A35" s="4">
        <v>81</v>
      </c>
      <c r="B35" s="5" t="s">
        <v>106</v>
      </c>
      <c r="C35" s="5" t="s">
        <v>11</v>
      </c>
      <c r="D35" s="9">
        <v>30307106010</v>
      </c>
      <c r="E35" s="5" t="s">
        <v>107</v>
      </c>
      <c r="F35" s="7" t="s">
        <v>34</v>
      </c>
      <c r="G35" s="4">
        <v>1</v>
      </c>
      <c r="H35" s="4">
        <v>160</v>
      </c>
      <c r="I35" s="4">
        <f t="shared" ref="I35:I66" si="1">H35*G35</f>
        <v>160</v>
      </c>
      <c r="J35" s="4"/>
    </row>
    <row r="36" ht="72" customHeight="1" spans="1:10">
      <c r="A36" s="4">
        <v>82</v>
      </c>
      <c r="B36" s="5" t="s">
        <v>108</v>
      </c>
      <c r="C36" s="5" t="s">
        <v>11</v>
      </c>
      <c r="D36" s="9">
        <v>30307107710</v>
      </c>
      <c r="E36" s="5" t="s">
        <v>109</v>
      </c>
      <c r="F36" s="7" t="s">
        <v>66</v>
      </c>
      <c r="G36" s="4">
        <v>1</v>
      </c>
      <c r="H36" s="4">
        <v>32</v>
      </c>
      <c r="I36" s="4">
        <f t="shared" si="1"/>
        <v>32</v>
      </c>
      <c r="J36" s="4"/>
    </row>
    <row r="37" ht="72" customHeight="1" spans="1:10">
      <c r="A37" s="4">
        <v>83</v>
      </c>
      <c r="B37" s="5" t="s">
        <v>110</v>
      </c>
      <c r="C37" s="5" t="s">
        <v>87</v>
      </c>
      <c r="D37" s="9">
        <v>30307107811</v>
      </c>
      <c r="E37" s="5" t="s">
        <v>111</v>
      </c>
      <c r="F37" s="7" t="s">
        <v>34</v>
      </c>
      <c r="G37" s="4">
        <v>1</v>
      </c>
      <c r="H37" s="8">
        <v>2000</v>
      </c>
      <c r="I37" s="4">
        <f t="shared" si="1"/>
        <v>2000</v>
      </c>
      <c r="J37" s="4"/>
    </row>
    <row r="38" ht="72" customHeight="1" spans="1:10">
      <c r="A38" s="4">
        <v>84</v>
      </c>
      <c r="B38" s="5" t="s">
        <v>112</v>
      </c>
      <c r="C38" s="5" t="s">
        <v>11</v>
      </c>
      <c r="D38" s="9">
        <v>30307107801</v>
      </c>
      <c r="E38" s="5" t="s">
        <v>113</v>
      </c>
      <c r="F38" s="7" t="s">
        <v>66</v>
      </c>
      <c r="G38" s="4">
        <v>23</v>
      </c>
      <c r="H38" s="4">
        <v>45</v>
      </c>
      <c r="I38" s="4">
        <f t="shared" si="1"/>
        <v>1035</v>
      </c>
      <c r="J38" s="4"/>
    </row>
    <row r="39" ht="57.6" customHeight="1" spans="1:10">
      <c r="A39" s="4">
        <v>85</v>
      </c>
      <c r="B39" s="5" t="s">
        <v>114</v>
      </c>
      <c r="C39" s="5" t="s">
        <v>115</v>
      </c>
      <c r="D39" s="9">
        <v>30307105401</v>
      </c>
      <c r="E39" s="5" t="s">
        <v>116</v>
      </c>
      <c r="F39" s="7" t="s">
        <v>34</v>
      </c>
      <c r="G39" s="4">
        <v>1</v>
      </c>
      <c r="H39" s="4">
        <v>46</v>
      </c>
      <c r="I39" s="4">
        <f t="shared" si="1"/>
        <v>46</v>
      </c>
      <c r="J39" s="4"/>
    </row>
    <row r="40" ht="57.6" customHeight="1" spans="1:10">
      <c r="A40" s="4">
        <v>86</v>
      </c>
      <c r="B40" s="5" t="s">
        <v>117</v>
      </c>
      <c r="C40" s="5" t="s">
        <v>11</v>
      </c>
      <c r="D40" s="9">
        <v>30307108501</v>
      </c>
      <c r="E40" s="5" t="s">
        <v>118</v>
      </c>
      <c r="F40" s="7" t="s">
        <v>66</v>
      </c>
      <c r="G40" s="4">
        <v>23</v>
      </c>
      <c r="H40" s="4">
        <v>180</v>
      </c>
      <c r="I40" s="4">
        <f t="shared" si="1"/>
        <v>4140</v>
      </c>
      <c r="J40" s="7" t="s">
        <v>119</v>
      </c>
    </row>
    <row r="41" ht="86.4" customHeight="1" spans="1:10">
      <c r="A41" s="4">
        <v>89</v>
      </c>
      <c r="B41" s="5" t="s">
        <v>120</v>
      </c>
      <c r="C41" s="5" t="s">
        <v>121</v>
      </c>
      <c r="D41" s="9">
        <v>30307310201</v>
      </c>
      <c r="E41" s="5" t="s">
        <v>122</v>
      </c>
      <c r="F41" s="7" t="s">
        <v>66</v>
      </c>
      <c r="G41" s="4">
        <v>1</v>
      </c>
      <c r="H41" s="4">
        <v>380</v>
      </c>
      <c r="I41" s="4">
        <f t="shared" si="1"/>
        <v>380</v>
      </c>
      <c r="J41" s="4"/>
    </row>
    <row r="42" ht="72" customHeight="1" spans="1:10">
      <c r="A42" s="4">
        <v>90</v>
      </c>
      <c r="B42" s="5" t="s">
        <v>123</v>
      </c>
      <c r="C42" s="5" t="s">
        <v>124</v>
      </c>
      <c r="D42" s="9">
        <v>30307300201</v>
      </c>
      <c r="E42" s="5" t="s">
        <v>125</v>
      </c>
      <c r="F42" s="7" t="s">
        <v>126</v>
      </c>
      <c r="G42" s="4">
        <v>1</v>
      </c>
      <c r="H42" s="4">
        <v>15</v>
      </c>
      <c r="I42" s="4">
        <f t="shared" si="1"/>
        <v>15</v>
      </c>
      <c r="J42" s="4"/>
    </row>
    <row r="43" ht="43.2" customHeight="1" spans="1:10">
      <c r="A43" s="4">
        <v>91</v>
      </c>
      <c r="B43" s="5" t="s">
        <v>127</v>
      </c>
      <c r="C43" s="5" t="s">
        <v>128</v>
      </c>
      <c r="D43" s="9">
        <v>30307300301</v>
      </c>
      <c r="E43" s="5" t="s">
        <v>129</v>
      </c>
      <c r="F43" s="7" t="s">
        <v>126</v>
      </c>
      <c r="G43" s="4">
        <v>23</v>
      </c>
      <c r="H43" s="4">
        <v>75</v>
      </c>
      <c r="I43" s="4">
        <f t="shared" si="1"/>
        <v>1725</v>
      </c>
      <c r="J43" s="4"/>
    </row>
    <row r="44" ht="43.2" customHeight="1" spans="1:10">
      <c r="A44" s="4">
        <v>92</v>
      </c>
      <c r="B44" s="5" t="s">
        <v>130</v>
      </c>
      <c r="C44" s="5" t="s">
        <v>131</v>
      </c>
      <c r="D44" s="9">
        <v>30307300510</v>
      </c>
      <c r="E44" s="5" t="s">
        <v>132</v>
      </c>
      <c r="F44" s="7" t="s">
        <v>13</v>
      </c>
      <c r="G44" s="4">
        <v>1</v>
      </c>
      <c r="H44" s="4">
        <v>5</v>
      </c>
      <c r="I44" s="4">
        <f t="shared" si="1"/>
        <v>5</v>
      </c>
      <c r="J44" s="4"/>
    </row>
    <row r="45" ht="57.6" customHeight="1" spans="1:10">
      <c r="A45" s="4">
        <v>93</v>
      </c>
      <c r="B45" s="5" t="s">
        <v>133</v>
      </c>
      <c r="C45" s="5" t="s">
        <v>134</v>
      </c>
      <c r="D45" s="9">
        <v>30307317201</v>
      </c>
      <c r="E45" s="5" t="s">
        <v>135</v>
      </c>
      <c r="F45" s="7" t="s">
        <v>13</v>
      </c>
      <c r="G45" s="4">
        <v>1</v>
      </c>
      <c r="H45" s="4">
        <v>5</v>
      </c>
      <c r="I45" s="4">
        <f t="shared" si="1"/>
        <v>5</v>
      </c>
      <c r="J45" s="4"/>
    </row>
    <row r="46" ht="28.8" customHeight="1" spans="1:10">
      <c r="A46" s="4">
        <v>94</v>
      </c>
      <c r="B46" s="5" t="s">
        <v>136</v>
      </c>
      <c r="C46" s="5" t="s">
        <v>137</v>
      </c>
      <c r="D46" s="9">
        <v>30307301010</v>
      </c>
      <c r="E46" s="5" t="s">
        <v>138</v>
      </c>
      <c r="F46" s="7" t="s">
        <v>34</v>
      </c>
      <c r="G46" s="4">
        <v>1</v>
      </c>
      <c r="H46" s="4">
        <v>25</v>
      </c>
      <c r="I46" s="4">
        <f t="shared" si="1"/>
        <v>25</v>
      </c>
      <c r="J46" s="4"/>
    </row>
    <row r="47" ht="43.2" customHeight="1" spans="1:10">
      <c r="A47" s="4">
        <v>95</v>
      </c>
      <c r="B47" s="5" t="s">
        <v>139</v>
      </c>
      <c r="C47" s="5" t="s">
        <v>128</v>
      </c>
      <c r="D47" s="9">
        <v>30307301101</v>
      </c>
      <c r="E47" s="5" t="s">
        <v>140</v>
      </c>
      <c r="F47" s="7" t="s">
        <v>126</v>
      </c>
      <c r="G47" s="4">
        <v>1</v>
      </c>
      <c r="H47" s="4">
        <v>35</v>
      </c>
      <c r="I47" s="4">
        <f t="shared" si="1"/>
        <v>35</v>
      </c>
      <c r="J47" s="4"/>
    </row>
    <row r="48" ht="43.2" customHeight="1" spans="1:10">
      <c r="A48" s="4">
        <v>96</v>
      </c>
      <c r="B48" s="5" t="s">
        <v>141</v>
      </c>
      <c r="C48" s="5" t="s">
        <v>115</v>
      </c>
      <c r="D48" s="9">
        <v>30307300610</v>
      </c>
      <c r="E48" s="5" t="s">
        <v>142</v>
      </c>
      <c r="F48" s="7" t="s">
        <v>126</v>
      </c>
      <c r="G48" s="4">
        <v>1</v>
      </c>
      <c r="H48" s="4">
        <v>8</v>
      </c>
      <c r="I48" s="4">
        <f t="shared" si="1"/>
        <v>8</v>
      </c>
      <c r="J48" s="4"/>
    </row>
    <row r="49" ht="43.2" customHeight="1" spans="1:10">
      <c r="A49" s="4">
        <v>97</v>
      </c>
      <c r="B49" s="5" t="s">
        <v>143</v>
      </c>
      <c r="C49" s="5" t="s">
        <v>124</v>
      </c>
      <c r="D49" s="9">
        <v>30307300710</v>
      </c>
      <c r="E49" s="5" t="s">
        <v>144</v>
      </c>
      <c r="F49" s="7" t="s">
        <v>34</v>
      </c>
      <c r="G49" s="4">
        <v>1</v>
      </c>
      <c r="H49" s="4">
        <v>35</v>
      </c>
      <c r="I49" s="4">
        <f t="shared" si="1"/>
        <v>35</v>
      </c>
      <c r="J49" s="4"/>
    </row>
    <row r="50" ht="43.2" customHeight="1" spans="1:10">
      <c r="A50" s="4">
        <v>98</v>
      </c>
      <c r="B50" s="5" t="s">
        <v>145</v>
      </c>
      <c r="C50" s="5" t="s">
        <v>146</v>
      </c>
      <c r="D50" s="9">
        <v>30307302010</v>
      </c>
      <c r="E50" s="5" t="s">
        <v>147</v>
      </c>
      <c r="F50" s="7" t="s">
        <v>66</v>
      </c>
      <c r="G50" s="4">
        <v>1</v>
      </c>
      <c r="H50" s="4">
        <v>45</v>
      </c>
      <c r="I50" s="4">
        <f t="shared" si="1"/>
        <v>45</v>
      </c>
      <c r="J50" s="4"/>
    </row>
    <row r="51" ht="100.8" customHeight="1" spans="1:10">
      <c r="A51" s="4">
        <v>99</v>
      </c>
      <c r="B51" s="5" t="s">
        <v>148</v>
      </c>
      <c r="C51" s="5" t="s">
        <v>11</v>
      </c>
      <c r="D51" s="9">
        <v>30307302910</v>
      </c>
      <c r="E51" s="5" t="s">
        <v>149</v>
      </c>
      <c r="F51" s="7" t="s">
        <v>34</v>
      </c>
      <c r="G51" s="4">
        <v>1</v>
      </c>
      <c r="H51" s="4">
        <v>45</v>
      </c>
      <c r="I51" s="4">
        <f t="shared" si="1"/>
        <v>45</v>
      </c>
      <c r="J51" s="4"/>
    </row>
    <row r="52" ht="57.6" customHeight="1" spans="1:10">
      <c r="A52" s="4">
        <v>100</v>
      </c>
      <c r="B52" s="5" t="s">
        <v>150</v>
      </c>
      <c r="C52" s="5" t="s">
        <v>11</v>
      </c>
      <c r="D52" s="9">
        <v>30407004710</v>
      </c>
      <c r="E52" s="5" t="s">
        <v>151</v>
      </c>
      <c r="F52" s="7" t="s">
        <v>34</v>
      </c>
      <c r="G52" s="4">
        <v>1</v>
      </c>
      <c r="H52" s="4">
        <v>290</v>
      </c>
      <c r="I52" s="4">
        <f t="shared" si="1"/>
        <v>290</v>
      </c>
      <c r="J52" s="4"/>
    </row>
    <row r="53" ht="86.4" customHeight="1" spans="1:10">
      <c r="A53" s="4">
        <v>102</v>
      </c>
      <c r="B53" s="5" t="s">
        <v>152</v>
      </c>
      <c r="C53" s="5" t="s">
        <v>153</v>
      </c>
      <c r="D53" s="9">
        <v>30307303110</v>
      </c>
      <c r="E53" s="5" t="s">
        <v>154</v>
      </c>
      <c r="F53" s="7" t="s">
        <v>34</v>
      </c>
      <c r="G53" s="4">
        <v>1</v>
      </c>
      <c r="H53" s="4">
        <v>45</v>
      </c>
      <c r="I53" s="4">
        <f t="shared" si="1"/>
        <v>45</v>
      </c>
      <c r="J53" s="7" t="s">
        <v>155</v>
      </c>
    </row>
    <row r="54" ht="86.4" customHeight="1" spans="1:10">
      <c r="A54" s="4">
        <v>104</v>
      </c>
      <c r="B54" s="5" t="s">
        <v>156</v>
      </c>
      <c r="C54" s="5" t="s">
        <v>153</v>
      </c>
      <c r="D54" s="9">
        <v>30307305010</v>
      </c>
      <c r="E54" s="5" t="s">
        <v>157</v>
      </c>
      <c r="F54" s="7" t="s">
        <v>34</v>
      </c>
      <c r="G54" s="4">
        <v>1</v>
      </c>
      <c r="H54" s="4">
        <v>45</v>
      </c>
      <c r="I54" s="4">
        <f t="shared" si="1"/>
        <v>45</v>
      </c>
      <c r="J54" s="7" t="s">
        <v>155</v>
      </c>
    </row>
    <row r="55" ht="100.8" customHeight="1" spans="1:10">
      <c r="A55" s="4">
        <v>108</v>
      </c>
      <c r="B55" s="5" t="s">
        <v>158</v>
      </c>
      <c r="C55" s="5" t="s">
        <v>11</v>
      </c>
      <c r="D55" s="9">
        <v>30102000201</v>
      </c>
      <c r="E55" s="5" t="s">
        <v>159</v>
      </c>
      <c r="F55" s="7" t="s">
        <v>66</v>
      </c>
      <c r="G55" s="4">
        <v>23</v>
      </c>
      <c r="H55" s="4">
        <v>178</v>
      </c>
      <c r="I55" s="4">
        <f t="shared" si="1"/>
        <v>4094</v>
      </c>
      <c r="J55" s="4"/>
    </row>
    <row r="56" ht="72" customHeight="1" spans="1:10">
      <c r="A56" s="4">
        <v>109</v>
      </c>
      <c r="B56" s="5" t="s">
        <v>160</v>
      </c>
      <c r="C56" s="5" t="s">
        <v>11</v>
      </c>
      <c r="D56" s="9">
        <v>30102000401</v>
      </c>
      <c r="E56" s="5" t="s">
        <v>161</v>
      </c>
      <c r="F56" s="7" t="s">
        <v>66</v>
      </c>
      <c r="G56" s="4">
        <v>1</v>
      </c>
      <c r="H56" s="4">
        <v>340</v>
      </c>
      <c r="I56" s="4">
        <f t="shared" si="1"/>
        <v>340</v>
      </c>
      <c r="J56" s="4"/>
    </row>
    <row r="57" ht="115.2" customHeight="1" spans="1:10">
      <c r="A57" s="4">
        <v>110</v>
      </c>
      <c r="B57" s="5" t="s">
        <v>162</v>
      </c>
      <c r="C57" s="5" t="s">
        <v>163</v>
      </c>
      <c r="D57" s="9">
        <v>30307304401</v>
      </c>
      <c r="E57" s="5" t="s">
        <v>164</v>
      </c>
      <c r="F57" s="7" t="s">
        <v>66</v>
      </c>
      <c r="G57" s="4">
        <v>1</v>
      </c>
      <c r="H57" s="4">
        <v>45</v>
      </c>
      <c r="I57" s="4">
        <f t="shared" si="1"/>
        <v>45</v>
      </c>
      <c r="J57" s="4"/>
    </row>
    <row r="58" ht="129.6" customHeight="1" spans="1:10">
      <c r="A58" s="4">
        <v>111</v>
      </c>
      <c r="B58" s="5" t="s">
        <v>165</v>
      </c>
      <c r="C58" s="5" t="s">
        <v>11</v>
      </c>
      <c r="D58" s="9">
        <v>30307304402</v>
      </c>
      <c r="E58" s="5" t="s">
        <v>166</v>
      </c>
      <c r="F58" s="7" t="s">
        <v>66</v>
      </c>
      <c r="G58" s="4">
        <v>23</v>
      </c>
      <c r="H58" s="4">
        <v>20</v>
      </c>
      <c r="I58" s="4">
        <f t="shared" si="1"/>
        <v>460</v>
      </c>
      <c r="J58" s="4"/>
    </row>
    <row r="59" ht="100.8" customHeight="1" spans="1:10">
      <c r="A59" s="4">
        <v>112</v>
      </c>
      <c r="B59" s="5" t="s">
        <v>167</v>
      </c>
      <c r="C59" s="5" t="s">
        <v>11</v>
      </c>
      <c r="D59" s="9">
        <v>30206000110</v>
      </c>
      <c r="E59" s="5" t="s">
        <v>168</v>
      </c>
      <c r="F59" s="7" t="s">
        <v>169</v>
      </c>
      <c r="G59" s="4">
        <v>1</v>
      </c>
      <c r="H59" s="4">
        <v>95</v>
      </c>
      <c r="I59" s="4">
        <f t="shared" si="1"/>
        <v>95</v>
      </c>
      <c r="J59" s="4"/>
    </row>
    <row r="60" spans="1:10">
      <c r="A60" s="4">
        <v>117</v>
      </c>
      <c r="B60" s="5" t="s">
        <v>170</v>
      </c>
      <c r="C60" s="5" t="s">
        <v>11</v>
      </c>
      <c r="D60" s="9">
        <v>30206003302</v>
      </c>
      <c r="E60" s="5" t="s">
        <v>171</v>
      </c>
      <c r="F60" s="7" t="s">
        <v>13</v>
      </c>
      <c r="G60" s="4">
        <v>23</v>
      </c>
      <c r="H60" s="4">
        <v>80</v>
      </c>
      <c r="I60" s="4">
        <f t="shared" si="1"/>
        <v>1840</v>
      </c>
      <c r="J60" s="4"/>
    </row>
    <row r="61" ht="43.2" customHeight="1" spans="1:10">
      <c r="A61" s="4">
        <v>122</v>
      </c>
      <c r="B61" s="5" t="s">
        <v>172</v>
      </c>
      <c r="C61" s="5" t="s">
        <v>11</v>
      </c>
      <c r="D61" s="9">
        <v>30307304202</v>
      </c>
      <c r="E61" s="5" t="s">
        <v>173</v>
      </c>
      <c r="F61" s="7" t="s">
        <v>13</v>
      </c>
      <c r="G61" s="4">
        <v>23</v>
      </c>
      <c r="H61" s="4">
        <v>15</v>
      </c>
      <c r="I61" s="4">
        <f t="shared" si="1"/>
        <v>345</v>
      </c>
      <c r="J61" s="4"/>
    </row>
    <row r="62" ht="28.8" customHeight="1" spans="1:10">
      <c r="A62" s="4">
        <v>123</v>
      </c>
      <c r="B62" s="5" t="s">
        <v>172</v>
      </c>
      <c r="C62" s="5" t="s">
        <v>11</v>
      </c>
      <c r="D62" s="9">
        <v>30307304203</v>
      </c>
      <c r="E62" s="5" t="s">
        <v>174</v>
      </c>
      <c r="F62" s="7" t="s">
        <v>13</v>
      </c>
      <c r="G62" s="4">
        <v>23</v>
      </c>
      <c r="H62" s="4">
        <v>15</v>
      </c>
      <c r="I62" s="4">
        <f t="shared" si="1"/>
        <v>345</v>
      </c>
      <c r="J62" s="4"/>
    </row>
    <row r="63" ht="28.8" customHeight="1" spans="1:10">
      <c r="A63" s="4">
        <v>124</v>
      </c>
      <c r="B63" s="5" t="s">
        <v>172</v>
      </c>
      <c r="C63" s="5" t="s">
        <v>11</v>
      </c>
      <c r="D63" s="9">
        <v>30307304204</v>
      </c>
      <c r="E63" s="5" t="s">
        <v>175</v>
      </c>
      <c r="F63" s="7" t="s">
        <v>13</v>
      </c>
      <c r="G63" s="4">
        <v>1</v>
      </c>
      <c r="H63" s="4">
        <v>20</v>
      </c>
      <c r="I63" s="4">
        <f t="shared" si="1"/>
        <v>20</v>
      </c>
      <c r="J63" s="4"/>
    </row>
    <row r="64" spans="1:10">
      <c r="A64" s="4">
        <v>125</v>
      </c>
      <c r="B64" s="5" t="s">
        <v>176</v>
      </c>
      <c r="C64" s="5" t="s">
        <v>177</v>
      </c>
      <c r="D64" s="9">
        <v>30307400305</v>
      </c>
      <c r="E64" s="5" t="s">
        <v>178</v>
      </c>
      <c r="F64" s="7" t="s">
        <v>126</v>
      </c>
      <c r="G64" s="4">
        <v>1</v>
      </c>
      <c r="H64" s="4">
        <v>24</v>
      </c>
      <c r="I64" s="4">
        <f t="shared" si="1"/>
        <v>24</v>
      </c>
      <c r="J64" s="4"/>
    </row>
    <row r="65" ht="43.2" customHeight="1" spans="1:10">
      <c r="A65" s="4">
        <v>129</v>
      </c>
      <c r="B65" s="5" t="s">
        <v>179</v>
      </c>
      <c r="C65" s="5" t="s">
        <v>11</v>
      </c>
      <c r="D65" s="9">
        <v>30199002301</v>
      </c>
      <c r="E65" s="5" t="s">
        <v>180</v>
      </c>
      <c r="F65" s="7" t="s">
        <v>66</v>
      </c>
      <c r="G65" s="4">
        <v>1</v>
      </c>
      <c r="H65" s="4">
        <v>95</v>
      </c>
      <c r="I65" s="4">
        <f t="shared" si="1"/>
        <v>95</v>
      </c>
      <c r="J65" s="4"/>
    </row>
    <row r="66" ht="28.8" customHeight="1" spans="1:10">
      <c r="A66" s="4">
        <v>130</v>
      </c>
      <c r="B66" s="5" t="s">
        <v>181</v>
      </c>
      <c r="C66" s="5" t="s">
        <v>11</v>
      </c>
      <c r="D66" s="9">
        <v>30206001001</v>
      </c>
      <c r="E66" s="5" t="s">
        <v>182</v>
      </c>
      <c r="F66" s="7" t="s">
        <v>169</v>
      </c>
      <c r="G66" s="4">
        <v>23</v>
      </c>
      <c r="H66" s="4">
        <v>17</v>
      </c>
      <c r="I66" s="4">
        <f t="shared" si="1"/>
        <v>391</v>
      </c>
      <c r="J66" s="4"/>
    </row>
    <row r="67" ht="28.8" customHeight="1" spans="1:10">
      <c r="A67" s="4">
        <v>132</v>
      </c>
      <c r="B67" s="5" t="s">
        <v>183</v>
      </c>
      <c r="C67" s="5" t="s">
        <v>11</v>
      </c>
      <c r="D67" s="9">
        <v>30307403901</v>
      </c>
      <c r="E67" s="5" t="s">
        <v>184</v>
      </c>
      <c r="F67" s="7" t="s">
        <v>66</v>
      </c>
      <c r="G67" s="4">
        <v>1</v>
      </c>
      <c r="H67" s="4">
        <v>330</v>
      </c>
      <c r="I67" s="4">
        <f>H67*G67</f>
        <v>330</v>
      </c>
      <c r="J67" s="4"/>
    </row>
    <row r="68" spans="1:10">
      <c r="A68" s="4">
        <v>133</v>
      </c>
      <c r="B68" s="5" t="s">
        <v>185</v>
      </c>
      <c r="C68" s="5" t="s">
        <v>11</v>
      </c>
      <c r="D68" s="9">
        <v>30307326701</v>
      </c>
      <c r="E68" s="5" t="s">
        <v>186</v>
      </c>
      <c r="F68" s="7" t="s">
        <v>66</v>
      </c>
      <c r="G68" s="4">
        <v>1</v>
      </c>
      <c r="H68" s="4">
        <v>178</v>
      </c>
      <c r="I68" s="4">
        <f>H68*G68</f>
        <v>178</v>
      </c>
      <c r="J68" s="4"/>
    </row>
    <row r="69" spans="1:10">
      <c r="A69" s="11"/>
      <c r="B69" s="11"/>
      <c r="C69" s="11"/>
      <c r="D69" s="11"/>
      <c r="E69" s="5" t="s">
        <v>187</v>
      </c>
      <c r="F69" s="11"/>
      <c r="G69" s="11"/>
      <c r="H69" s="11"/>
      <c r="I69" s="4"/>
      <c r="J69" s="11"/>
    </row>
    <row r="70" ht="43.2" customHeight="1" spans="1:10">
      <c r="A70" s="4">
        <v>134</v>
      </c>
      <c r="B70" s="5" t="s">
        <v>188</v>
      </c>
      <c r="C70" s="5" t="s">
        <v>11</v>
      </c>
      <c r="D70" s="9">
        <v>30307403001</v>
      </c>
      <c r="E70" s="5" t="s">
        <v>189</v>
      </c>
      <c r="F70" s="7" t="s">
        <v>13</v>
      </c>
      <c r="G70" s="4">
        <v>1</v>
      </c>
      <c r="H70" s="4">
        <v>95</v>
      </c>
      <c r="I70" s="4">
        <f>H70*G70</f>
        <v>95</v>
      </c>
      <c r="J70" s="4"/>
    </row>
    <row r="71" ht="28.8" customHeight="1" spans="1:10">
      <c r="A71" s="4">
        <v>135</v>
      </c>
      <c r="B71" s="5" t="s">
        <v>190</v>
      </c>
      <c r="C71" s="5" t="s">
        <v>11</v>
      </c>
      <c r="D71" s="9">
        <v>30307408810</v>
      </c>
      <c r="E71" s="5" t="s">
        <v>191</v>
      </c>
      <c r="F71" s="7" t="s">
        <v>66</v>
      </c>
      <c r="G71" s="4">
        <v>1</v>
      </c>
      <c r="H71" s="4">
        <v>180</v>
      </c>
      <c r="I71" s="4">
        <f>H71*G71</f>
        <v>180</v>
      </c>
      <c r="J71" s="4"/>
    </row>
    <row r="72" ht="43.2" customHeight="1" spans="1:10">
      <c r="A72" s="4">
        <v>136</v>
      </c>
      <c r="B72" s="5" t="s">
        <v>192</v>
      </c>
      <c r="C72" s="5" t="s">
        <v>11</v>
      </c>
      <c r="D72" s="9">
        <v>30307408710</v>
      </c>
      <c r="E72" s="5" t="s">
        <v>193</v>
      </c>
      <c r="F72" s="7" t="s">
        <v>66</v>
      </c>
      <c r="G72" s="4">
        <v>1</v>
      </c>
      <c r="H72" s="4">
        <v>200</v>
      </c>
      <c r="I72" s="4">
        <f>H72*G72</f>
        <v>200</v>
      </c>
      <c r="J72" s="4"/>
    </row>
    <row r="73" spans="1:10">
      <c r="A73" s="4">
        <v>137</v>
      </c>
      <c r="B73" s="5" t="s">
        <v>194</v>
      </c>
      <c r="C73" s="5" t="s">
        <v>195</v>
      </c>
      <c r="D73" s="9">
        <v>30807007210</v>
      </c>
      <c r="E73" s="5" t="s">
        <v>196</v>
      </c>
      <c r="F73" s="7" t="s">
        <v>66</v>
      </c>
      <c r="G73" s="4">
        <v>1</v>
      </c>
      <c r="H73" s="8">
        <v>16</v>
      </c>
      <c r="I73" s="4">
        <f>H73*G73</f>
        <v>16</v>
      </c>
      <c r="J73" s="4"/>
    </row>
    <row r="74" ht="187.2" customHeight="1" spans="1:10">
      <c r="A74" s="4">
        <v>138</v>
      </c>
      <c r="B74" s="5" t="s">
        <v>197</v>
      </c>
      <c r="C74" s="5" t="s">
        <v>195</v>
      </c>
      <c r="D74" s="9">
        <v>30102000901</v>
      </c>
      <c r="E74" s="5" t="s">
        <v>198</v>
      </c>
      <c r="F74" s="7" t="s">
        <v>66</v>
      </c>
      <c r="G74" s="4">
        <v>1</v>
      </c>
      <c r="H74" s="4">
        <v>220</v>
      </c>
      <c r="I74" s="4">
        <f>H74*G74</f>
        <v>220</v>
      </c>
      <c r="J74" s="4"/>
    </row>
    <row r="75" ht="28.8" customHeight="1" spans="1:10">
      <c r="A75" s="7" t="s">
        <v>0</v>
      </c>
      <c r="B75" s="3" t="s">
        <v>199</v>
      </c>
      <c r="C75" s="3" t="s">
        <v>2</v>
      </c>
      <c r="D75" s="3" t="s">
        <v>3</v>
      </c>
      <c r="E75" s="3" t="s">
        <v>4</v>
      </c>
      <c r="F75" s="3" t="s">
        <v>200</v>
      </c>
      <c r="G75" s="3" t="s">
        <v>6</v>
      </c>
      <c r="H75" s="3" t="s">
        <v>7</v>
      </c>
      <c r="I75" s="3" t="s">
        <v>8</v>
      </c>
      <c r="J75" s="3" t="s">
        <v>9</v>
      </c>
    </row>
    <row r="76" ht="43.2" customHeight="1" spans="1:10">
      <c r="A76" s="4">
        <v>1</v>
      </c>
      <c r="B76" s="5" t="s">
        <v>201</v>
      </c>
      <c r="C76" s="5" t="s">
        <v>202</v>
      </c>
      <c r="D76" s="9">
        <v>30307202001</v>
      </c>
      <c r="E76" s="5" t="s">
        <v>203</v>
      </c>
      <c r="F76" s="7" t="s">
        <v>34</v>
      </c>
      <c r="G76" s="4">
        <v>1</v>
      </c>
      <c r="H76" s="4">
        <v>38</v>
      </c>
      <c r="I76" s="4">
        <f>H76*G76</f>
        <v>38</v>
      </c>
      <c r="J76" s="4"/>
    </row>
    <row r="77" ht="43.2" customHeight="1" spans="1:10">
      <c r="A77" s="4">
        <v>3</v>
      </c>
      <c r="B77" s="5" t="s">
        <v>204</v>
      </c>
      <c r="C77" s="5" t="s">
        <v>11</v>
      </c>
      <c r="D77" s="9">
        <v>30307113410</v>
      </c>
      <c r="E77" s="5" t="s">
        <v>205</v>
      </c>
      <c r="F77" s="7" t="s">
        <v>66</v>
      </c>
      <c r="G77" s="4">
        <v>1</v>
      </c>
      <c r="H77" s="8">
        <v>168</v>
      </c>
      <c r="I77" s="4">
        <f t="shared" ref="I77:I117" si="2">H77*G77</f>
        <v>168</v>
      </c>
      <c r="J77" s="4"/>
    </row>
    <row r="78" ht="43.2" customHeight="1" spans="1:10">
      <c r="A78" s="4">
        <v>4</v>
      </c>
      <c r="B78" s="5" t="s">
        <v>206</v>
      </c>
      <c r="C78" s="5" t="s">
        <v>79</v>
      </c>
      <c r="D78" s="9">
        <v>30307108901</v>
      </c>
      <c r="E78" s="5" t="s">
        <v>207</v>
      </c>
      <c r="F78" s="7" t="s">
        <v>34</v>
      </c>
      <c r="G78" s="4">
        <v>1</v>
      </c>
      <c r="H78" s="4">
        <v>25</v>
      </c>
      <c r="I78" s="4">
        <f t="shared" si="2"/>
        <v>25</v>
      </c>
      <c r="J78" s="7" t="s">
        <v>208</v>
      </c>
    </row>
    <row r="79" ht="57.6" customHeight="1" spans="1:10">
      <c r="A79" s="4">
        <v>5</v>
      </c>
      <c r="B79" s="5" t="s">
        <v>209</v>
      </c>
      <c r="C79" s="5" t="s">
        <v>11</v>
      </c>
      <c r="D79" s="9">
        <v>30307107310</v>
      </c>
      <c r="E79" s="5" t="s">
        <v>210</v>
      </c>
      <c r="F79" s="7" t="s">
        <v>34</v>
      </c>
      <c r="G79" s="4">
        <v>1</v>
      </c>
      <c r="H79" s="4">
        <v>26</v>
      </c>
      <c r="I79" s="4">
        <f t="shared" si="2"/>
        <v>26</v>
      </c>
      <c r="J79" s="4"/>
    </row>
    <row r="80" ht="28.8" customHeight="1" spans="1:10">
      <c r="A80" s="4">
        <v>6</v>
      </c>
      <c r="B80" s="5" t="s">
        <v>211</v>
      </c>
      <c r="C80" s="5" t="s">
        <v>93</v>
      </c>
      <c r="D80" s="9">
        <v>30307201601</v>
      </c>
      <c r="E80" s="5" t="s">
        <v>212</v>
      </c>
      <c r="F80" s="7" t="s">
        <v>13</v>
      </c>
      <c r="G80" s="4">
        <v>1</v>
      </c>
      <c r="H80" s="4">
        <v>45</v>
      </c>
      <c r="I80" s="4">
        <f t="shared" si="2"/>
        <v>45</v>
      </c>
      <c r="J80" s="4"/>
    </row>
    <row r="81" ht="57.6" customHeight="1" spans="1:10">
      <c r="A81" s="4">
        <v>8</v>
      </c>
      <c r="B81" s="5" t="s">
        <v>213</v>
      </c>
      <c r="C81" s="5" t="s">
        <v>11</v>
      </c>
      <c r="D81" s="9">
        <v>30307202710</v>
      </c>
      <c r="E81" s="5" t="s">
        <v>214</v>
      </c>
      <c r="F81" s="7" t="s">
        <v>34</v>
      </c>
      <c r="G81" s="4">
        <v>1</v>
      </c>
      <c r="H81" s="4">
        <v>90</v>
      </c>
      <c r="I81" s="4">
        <f t="shared" si="2"/>
        <v>90</v>
      </c>
      <c r="J81" s="4"/>
    </row>
    <row r="82" ht="57.6" customHeight="1" spans="1:10">
      <c r="A82" s="4">
        <v>10</v>
      </c>
      <c r="B82" s="5" t="s">
        <v>215</v>
      </c>
      <c r="C82" s="5" t="s">
        <v>11</v>
      </c>
      <c r="D82" s="9">
        <v>30307203110</v>
      </c>
      <c r="E82" s="5" t="s">
        <v>216</v>
      </c>
      <c r="F82" s="7" t="s">
        <v>66</v>
      </c>
      <c r="G82" s="4">
        <v>1</v>
      </c>
      <c r="H82" s="4">
        <v>90</v>
      </c>
      <c r="I82" s="4">
        <f t="shared" si="2"/>
        <v>90</v>
      </c>
      <c r="J82" s="4"/>
    </row>
    <row r="83" ht="100.8" customHeight="1" spans="1:10">
      <c r="A83" s="4">
        <v>11</v>
      </c>
      <c r="B83" s="5" t="s">
        <v>217</v>
      </c>
      <c r="C83" s="5" t="s">
        <v>11</v>
      </c>
      <c r="D83" s="9">
        <v>30307112501</v>
      </c>
      <c r="E83" s="5" t="s">
        <v>218</v>
      </c>
      <c r="F83" s="7" t="s">
        <v>66</v>
      </c>
      <c r="G83" s="4">
        <v>1</v>
      </c>
      <c r="H83" s="4">
        <v>700</v>
      </c>
      <c r="I83" s="4">
        <f t="shared" si="2"/>
        <v>700</v>
      </c>
      <c r="J83" s="4"/>
    </row>
    <row r="84" ht="57.6" customHeight="1" spans="1:10">
      <c r="A84" s="4">
        <v>12</v>
      </c>
      <c r="B84" s="5" t="s">
        <v>219</v>
      </c>
      <c r="C84" s="5" t="s">
        <v>11</v>
      </c>
      <c r="D84" s="9">
        <v>30307200102</v>
      </c>
      <c r="E84" s="5" t="s">
        <v>220</v>
      </c>
      <c r="F84" s="7" t="s">
        <v>126</v>
      </c>
      <c r="G84" s="4">
        <v>1</v>
      </c>
      <c r="H84" s="4">
        <v>60</v>
      </c>
      <c r="I84" s="4">
        <f t="shared" si="2"/>
        <v>60</v>
      </c>
      <c r="J84" s="4"/>
    </row>
    <row r="85" ht="57.6" customHeight="1" spans="1:10">
      <c r="A85" s="4">
        <v>13</v>
      </c>
      <c r="B85" s="5" t="s">
        <v>221</v>
      </c>
      <c r="C85" s="5" t="s">
        <v>222</v>
      </c>
      <c r="D85" s="9">
        <v>30307201901</v>
      </c>
      <c r="E85" s="5" t="s">
        <v>223</v>
      </c>
      <c r="F85" s="7" t="s">
        <v>66</v>
      </c>
      <c r="G85" s="4">
        <v>1</v>
      </c>
      <c r="H85" s="4">
        <v>350</v>
      </c>
      <c r="I85" s="4">
        <f t="shared" si="2"/>
        <v>350</v>
      </c>
      <c r="J85" s="4"/>
    </row>
    <row r="86" ht="57.6" customHeight="1" spans="1:10">
      <c r="A86" s="4">
        <v>14</v>
      </c>
      <c r="B86" s="5" t="s">
        <v>224</v>
      </c>
      <c r="C86" s="5" t="s">
        <v>11</v>
      </c>
      <c r="D86" s="9">
        <v>30307200810</v>
      </c>
      <c r="E86" s="5" t="s">
        <v>225</v>
      </c>
      <c r="F86" s="7" t="s">
        <v>34</v>
      </c>
      <c r="G86" s="4">
        <v>1</v>
      </c>
      <c r="H86" s="4">
        <v>95</v>
      </c>
      <c r="I86" s="4">
        <f t="shared" si="2"/>
        <v>95</v>
      </c>
      <c r="J86" s="4"/>
    </row>
    <row r="87" ht="43.2" customHeight="1" spans="1:10">
      <c r="A87" s="4">
        <v>15</v>
      </c>
      <c r="B87" s="5" t="s">
        <v>226</v>
      </c>
      <c r="C87" s="5" t="s">
        <v>227</v>
      </c>
      <c r="D87" s="9">
        <v>30307201501</v>
      </c>
      <c r="E87" s="5" t="s">
        <v>228</v>
      </c>
      <c r="F87" s="7" t="s">
        <v>34</v>
      </c>
      <c r="G87" s="4">
        <v>1</v>
      </c>
      <c r="H87" s="4">
        <v>150</v>
      </c>
      <c r="I87" s="4">
        <f t="shared" si="2"/>
        <v>150</v>
      </c>
      <c r="J87" s="4"/>
    </row>
    <row r="88" ht="43.2" customHeight="1" spans="1:10">
      <c r="A88" s="4">
        <v>17</v>
      </c>
      <c r="B88" s="5" t="s">
        <v>229</v>
      </c>
      <c r="C88" s="5" t="s">
        <v>11</v>
      </c>
      <c r="D88" s="9">
        <v>30307205910</v>
      </c>
      <c r="E88" s="5" t="s">
        <v>230</v>
      </c>
      <c r="F88" s="7" t="s">
        <v>34</v>
      </c>
      <c r="G88" s="4">
        <v>1</v>
      </c>
      <c r="H88" s="4">
        <v>14</v>
      </c>
      <c r="I88" s="4">
        <f t="shared" si="2"/>
        <v>14</v>
      </c>
      <c r="J88" s="4"/>
    </row>
    <row r="89" ht="86.4" customHeight="1" spans="1:10">
      <c r="A89" s="4">
        <v>18</v>
      </c>
      <c r="B89" s="5" t="s">
        <v>231</v>
      </c>
      <c r="C89" s="5" t="s">
        <v>11</v>
      </c>
      <c r="D89" s="9">
        <v>30307216301</v>
      </c>
      <c r="E89" s="5" t="s">
        <v>232</v>
      </c>
      <c r="F89" s="7" t="s">
        <v>34</v>
      </c>
      <c r="G89" s="4">
        <v>1</v>
      </c>
      <c r="H89" s="4">
        <v>140</v>
      </c>
      <c r="I89" s="4">
        <f t="shared" si="2"/>
        <v>140</v>
      </c>
      <c r="J89" s="4"/>
    </row>
    <row r="90" ht="100.8" customHeight="1" spans="1:10">
      <c r="A90" s="4">
        <v>19</v>
      </c>
      <c r="B90" s="5" t="s">
        <v>233</v>
      </c>
      <c r="C90" s="5" t="s">
        <v>11</v>
      </c>
      <c r="D90" s="9">
        <v>30307206310</v>
      </c>
      <c r="E90" s="5" t="s">
        <v>234</v>
      </c>
      <c r="F90" s="7" t="s">
        <v>34</v>
      </c>
      <c r="G90" s="4">
        <v>46</v>
      </c>
      <c r="H90" s="4">
        <v>165</v>
      </c>
      <c r="I90" s="4">
        <f t="shared" si="2"/>
        <v>7590</v>
      </c>
      <c r="J90" s="4"/>
    </row>
    <row r="91" ht="144" customHeight="1" spans="1:10">
      <c r="A91" s="4">
        <v>20</v>
      </c>
      <c r="B91" s="5" t="s">
        <v>235</v>
      </c>
      <c r="C91" s="5" t="s">
        <v>11</v>
      </c>
      <c r="D91" s="9">
        <v>30307502710</v>
      </c>
      <c r="E91" s="5" t="s">
        <v>236</v>
      </c>
      <c r="F91" s="7" t="s">
        <v>34</v>
      </c>
      <c r="G91" s="4">
        <v>1</v>
      </c>
      <c r="H91" s="4">
        <v>998</v>
      </c>
      <c r="I91" s="4">
        <f t="shared" si="2"/>
        <v>998</v>
      </c>
      <c r="J91" s="4"/>
    </row>
    <row r="92" ht="72" customHeight="1" spans="1:10">
      <c r="A92" s="4">
        <v>21</v>
      </c>
      <c r="B92" s="5" t="s">
        <v>237</v>
      </c>
      <c r="C92" s="5" t="s">
        <v>11</v>
      </c>
      <c r="D92" s="9">
        <v>30307510801</v>
      </c>
      <c r="E92" s="5" t="s">
        <v>238</v>
      </c>
      <c r="F92" s="7" t="s">
        <v>34</v>
      </c>
      <c r="G92" s="4">
        <v>1</v>
      </c>
      <c r="H92" s="4">
        <v>58</v>
      </c>
      <c r="I92" s="4">
        <f t="shared" si="2"/>
        <v>58</v>
      </c>
      <c r="J92" s="4"/>
    </row>
    <row r="93" ht="57.6" customHeight="1" spans="1:10">
      <c r="A93" s="4">
        <v>22</v>
      </c>
      <c r="B93" s="5" t="s">
        <v>239</v>
      </c>
      <c r="C93" s="5" t="s">
        <v>240</v>
      </c>
      <c r="D93" s="12">
        <v>30307500101</v>
      </c>
      <c r="E93" s="5" t="s">
        <v>241</v>
      </c>
      <c r="F93" s="7" t="s">
        <v>34</v>
      </c>
      <c r="G93" s="4">
        <v>1</v>
      </c>
      <c r="H93" s="4">
        <v>240</v>
      </c>
      <c r="I93" s="4">
        <f t="shared" si="2"/>
        <v>240</v>
      </c>
      <c r="J93" s="4"/>
    </row>
    <row r="94" ht="72" customHeight="1" spans="1:10">
      <c r="A94" s="4">
        <v>23</v>
      </c>
      <c r="B94" s="5" t="s">
        <v>242</v>
      </c>
      <c r="C94" s="5" t="s">
        <v>87</v>
      </c>
      <c r="D94" s="9">
        <v>30307500610</v>
      </c>
      <c r="E94" s="5" t="s">
        <v>243</v>
      </c>
      <c r="F94" s="7" t="s">
        <v>34</v>
      </c>
      <c r="G94" s="4">
        <v>1</v>
      </c>
      <c r="H94" s="4">
        <v>58</v>
      </c>
      <c r="I94" s="4">
        <f t="shared" si="2"/>
        <v>58</v>
      </c>
      <c r="J94" s="4"/>
    </row>
    <row r="95" ht="28.8" customHeight="1" spans="1:10">
      <c r="A95" s="4">
        <v>31</v>
      </c>
      <c r="B95" s="5" t="s">
        <v>244</v>
      </c>
      <c r="C95" s="5" t="s">
        <v>11</v>
      </c>
      <c r="D95" s="9">
        <v>30307204210</v>
      </c>
      <c r="E95" s="13" t="s">
        <v>245</v>
      </c>
      <c r="F95" s="7" t="s">
        <v>13</v>
      </c>
      <c r="G95" s="4">
        <v>1</v>
      </c>
      <c r="H95" s="4">
        <v>16</v>
      </c>
      <c r="I95" s="4">
        <f t="shared" si="2"/>
        <v>16</v>
      </c>
      <c r="J95" s="4"/>
    </row>
    <row r="96" ht="43.2" customHeight="1" spans="1:10">
      <c r="A96" s="4">
        <v>33</v>
      </c>
      <c r="B96" s="5" t="s">
        <v>246</v>
      </c>
      <c r="C96" s="5" t="s">
        <v>11</v>
      </c>
      <c r="D96" s="9">
        <v>30307503210</v>
      </c>
      <c r="E96" s="13" t="s">
        <v>247</v>
      </c>
      <c r="F96" s="7" t="s">
        <v>34</v>
      </c>
      <c r="G96" s="4">
        <v>1</v>
      </c>
      <c r="H96" s="8">
        <v>220</v>
      </c>
      <c r="I96" s="4">
        <f t="shared" si="2"/>
        <v>220</v>
      </c>
      <c r="J96" s="4"/>
    </row>
    <row r="97" ht="43.2" customHeight="1" spans="1:10">
      <c r="A97" s="4">
        <v>34</v>
      </c>
      <c r="B97" s="5" t="s">
        <v>248</v>
      </c>
      <c r="C97" s="5" t="s">
        <v>11</v>
      </c>
      <c r="D97" s="9">
        <v>30307503310</v>
      </c>
      <c r="E97" s="13" t="s">
        <v>249</v>
      </c>
      <c r="F97" s="7" t="s">
        <v>66</v>
      </c>
      <c r="G97" s="4">
        <v>1</v>
      </c>
      <c r="H97" s="4">
        <v>220</v>
      </c>
      <c r="I97" s="4">
        <f t="shared" si="2"/>
        <v>220</v>
      </c>
      <c r="J97" s="4"/>
    </row>
    <row r="98" ht="43.2" customHeight="1" spans="1:10">
      <c r="A98" s="4">
        <v>35</v>
      </c>
      <c r="B98" s="5" t="s">
        <v>250</v>
      </c>
      <c r="C98" s="5" t="s">
        <v>11</v>
      </c>
      <c r="D98" s="9">
        <v>30307502610</v>
      </c>
      <c r="E98" s="13" t="s">
        <v>251</v>
      </c>
      <c r="F98" s="7" t="s">
        <v>34</v>
      </c>
      <c r="G98" s="4">
        <v>1</v>
      </c>
      <c r="H98" s="4">
        <v>420</v>
      </c>
      <c r="I98" s="4">
        <f t="shared" si="2"/>
        <v>420</v>
      </c>
      <c r="J98" s="4"/>
    </row>
    <row r="99" ht="57.6" spans="1:10">
      <c r="A99" s="4">
        <v>37</v>
      </c>
      <c r="B99" s="5" t="s">
        <v>252</v>
      </c>
      <c r="C99" s="5" t="s">
        <v>11</v>
      </c>
      <c r="D99" s="9">
        <v>30307503010</v>
      </c>
      <c r="E99" s="13" t="s">
        <v>253</v>
      </c>
      <c r="F99" s="7" t="s">
        <v>13</v>
      </c>
      <c r="G99" s="4">
        <v>1</v>
      </c>
      <c r="H99" s="4">
        <v>18</v>
      </c>
      <c r="I99" s="4">
        <f t="shared" si="2"/>
        <v>18</v>
      </c>
      <c r="J99" s="4"/>
    </row>
    <row r="100" ht="28.8" customHeight="1" spans="1:10">
      <c r="A100" s="4">
        <v>38</v>
      </c>
      <c r="B100" s="5" t="s">
        <v>254</v>
      </c>
      <c r="C100" s="5" t="s">
        <v>255</v>
      </c>
      <c r="D100" s="9">
        <v>30307305413</v>
      </c>
      <c r="E100" s="13" t="s">
        <v>256</v>
      </c>
      <c r="F100" s="7" t="s">
        <v>34</v>
      </c>
      <c r="G100" s="4">
        <v>1</v>
      </c>
      <c r="H100" s="8">
        <v>65</v>
      </c>
      <c r="I100" s="4">
        <f t="shared" si="2"/>
        <v>65</v>
      </c>
      <c r="J100" s="4"/>
    </row>
    <row r="101" ht="28.8" spans="1:10">
      <c r="A101" s="4">
        <v>39</v>
      </c>
      <c r="B101" s="5" t="s">
        <v>257</v>
      </c>
      <c r="C101" s="5" t="s">
        <v>11</v>
      </c>
      <c r="D101" s="9">
        <v>30206003201</v>
      </c>
      <c r="E101" s="13" t="s">
        <v>258</v>
      </c>
      <c r="F101" s="7" t="s">
        <v>66</v>
      </c>
      <c r="G101" s="4">
        <v>1</v>
      </c>
      <c r="H101" s="4">
        <v>1200</v>
      </c>
      <c r="I101" s="4">
        <f t="shared" si="2"/>
        <v>1200</v>
      </c>
      <c r="J101" s="4"/>
    </row>
    <row r="102" ht="28.8" customHeight="1" spans="1:10">
      <c r="A102" s="4">
        <v>40</v>
      </c>
      <c r="B102" s="5" t="s">
        <v>259</v>
      </c>
      <c r="C102" s="5" t="s">
        <v>11</v>
      </c>
      <c r="D102" s="9">
        <v>30307404710</v>
      </c>
      <c r="E102" s="13" t="s">
        <v>260</v>
      </c>
      <c r="F102" s="7" t="s">
        <v>34</v>
      </c>
      <c r="G102" s="4">
        <v>1</v>
      </c>
      <c r="H102" s="4">
        <v>420</v>
      </c>
      <c r="I102" s="4">
        <f t="shared" si="2"/>
        <v>420</v>
      </c>
      <c r="J102" s="4"/>
    </row>
    <row r="103" ht="28.8" customHeight="1" spans="1:10">
      <c r="A103" s="4">
        <v>41</v>
      </c>
      <c r="B103" s="5" t="s">
        <v>261</v>
      </c>
      <c r="C103" s="5" t="s">
        <v>11</v>
      </c>
      <c r="D103" s="9">
        <v>30206000710</v>
      </c>
      <c r="E103" s="13" t="s">
        <v>262</v>
      </c>
      <c r="F103" s="7" t="s">
        <v>66</v>
      </c>
      <c r="G103" s="4">
        <v>1</v>
      </c>
      <c r="H103" s="8">
        <v>350</v>
      </c>
      <c r="I103" s="4">
        <f t="shared" si="2"/>
        <v>350</v>
      </c>
      <c r="J103" s="4"/>
    </row>
    <row r="104" ht="57.6" customHeight="1" spans="1:10">
      <c r="A104" s="4">
        <v>42</v>
      </c>
      <c r="B104" s="5" t="s">
        <v>263</v>
      </c>
      <c r="C104" s="5" t="s">
        <v>11</v>
      </c>
      <c r="D104" s="9">
        <v>30307303010</v>
      </c>
      <c r="E104" s="13" t="s">
        <v>264</v>
      </c>
      <c r="F104" s="7" t="s">
        <v>66</v>
      </c>
      <c r="G104" s="4">
        <v>1</v>
      </c>
      <c r="H104" s="4">
        <v>310</v>
      </c>
      <c r="I104" s="4">
        <f t="shared" si="2"/>
        <v>310</v>
      </c>
      <c r="J104" s="4"/>
    </row>
    <row r="105" ht="28.8" customHeight="1" spans="1:10">
      <c r="A105" s="4">
        <v>43</v>
      </c>
      <c r="B105" s="5" t="s">
        <v>265</v>
      </c>
      <c r="C105" s="5" t="s">
        <v>11</v>
      </c>
      <c r="D105" s="9">
        <v>30307424501</v>
      </c>
      <c r="E105" s="13" t="s">
        <v>266</v>
      </c>
      <c r="F105" s="7" t="s">
        <v>267</v>
      </c>
      <c r="G105" s="4">
        <v>1</v>
      </c>
      <c r="H105" s="4">
        <v>155</v>
      </c>
      <c r="I105" s="4">
        <f t="shared" si="2"/>
        <v>155</v>
      </c>
      <c r="J105" s="4"/>
    </row>
    <row r="106" ht="28.8" customHeight="1" spans="1:10">
      <c r="A106" s="4">
        <v>45</v>
      </c>
      <c r="B106" s="5" t="s">
        <v>268</v>
      </c>
      <c r="C106" s="5" t="s">
        <v>11</v>
      </c>
      <c r="D106" s="9">
        <v>30307405801</v>
      </c>
      <c r="E106" s="14" t="s">
        <v>269</v>
      </c>
      <c r="F106" s="7" t="s">
        <v>34</v>
      </c>
      <c r="G106" s="4">
        <v>1</v>
      </c>
      <c r="H106" s="4">
        <v>22</v>
      </c>
      <c r="I106" s="4">
        <f t="shared" si="2"/>
        <v>22</v>
      </c>
      <c r="J106" s="4"/>
    </row>
    <row r="107" ht="28.8" customHeight="1" spans="1:10">
      <c r="A107" s="4">
        <v>46</v>
      </c>
      <c r="B107" s="5" t="s">
        <v>270</v>
      </c>
      <c r="C107" s="5" t="s">
        <v>11</v>
      </c>
      <c r="D107" s="9">
        <v>30307407510</v>
      </c>
      <c r="E107" s="14" t="s">
        <v>271</v>
      </c>
      <c r="F107" s="7" t="s">
        <v>34</v>
      </c>
      <c r="G107" s="4">
        <v>1</v>
      </c>
      <c r="H107" s="4">
        <v>300</v>
      </c>
      <c r="I107" s="4">
        <f t="shared" si="2"/>
        <v>300</v>
      </c>
      <c r="J107" s="4"/>
    </row>
    <row r="108" ht="28.8" customHeight="1" spans="1:10">
      <c r="A108" s="4">
        <v>47</v>
      </c>
      <c r="B108" s="5" t="s">
        <v>272</v>
      </c>
      <c r="C108" s="5" t="s">
        <v>11</v>
      </c>
      <c r="D108" s="9">
        <v>30307407310</v>
      </c>
      <c r="E108" s="14" t="s">
        <v>273</v>
      </c>
      <c r="F108" s="7" t="s">
        <v>13</v>
      </c>
      <c r="G108" s="4">
        <v>23</v>
      </c>
      <c r="H108" s="4">
        <v>210</v>
      </c>
      <c r="I108" s="4">
        <f t="shared" si="2"/>
        <v>4830</v>
      </c>
      <c r="J108" s="4"/>
    </row>
    <row r="109" ht="28.8" customHeight="1" spans="1:10">
      <c r="A109" s="4">
        <v>48</v>
      </c>
      <c r="B109" s="5" t="s">
        <v>274</v>
      </c>
      <c r="C109" s="5" t="s">
        <v>11</v>
      </c>
      <c r="D109" s="9">
        <v>30307505610</v>
      </c>
      <c r="E109" s="14" t="s">
        <v>275</v>
      </c>
      <c r="F109" s="7" t="s">
        <v>66</v>
      </c>
      <c r="G109" s="4">
        <v>1</v>
      </c>
      <c r="H109" s="4">
        <v>660</v>
      </c>
      <c r="I109" s="4">
        <f t="shared" si="2"/>
        <v>660</v>
      </c>
      <c r="J109" s="4"/>
    </row>
    <row r="110" ht="28.8" customHeight="1" spans="1:10">
      <c r="A110" s="4">
        <v>49</v>
      </c>
      <c r="B110" s="5" t="s">
        <v>265</v>
      </c>
      <c r="C110" s="5" t="s">
        <v>11</v>
      </c>
      <c r="D110" s="6">
        <v>30307403403</v>
      </c>
      <c r="E110" s="14" t="s">
        <v>276</v>
      </c>
      <c r="F110" s="7" t="s">
        <v>267</v>
      </c>
      <c r="G110" s="4">
        <v>1</v>
      </c>
      <c r="H110" s="4">
        <v>155</v>
      </c>
      <c r="I110" s="4">
        <f t="shared" si="2"/>
        <v>155</v>
      </c>
      <c r="J110" s="4"/>
    </row>
    <row r="111" ht="28.8" customHeight="1" spans="1:10">
      <c r="A111" s="4">
        <v>50</v>
      </c>
      <c r="B111" s="5" t="s">
        <v>265</v>
      </c>
      <c r="C111" s="5" t="s">
        <v>11</v>
      </c>
      <c r="D111" s="6">
        <v>30307403404</v>
      </c>
      <c r="E111" s="14" t="s">
        <v>277</v>
      </c>
      <c r="F111" s="7" t="s">
        <v>267</v>
      </c>
      <c r="G111" s="4">
        <v>1</v>
      </c>
      <c r="H111" s="4">
        <v>155</v>
      </c>
      <c r="I111" s="4">
        <f t="shared" si="2"/>
        <v>155</v>
      </c>
      <c r="J111" s="4"/>
    </row>
    <row r="112" spans="1:10">
      <c r="A112" s="4">
        <v>51</v>
      </c>
      <c r="B112" s="5" t="s">
        <v>278</v>
      </c>
      <c r="C112" s="5" t="s">
        <v>11</v>
      </c>
      <c r="D112" s="6">
        <v>30307504810</v>
      </c>
      <c r="E112" s="14" t="s">
        <v>279</v>
      </c>
      <c r="F112" s="7" t="s">
        <v>34</v>
      </c>
      <c r="G112" s="4">
        <v>1</v>
      </c>
      <c r="H112" s="4">
        <v>300</v>
      </c>
      <c r="I112" s="4">
        <f t="shared" si="2"/>
        <v>300</v>
      </c>
      <c r="J112" s="4"/>
    </row>
    <row r="113" ht="28.8" customHeight="1" spans="1:10">
      <c r="A113" s="4">
        <v>52</v>
      </c>
      <c r="B113" s="5" t="s">
        <v>280</v>
      </c>
      <c r="C113" s="5" t="s">
        <v>11</v>
      </c>
      <c r="D113" s="9">
        <v>30307505001</v>
      </c>
      <c r="E113" s="14" t="s">
        <v>281</v>
      </c>
      <c r="F113" s="7" t="s">
        <v>66</v>
      </c>
      <c r="G113" s="4">
        <v>1</v>
      </c>
      <c r="H113" s="4">
        <v>135</v>
      </c>
      <c r="I113" s="4">
        <f t="shared" si="2"/>
        <v>135</v>
      </c>
      <c r="J113" s="4"/>
    </row>
    <row r="114" ht="43.2" customHeight="1" spans="1:10">
      <c r="A114" s="4">
        <v>53</v>
      </c>
      <c r="B114" s="5" t="s">
        <v>282</v>
      </c>
      <c r="C114" s="5" t="s">
        <v>11</v>
      </c>
      <c r="D114" s="6">
        <v>30307307610</v>
      </c>
      <c r="E114" s="14" t="s">
        <v>283</v>
      </c>
      <c r="F114" s="7" t="s">
        <v>13</v>
      </c>
      <c r="G114" s="4">
        <v>1</v>
      </c>
      <c r="H114" s="8">
        <v>270</v>
      </c>
      <c r="I114" s="4">
        <f t="shared" si="2"/>
        <v>270</v>
      </c>
      <c r="J114" s="4"/>
    </row>
    <row r="115" ht="43.2" customHeight="1" spans="1:10">
      <c r="A115" s="4">
        <v>54</v>
      </c>
      <c r="B115" s="5" t="s">
        <v>284</v>
      </c>
      <c r="C115" s="5" t="s">
        <v>11</v>
      </c>
      <c r="D115" s="6">
        <v>30307307710</v>
      </c>
      <c r="E115" s="14" t="s">
        <v>285</v>
      </c>
      <c r="F115" s="7" t="s">
        <v>13</v>
      </c>
      <c r="G115" s="4">
        <v>1</v>
      </c>
      <c r="H115" s="8">
        <v>270</v>
      </c>
      <c r="I115" s="4">
        <f t="shared" si="2"/>
        <v>270</v>
      </c>
      <c r="J115" s="4"/>
    </row>
    <row r="116" ht="43.2" customHeight="1" spans="1:10">
      <c r="A116" s="4">
        <v>56</v>
      </c>
      <c r="B116" s="5" t="s">
        <v>286</v>
      </c>
      <c r="C116" s="5" t="s">
        <v>11</v>
      </c>
      <c r="D116" s="9">
        <v>30307408310</v>
      </c>
      <c r="E116" s="14" t="s">
        <v>287</v>
      </c>
      <c r="F116" s="7" t="s">
        <v>34</v>
      </c>
      <c r="G116" s="4">
        <v>23</v>
      </c>
      <c r="H116" s="4">
        <v>95</v>
      </c>
      <c r="I116" s="4">
        <f t="shared" si="2"/>
        <v>2185</v>
      </c>
      <c r="J116" s="4"/>
    </row>
    <row r="117" ht="28.8" customHeight="1" spans="1:10">
      <c r="A117" s="4">
        <v>57</v>
      </c>
      <c r="B117" s="5" t="s">
        <v>288</v>
      </c>
      <c r="C117" s="5" t="s">
        <v>11</v>
      </c>
      <c r="D117" s="9">
        <v>30307502910</v>
      </c>
      <c r="E117" s="13" t="s">
        <v>289</v>
      </c>
      <c r="F117" s="7" t="s">
        <v>66</v>
      </c>
      <c r="G117" s="4">
        <v>12</v>
      </c>
      <c r="H117" s="4">
        <v>135</v>
      </c>
      <c r="I117" s="4">
        <f t="shared" si="2"/>
        <v>1620</v>
      </c>
      <c r="J117" s="4"/>
    </row>
    <row r="118" spans="1:10">
      <c r="H118" s="1" t="s">
        <v>290</v>
      </c>
      <c r="I118" s="1">
        <f>SUM(I2:I117)</f>
        <v>64589</v>
      </c>
    </row>
  </sheetData>
  <mergeCells count="8">
    <mergeCell ref="A68:A69"/>
    <mergeCell ref="B68:B69"/>
    <mergeCell ref="C68:C69"/>
    <mergeCell ref="D68:D69"/>
    <mergeCell ref="F68:F69"/>
    <mergeCell ref="G68:G69"/>
    <mergeCell ref="H68:H69"/>
    <mergeCell ref="J68:J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沁璇</cp:lastModifiedBy>
  <dcterms:created xsi:type="dcterms:W3CDTF">2026-09-11T06:57:00Z</dcterms:created>
  <dcterms:modified xsi:type="dcterms:W3CDTF">2026-09-11T08:00:18Z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E37FF60A0BF84F99B9379C3BCC25AEA4_13</vt:lpwstr>
  </property>
  <property fmtid="{D5CDD505-2E9C-101B-9397-08002B2CF9AE}" pid="3" name="KSOProductBuildVer">
    <vt:lpwstr>2052-12.1.0.28505</vt:lpwstr>
  </property>
  <property fmtid="{D5CDD505-2E9C-101B-9397-08002B2CF9AE}" pid="4" name="CalculationRule">
    <vt:i4>1</vt:i4>
  </property>
</Properties>
</file>