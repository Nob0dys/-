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windowWidth="22188" windowHeight="9372" tabRatio="600" firstSheet="0" activeTab="0" autoFilterDateGrouping="1"/>
  </bookViews>
  <sheets>
    <sheet name="化学" sheetId="1" state="visible" r:id="rId1"/>
    <sheet name="物理电" sheetId="2" state="visible" r:id="rId2"/>
    <sheet name="物理力" sheetId="3" state="visible" r:id="rId3"/>
    <sheet name="生物" sheetId="4" state="visible" r:id="rId4"/>
  </sheets>
  <definedNames/>
  <calcPr calcId="191029" fullCalcOnLoad="1"/>
</workbook>
</file>

<file path=xl/styles.xml><?xml version="1.0" encoding="utf-8"?>
<styleSheet xmlns="http://schemas.openxmlformats.org/spreadsheetml/2006/main">
  <numFmts count="2">
    <numFmt numFmtId="164" formatCode="_ * #,##0.00_ ;_ * \-#,##0.00_ ;_ * &quot;-&quot;??_ ;_ @_ "/>
    <numFmt numFmtId="165" formatCode="_ * #,##0_ ;_ * \-#,##0_ ;_ * &quot;-&quot;_ ;_ @_ "/>
  </numFmts>
  <fonts count="28">
    <font>
      <name val="宋体"/>
      <charset val="134"/>
      <color theme="1"/>
      <sz val="11"/>
      <scheme val="minor"/>
    </font>
    <font>
      <name val="宋体"/>
      <charset val="134"/>
      <color theme="1"/>
      <sz val="12"/>
    </font>
    <font>
      <name val="宋体"/>
      <charset val="134"/>
      <color rgb="FF000000"/>
      <sz val="10.5"/>
    </font>
    <font>
      <name val="宋体"/>
      <charset val="134"/>
      <b val="1"/>
      <color theme="1"/>
      <sz val="12"/>
    </font>
    <font>
      <name val="宋体"/>
      <charset val="134"/>
      <color rgb="FF000000"/>
      <sz val="12"/>
    </font>
    <font>
      <name val="宋体"/>
      <charset val="0"/>
      <color rgb="FF0000FF"/>
      <sz val="11"/>
      <u val="single"/>
      <scheme val="minor"/>
    </font>
    <font>
      <name val="宋体"/>
      <charset val="0"/>
      <color rgb="FF800080"/>
      <sz val="11"/>
      <u val="single"/>
      <scheme val="minor"/>
    </font>
    <font>
      <name val="宋体"/>
      <charset val="0"/>
      <color rgb="FFFF0000"/>
      <sz val="11"/>
      <scheme val="minor"/>
    </font>
    <font>
      <name val="宋体"/>
      <charset val="134"/>
      <b val="1"/>
      <color theme="3"/>
      <sz val="18"/>
      <scheme val="minor"/>
    </font>
    <font>
      <name val="宋体"/>
      <charset val="0"/>
      <i val="1"/>
      <color rgb="FF7F7F7F"/>
      <sz val="11"/>
      <scheme val="minor"/>
    </font>
    <font>
      <name val="宋体"/>
      <charset val="134"/>
      <b val="1"/>
      <color theme="3"/>
      <sz val="15"/>
      <scheme val="minor"/>
    </font>
    <font>
      <name val="宋体"/>
      <charset val="134"/>
      <b val="1"/>
      <color theme="3"/>
      <sz val="13"/>
      <scheme val="minor"/>
    </font>
    <font>
      <name val="宋体"/>
      <charset val="134"/>
      <b val="1"/>
      <color theme="3"/>
      <sz val="11"/>
      <scheme val="minor"/>
    </font>
    <font>
      <name val="宋体"/>
      <charset val="0"/>
      <color rgb="FF3F3F76"/>
      <sz val="11"/>
      <scheme val="minor"/>
    </font>
    <font>
      <name val="宋体"/>
      <charset val="0"/>
      <b val="1"/>
      <color rgb="FF3F3F3F"/>
      <sz val="11"/>
      <scheme val="minor"/>
    </font>
    <font>
      <name val="宋体"/>
      <charset val="0"/>
      <b val="1"/>
      <color rgb="FFFA7D00"/>
      <sz val="11"/>
      <scheme val="minor"/>
    </font>
    <font>
      <name val="宋体"/>
      <charset val="0"/>
      <b val="1"/>
      <color rgb="FFFFFFFF"/>
      <sz val="11"/>
      <scheme val="minor"/>
    </font>
    <font>
      <name val="宋体"/>
      <charset val="0"/>
      <color rgb="FFFA7D00"/>
      <sz val="11"/>
      <scheme val="minor"/>
    </font>
    <font>
      <name val="宋体"/>
      <charset val="0"/>
      <b val="1"/>
      <color theme="1"/>
      <sz val="11"/>
      <scheme val="minor"/>
    </font>
    <font>
      <name val="宋体"/>
      <charset val="0"/>
      <color rgb="FF006100"/>
      <sz val="11"/>
      <scheme val="minor"/>
    </font>
    <font>
      <name val="宋体"/>
      <charset val="0"/>
      <color rgb="FF9C0006"/>
      <sz val="11"/>
      <scheme val="minor"/>
    </font>
    <font>
      <name val="宋体"/>
      <charset val="0"/>
      <color rgb="FF9C6500"/>
      <sz val="11"/>
      <scheme val="minor"/>
    </font>
    <font>
      <name val="宋体"/>
      <charset val="0"/>
      <color theme="0"/>
      <sz val="11"/>
      <scheme val="minor"/>
    </font>
    <font>
      <name val="宋体"/>
      <charset val="0"/>
      <color theme="1"/>
      <sz val="11"/>
      <scheme val="minor"/>
    </font>
    <font>
      <name val="宋体"/>
      <charset val="134"/>
      <color theme="1"/>
      <sz val="12"/>
      <vertAlign val="superscript"/>
    </font>
    <font>
      <name val="Arial Unicode MS"/>
      <charset val="134"/>
      <color theme="1"/>
      <sz val="12"/>
    </font>
    <font>
      <name val="宋体"/>
      <charset val="134"/>
      <color theme="1"/>
      <sz val="12"/>
      <vertAlign val="subscript"/>
    </font>
    <font>
      <b val="1"/>
      <color rgb="00FFFFFF"/>
    </font>
  </fonts>
  <fills count="36">
    <fill>
      <patternFill/>
    </fill>
    <fill>
      <patternFill patternType="gray125"/>
    </fill>
    <fill>
      <patternFill patternType="solid">
        <fgColor rgb="FFFFFF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
      <patternFill patternType="solid">
        <fgColor rgb="000F766E"/>
      </patternFill>
    </fill>
    <fill>
      <patternFill patternType="solid">
        <fgColor rgb="00E8F5EE"/>
      </patternFill>
    </fill>
  </fills>
  <borders count="17">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
      <left/>
      <right/>
      <top style="thin">
        <color auto="1"/>
      </top>
      <bottom/>
      <diagonal/>
    </border>
    <border>
      <left/>
      <right style="thin">
        <color auto="1"/>
      </right>
      <top style="thin">
        <color auto="1"/>
      </top>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bottom/>
      <diagonal/>
    </border>
    <border>
      <left style="thin">
        <color auto="1"/>
      </left>
      <right style="thin">
        <color auto="1"/>
      </right>
      <top/>
      <bottom/>
      <diagonal/>
    </border>
    <border>
      <left style="thin">
        <color auto="1"/>
      </left>
      <right style="thin">
        <color auto="1"/>
      </right>
      <top/>
      <bottom style="thin">
        <color auto="1"/>
      </bottom>
      <diagonal/>
    </border>
  </borders>
  <cellStyleXfs count="49">
    <xf numFmtId="0" fontId="0" fillId="0" borderId="0" applyAlignment="1">
      <alignment vertical="center"/>
    </xf>
    <xf numFmtId="164" fontId="0" fillId="0" borderId="0" applyAlignment="1">
      <alignment vertical="center"/>
    </xf>
    <xf numFmtId="44" fontId="0" fillId="0" borderId="0" applyAlignment="1">
      <alignment vertical="center"/>
    </xf>
    <xf numFmtId="9" fontId="0" fillId="0" borderId="0" applyAlignment="1">
      <alignment vertical="center"/>
    </xf>
    <xf numFmtId="165" fontId="0" fillId="0" borderId="0" applyAlignment="1">
      <alignment vertical="center"/>
    </xf>
    <xf numFmtId="42" fontId="0" fillId="0" borderId="0" applyAlignment="1">
      <alignment vertical="center"/>
    </xf>
    <xf numFmtId="0" fontId="5" fillId="0" borderId="0" applyAlignment="1">
      <alignment vertical="center"/>
    </xf>
    <xf numFmtId="0" fontId="6" fillId="0" borderId="0" applyAlignment="1">
      <alignment vertical="center"/>
    </xf>
    <xf numFmtId="0" fontId="0" fillId="3" borderId="2" applyAlignment="1">
      <alignment vertical="center"/>
    </xf>
    <xf numFmtId="0" fontId="7" fillId="0" borderId="0" applyAlignment="1">
      <alignment vertical="center"/>
    </xf>
    <xf numFmtId="0" fontId="8" fillId="0" borderId="0" applyAlignment="1">
      <alignment vertical="center"/>
    </xf>
    <xf numFmtId="0" fontId="9" fillId="0" borderId="0" applyAlignment="1">
      <alignment vertical="center"/>
    </xf>
    <xf numFmtId="0" fontId="10" fillId="0" borderId="3" applyAlignment="1">
      <alignment vertical="center"/>
    </xf>
    <xf numFmtId="0" fontId="11" fillId="0" borderId="3" applyAlignment="1">
      <alignment vertical="center"/>
    </xf>
    <xf numFmtId="0" fontId="12" fillId="0" borderId="4" applyAlignment="1">
      <alignment vertical="center"/>
    </xf>
    <xf numFmtId="0" fontId="12" fillId="0" borderId="0" applyAlignment="1">
      <alignment vertical="center"/>
    </xf>
    <xf numFmtId="0" fontId="13" fillId="4" borderId="5" applyAlignment="1">
      <alignment vertical="center"/>
    </xf>
    <xf numFmtId="0" fontId="14" fillId="5" borderId="6" applyAlignment="1">
      <alignment vertical="center"/>
    </xf>
    <xf numFmtId="0" fontId="15" fillId="5" borderId="5" applyAlignment="1">
      <alignment vertical="center"/>
    </xf>
    <xf numFmtId="0" fontId="16" fillId="6" borderId="7" applyAlignment="1">
      <alignment vertical="center"/>
    </xf>
    <xf numFmtId="0" fontId="17" fillId="0" borderId="8" applyAlignment="1">
      <alignment vertical="center"/>
    </xf>
    <xf numFmtId="0" fontId="18" fillId="0" borderId="9" applyAlignment="1">
      <alignment vertical="center"/>
    </xf>
    <xf numFmtId="0" fontId="19" fillId="7" borderId="0" applyAlignment="1">
      <alignment vertical="center"/>
    </xf>
    <xf numFmtId="0" fontId="20" fillId="8" borderId="0" applyAlignment="1">
      <alignment vertical="center"/>
    </xf>
    <xf numFmtId="0" fontId="21" fillId="9" borderId="0" applyAlignment="1">
      <alignment vertical="center"/>
    </xf>
    <xf numFmtId="0" fontId="22" fillId="10" borderId="0" applyAlignment="1">
      <alignment vertical="center"/>
    </xf>
    <xf numFmtId="0" fontId="23" fillId="11" borderId="0" applyAlignment="1">
      <alignment vertical="center"/>
    </xf>
    <xf numFmtId="0" fontId="23" fillId="12" borderId="0" applyAlignment="1">
      <alignment vertical="center"/>
    </xf>
    <xf numFmtId="0" fontId="22" fillId="13" borderId="0" applyAlignment="1">
      <alignment vertical="center"/>
    </xf>
    <xf numFmtId="0" fontId="22" fillId="14" borderId="0" applyAlignment="1">
      <alignment vertical="center"/>
    </xf>
    <xf numFmtId="0" fontId="23" fillId="15" borderId="0" applyAlignment="1">
      <alignment vertical="center"/>
    </xf>
    <xf numFmtId="0" fontId="23" fillId="16" borderId="0" applyAlignment="1">
      <alignment vertical="center"/>
    </xf>
    <xf numFmtId="0" fontId="22" fillId="17" borderId="0" applyAlignment="1">
      <alignment vertical="center"/>
    </xf>
    <xf numFmtId="0" fontId="22" fillId="18" borderId="0" applyAlignment="1">
      <alignment vertical="center"/>
    </xf>
    <xf numFmtId="0" fontId="23" fillId="19" borderId="0" applyAlignment="1">
      <alignment vertical="center"/>
    </xf>
    <xf numFmtId="0" fontId="23" fillId="20" borderId="0" applyAlignment="1">
      <alignment vertical="center"/>
    </xf>
    <xf numFmtId="0" fontId="22" fillId="21" borderId="0" applyAlignment="1">
      <alignment vertical="center"/>
    </xf>
    <xf numFmtId="0" fontId="22" fillId="22" borderId="0" applyAlignment="1">
      <alignment vertical="center"/>
    </xf>
    <xf numFmtId="0" fontId="23" fillId="23" borderId="0" applyAlignment="1">
      <alignment vertical="center"/>
    </xf>
    <xf numFmtId="0" fontId="23" fillId="24" borderId="0" applyAlignment="1">
      <alignment vertical="center"/>
    </xf>
    <xf numFmtId="0" fontId="22" fillId="25" borderId="0" applyAlignment="1">
      <alignment vertical="center"/>
    </xf>
    <xf numFmtId="0" fontId="22" fillId="26" borderId="0" applyAlignment="1">
      <alignment vertical="center"/>
    </xf>
    <xf numFmtId="0" fontId="23" fillId="27" borderId="0" applyAlignment="1">
      <alignment vertical="center"/>
    </xf>
    <xf numFmtId="0" fontId="23" fillId="28" borderId="0" applyAlignment="1">
      <alignment vertical="center"/>
    </xf>
    <xf numFmtId="0" fontId="22" fillId="29" borderId="0" applyAlignment="1">
      <alignment vertical="center"/>
    </xf>
    <xf numFmtId="0" fontId="22" fillId="30" borderId="0" applyAlignment="1">
      <alignment vertical="center"/>
    </xf>
    <xf numFmtId="0" fontId="23" fillId="31" borderId="0" applyAlignment="1">
      <alignment vertical="center"/>
    </xf>
    <xf numFmtId="0" fontId="23" fillId="32" borderId="0" applyAlignment="1">
      <alignment vertical="center"/>
    </xf>
    <xf numFmtId="0" fontId="22" fillId="33" borderId="0" applyAlignment="1">
      <alignment vertical="center"/>
    </xf>
  </cellStyleXfs>
  <cellXfs count="25">
    <xf numFmtId="0" fontId="0" fillId="0" borderId="0" applyAlignment="1" pivotButton="0" quotePrefix="0" xfId="0">
      <alignment vertical="center"/>
    </xf>
    <xf numFmtId="0" fontId="1" fillId="0" borderId="1" applyAlignment="1" pivotButton="0" quotePrefix="0" xfId="0">
      <alignment horizontal="center" vertical="center" wrapText="1"/>
    </xf>
    <xf numFmtId="0" fontId="1" fillId="0" borderId="1" applyAlignment="1" pivotButton="0" quotePrefix="0" xfId="0">
      <alignment horizontal="left" vertical="center" wrapText="1"/>
    </xf>
    <xf numFmtId="0" fontId="2" fillId="0" borderId="1" applyAlignment="1" pivotButton="0" quotePrefix="0" xfId="0">
      <alignment horizontal="center" vertical="center" wrapText="1"/>
    </xf>
    <xf numFmtId="0" fontId="0" fillId="0" borderId="1" applyAlignment="1" pivotButton="0" quotePrefix="0" xfId="0">
      <alignment vertical="center"/>
    </xf>
    <xf numFmtId="0" fontId="1" fillId="0" borderId="1" applyAlignment="1" pivotButton="0" quotePrefix="0" xfId="0">
      <alignment horizontal="left" vertical="top" wrapText="1"/>
    </xf>
    <xf numFmtId="0" fontId="1" fillId="0" borderId="1" applyAlignment="1" pivotButton="0" quotePrefix="0" xfId="0">
      <alignment horizontal="center" vertical="top" wrapText="1"/>
    </xf>
    <xf numFmtId="0" fontId="2" fillId="0" borderId="1" applyAlignment="1" pivotButton="0" quotePrefix="0" xfId="0">
      <alignment horizontal="center" vertical="top" wrapText="1"/>
    </xf>
    <xf numFmtId="0" fontId="3" fillId="0" borderId="1" applyAlignment="1" pivotButton="0" quotePrefix="0" xfId="0">
      <alignment horizontal="center" vertical="center" wrapText="1"/>
    </xf>
    <xf numFmtId="0" fontId="4" fillId="0" borderId="1" applyAlignment="1" pivotButton="0" quotePrefix="0" xfId="0">
      <alignment horizontal="left" vertical="top" wrapText="1"/>
    </xf>
    <xf numFmtId="0" fontId="0" fillId="2" borderId="0" applyAlignment="1" pivotButton="0" quotePrefix="0" xfId="0">
      <alignment vertical="center"/>
    </xf>
    <xf numFmtId="0" fontId="0" fillId="0" borderId="0" applyAlignment="1" pivotButton="0" quotePrefix="0" xfId="0">
      <alignment horizontal="center" vertical="center"/>
    </xf>
    <xf numFmtId="0" fontId="3" fillId="0" borderId="1" applyAlignment="1" pivotButton="0" quotePrefix="0" xfId="0">
      <alignment horizontal="center" vertical="top" wrapText="1"/>
    </xf>
    <xf numFmtId="0" fontId="1" fillId="2" borderId="1" applyAlignment="1" pivotButton="0" quotePrefix="0" xfId="0">
      <alignment horizontal="center" vertical="center" wrapText="1"/>
    </xf>
    <xf numFmtId="0" fontId="1" fillId="2" borderId="1" applyAlignment="1" pivotButton="0" quotePrefix="0" xfId="0">
      <alignment horizontal="left" vertical="center" wrapText="1"/>
    </xf>
    <xf numFmtId="0" fontId="2" fillId="2" borderId="1" applyAlignment="1" pivotButton="0" quotePrefix="0" xfId="0">
      <alignment horizontal="center" vertical="center" wrapText="1"/>
    </xf>
    <xf numFmtId="0" fontId="0" fillId="0" borderId="0" pivotButton="0" quotePrefix="0" xfId="0"/>
    <xf numFmtId="0" fontId="0" fillId="0" borderId="12" pivotButton="0" quotePrefix="0" xfId="0"/>
    <xf numFmtId="0" fontId="0" fillId="0" borderId="13" pivotButton="0" quotePrefix="0" xfId="0"/>
    <xf numFmtId="0" fontId="27" fillId="34" borderId="0" applyAlignment="1" pivotButton="0" quotePrefix="0" xfId="0">
      <alignment horizontal="center" vertical="center" wrapText="1"/>
    </xf>
    <xf numFmtId="0" fontId="0" fillId="35" borderId="0" applyAlignment="1" pivotButton="0" quotePrefix="0" xfId="0">
      <alignment vertical="center" wrapText="1"/>
    </xf>
    <xf numFmtId="0" fontId="0" fillId="0" borderId="16" pivotButton="0" quotePrefix="0" xfId="0"/>
    <xf numFmtId="0" fontId="0" fillId="0" borderId="15" pivotButton="0" quotePrefix="0" xfId="0"/>
    <xf numFmtId="0" fontId="27" fillId="34" borderId="1" applyAlignment="1" pivotButton="0" quotePrefix="0" xfId="0">
      <alignment horizontal="center" vertical="center" wrapText="1"/>
    </xf>
    <xf numFmtId="0" fontId="1" fillId="35" borderId="1" applyAlignment="1" pivotButton="0" quotePrefix="0" xfId="0">
      <alignment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raditional Arabic"/>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Traditional Arabic"/>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sheetPr>
    <outlinePr summaryBelow="1" summaryRight="1"/>
    <pageSetUpPr/>
  </sheetPr>
  <dimension ref="A1:X120"/>
  <sheetViews>
    <sheetView tabSelected="1" workbookViewId="0">
      <selection activeCell="C15" sqref="C15"/>
    </sheetView>
  </sheetViews>
  <sheetFormatPr baseColWidth="8" defaultColWidth="8.888888888888889" defaultRowHeight="14.4"/>
  <cols>
    <col width="23.6666666666667" customWidth="1" style="16" min="2" max="2"/>
    <col width="76.7777777777778" customWidth="1" style="16" min="3" max="3"/>
    <col width="8.888888888888889" customWidth="1" style="11" min="4" max="8"/>
  </cols>
  <sheetData>
    <row r="1" ht="17.1" customHeight="1" s="16">
      <c r="A1" s="12" t="inlineStr">
        <is>
          <t>高中化学实验室基础器材配置要求</t>
        </is>
      </c>
      <c r="B1" s="17" t="n"/>
      <c r="C1" s="17" t="n"/>
      <c r="D1" s="17" t="n"/>
      <c r="E1" s="17" t="n"/>
      <c r="F1" s="18" t="n"/>
      <c r="G1" s="12" t="n"/>
      <c r="H1" s="12" t="n"/>
    </row>
    <row r="2" ht="20" customHeight="1" s="16">
      <c r="A2" s="8" t="inlineStr">
        <is>
          <t>器材类型</t>
        </is>
      </c>
      <c r="B2" s="8" t="inlineStr">
        <is>
          <t>器材名称</t>
        </is>
      </c>
      <c r="C2" s="8" t="inlineStr">
        <is>
          <t>参数规格</t>
        </is>
      </c>
      <c r="D2" s="8" t="inlineStr">
        <is>
          <t>单位</t>
        </is>
      </c>
      <c r="E2" s="8" t="inlineStr">
        <is>
          <t>数量</t>
        </is>
      </c>
      <c r="F2" s="12" t="inlineStr">
        <is>
          <t>备注</t>
        </is>
      </c>
      <c r="G2" s="8" t="inlineStr">
        <is>
          <t>单价</t>
        </is>
      </c>
      <c r="H2" s="8" t="inlineStr">
        <is>
          <t>金额</t>
        </is>
      </c>
      <c r="I2" s="19" t="inlineStr">
        <is>
          <t>数量</t>
        </is>
      </c>
      <c r="J2" s="19" t="inlineStr">
        <is>
          <t>确认单价</t>
        </is>
      </c>
      <c r="K2" s="19" t="inlineStr">
        <is>
          <t>总价</t>
        </is>
      </c>
      <c r="L2" s="19" t="inlineStr">
        <is>
          <t>单位</t>
        </is>
      </c>
      <c r="M2" s="19" t="inlineStr">
        <is>
          <t>品牌</t>
        </is>
      </c>
      <c r="N2" s="19" t="inlineStr">
        <is>
          <t>制造商</t>
        </is>
      </c>
      <c r="O2" s="19" t="inlineStr">
        <is>
          <t>型号</t>
        </is>
      </c>
      <c r="P2" s="19" t="inlineStr">
        <is>
          <t>参数</t>
        </is>
      </c>
      <c r="Q2" s="19" t="inlineStr">
        <is>
          <t>报价2单价</t>
        </is>
      </c>
      <c r="R2" s="19" t="inlineStr">
        <is>
          <t>报价2制造商</t>
        </is>
      </c>
      <c r="S2" s="19" t="inlineStr">
        <is>
          <t>报价3单价</t>
        </is>
      </c>
      <c r="T2" s="19" t="inlineStr">
        <is>
          <t>报价3制造商</t>
        </is>
      </c>
      <c r="U2" s="19" t="inlineStr">
        <is>
          <t>匹配状态</t>
        </is>
      </c>
      <c r="V2" s="19" t="inlineStr">
        <is>
          <t>匹配分</t>
        </is>
      </c>
      <c r="W2" s="19" t="inlineStr">
        <is>
          <t>风险提示</t>
        </is>
      </c>
      <c r="X2" s="19" t="inlineStr">
        <is>
          <t>历史来源</t>
        </is>
      </c>
    </row>
    <row r="3" ht="20" customFormat="1" customHeight="1" s="10">
      <c r="A3" s="13" t="n">
        <v>1</v>
      </c>
      <c r="B3" s="13" t="inlineStr">
        <is>
          <t>实验数据采集处理软件</t>
        </is>
      </c>
      <c r="C3" s="14" t="inlineStr">
        <is>
          <t>简体中文界面，数据采集器接入计算机后能自动识别数据采集器及其状态，实时显示实验数据或曲线，具备多种对实验数据与图线的数据处理与分析工具，支持实验报告输出、上传与评价，实验数据可以导出为表格或文本格式</t>
        </is>
      </c>
      <c r="D3" s="13" t="inlineStr">
        <is>
          <t>套</t>
        </is>
      </c>
      <c r="E3" s="13" t="n">
        <v>1</v>
      </c>
      <c r="F3" s="15" t="inlineStr">
        <is>
          <t>群信</t>
        </is>
      </c>
      <c r="G3" s="13" t="n">
        <v>200</v>
      </c>
      <c r="H3" s="13">
        <f>G3*E3</f>
        <v/>
      </c>
      <c r="I3" s="20" t="n">
        <v>1</v>
      </c>
      <c r="J3" s="20" t="n">
        <v>300</v>
      </c>
      <c r="K3" s="20" t="n">
        <v>300</v>
      </c>
      <c r="L3" s="20" t="inlineStr">
        <is>
          <t>套</t>
        </is>
      </c>
      <c r="M3" s="20" t="inlineStr"/>
      <c r="N3" s="20" t="inlineStr"/>
      <c r="O3" s="20" t="inlineStr"/>
      <c r="P3" s="20" t="inlineStr">
        <is>
          <t>简体中文界面，数据采集器接入计算机后能自动识别数据采集器及其状态，实时显示实验数据或曲线，具备多种对实验数据与图线的数据处理与分析工具，实验数据可导出为表格或文本格式</t>
        </is>
      </c>
      <c r="Q3" s="20" t="n">
        <v>360</v>
      </c>
      <c r="R3" s="20" t="inlineStr"/>
      <c r="S3" s="20" t="inlineStr"/>
      <c r="T3" s="20" t="inlineStr"/>
      <c r="U3" s="20" t="inlineStr">
        <is>
          <t>confirmed</t>
        </is>
      </c>
      <c r="V3" s="20" t="n">
        <v>100</v>
      </c>
      <c r="W3" s="20" t="inlineStr">
        <is>
          <t>同分多价：最高分候选存在不同历史价格</t>
        </is>
      </c>
      <c r="X3" s="20" t="inlineStr">
        <is>
          <t>赛特尔25年.xls｜初中新课标化学｜第264行</t>
        </is>
      </c>
    </row>
    <row r="4" ht="20" customFormat="1" customHeight="1" s="10">
      <c r="A4" s="13" t="n">
        <v>2</v>
      </c>
      <c r="B4" s="13" t="inlineStr">
        <is>
          <t>数据采集器</t>
        </is>
      </c>
      <c r="C4" s="14" t="inlineStr">
        <is>
          <t>1、一体化金属结构设计，内含电源指示灯，丝印产品型号、名称、传感器通道、接计算机通道。
2、自带8个传感器接口，八通道并行采集，全数字通道，采样频率最大可达100KHz，可同时并行采集8组不同的数据。
3、采集器可以互相级联实验，可实现多个数据采集器和更多路传感器同步采集实验。
4、通过USB-B口与计算机或便携式实验终端连接，进行数据通讯，USB接口供电，无需外接电源；
5、通过USB2.0口与传感器连接，数字、模拟共用，即插即用，自动识别所有传感器；
6、采用低压设计保证用户安全，所有端口具备短路保护功能，PCB设置接地引到外壳；
7、设置DC5V电源接口，配有5V1A适配器，在电压不足或多传感器使用时保证供电电压稳定。</t>
        </is>
      </c>
      <c r="D4" s="13" t="inlineStr">
        <is>
          <t>套</t>
        </is>
      </c>
      <c r="E4" s="13" t="n">
        <v>1</v>
      </c>
      <c r="F4" s="15" t="inlineStr">
        <is>
          <t>群信</t>
        </is>
      </c>
      <c r="G4" s="13" t="n">
        <v>800</v>
      </c>
      <c r="H4" s="13">
        <f>G4*E4</f>
        <v/>
      </c>
      <c r="I4" s="20" t="n">
        <v>1</v>
      </c>
      <c r="J4" s="20" t="n">
        <v>800</v>
      </c>
      <c r="K4" s="20" t="n">
        <v>800</v>
      </c>
      <c r="L4" s="20" t="inlineStr">
        <is>
          <t>套</t>
        </is>
      </c>
      <c r="M4" s="20" t="inlineStr"/>
      <c r="N4" s="20" t="inlineStr"/>
      <c r="O4" s="20" t="inlineStr"/>
      <c r="P4" s="20" t="inlineStr">
        <is>
          <t>与计算机 USB 接口通讯或无线通讯，支持有线连接的四通道并行数据采集</t>
        </is>
      </c>
      <c r="Q4" s="20" t="inlineStr"/>
      <c r="R4" s="20" t="inlineStr"/>
      <c r="S4" s="20" t="inlineStr"/>
      <c r="T4" s="20" t="inlineStr"/>
      <c r="U4" s="20" t="inlineStr">
        <is>
          <t>confirmed</t>
        </is>
      </c>
      <c r="V4" s="20" t="n">
        <v>0</v>
      </c>
      <c r="W4" s="20" t="inlineStr">
        <is>
          <t>没有找到可靠候选</t>
        </is>
      </c>
      <c r="X4" s="20" t="inlineStr">
        <is>
          <t>赛特尔25年.xls｜初中新课标化学｜第265行</t>
        </is>
      </c>
    </row>
    <row r="5" ht="20" customFormat="1" customHeight="1" s="10">
      <c r="A5" s="13" t="n">
        <v>3</v>
      </c>
      <c r="B5" s="13" t="inlineStr">
        <is>
          <t>温度传感器</t>
        </is>
      </c>
      <c r="C5" s="14" t="inlineStr">
        <is>
          <t>量程：-50℃～250℃，分辨率：0.1℃。不锈钢探针，用于测各种物体或溶液的温度。
1、传感器数据传输接口为智能Type-C接口，支持正反盲插，即插即用，自动识别；
2、支持与智能数字实验终端的Type-C接口嵌合卡口连接，也可与其USB接口连接；
3、支持与数据采集器的USB接口连接，多个传感器并行采集实验数据；
4、还支持与普通计算机USB口直接连接，传输数字化实验数据。</t>
        </is>
      </c>
      <c r="D5" s="13" t="inlineStr">
        <is>
          <t>只</t>
        </is>
      </c>
      <c r="E5" s="13" t="n">
        <v>1</v>
      </c>
      <c r="F5" s="15" t="inlineStr">
        <is>
          <t>群信</t>
        </is>
      </c>
      <c r="G5" s="13" t="n">
        <v>400</v>
      </c>
      <c r="H5" s="13">
        <f>G5*E5</f>
        <v/>
      </c>
      <c r="I5" s="20" t="n">
        <v>1</v>
      </c>
      <c r="J5" s="20" t="n">
        <v>200</v>
      </c>
      <c r="K5" s="20" t="n">
        <v>200</v>
      </c>
      <c r="L5" s="20" t="inlineStr">
        <is>
          <t>只</t>
        </is>
      </c>
      <c r="M5" s="20" t="inlineStr"/>
      <c r="N5" s="20" t="inlineStr"/>
      <c r="O5" s="20" t="inlineStr"/>
      <c r="P5" s="20" t="inlineStr">
        <is>
          <t>量程-25 ℃～125 ℃；分辨力 0.1 ℃；误差±0.5%</t>
        </is>
      </c>
      <c r="Q5" s="20" t="n">
        <v>245</v>
      </c>
      <c r="R5" s="20" t="inlineStr"/>
      <c r="S5" s="20" t="inlineStr"/>
      <c r="T5" s="20" t="inlineStr"/>
      <c r="U5" s="20" t="inlineStr">
        <is>
          <t>confirmed</t>
        </is>
      </c>
      <c r="V5" s="20" t="n">
        <v>100</v>
      </c>
      <c r="W5" s="20" t="inlineStr">
        <is>
          <t>同分多价：最高分候选存在不同历史价格</t>
        </is>
      </c>
      <c r="X5" s="20" t="inlineStr">
        <is>
          <t>赛特尔25年.xls｜初中新课标生物｜第197行</t>
        </is>
      </c>
    </row>
    <row r="6" ht="20" customFormat="1" customHeight="1" s="10">
      <c r="A6" s="13" t="n">
        <v>4</v>
      </c>
      <c r="B6" s="13" t="inlineStr">
        <is>
          <t>电导率传感器</t>
        </is>
      </c>
      <c r="C6" s="14" t="inlineStr">
        <is>
          <t>量程：0～20000μS/cm，分辨率：10μS/cm。用于测量溶液的电导率及其变化。
1、传感器数据传输接口为智能Type-C接口，支持正反盲插，即插即用，自动识别；
2、支持与智能数字实验终端的Type-C接口嵌合卡口连接，也可与其USB接口连接；
3、支持与数据采集器的USB接口连接，多个传感器并行采集实验数据；
4、还支持与普通计算机USB口直接连接，传输数字化实验数据。</t>
        </is>
      </c>
      <c r="D6" s="13" t="inlineStr">
        <is>
          <t>只</t>
        </is>
      </c>
      <c r="E6" s="13" t="n">
        <v>1</v>
      </c>
      <c r="F6" s="15" t="inlineStr">
        <is>
          <t>群信</t>
        </is>
      </c>
      <c r="G6" s="13" t="n">
        <v>450</v>
      </c>
      <c r="H6" s="13">
        <f>G6*E6</f>
        <v/>
      </c>
      <c r="I6" s="20" t="n">
        <v>1</v>
      </c>
      <c r="J6" s="20" t="n">
        <v>340</v>
      </c>
      <c r="K6" s="20" t="n">
        <v>340</v>
      </c>
      <c r="L6" s="20" t="inlineStr">
        <is>
          <t>只</t>
        </is>
      </c>
      <c r="M6" s="20" t="inlineStr"/>
      <c r="N6" s="20" t="inlineStr"/>
      <c r="O6" s="20" t="inlineStr"/>
      <c r="P6" s="20" t="inlineStr">
        <is>
          <t>低量程 0 μ S/cm～200 μ S/cm，中间量程0 μ S/cm～2000 μ S/cm，高量程 0 μ S/cm～20000 μ S/cm；分辨力：低量程 0.1 μ S/cm，中间量程 1 μ S/cm，高量程 10 μ S/cm；误差：低量程±8%，中间量程和高量程±5%</t>
        </is>
      </c>
      <c r="Q6" s="20" t="inlineStr"/>
      <c r="R6" s="20" t="inlineStr"/>
      <c r="S6" s="20" t="inlineStr"/>
      <c r="T6" s="20" t="inlineStr"/>
      <c r="U6" s="20" t="inlineStr">
        <is>
          <t>confirmed</t>
        </is>
      </c>
      <c r="V6" s="20" t="n">
        <v>100</v>
      </c>
      <c r="W6" s="20" t="inlineStr"/>
      <c r="X6" s="20" t="inlineStr">
        <is>
          <t>赛特尔25年.xls｜初中新课标化学｜第268行</t>
        </is>
      </c>
    </row>
    <row r="7" ht="20" customFormat="1" customHeight="1" s="10">
      <c r="A7" s="13" t="n">
        <v>5</v>
      </c>
      <c r="B7" s="13" t="inlineStr">
        <is>
          <t>相对压强传感器</t>
        </is>
      </c>
      <c r="C7" s="14" t="inlineStr">
        <is>
          <t>量程：±20kPa，分辨率：0.01kPa。用于测量大气环境下于被测量空间内的气体的压强差。
1、传感器数据传输接口为智能Type-C接口，支持正反盲插，即插即用，自动识别；
2、支持与智能数字实验终端的Type-C接口嵌合卡口连接，也可与其USB接口连接；
3、支持与数据采集器的USB接口连接，多个传感器并行采集实验数据；
4、还支持与普通计算机USB口直接连接，传输数字化实验数据。</t>
        </is>
      </c>
      <c r="D7" s="13" t="inlineStr">
        <is>
          <t>只</t>
        </is>
      </c>
      <c r="E7" s="13" t="n">
        <v>2</v>
      </c>
      <c r="F7" s="15" t="inlineStr">
        <is>
          <t>群信</t>
        </is>
      </c>
      <c r="G7" s="13" t="n">
        <v>400</v>
      </c>
      <c r="H7" s="13">
        <f>G7*E7</f>
        <v/>
      </c>
      <c r="I7" s="20" t="n">
        <v>2</v>
      </c>
      <c r="J7" s="20" t="n">
        <v>300</v>
      </c>
      <c r="K7" s="20" t="n">
        <v>600</v>
      </c>
      <c r="L7" s="20" t="inlineStr">
        <is>
          <t>只</t>
        </is>
      </c>
      <c r="M7" s="20" t="inlineStr"/>
      <c r="N7" s="20" t="inlineStr"/>
      <c r="O7" s="20" t="inlineStr"/>
      <c r="P7" s="20" t="inlineStr">
        <is>
          <t>量程 0 kPa～200 kPa；分辨力 0.1 kPa；误差±4 kPa</t>
        </is>
      </c>
      <c r="Q7" s="20" t="inlineStr"/>
      <c r="R7" s="20" t="inlineStr"/>
      <c r="S7" s="20" t="inlineStr"/>
      <c r="T7" s="20" t="inlineStr"/>
      <c r="U7" s="20" t="inlineStr">
        <is>
          <t>confirmed</t>
        </is>
      </c>
      <c r="V7" s="20" t="n">
        <v>71.40000000000001</v>
      </c>
      <c r="W7" s="20" t="inlineStr"/>
      <c r="X7" s="20" t="inlineStr">
        <is>
          <t>赛特尔25年.xls｜初中新课标化学｜第271行</t>
        </is>
      </c>
    </row>
    <row r="8" ht="20" customFormat="1" customHeight="1" s="10">
      <c r="A8" s="13" t="n">
        <v>6</v>
      </c>
      <c r="B8" s="13" t="inlineStr">
        <is>
          <t>pH传感器</t>
        </is>
      </c>
      <c r="C8" s="14" t="inlineStr">
        <is>
          <t>量程：0～14 pH，分辨率：0.01 PH。用于精确测量溶液的酸碱值。
1、传感器数据传输接口为智能Type-C接口，支持正反盲插，即插即用，自动识别；
2、支持与智能数字实验终端的Type-C接口嵌合卡口连接，也可与其USB接口连接；
3、支持与数据采集器的USB接口连接，多个传感器并行采集实验数据；
4、还支持与普通计算机USB口直接连接，传输数字化实验数据。</t>
        </is>
      </c>
      <c r="D8" s="13" t="inlineStr">
        <is>
          <t>只</t>
        </is>
      </c>
      <c r="E8" s="13" t="n">
        <v>1</v>
      </c>
      <c r="F8" s="15" t="inlineStr">
        <is>
          <t>群信</t>
        </is>
      </c>
      <c r="G8" s="13" t="n">
        <v>360</v>
      </c>
      <c r="H8" s="13">
        <f>G8*E8</f>
        <v/>
      </c>
      <c r="I8" s="20" t="n">
        <v>1</v>
      </c>
      <c r="J8" s="20" t="n">
        <v>260</v>
      </c>
      <c r="K8" s="20" t="n">
        <v>260</v>
      </c>
      <c r="L8" s="20" t="inlineStr">
        <is>
          <t>只</t>
        </is>
      </c>
      <c r="M8" s="20" t="inlineStr"/>
      <c r="N8" s="20" t="inlineStr"/>
      <c r="O8" s="20" t="inlineStr"/>
      <c r="P8" s="20" t="inlineStr">
        <is>
          <t>量程 0～14；分辨力 0.01；误差±0.2</t>
        </is>
      </c>
      <c r="Q8" s="20" t="n">
        <v>280</v>
      </c>
      <c r="R8" s="20" t="inlineStr"/>
      <c r="S8" s="20" t="inlineStr"/>
      <c r="T8" s="20" t="inlineStr"/>
      <c r="U8" s="20" t="inlineStr">
        <is>
          <t>confirmed</t>
        </is>
      </c>
      <c r="V8" s="20" t="n">
        <v>100</v>
      </c>
      <c r="W8" s="20" t="inlineStr">
        <is>
          <t>同分多价：最高分候选存在不同历史价格</t>
        </is>
      </c>
      <c r="X8" s="20" t="inlineStr">
        <is>
          <t>赛特尔25年.xls｜初中新课标化学｜第276行</t>
        </is>
      </c>
    </row>
    <row r="9" ht="20" customFormat="1" customHeight="1" s="10">
      <c r="A9" s="13" t="n">
        <v>7</v>
      </c>
      <c r="B9" s="13" t="inlineStr">
        <is>
          <t>电流传感器</t>
        </is>
      </c>
      <c r="C9" s="14" t="inlineStr">
        <is>
          <t>量程：±2A，分辨率：0.001A。用于测量电路中的电流。
1、传感器数据传输接口为智能Type-C接口，支持正反盲插，即插即用，自动识别；
2、支持与智能数字实验终端的Type-C接口嵌合卡口连接，也可与其USB接口连接；
3、支持与数据采集器的USB接口连接，多个传感器并行采集实验数据；
4、还支持与普通计算机USB口直接连接，传输数字化实验数据。</t>
        </is>
      </c>
      <c r="D9" s="13" t="inlineStr">
        <is>
          <t>只</t>
        </is>
      </c>
      <c r="E9" s="13" t="n">
        <v>1</v>
      </c>
      <c r="F9" s="15" t="inlineStr">
        <is>
          <t>群信</t>
        </is>
      </c>
      <c r="G9" s="13" t="n">
        <v>200</v>
      </c>
      <c r="H9" s="13">
        <f>G9*E9</f>
        <v/>
      </c>
      <c r="I9" s="20" t="n">
        <v>1</v>
      </c>
      <c r="J9" s="20" t="n">
        <v>340</v>
      </c>
      <c r="K9" s="20" t="n">
        <v>340</v>
      </c>
      <c r="L9" s="20" t="inlineStr">
        <is>
          <t>只</t>
        </is>
      </c>
      <c r="M9" s="20" t="inlineStr"/>
      <c r="N9" s="20" t="inlineStr"/>
      <c r="O9" s="20" t="inlineStr"/>
      <c r="P9" s="20" t="inlineStr">
        <is>
          <t>低量程 0 μ S/cm～200 μ S/cm，中间量程0 μ S/cm～2000 μ S/cm，高量程 0 μ S/cm～20000 μ S/cm；分辨力：低量程 0.1 μ S/cm，中间量程 1 μ S/cm，高量程 10 μ S/cm；误差：低量程±8%，中间量程和高量程±5%</t>
        </is>
      </c>
      <c r="Q9" s="20" t="inlineStr"/>
      <c r="R9" s="20" t="inlineStr"/>
      <c r="S9" s="20" t="inlineStr"/>
      <c r="T9" s="20" t="inlineStr"/>
      <c r="U9" s="20" t="inlineStr">
        <is>
          <t>confirmed</t>
        </is>
      </c>
      <c r="V9" s="20" t="n">
        <v>72.7</v>
      </c>
      <c r="W9" s="20" t="inlineStr"/>
      <c r="X9" s="20" t="inlineStr">
        <is>
          <t>赛特尔25年.xls｜初中新课标化学｜第268行</t>
        </is>
      </c>
    </row>
    <row r="10" ht="20" customFormat="1" customHeight="1" s="10">
      <c r="A10" s="13" t="n">
        <v>8</v>
      </c>
      <c r="B10" s="13" t="inlineStr">
        <is>
          <t>密封实验套件</t>
        </is>
      </c>
      <c r="C10" s="14" t="inlineStr">
        <is>
          <t>构造：密封实验套件由5只7号橡胶塞（配5种孔径：单孔φ3mm、φ4mm、φ15mm、φ18mm；双孔φ8mm+φ15mm；孔径与传感器探头适配性，密封性好，可对应接入温度传感器、气压传感器、二氧化碳传感器、氧气传感器和玻璃导管、长颈漏斗等）、1只150mL反应瓶、2只等径气管快速接头、2只鲁尔气管快速接头、3条外径φ6mm软管组成。</t>
        </is>
      </c>
      <c r="D10" s="13" t="inlineStr">
        <is>
          <t>套</t>
        </is>
      </c>
      <c r="E10" s="13" t="n">
        <v>1</v>
      </c>
      <c r="F10" s="15" t="inlineStr">
        <is>
          <t>群信</t>
        </is>
      </c>
      <c r="G10" s="13" t="n">
        <v>200</v>
      </c>
      <c r="H10" s="13">
        <f>G10*E10</f>
        <v/>
      </c>
      <c r="I10" s="20" t="n">
        <v>1</v>
      </c>
      <c r="J10" s="20" t="n">
        <v>12</v>
      </c>
      <c r="K10" s="20" t="n">
        <v>12</v>
      </c>
      <c r="L10" s="20" t="inlineStr">
        <is>
          <t>套</t>
        </is>
      </c>
      <c r="M10" s="20" t="inlineStr">
        <is>
          <t>群信</t>
        </is>
      </c>
      <c r="N10" s="20" t="inlineStr"/>
      <c r="O10" s="20" t="inlineStr">
        <is>
          <t>80120</t>
        </is>
      </c>
      <c r="P10" s="20" t="inlineStr">
        <is>
          <t>80120</t>
        </is>
      </c>
      <c r="Q10" s="20" t="inlineStr"/>
      <c r="R10" s="20" t="inlineStr"/>
      <c r="S10" s="20" t="inlineStr"/>
      <c r="T10" s="20" t="inlineStr"/>
      <c r="U10" s="20" t="inlineStr">
        <is>
          <t>confirmed</t>
        </is>
      </c>
      <c r="V10" s="20" t="n">
        <v>0</v>
      </c>
      <c r="W10" s="20" t="inlineStr">
        <is>
          <t>匹配到商品档案但无历史价格记录</t>
        </is>
      </c>
      <c r="X10" s="20" t="inlineStr">
        <is>
          <t>高中理化生报价.xlsx｜凯迪｜第393行</t>
        </is>
      </c>
    </row>
    <row r="11" ht="31.2" customHeight="1" s="16">
      <c r="A11" s="1" t="n">
        <v>9</v>
      </c>
      <c r="B11" s="1" t="inlineStr">
        <is>
          <t>危险化学品储存柜</t>
        </is>
      </c>
      <c r="C11" s="5" t="inlineStr">
        <is>
          <t>≥1100mm×865 mm×1650 mm，防爆、防盗、阻燃、耐腐蚀，带双锁，响应文件中需提供第三方检测机构出具的检测报告</t>
        </is>
      </c>
      <c r="D11" s="1" t="n"/>
      <c r="E11" s="1" t="n">
        <v>1</v>
      </c>
      <c r="F11" s="3" t="inlineStr">
        <is>
          <t>欧利雅</t>
        </is>
      </c>
      <c r="G11" s="1" t="n">
        <v>3000</v>
      </c>
      <c r="H11" s="1">
        <f>G11*E11</f>
        <v/>
      </c>
      <c r="I11" s="20" t="n">
        <v>1</v>
      </c>
      <c r="J11" s="20" t="n">
        <v>2600</v>
      </c>
      <c r="K11" s="20" t="n">
        <v>2600</v>
      </c>
      <c r="L11" s="20" t="inlineStr">
        <is>
          <t>个</t>
        </is>
      </c>
      <c r="M11" s="20" t="inlineStr"/>
      <c r="N11" s="20" t="inlineStr"/>
      <c r="O11" s="20" t="inlineStr"/>
      <c r="P11" s="20" t="inlineStr">
        <is>
          <t>≥900 mm×510 mm×1200 mm，防爆、防盗、阻燃、耐腐蚀，带双锁</t>
        </is>
      </c>
      <c r="Q11" s="20" t="inlineStr"/>
      <c r="R11" s="20" t="inlineStr"/>
      <c r="S11" s="20" t="inlineStr"/>
      <c r="T11" s="20" t="inlineStr"/>
      <c r="U11" s="20" t="inlineStr">
        <is>
          <t>confirmed</t>
        </is>
      </c>
      <c r="V11" s="20" t="n">
        <v>100</v>
      </c>
      <c r="W11" s="20" t="inlineStr"/>
      <c r="X11" s="20" t="inlineStr">
        <is>
          <t>赛特尔25年.xls｜初中新课标化学｜第4行</t>
        </is>
      </c>
    </row>
    <row r="12" ht="15.6" customHeight="1" s="16">
      <c r="A12" s="1" t="n">
        <v>10</v>
      </c>
      <c r="B12" s="1" t="inlineStr">
        <is>
          <t>灭火毯</t>
        </is>
      </c>
      <c r="C12" s="5" t="inlineStr">
        <is>
          <t>玻璃纤维材质，≥1200 mm×1800 mm</t>
        </is>
      </c>
      <c r="D12" s="1" t="inlineStr">
        <is>
          <t>件</t>
        </is>
      </c>
      <c r="E12" s="1" t="n">
        <v>2</v>
      </c>
      <c r="F12" s="3" t="inlineStr">
        <is>
          <t>云渡</t>
        </is>
      </c>
      <c r="G12" s="1" t="n">
        <v>48</v>
      </c>
      <c r="H12" s="1">
        <f>G12*E12</f>
        <v/>
      </c>
      <c r="I12" s="20" t="n">
        <v>2</v>
      </c>
      <c r="J12" s="20" t="n">
        <v>48</v>
      </c>
      <c r="K12" s="20" t="n">
        <v>96</v>
      </c>
      <c r="L12" s="20" t="inlineStr">
        <is>
          <t>件</t>
        </is>
      </c>
      <c r="M12" s="20" t="inlineStr"/>
      <c r="N12" s="20" t="inlineStr"/>
      <c r="O12" s="20" t="inlineStr"/>
      <c r="P12" s="20" t="inlineStr">
        <is>
          <t>玻璃纤维材质， 1200 mm×1800 mm</t>
        </is>
      </c>
      <c r="Q12" s="20" t="inlineStr"/>
      <c r="R12" s="20" t="inlineStr"/>
      <c r="S12" s="20" t="inlineStr"/>
      <c r="T12" s="20" t="inlineStr"/>
      <c r="U12" s="20" t="inlineStr">
        <is>
          <t>confirmed</t>
        </is>
      </c>
      <c r="V12" s="20" t="n">
        <v>100</v>
      </c>
      <c r="W12" s="20" t="inlineStr"/>
      <c r="X12" s="20" t="inlineStr">
        <is>
          <t>赛特尔25年.xls｜初中新课标生物｜第6行</t>
        </is>
      </c>
    </row>
    <row r="13" ht="46.8" customHeight="1" s="16">
      <c r="A13" s="1" t="n">
        <v>11</v>
      </c>
      <c r="B13" s="1" t="inlineStr">
        <is>
          <t>简易急救箱</t>
        </is>
      </c>
      <c r="C13" s="5" t="inlineStr">
        <is>
          <t>箱内包括：医用酒精、饱和碳酸氢钠溶液、饱和硼酸溶液、创可贴、灭菌结晶磺胺、碘伏、胶布、医用纱布、药棉、手术剪、镊子、止血带（长度≥30 cm）、烫伤膏、甘油等。箱体采用中号铝合金材质 尺寸≥25cm*15cm*16cm</t>
        </is>
      </c>
      <c r="D13" s="1" t="inlineStr">
        <is>
          <t>个</t>
        </is>
      </c>
      <c r="E13" s="1" t="n">
        <v>1</v>
      </c>
      <c r="F13" s="3" t="inlineStr">
        <is>
          <t>和美</t>
        </is>
      </c>
      <c r="G13" s="1" t="n">
        <v>120</v>
      </c>
      <c r="H13" s="1">
        <f>G13*E13</f>
        <v/>
      </c>
      <c r="I13" s="20" t="n">
        <v>1</v>
      </c>
      <c r="J13" s="20" t="n">
        <v>80</v>
      </c>
      <c r="K13" s="20" t="n">
        <v>80</v>
      </c>
      <c r="L13" s="20" t="inlineStr">
        <is>
          <t>个</t>
        </is>
      </c>
      <c r="M13" s="20" t="inlineStr"/>
      <c r="N13" s="20" t="inlineStr"/>
      <c r="O13" s="20" t="inlineStr"/>
      <c r="P13" s="20" t="inlineStr"/>
      <c r="Q13" s="20" t="inlineStr"/>
      <c r="R13" s="20" t="inlineStr"/>
      <c r="S13" s="20" t="inlineStr"/>
      <c r="T13" s="20" t="inlineStr"/>
      <c r="U13" s="20" t="inlineStr">
        <is>
          <t>confirmed</t>
        </is>
      </c>
      <c r="V13" s="20" t="n">
        <v>0</v>
      </c>
      <c r="W13" s="20" t="inlineStr">
        <is>
          <t>没有找到可靠候选</t>
        </is>
      </c>
      <c r="X13" s="20" t="inlineStr">
        <is>
          <t>赛特尔25年.xls｜初中化学｜第278行</t>
        </is>
      </c>
    </row>
    <row r="14" ht="15.6" customHeight="1" s="16">
      <c r="A14" s="1" t="n">
        <v>12</v>
      </c>
      <c r="B14" s="1" t="inlineStr">
        <is>
          <t>实验服</t>
        </is>
      </c>
      <c r="C14" s="5" t="inlineStr">
        <is>
          <t>可分为大、中、小号</t>
        </is>
      </c>
      <c r="D14" s="1" t="inlineStr">
        <is>
          <t>件</t>
        </is>
      </c>
      <c r="E14" s="1" t="n">
        <v>52</v>
      </c>
      <c r="F14" s="3" t="inlineStr">
        <is>
          <t>群信</t>
        </is>
      </c>
      <c r="G14" s="1" t="n">
        <v>28</v>
      </c>
      <c r="H14" s="1">
        <f>G14*E14</f>
        <v/>
      </c>
      <c r="I14" s="20" t="n">
        <v>52</v>
      </c>
      <c r="J14" s="20" t="n">
        <v>29</v>
      </c>
      <c r="K14" s="20" t="n">
        <v>1508</v>
      </c>
      <c r="L14" s="20" t="inlineStr">
        <is>
          <t>件</t>
        </is>
      </c>
      <c r="M14" s="20" t="inlineStr"/>
      <c r="N14" s="20" t="inlineStr"/>
      <c r="O14" s="20" t="inlineStr"/>
      <c r="P14" s="20" t="inlineStr">
        <is>
          <t>可分为大、 中、 小号</t>
        </is>
      </c>
      <c r="Q14" s="20" t="inlineStr"/>
      <c r="R14" s="20" t="inlineStr"/>
      <c r="S14" s="20" t="inlineStr"/>
      <c r="T14" s="20" t="inlineStr"/>
      <c r="U14" s="20" t="inlineStr">
        <is>
          <t>confirmed</t>
        </is>
      </c>
      <c r="V14" s="20" t="n">
        <v>100</v>
      </c>
      <c r="W14" s="20" t="inlineStr"/>
      <c r="X14" s="20" t="inlineStr">
        <is>
          <t>赛特尔25年.xls｜初中新课标化学｜第9行</t>
        </is>
      </c>
    </row>
    <row r="15" ht="15.6" customHeight="1" s="16">
      <c r="A15" s="1" t="n">
        <v>13</v>
      </c>
      <c r="B15" s="1" t="inlineStr">
        <is>
          <t>护目镜</t>
        </is>
      </c>
      <c r="C15" s="5" t="inlineStr">
        <is>
          <t>封闭型，耐酸碱，抗冲击，耐磨</t>
        </is>
      </c>
      <c r="D15" s="1" t="inlineStr">
        <is>
          <t>个</t>
        </is>
      </c>
      <c r="E15" s="1" t="n">
        <v>52</v>
      </c>
      <c r="F15" s="3" t="inlineStr">
        <is>
          <t>群信</t>
        </is>
      </c>
      <c r="G15" s="1" t="n">
        <v>6</v>
      </c>
      <c r="H15" s="1">
        <f>G15*E15</f>
        <v/>
      </c>
      <c r="I15" s="20" t="n">
        <v>52</v>
      </c>
      <c r="J15" s="20" t="n">
        <v>6</v>
      </c>
      <c r="K15" s="20" t="n">
        <v>312</v>
      </c>
      <c r="L15" s="20" t="inlineStr">
        <is>
          <t>个</t>
        </is>
      </c>
      <c r="M15" s="20" t="inlineStr"/>
      <c r="N15" s="20" t="inlineStr"/>
      <c r="O15" s="20" t="inlineStr"/>
      <c r="P15" s="20" t="inlineStr"/>
      <c r="Q15" s="20" t="n">
        <v>6</v>
      </c>
      <c r="R15" s="20" t="inlineStr"/>
      <c r="S15" s="20" t="n">
        <v>6.5</v>
      </c>
      <c r="T15" s="20" t="inlineStr"/>
      <c r="U15" s="20" t="inlineStr">
        <is>
          <t>confirmed</t>
        </is>
      </c>
      <c r="V15" s="20" t="n">
        <v>100</v>
      </c>
      <c r="W15" s="20" t="inlineStr"/>
      <c r="X15" s="20" t="inlineStr">
        <is>
          <t>高中理化生报价.xlsx｜凯迪｜第1342行</t>
        </is>
      </c>
    </row>
    <row r="16" ht="31.2" customHeight="1" s="16">
      <c r="A16" s="1" t="n">
        <v>14</v>
      </c>
      <c r="B16" s="1" t="inlineStr">
        <is>
          <t>防护面罩</t>
        </is>
      </c>
      <c r="C16" s="5" t="inlineStr">
        <is>
          <t>防冲击面屏，聚碳酸酯材质，耐 45 m/s 粒子冲击，通过弹簧箍与安全帽相连，面屏可更换</t>
        </is>
      </c>
      <c r="D16" s="1" t="inlineStr">
        <is>
          <t>个</t>
        </is>
      </c>
      <c r="E16" s="1" t="n">
        <v>1</v>
      </c>
      <c r="F16" s="3" t="inlineStr">
        <is>
          <t>群信</t>
        </is>
      </c>
      <c r="G16" s="1" t="n">
        <v>26</v>
      </c>
      <c r="H16" s="1">
        <f>G16*E16</f>
        <v/>
      </c>
      <c r="I16" s="20" t="n">
        <v>1</v>
      </c>
      <c r="J16" s="20" t="n">
        <v>24</v>
      </c>
      <c r="K16" s="20" t="n">
        <v>24</v>
      </c>
      <c r="L16" s="20" t="inlineStr">
        <is>
          <t>个</t>
        </is>
      </c>
      <c r="M16" s="20" t="inlineStr"/>
      <c r="N16" s="20" t="inlineStr"/>
      <c r="O16" s="20" t="inlineStr"/>
      <c r="P16" s="20" t="inlineStr"/>
      <c r="Q16" s="20" t="n">
        <v>24</v>
      </c>
      <c r="R16" s="20" t="inlineStr"/>
      <c r="S16" s="20" t="n">
        <v>26.4</v>
      </c>
      <c r="T16" s="20" t="inlineStr"/>
      <c r="U16" s="20" t="inlineStr">
        <is>
          <t>confirmed</t>
        </is>
      </c>
      <c r="V16" s="20" t="n">
        <v>100</v>
      </c>
      <c r="W16" s="20" t="inlineStr"/>
      <c r="X16" s="20" t="inlineStr">
        <is>
          <t>赛特尔25年.xls｜初中新课标生物｜第10行</t>
        </is>
      </c>
    </row>
    <row r="17" ht="15.6" customHeight="1" s="16">
      <c r="A17" s="1" t="n">
        <v>15</v>
      </c>
      <c r="B17" s="1" t="inlineStr">
        <is>
          <t>防毒口罩</t>
        </is>
      </c>
      <c r="C17" s="5" t="inlineStr">
        <is>
          <t>E 型（标色：黄），防止吸入酸性气体或蒸气</t>
        </is>
      </c>
      <c r="D17" s="1" t="inlineStr">
        <is>
          <t>个</t>
        </is>
      </c>
      <c r="E17" s="1" t="n">
        <v>2</v>
      </c>
      <c r="F17" s="3" t="inlineStr">
        <is>
          <t>群信</t>
        </is>
      </c>
      <c r="G17" s="1" t="n">
        <v>110</v>
      </c>
      <c r="H17" s="1">
        <f>G17*E17</f>
        <v/>
      </c>
      <c r="I17" s="20" t="n">
        <v>2</v>
      </c>
      <c r="J17" s="20" t="n">
        <v>110</v>
      </c>
      <c r="K17" s="20" t="n">
        <v>220</v>
      </c>
      <c r="L17" s="20" t="inlineStr">
        <is>
          <t>个</t>
        </is>
      </c>
      <c r="M17" s="20" t="inlineStr"/>
      <c r="N17" s="20" t="inlineStr"/>
      <c r="O17" s="20" t="inlineStr"/>
      <c r="P17" s="20" t="inlineStr"/>
      <c r="Q17" s="20" t="inlineStr"/>
      <c r="R17" s="20" t="inlineStr"/>
      <c r="S17" s="20" t="inlineStr"/>
      <c r="T17" s="20" t="inlineStr"/>
      <c r="U17" s="20" t="inlineStr">
        <is>
          <t>confirmed</t>
        </is>
      </c>
      <c r="V17" s="20" t="n">
        <v>90</v>
      </c>
      <c r="W17" s="20" t="inlineStr"/>
      <c r="X17" s="20" t="inlineStr">
        <is>
          <t>赛特尔25年.xls｜初中新课标化学｜第12行</t>
        </is>
      </c>
    </row>
    <row r="18" ht="15.6" customHeight="1" s="16">
      <c r="A18" s="1" t="n">
        <v>16</v>
      </c>
      <c r="B18" s="21" t="n"/>
      <c r="C18" s="5" t="inlineStr">
        <is>
          <t>CO 型（标色：白），防止吸入一氧化碳气体</t>
        </is>
      </c>
      <c r="D18" s="1" t="inlineStr">
        <is>
          <t>个</t>
        </is>
      </c>
      <c r="E18" s="1" t="n">
        <v>2</v>
      </c>
      <c r="F18" s="3" t="inlineStr">
        <is>
          <t>3M</t>
        </is>
      </c>
      <c r="G18" s="1" t="n">
        <v>210</v>
      </c>
      <c r="H18" s="1">
        <f>G18*E18</f>
        <v/>
      </c>
      <c r="I18" s="20" t="n">
        <v>2</v>
      </c>
      <c r="J18" s="20" t="n">
        <v>17.5</v>
      </c>
      <c r="K18" s="20" t="n">
        <v>35</v>
      </c>
      <c r="L18" s="20" t="inlineStr">
        <is>
          <t>个</t>
        </is>
      </c>
      <c r="M18" s="20" t="inlineStr"/>
      <c r="N18" s="20" t="inlineStr"/>
      <c r="O18" s="20" t="inlineStr"/>
      <c r="P18" s="20" t="inlineStr"/>
      <c r="Q18" s="20" t="inlineStr"/>
      <c r="R18" s="20" t="inlineStr"/>
      <c r="S18" s="20" t="inlineStr"/>
      <c r="T18" s="20" t="inlineStr"/>
      <c r="U18" s="20" t="inlineStr">
        <is>
          <t>confirmed</t>
        </is>
      </c>
      <c r="V18" s="20" t="n">
        <v>0</v>
      </c>
      <c r="W18" s="20" t="inlineStr">
        <is>
          <t>匹配到商品档案但无历史价格记录</t>
        </is>
      </c>
      <c r="X18" s="20" t="inlineStr">
        <is>
          <t>赛特尔25年.xls｜初中化学｜第275行</t>
        </is>
      </c>
    </row>
    <row r="19" ht="31.2" customHeight="1" s="16">
      <c r="A19" s="1" t="n">
        <v>17</v>
      </c>
      <c r="B19" s="1" t="inlineStr">
        <is>
          <t>防毒面具</t>
        </is>
      </c>
      <c r="C19" s="5" t="inlineStr">
        <is>
          <t>面具，导管，与防毒口罩配套使用，响应文件中需提供第三方检测机构出具的检测报告</t>
        </is>
      </c>
      <c r="D19" s="1" t="inlineStr">
        <is>
          <t>套</t>
        </is>
      </c>
      <c r="E19" s="1" t="n">
        <v>2</v>
      </c>
      <c r="F19" s="3" t="inlineStr">
        <is>
          <t>生宝</t>
        </is>
      </c>
      <c r="G19" s="1" t="n">
        <v>110</v>
      </c>
      <c r="H19" s="1">
        <f>G19*E19</f>
        <v/>
      </c>
      <c r="I19" s="20" t="n">
        <v>2</v>
      </c>
      <c r="J19" s="20" t="n">
        <v>17.5</v>
      </c>
      <c r="K19" s="20" t="n">
        <v>35</v>
      </c>
      <c r="L19" s="20" t="inlineStr">
        <is>
          <t>套</t>
        </is>
      </c>
      <c r="M19" s="20" t="inlineStr"/>
      <c r="N19" s="20" t="inlineStr"/>
      <c r="O19" s="20" t="inlineStr"/>
      <c r="P19" s="20" t="inlineStr"/>
      <c r="Q19" s="20" t="inlineStr"/>
      <c r="R19" s="20" t="inlineStr"/>
      <c r="S19" s="20" t="inlineStr"/>
      <c r="T19" s="20" t="inlineStr"/>
      <c r="U19" s="20" t="inlineStr">
        <is>
          <t>confirmed</t>
        </is>
      </c>
      <c r="V19" s="20" t="n">
        <v>0</v>
      </c>
      <c r="W19" s="20" t="inlineStr">
        <is>
          <t>匹配到商品档案但无历史价格记录</t>
        </is>
      </c>
      <c r="X19" s="20" t="inlineStr">
        <is>
          <t>赛特尔25年.xls｜初中化学｜第275行</t>
        </is>
      </c>
    </row>
    <row r="20" ht="15.6" customHeight="1" s="16">
      <c r="A20" s="1" t="n">
        <v>18</v>
      </c>
      <c r="B20" s="1" t="inlineStr">
        <is>
          <t>耐酸手套</t>
        </is>
      </c>
      <c r="C20" s="5" t="inlineStr">
        <is>
          <t>机械性能不低于 3 级，无破损，手套应有长度≥15 cm 的套袖</t>
        </is>
      </c>
      <c r="D20" s="1" t="inlineStr">
        <is>
          <t>副</t>
        </is>
      </c>
      <c r="E20" s="1" t="n">
        <v>2</v>
      </c>
      <c r="F20" s="3" t="inlineStr">
        <is>
          <t>护邦</t>
        </is>
      </c>
      <c r="G20" s="1" t="n">
        <v>8</v>
      </c>
      <c r="H20" s="1">
        <f>G20*E20</f>
        <v/>
      </c>
      <c r="I20" s="20" t="n">
        <v>2</v>
      </c>
      <c r="J20" s="20" t="n">
        <v>8</v>
      </c>
      <c r="K20" s="20" t="n">
        <v>16</v>
      </c>
      <c r="L20" s="20" t="inlineStr">
        <is>
          <t>副</t>
        </is>
      </c>
      <c r="M20" s="20" t="inlineStr"/>
      <c r="N20" s="20" t="inlineStr"/>
      <c r="O20" s="20" t="inlineStr"/>
      <c r="P20" s="20" t="inlineStr"/>
      <c r="Q20" s="20" t="inlineStr"/>
      <c r="R20" s="20" t="inlineStr"/>
      <c r="S20" s="20" t="inlineStr"/>
      <c r="T20" s="20" t="inlineStr"/>
      <c r="U20" s="20" t="inlineStr">
        <is>
          <t>confirmed</t>
        </is>
      </c>
      <c r="V20" s="20" t="n">
        <v>0</v>
      </c>
      <c r="W20" s="20" t="inlineStr">
        <is>
          <t>没有找到可靠候选</t>
        </is>
      </c>
      <c r="X20" s="20" t="inlineStr">
        <is>
          <t>赛特尔25年.xls｜初中新课标化学｜第14行</t>
        </is>
      </c>
    </row>
    <row r="21" ht="15.6" customHeight="1" s="16">
      <c r="A21" s="1" t="n">
        <v>19</v>
      </c>
      <c r="B21" s="1" t="inlineStr">
        <is>
          <t>一次性乳胶手套</t>
        </is>
      </c>
      <c r="C21" s="5" t="inlineStr">
        <is>
          <t>一般性防护，不漏水</t>
        </is>
      </c>
      <c r="D21" s="1" t="inlineStr">
        <is>
          <t>盒</t>
        </is>
      </c>
      <c r="E21" s="1" t="n">
        <v>10</v>
      </c>
      <c r="F21" s="3" t="inlineStr">
        <is>
          <t>星宇</t>
        </is>
      </c>
      <c r="G21" s="1" t="n">
        <v>8</v>
      </c>
      <c r="H21" s="1">
        <f>G21*E21</f>
        <v/>
      </c>
      <c r="I21" s="20" t="n">
        <v>10</v>
      </c>
      <c r="J21" s="20" t="n">
        <v>55</v>
      </c>
      <c r="K21" s="20" t="n">
        <v>550</v>
      </c>
      <c r="L21" s="20" t="inlineStr">
        <is>
          <t>盒</t>
        </is>
      </c>
      <c r="M21" s="20" t="inlineStr"/>
      <c r="N21" s="20" t="inlineStr"/>
      <c r="O21" s="20" t="inlineStr"/>
      <c r="P21" s="20" t="inlineStr">
        <is>
          <t>耐酸碱</t>
        </is>
      </c>
      <c r="Q21" s="20" t="inlineStr"/>
      <c r="R21" s="20" t="inlineStr"/>
      <c r="S21" s="20" t="inlineStr"/>
      <c r="T21" s="20" t="inlineStr"/>
      <c r="U21" s="20" t="inlineStr">
        <is>
          <t>confirmed</t>
        </is>
      </c>
      <c r="V21" s="20" t="n">
        <v>100</v>
      </c>
      <c r="W21" s="20" t="inlineStr"/>
      <c r="X21" s="20" t="inlineStr">
        <is>
          <t>赛特尔25年.xls｜初中新课标化学｜第15行</t>
        </is>
      </c>
    </row>
    <row r="22" ht="62.4" customHeight="1" s="16">
      <c r="A22" s="1" t="n">
        <v>20</v>
      </c>
      <c r="B22" s="1" t="inlineStr">
        <is>
          <t>化学实验废水处理装置</t>
        </is>
      </c>
      <c r="C22" s="5" t="inlineStr">
        <is>
          <t>主体透明，兼作教学使用，能进行 pH 测试、酸碱废液中和、重金属离子凝聚和过滤，能处理中学常见无机化学废液，同时可以通过仪器内的活性炭吸附少量混入的有机物。应配备适量的凝聚剂和助凝剂，至少应配备更换用活性炭包 2 个。处理量≥6 L/次。尺寸≥41cm*35cm*60cm</t>
        </is>
      </c>
      <c r="D22" s="1" t="inlineStr">
        <is>
          <t>套</t>
        </is>
      </c>
      <c r="E22" s="1" t="n">
        <v>1</v>
      </c>
      <c r="F22" s="3" t="inlineStr">
        <is>
          <t>群信</t>
        </is>
      </c>
      <c r="G22" s="1" t="n">
        <v>600</v>
      </c>
      <c r="H22" s="1">
        <f>G22*E22</f>
        <v/>
      </c>
      <c r="I22" s="20" t="n">
        <v>1</v>
      </c>
      <c r="J22" s="20" t="n">
        <v>80</v>
      </c>
      <c r="K22" s="20" t="n">
        <v>80</v>
      </c>
      <c r="L22" s="20" t="inlineStr">
        <is>
          <t>套</t>
        </is>
      </c>
      <c r="M22" s="20" t="inlineStr"/>
      <c r="N22" s="20" t="inlineStr"/>
      <c r="O22" s="20" t="inlineStr"/>
      <c r="P22" s="20" t="inlineStr"/>
      <c r="Q22" s="20" t="n">
        <v>450</v>
      </c>
      <c r="R22" s="20" t="inlineStr"/>
      <c r="S22" s="20" t="n">
        <v>550</v>
      </c>
      <c r="T22" s="20" t="inlineStr"/>
      <c r="U22" s="20" t="inlineStr">
        <is>
          <t>confirmed</t>
        </is>
      </c>
      <c r="V22" s="20" t="n">
        <v>60</v>
      </c>
      <c r="W22" s="20" t="inlineStr">
        <is>
          <t>价格分歧&gt;30%：历史报价分歧较大，需人工核对；同分多价：最高分候选存在不同历史价格</t>
        </is>
      </c>
      <c r="X22" s="20" t="inlineStr">
        <is>
          <t>赛特尔25年.xls｜初中化学｜第54行</t>
        </is>
      </c>
    </row>
    <row r="23" ht="15.6" customHeight="1" s="16">
      <c r="A23" s="2" t="n">
        <v>21</v>
      </c>
      <c r="B23" s="2" t="inlineStr">
        <is>
          <t>废液分类回收桶</t>
        </is>
      </c>
      <c r="C23" s="5" t="inlineStr">
        <is>
          <t>塑料制，25 L</t>
        </is>
      </c>
      <c r="D23" s="1" t="inlineStr">
        <is>
          <t>个</t>
        </is>
      </c>
      <c r="E23" s="1" t="n">
        <v>5</v>
      </c>
      <c r="F23" s="3" t="inlineStr">
        <is>
          <t>群信</t>
        </is>
      </c>
      <c r="G23" s="1" t="n">
        <v>45</v>
      </c>
      <c r="H23" s="1">
        <f>G23*E23</f>
        <v/>
      </c>
      <c r="I23" s="20" t="n">
        <v>5</v>
      </c>
      <c r="J23" s="20" t="n">
        <v>45</v>
      </c>
      <c r="K23" s="20" t="n">
        <v>225</v>
      </c>
      <c r="L23" s="20" t="inlineStr">
        <is>
          <t>个</t>
        </is>
      </c>
      <c r="M23" s="20" t="inlineStr"/>
      <c r="N23" s="20" t="inlineStr"/>
      <c r="O23" s="20" t="inlineStr"/>
      <c r="P23" s="20" t="inlineStr">
        <is>
          <t>塑料制， 25 L</t>
        </is>
      </c>
      <c r="Q23" s="20" t="inlineStr"/>
      <c r="R23" s="20" t="inlineStr"/>
      <c r="S23" s="20" t="inlineStr"/>
      <c r="T23" s="20" t="inlineStr"/>
      <c r="U23" s="20" t="inlineStr">
        <is>
          <t>confirmed</t>
        </is>
      </c>
      <c r="V23" s="20" t="n">
        <v>100</v>
      </c>
      <c r="W23" s="20" t="inlineStr"/>
      <c r="X23" s="20" t="inlineStr">
        <is>
          <t>赛特尔25年.xls｜初中新课标化学｜第17行</t>
        </is>
      </c>
    </row>
    <row r="24" ht="15.6" customHeight="1" s="16">
      <c r="A24" s="2" t="n">
        <v>22</v>
      </c>
      <c r="B24" s="2" t="inlineStr">
        <is>
          <t>电加热器</t>
        </is>
      </c>
      <c r="C24" s="5" t="inlineStr">
        <is>
          <t>密封式≥500w</t>
        </is>
      </c>
      <c r="D24" s="1" t="inlineStr">
        <is>
          <t>个</t>
        </is>
      </c>
      <c r="E24" s="1" t="n">
        <v>1</v>
      </c>
      <c r="F24" s="3" t="inlineStr">
        <is>
          <t>昂米</t>
        </is>
      </c>
      <c r="G24" s="1" t="n">
        <v>65</v>
      </c>
      <c r="H24" s="1">
        <f>G24*E24</f>
        <v/>
      </c>
      <c r="I24" s="20" t="n">
        <v>1</v>
      </c>
      <c r="J24" s="20" t="n">
        <v>16</v>
      </c>
      <c r="K24" s="20" t="n">
        <v>16</v>
      </c>
      <c r="L24" s="20" t="inlineStr">
        <is>
          <t>个</t>
        </is>
      </c>
      <c r="M24" s="20" t="inlineStr"/>
      <c r="N24" s="20" t="inlineStr"/>
      <c r="O24" s="20" t="inlineStr"/>
      <c r="P24" s="20" t="inlineStr"/>
      <c r="Q24" s="20" t="inlineStr"/>
      <c r="R24" s="20" t="inlineStr"/>
      <c r="S24" s="20" t="inlineStr"/>
      <c r="T24" s="20" t="inlineStr"/>
      <c r="U24" s="20" t="inlineStr">
        <is>
          <t>confirmed</t>
        </is>
      </c>
      <c r="V24" s="20" t="n">
        <v>0</v>
      </c>
      <c r="W24" s="20" t="inlineStr">
        <is>
          <t>没有找到可靠候选</t>
        </is>
      </c>
      <c r="X24" s="20" t="inlineStr">
        <is>
          <t>赛特尔25年.xls｜初中新课标物理｜第93行</t>
        </is>
      </c>
    </row>
    <row r="25" ht="15.6" customHeight="1" s="16">
      <c r="A25" s="2" t="n">
        <v>23</v>
      </c>
      <c r="B25" s="2" t="inlineStr">
        <is>
          <t>学生电源</t>
        </is>
      </c>
      <c r="C25" s="5" t="inlineStr">
        <is>
          <t>直流 1.5 V～9 V，1.5 A，每 1.5 V 一档</t>
        </is>
      </c>
      <c r="D25" s="1" t="inlineStr">
        <is>
          <t>台</t>
        </is>
      </c>
      <c r="E25" s="1" t="n">
        <v>26</v>
      </c>
      <c r="F25" s="3" t="inlineStr">
        <is>
          <t>群信</t>
        </is>
      </c>
      <c r="G25" s="1" t="n">
        <v>68</v>
      </c>
      <c r="H25" s="1">
        <f>G25*E25</f>
        <v/>
      </c>
      <c r="I25" s="20" t="n">
        <v>26</v>
      </c>
      <c r="J25" s="20" t="n">
        <v>68</v>
      </c>
      <c r="K25" s="20" t="n">
        <v>1768</v>
      </c>
      <c r="L25" s="20" t="inlineStr">
        <is>
          <t>台</t>
        </is>
      </c>
      <c r="M25" s="20" t="inlineStr">
        <is>
          <t>群信</t>
        </is>
      </c>
      <c r="N25" s="20" t="inlineStr"/>
      <c r="O25" s="20" t="inlineStr"/>
      <c r="P25" s="20" t="inlineStr">
        <is>
          <t>04001</t>
        </is>
      </c>
      <c r="Q25" s="20" t="inlineStr"/>
      <c r="R25" s="20" t="inlineStr"/>
      <c r="S25" s="20" t="inlineStr"/>
      <c r="T25" s="20" t="inlineStr"/>
      <c r="U25" s="20" t="inlineStr">
        <is>
          <t>confirmed</t>
        </is>
      </c>
      <c r="V25" s="20" t="n">
        <v>100</v>
      </c>
      <c r="W25" s="20" t="inlineStr"/>
      <c r="X25" s="20" t="inlineStr">
        <is>
          <t>赛特尔25年.xls｜初中新课标化学｜第23行</t>
        </is>
      </c>
    </row>
    <row r="26" ht="31.2" customHeight="1" s="16">
      <c r="A26" s="2" t="n">
        <v>24</v>
      </c>
      <c r="B26" s="2" t="inlineStr">
        <is>
          <t>教学电源</t>
        </is>
      </c>
      <c r="C26" s="5" t="inlineStr">
        <is>
          <t>交流 2 V～12 V，5 A，每 2 V 一档；直流 1.5 V～12 V，2 A，分为 1.5 V、3 V、4.5 V、 6 V、9 V、12 V，共 6 档</t>
        </is>
      </c>
      <c r="D26" s="1" t="inlineStr">
        <is>
          <t>台</t>
        </is>
      </c>
      <c r="E26" s="1" t="n">
        <v>1</v>
      </c>
      <c r="F26" s="3" t="inlineStr">
        <is>
          <t>群信</t>
        </is>
      </c>
      <c r="G26" s="1" t="n">
        <v>145</v>
      </c>
      <c r="H26" s="1">
        <f>G26*E26</f>
        <v/>
      </c>
      <c r="I26" s="20" t="n">
        <v>1</v>
      </c>
      <c r="J26" s="20" t="n">
        <v>145</v>
      </c>
      <c r="K26" s="20" t="n">
        <v>145</v>
      </c>
      <c r="L26" s="20" t="inlineStr">
        <is>
          <t>台</t>
        </is>
      </c>
      <c r="M26" s="20" t="inlineStr">
        <is>
          <t>群信</t>
        </is>
      </c>
      <c r="N26" s="20" t="inlineStr"/>
      <c r="O26" s="20" t="inlineStr"/>
      <c r="P26" s="20" t="inlineStr">
        <is>
          <t>04004</t>
        </is>
      </c>
      <c r="Q26" s="20" t="n">
        <v>160</v>
      </c>
      <c r="R26" s="20" t="inlineStr"/>
      <c r="S26" s="20" t="n">
        <v>180</v>
      </c>
      <c r="T26" s="20" t="inlineStr"/>
      <c r="U26" s="20" t="inlineStr">
        <is>
          <t>confirmed</t>
        </is>
      </c>
      <c r="V26" s="20" t="n">
        <v>100</v>
      </c>
      <c r="W26" s="20" t="inlineStr">
        <is>
          <t>同分多价：最高分候选存在不同历史价格</t>
        </is>
      </c>
      <c r="X26" s="20" t="inlineStr">
        <is>
          <t>赛特尔25年.xls｜初中化学｜第34行</t>
        </is>
      </c>
    </row>
    <row r="27" ht="31.2" customHeight="1" s="16">
      <c r="A27" s="2" t="n">
        <v>25</v>
      </c>
      <c r="B27" s="2" t="inlineStr">
        <is>
          <t>仪器车</t>
        </is>
      </c>
      <c r="C27" s="5" t="inlineStr">
        <is>
          <t>≥850 mm×450 mm×900 mm，橡胶包车轮，车轮Φ75 mm，厚 25 mm；2 轮带刹车，车轮固定，车架扭动量（上部）≤20 mm；钢材制作，载重≥60 kg</t>
        </is>
      </c>
      <c r="D27" s="1" t="inlineStr">
        <is>
          <t>辆</t>
        </is>
      </c>
      <c r="E27" s="1" t="n">
        <v>2</v>
      </c>
      <c r="F27" s="3" t="inlineStr">
        <is>
          <t>群信</t>
        </is>
      </c>
      <c r="G27" s="1" t="n">
        <v>800</v>
      </c>
      <c r="H27" s="1">
        <f>G27*E27</f>
        <v/>
      </c>
      <c r="I27" s="20" t="n">
        <v>2</v>
      </c>
      <c r="J27" s="20" t="n">
        <v>0</v>
      </c>
      <c r="K27" s="20" t="n">
        <v>0</v>
      </c>
      <c r="L27" s="20" t="inlineStr">
        <is>
          <t>辆</t>
        </is>
      </c>
      <c r="M27" s="20" t="inlineStr"/>
      <c r="N27" s="20" t="inlineStr"/>
      <c r="O27" s="20" t="inlineStr"/>
      <c r="P27" s="20" t="inlineStr"/>
      <c r="Q27" s="20" t="n">
        <v>175</v>
      </c>
      <c r="R27" s="20" t="inlineStr"/>
      <c r="S27" s="20" t="n">
        <v>260</v>
      </c>
      <c r="T27" s="20" t="inlineStr"/>
      <c r="U27" s="20" t="inlineStr">
        <is>
          <t>confirmed</t>
        </is>
      </c>
      <c r="V27" s="20" t="n">
        <v>100</v>
      </c>
      <c r="W27" s="20" t="inlineStr">
        <is>
          <t>同分多价：最高分候选存在不同历史价格</t>
        </is>
      </c>
      <c r="X27" s="20" t="inlineStr">
        <is>
          <t>高中理化生报价.xlsx｜凯迪｜第1605行</t>
        </is>
      </c>
    </row>
    <row r="28" ht="15.6" customHeight="1" s="16">
      <c r="A28" s="2" t="n">
        <v>26</v>
      </c>
      <c r="B28" s="2" t="inlineStr">
        <is>
          <t>试剂瓶托盘</t>
        </is>
      </c>
      <c r="C28" s="5" t="inlineStr">
        <is>
          <t>搪瓷材质，内沿≥400 mm×290 mm×40 mm</t>
        </is>
      </c>
      <c r="D28" s="1" t="inlineStr">
        <is>
          <t>个</t>
        </is>
      </c>
      <c r="E28" s="1" t="n">
        <v>60</v>
      </c>
      <c r="F28" s="3" t="inlineStr">
        <is>
          <t>群信</t>
        </is>
      </c>
      <c r="G28" s="1" t="n">
        <v>35</v>
      </c>
      <c r="H28" s="1">
        <f>G28*E28</f>
        <v/>
      </c>
      <c r="I28" s="20" t="n">
        <v>60</v>
      </c>
      <c r="J28" s="20" t="n">
        <v>14</v>
      </c>
      <c r="K28" s="20" t="n">
        <v>840</v>
      </c>
      <c r="L28" s="20" t="inlineStr">
        <is>
          <t>个</t>
        </is>
      </c>
      <c r="M28" s="20" t="inlineStr"/>
      <c r="N28" s="20" t="inlineStr"/>
      <c r="O28" s="20" t="inlineStr"/>
      <c r="P28" s="20" t="inlineStr"/>
      <c r="Q28" s="20" t="n">
        <v>14</v>
      </c>
      <c r="R28" s="20" t="inlineStr"/>
      <c r="S28" s="20" t="n">
        <v>45</v>
      </c>
      <c r="T28" s="20" t="inlineStr"/>
      <c r="U28" s="20" t="inlineStr">
        <is>
          <t>confirmed</t>
        </is>
      </c>
      <c r="V28" s="20" t="n">
        <v>100</v>
      </c>
      <c r="W28" s="20" t="inlineStr">
        <is>
          <t>价格分歧&gt;30%：历史报价分歧较大，需人工核对</t>
        </is>
      </c>
      <c r="X28" s="20" t="inlineStr">
        <is>
          <t>赛特尔25年.xls｜初中化学｜第20行</t>
        </is>
      </c>
    </row>
    <row r="29" ht="15.6" customHeight="1" s="16">
      <c r="A29" s="2" t="n">
        <v>27</v>
      </c>
      <c r="B29" s="2" t="inlineStr">
        <is>
          <t>实验用品提篮</t>
        </is>
      </c>
      <c r="C29" s="5" t="inlineStr">
        <is>
          <t>配有提手，≥500 mm×350 mm×170 mm  木制</t>
        </is>
      </c>
      <c r="D29" s="1" t="inlineStr">
        <is>
          <t>个</t>
        </is>
      </c>
      <c r="E29" s="1" t="n">
        <v>4</v>
      </c>
      <c r="F29" s="3" t="inlineStr">
        <is>
          <t>群信</t>
        </is>
      </c>
      <c r="G29" s="1" t="n">
        <v>45</v>
      </c>
      <c r="H29" s="1">
        <f>G29*E29</f>
        <v/>
      </c>
      <c r="I29" s="20" t="n">
        <v>4</v>
      </c>
      <c r="J29" s="20" t="n">
        <v>45</v>
      </c>
      <c r="K29" s="20" t="n">
        <v>180</v>
      </c>
      <c r="L29" s="20" t="inlineStr">
        <is>
          <t>个</t>
        </is>
      </c>
      <c r="M29" s="20" t="inlineStr"/>
      <c r="N29" s="20" t="inlineStr"/>
      <c r="O29" s="20" t="inlineStr"/>
      <c r="P29" s="20" t="inlineStr"/>
      <c r="Q29" s="20" t="n">
        <v>45</v>
      </c>
      <c r="R29" s="20" t="inlineStr"/>
      <c r="S29" s="20" t="n">
        <v>99</v>
      </c>
      <c r="T29" s="20" t="inlineStr"/>
      <c r="U29" s="20" t="inlineStr">
        <is>
          <t>confirmed</t>
        </is>
      </c>
      <c r="V29" s="20" t="n">
        <v>100</v>
      </c>
      <c r="W29" s="20" t="inlineStr">
        <is>
          <t>价格分歧&gt;30%：历史报价分歧较大，需人工核对</t>
        </is>
      </c>
      <c r="X29" s="20" t="inlineStr">
        <is>
          <t>赛特尔25年.xls｜初中新课标生物｜第37行</t>
        </is>
      </c>
    </row>
    <row r="30" ht="15.6" customHeight="1" s="16">
      <c r="A30" s="2" t="n">
        <v>28</v>
      </c>
      <c r="B30" s="2" t="inlineStr">
        <is>
          <t>一字螺丝刀</t>
        </is>
      </c>
      <c r="C30" s="5" t="inlineStr">
        <is>
          <t>Φ6 mm，长 150 mm，工作端带磁性</t>
        </is>
      </c>
      <c r="D30" s="1" t="inlineStr">
        <is>
          <t>支</t>
        </is>
      </c>
      <c r="E30" s="1" t="n">
        <v>1</v>
      </c>
      <c r="F30" s="3" t="inlineStr">
        <is>
          <t>群信</t>
        </is>
      </c>
      <c r="G30" s="1" t="n">
        <v>4</v>
      </c>
      <c r="H30" s="1">
        <f>G30*E30</f>
        <v/>
      </c>
      <c r="I30" s="20" t="n">
        <v>1</v>
      </c>
      <c r="J30" s="20" t="n">
        <v>4</v>
      </c>
      <c r="K30" s="20" t="n">
        <v>4</v>
      </c>
      <c r="L30" s="20" t="inlineStr">
        <is>
          <t>支</t>
        </is>
      </c>
      <c r="M30" s="20" t="inlineStr"/>
      <c r="N30" s="20" t="inlineStr"/>
      <c r="O30" s="20" t="inlineStr"/>
      <c r="P30" s="20" t="inlineStr"/>
      <c r="Q30" s="20" t="n">
        <v>4</v>
      </c>
      <c r="R30" s="20" t="inlineStr"/>
      <c r="S30" s="20" t="inlineStr"/>
      <c r="T30" s="20" t="inlineStr"/>
      <c r="U30" s="20" t="inlineStr">
        <is>
          <t>confirmed</t>
        </is>
      </c>
      <c r="V30" s="20" t="n">
        <v>100</v>
      </c>
      <c r="W30" s="20" t="inlineStr"/>
      <c r="X30" s="20" t="inlineStr">
        <is>
          <t>赛特尔25年.xls｜初中新课标化学｜第28行</t>
        </is>
      </c>
    </row>
    <row r="31" ht="15.6" customHeight="1" s="16">
      <c r="A31" s="2" t="n">
        <v>29</v>
      </c>
      <c r="B31" s="2" t="inlineStr">
        <is>
          <t>十字螺丝刀</t>
        </is>
      </c>
      <c r="C31" s="5" t="inlineStr">
        <is>
          <t>Φ6 mm，长 150 mm，工作端带磁性</t>
        </is>
      </c>
      <c r="D31" s="1" t="inlineStr">
        <is>
          <t>支</t>
        </is>
      </c>
      <c r="E31" s="1" t="n">
        <v>1</v>
      </c>
      <c r="F31" s="3" t="inlineStr">
        <is>
          <t>群信</t>
        </is>
      </c>
      <c r="G31" s="1" t="n">
        <v>4</v>
      </c>
      <c r="H31" s="1">
        <f>G31*E31</f>
        <v/>
      </c>
      <c r="I31" s="20" t="n">
        <v>1</v>
      </c>
      <c r="J31" s="20" t="n">
        <v>4</v>
      </c>
      <c r="K31" s="20" t="n">
        <v>4</v>
      </c>
      <c r="L31" s="20" t="inlineStr">
        <is>
          <t>支</t>
        </is>
      </c>
      <c r="M31" s="20" t="inlineStr"/>
      <c r="N31" s="20" t="inlineStr"/>
      <c r="O31" s="20" t="inlineStr"/>
      <c r="P31" s="20" t="inlineStr"/>
      <c r="Q31" s="20" t="n">
        <v>4</v>
      </c>
      <c r="R31" s="20" t="inlineStr"/>
      <c r="S31" s="20" t="inlineStr"/>
      <c r="T31" s="20" t="inlineStr"/>
      <c r="U31" s="20" t="inlineStr">
        <is>
          <t>confirmed</t>
        </is>
      </c>
      <c r="V31" s="20" t="n">
        <v>100</v>
      </c>
      <c r="W31" s="20" t="inlineStr"/>
      <c r="X31" s="20" t="inlineStr">
        <is>
          <t>赛特尔25年.xls｜初中新课标化学｜第29行</t>
        </is>
      </c>
    </row>
    <row r="32" ht="15.6" customHeight="1" s="16">
      <c r="A32" s="2" t="n">
        <v>30</v>
      </c>
      <c r="B32" s="2" t="inlineStr">
        <is>
          <t>钢丝钳</t>
        </is>
      </c>
      <c r="C32" s="5" t="inlineStr">
        <is>
          <t>160 mm</t>
        </is>
      </c>
      <c r="D32" s="1" t="inlineStr">
        <is>
          <t>把</t>
        </is>
      </c>
      <c r="E32" s="1" t="n">
        <v>1</v>
      </c>
      <c r="F32" s="3" t="inlineStr">
        <is>
          <t>军舰</t>
        </is>
      </c>
      <c r="G32" s="1" t="n">
        <v>12</v>
      </c>
      <c r="H32" s="1">
        <f>G32*E32</f>
        <v/>
      </c>
      <c r="I32" s="20" t="n">
        <v>1</v>
      </c>
      <c r="J32" s="20" t="n">
        <v>12</v>
      </c>
      <c r="K32" s="20" t="n">
        <v>12</v>
      </c>
      <c r="L32" s="20" t="inlineStr">
        <is>
          <t>把</t>
        </is>
      </c>
      <c r="M32" s="20" t="inlineStr"/>
      <c r="N32" s="20" t="inlineStr"/>
      <c r="O32" s="20" t="inlineStr"/>
      <c r="P32" s="20" t="inlineStr"/>
      <c r="Q32" s="20" t="n">
        <v>13.2</v>
      </c>
      <c r="R32" s="20" t="inlineStr"/>
      <c r="S32" s="20" t="n">
        <v>22</v>
      </c>
      <c r="T32" s="20" t="inlineStr"/>
      <c r="U32" s="20" t="inlineStr">
        <is>
          <t>confirmed</t>
        </is>
      </c>
      <c r="V32" s="20" t="n">
        <v>100</v>
      </c>
      <c r="W32" s="20" t="inlineStr">
        <is>
          <t>价格分歧&gt;30%：历史报价分歧较大，需人工核对；同分多价：最高分候选存在不同历史价格</t>
        </is>
      </c>
      <c r="X32" s="20" t="inlineStr">
        <is>
          <t>赛特尔25年.xls｜初中新课标生物｜第47行</t>
        </is>
      </c>
    </row>
    <row r="33" ht="15.6" customHeight="1" s="16">
      <c r="A33" s="2" t="n">
        <v>31</v>
      </c>
      <c r="B33" s="2" t="inlineStr">
        <is>
          <t>玻璃管切割器</t>
        </is>
      </c>
      <c r="C33" s="5" t="inlineStr">
        <is>
          <t>可切割直径 20 mm 以下玻璃管</t>
        </is>
      </c>
      <c r="D33" s="1" t="inlineStr">
        <is>
          <t>个</t>
        </is>
      </c>
      <c r="E33" s="1" t="n">
        <v>1</v>
      </c>
      <c r="F33" s="3" t="inlineStr">
        <is>
          <t>群信</t>
        </is>
      </c>
      <c r="G33" s="1" t="n">
        <v>20</v>
      </c>
      <c r="H33" s="1">
        <f>G33*E33</f>
        <v/>
      </c>
      <c r="I33" s="20" t="n">
        <v>1</v>
      </c>
      <c r="J33" s="20" t="n">
        <v>18</v>
      </c>
      <c r="K33" s="20" t="n">
        <v>18</v>
      </c>
      <c r="L33" s="20" t="inlineStr">
        <is>
          <t>个</t>
        </is>
      </c>
      <c r="M33" s="20" t="inlineStr"/>
      <c r="N33" s="20" t="inlineStr"/>
      <c r="O33" s="20" t="inlineStr"/>
      <c r="P33" s="20" t="inlineStr"/>
      <c r="Q33" s="20" t="n">
        <v>18</v>
      </c>
      <c r="R33" s="20" t="inlineStr"/>
      <c r="S33" s="20" t="n">
        <v>20</v>
      </c>
      <c r="T33" s="20" t="inlineStr"/>
      <c r="U33" s="20" t="inlineStr">
        <is>
          <t>confirmed</t>
        </is>
      </c>
      <c r="V33" s="20" t="n">
        <v>100</v>
      </c>
      <c r="W33" s="20" t="inlineStr"/>
      <c r="X33" s="20" t="inlineStr">
        <is>
          <t>赛特尔25年.xls｜初中化学｜第271行</t>
        </is>
      </c>
    </row>
    <row r="34" ht="31.2" customHeight="1" s="16">
      <c r="A34" s="2" t="n">
        <v>32</v>
      </c>
      <c r="B34" s="2" t="inlineStr">
        <is>
          <t>打孔器</t>
        </is>
      </c>
      <c r="C34" s="5" t="inlineStr">
        <is>
          <t>刀口式，材质为不锈钢管、钢管或黄铜管，每组不少于 4 支，外径分别为 9 mm、8 mm、7 mm、6 mm，并配一支带柄金属通扦</t>
        </is>
      </c>
      <c r="D34" s="1" t="inlineStr">
        <is>
          <t>套</t>
        </is>
      </c>
      <c r="E34" s="1" t="n">
        <v>2</v>
      </c>
      <c r="F34" s="3" t="inlineStr">
        <is>
          <t>群信</t>
        </is>
      </c>
      <c r="G34" s="1" t="n">
        <v>36</v>
      </c>
      <c r="H34" s="1">
        <f>G34*E34</f>
        <v/>
      </c>
      <c r="I34" s="20" t="n">
        <v>2</v>
      </c>
      <c r="J34" s="20" t="n">
        <v>6</v>
      </c>
      <c r="K34" s="20" t="n">
        <v>12</v>
      </c>
      <c r="L34" s="20" t="inlineStr">
        <is>
          <t>套</t>
        </is>
      </c>
      <c r="M34" s="20" t="inlineStr"/>
      <c r="N34" s="20" t="inlineStr"/>
      <c r="O34" s="20" t="inlineStr"/>
      <c r="P34" s="20" t="inlineStr"/>
      <c r="Q34" s="20" t="n">
        <v>6</v>
      </c>
      <c r="R34" s="20" t="inlineStr"/>
      <c r="S34" s="20" t="n">
        <v>48</v>
      </c>
      <c r="T34" s="20" t="inlineStr"/>
      <c r="U34" s="20" t="inlineStr">
        <is>
          <t>confirmed</t>
        </is>
      </c>
      <c r="V34" s="20" t="n">
        <v>100</v>
      </c>
      <c r="W34" s="20" t="inlineStr">
        <is>
          <t>价格分歧&gt;30%：历史报价分歧较大，需人工核对</t>
        </is>
      </c>
      <c r="X34" s="20" t="inlineStr">
        <is>
          <t>赛特尔25年.xls｜初中新课标生物｜第38行</t>
        </is>
      </c>
    </row>
    <row r="35" ht="15.6" customHeight="1" s="16">
      <c r="A35" s="2" t="n">
        <v>33</v>
      </c>
      <c r="B35" s="2" t="inlineStr">
        <is>
          <t>打孔夹板</t>
        </is>
      </c>
      <c r="C35" s="5" t="inlineStr">
        <is>
          <t>硬木或硬塑料制</t>
        </is>
      </c>
      <c r="D35" s="1" t="inlineStr">
        <is>
          <t>个</t>
        </is>
      </c>
      <c r="E35" s="1" t="n">
        <v>1</v>
      </c>
      <c r="F35" s="3" t="inlineStr">
        <is>
          <t>群信</t>
        </is>
      </c>
      <c r="G35" s="1" t="n">
        <v>6</v>
      </c>
      <c r="H35" s="1">
        <f>G35*E35</f>
        <v/>
      </c>
      <c r="I35" s="20" t="n">
        <v>1</v>
      </c>
      <c r="J35" s="20" t="n">
        <v>6</v>
      </c>
      <c r="K35" s="20" t="n">
        <v>6</v>
      </c>
      <c r="L35" s="20" t="inlineStr">
        <is>
          <t>个</t>
        </is>
      </c>
      <c r="M35" s="20" t="inlineStr"/>
      <c r="N35" s="20" t="inlineStr"/>
      <c r="O35" s="20" t="inlineStr"/>
      <c r="P35" s="20" t="inlineStr"/>
      <c r="Q35" s="20" t="inlineStr"/>
      <c r="R35" s="20" t="inlineStr"/>
      <c r="S35" s="20" t="inlineStr"/>
      <c r="T35" s="20" t="inlineStr"/>
      <c r="U35" s="20" t="inlineStr">
        <is>
          <t>confirmed</t>
        </is>
      </c>
      <c r="V35" s="20" t="n">
        <v>100</v>
      </c>
      <c r="W35" s="20" t="inlineStr"/>
      <c r="X35" s="20" t="inlineStr">
        <is>
          <t>赛特尔25年.xls｜初中新课标生物｜第39行</t>
        </is>
      </c>
    </row>
    <row r="36" ht="46.8" customHeight="1" s="16">
      <c r="A36" s="2" t="n">
        <v>34</v>
      </c>
      <c r="B36" s="2" t="inlineStr">
        <is>
          <t>打孔器刮刀</t>
        </is>
      </c>
      <c r="C36" s="5" t="inlineStr">
        <is>
          <t>刮刀宜用65M 板制成，表面热处理，55 HRC～ 60 HRC，总长为 70 mm±0.5 mm，宽 14.5 mm±0.1 mm，厚 1.8 mm±0.5 mm，刀口角度宜为 60°±5°，锋刃＜0.1 mm</t>
        </is>
      </c>
      <c r="D36" s="1" t="inlineStr">
        <is>
          <t>个</t>
        </is>
      </c>
      <c r="E36" s="1" t="n">
        <v>1</v>
      </c>
      <c r="F36" s="3" t="inlineStr">
        <is>
          <t>群信</t>
        </is>
      </c>
      <c r="G36" s="1" t="n">
        <v>12</v>
      </c>
      <c r="H36" s="1">
        <f>G36*E36</f>
        <v/>
      </c>
      <c r="I36" s="20" t="n">
        <v>1</v>
      </c>
      <c r="J36" s="20" t="n">
        <v>12</v>
      </c>
      <c r="K36" s="20" t="n">
        <v>12</v>
      </c>
      <c r="L36" s="20" t="inlineStr">
        <is>
          <t>个</t>
        </is>
      </c>
      <c r="M36" s="20" t="inlineStr"/>
      <c r="N36" s="20" t="inlineStr"/>
      <c r="O36" s="20" t="inlineStr"/>
      <c r="P36" s="20" t="inlineStr"/>
      <c r="Q36" s="20" t="n">
        <v>12</v>
      </c>
      <c r="R36" s="20" t="inlineStr"/>
      <c r="S36" s="20" t="n">
        <v>13.2</v>
      </c>
      <c r="T36" s="20" t="inlineStr"/>
      <c r="U36" s="20" t="inlineStr">
        <is>
          <t>confirmed</t>
        </is>
      </c>
      <c r="V36" s="20" t="n">
        <v>100</v>
      </c>
      <c r="W36" s="20" t="inlineStr"/>
      <c r="X36" s="20" t="inlineStr">
        <is>
          <t>赛特尔25年.xls｜初中新课标生物｜第40行</t>
        </is>
      </c>
    </row>
    <row r="37" ht="15.6" customHeight="1" s="16">
      <c r="A37" s="2" t="n">
        <v>35</v>
      </c>
      <c r="B37" s="1" t="inlineStr">
        <is>
          <t>托盘天平</t>
        </is>
      </c>
      <c r="C37" s="5" t="inlineStr">
        <is>
          <t>100 g，0.1 g</t>
        </is>
      </c>
      <c r="D37" s="1" t="inlineStr">
        <is>
          <t>台</t>
        </is>
      </c>
      <c r="E37" s="1" t="n">
        <v>26</v>
      </c>
      <c r="F37" s="3" t="inlineStr">
        <is>
          <t>群信</t>
        </is>
      </c>
      <c r="G37" s="1" t="n">
        <v>30</v>
      </c>
      <c r="H37" s="1">
        <f>G37*E37</f>
        <v/>
      </c>
      <c r="I37" s="20" t="n">
        <v>26</v>
      </c>
      <c r="J37" s="20" t="n">
        <v>30</v>
      </c>
      <c r="K37" s="20" t="n">
        <v>780</v>
      </c>
      <c r="L37" s="20" t="inlineStr">
        <is>
          <t>台</t>
        </is>
      </c>
      <c r="M37" s="20" t="inlineStr">
        <is>
          <t>群信</t>
        </is>
      </c>
      <c r="N37" s="20" t="inlineStr"/>
      <c r="O37" s="20" t="inlineStr">
        <is>
          <t>11003</t>
        </is>
      </c>
      <c r="P37" s="20" t="inlineStr">
        <is>
          <t>11004</t>
        </is>
      </c>
      <c r="Q37" s="20" t="n">
        <v>55</v>
      </c>
      <c r="R37" s="20" t="inlineStr"/>
      <c r="S37" s="20" t="inlineStr"/>
      <c r="T37" s="20" t="inlineStr"/>
      <c r="U37" s="20" t="inlineStr">
        <is>
          <t>confirmed</t>
        </is>
      </c>
      <c r="V37" s="20" t="n">
        <v>100</v>
      </c>
      <c r="W37" s="20" t="inlineStr">
        <is>
          <t>价格分歧&gt;30%：历史报价分歧较大，需人工核对；同分多价：最高分候选存在不同历史价格</t>
        </is>
      </c>
      <c r="X37" s="20" t="inlineStr">
        <is>
          <t>赛特尔25年.xls｜初中新课标生物｜第54行</t>
        </is>
      </c>
    </row>
    <row r="38" ht="15.6" customHeight="1" s="16">
      <c r="A38" s="2" t="n">
        <v>36</v>
      </c>
      <c r="B38" s="22" t="n"/>
      <c r="C38" s="5" t="inlineStr">
        <is>
          <t>500 g，0.5 g</t>
        </is>
      </c>
      <c r="D38" s="1" t="inlineStr">
        <is>
          <t>台</t>
        </is>
      </c>
      <c r="E38" s="1" t="n">
        <v>1</v>
      </c>
      <c r="F38" s="3" t="inlineStr">
        <is>
          <t>群信</t>
        </is>
      </c>
      <c r="G38" s="1" t="n">
        <v>50</v>
      </c>
      <c r="H38" s="1">
        <f>G38*E38</f>
        <v/>
      </c>
      <c r="I38" s="20" t="n">
        <v>1</v>
      </c>
      <c r="J38" s="20" t="n">
        <v>30</v>
      </c>
      <c r="K38" s="20" t="n">
        <v>30</v>
      </c>
      <c r="L38" s="20" t="inlineStr">
        <is>
          <t>台</t>
        </is>
      </c>
      <c r="M38" s="20" t="inlineStr">
        <is>
          <t>群信</t>
        </is>
      </c>
      <c r="N38" s="20" t="inlineStr"/>
      <c r="O38" s="20" t="inlineStr">
        <is>
          <t>11003</t>
        </is>
      </c>
      <c r="P38" s="20" t="inlineStr">
        <is>
          <t>11004</t>
        </is>
      </c>
      <c r="Q38" s="20" t="n">
        <v>55</v>
      </c>
      <c r="R38" s="20" t="inlineStr"/>
      <c r="S38" s="20" t="inlineStr"/>
      <c r="T38" s="20" t="inlineStr"/>
      <c r="U38" s="20" t="inlineStr">
        <is>
          <t>confirmed</t>
        </is>
      </c>
      <c r="V38" s="20" t="n">
        <v>100</v>
      </c>
      <c r="W38" s="20" t="inlineStr">
        <is>
          <t>价格分歧&gt;30%：历史报价分歧较大，需人工核对；同分多价：最高分候选存在不同历史价格</t>
        </is>
      </c>
      <c r="X38" s="20" t="inlineStr">
        <is>
          <t>赛特尔25年.xls｜初中新课标生物｜第54行</t>
        </is>
      </c>
    </row>
    <row r="39" ht="15.6" customHeight="1" s="16">
      <c r="A39" s="2" t="n">
        <v>37</v>
      </c>
      <c r="B39" s="22" t="n"/>
      <c r="C39" s="5" t="inlineStr">
        <is>
          <t>200 g，0.01 g</t>
        </is>
      </c>
      <c r="D39" s="1" t="inlineStr">
        <is>
          <t>台</t>
        </is>
      </c>
      <c r="E39" s="1" t="n">
        <v>26</v>
      </c>
      <c r="F39" s="3" t="inlineStr">
        <is>
          <t>华驰</t>
        </is>
      </c>
      <c r="G39" s="1" t="n">
        <v>240</v>
      </c>
      <c r="H39" s="1">
        <f>G39*E39</f>
        <v/>
      </c>
      <c r="I39" s="20" t="n">
        <v>26</v>
      </c>
      <c r="J39" s="20" t="n">
        <v>30</v>
      </c>
      <c r="K39" s="20" t="n">
        <v>780</v>
      </c>
      <c r="L39" s="20" t="inlineStr">
        <is>
          <t>台</t>
        </is>
      </c>
      <c r="M39" s="20" t="inlineStr">
        <is>
          <t>群信</t>
        </is>
      </c>
      <c r="N39" s="20" t="inlineStr"/>
      <c r="O39" s="20" t="inlineStr">
        <is>
          <t>11003</t>
        </is>
      </c>
      <c r="P39" s="20" t="inlineStr">
        <is>
          <t>11004</t>
        </is>
      </c>
      <c r="Q39" s="20" t="n">
        <v>55</v>
      </c>
      <c r="R39" s="20" t="inlineStr"/>
      <c r="S39" s="20" t="inlineStr"/>
      <c r="T39" s="20" t="inlineStr"/>
      <c r="U39" s="20" t="inlineStr">
        <is>
          <t>confirmed</t>
        </is>
      </c>
      <c r="V39" s="20" t="n">
        <v>100</v>
      </c>
      <c r="W39" s="20" t="inlineStr">
        <is>
          <t>价格分歧&gt;30%：历史报价分歧较大，需人工核对；同分多价：最高分候选存在不同历史价格</t>
        </is>
      </c>
      <c r="X39" s="20" t="inlineStr">
        <is>
          <t>赛特尔25年.xls｜初中新课标生物｜第54行</t>
        </is>
      </c>
    </row>
    <row r="40" ht="15.6" customHeight="1" s="16">
      <c r="A40" s="2" t="n">
        <v>38</v>
      </c>
      <c r="B40" s="21" t="n"/>
      <c r="C40" s="5" t="inlineStr">
        <is>
          <t>1000 g，0.1 g</t>
        </is>
      </c>
      <c r="D40" s="1" t="inlineStr">
        <is>
          <t>台</t>
        </is>
      </c>
      <c r="E40" s="1" t="n">
        <v>1</v>
      </c>
      <c r="F40" s="3" t="inlineStr">
        <is>
          <t>华驰</t>
        </is>
      </c>
      <c r="G40" s="1" t="n">
        <v>220</v>
      </c>
      <c r="H40" s="1">
        <f>G40*E40</f>
        <v/>
      </c>
      <c r="I40" s="20" t="n">
        <v>1</v>
      </c>
      <c r="J40" s="20" t="n">
        <v>30</v>
      </c>
      <c r="K40" s="20" t="n">
        <v>30</v>
      </c>
      <c r="L40" s="20" t="inlineStr">
        <is>
          <t>台</t>
        </is>
      </c>
      <c r="M40" s="20" t="inlineStr">
        <is>
          <t>群信</t>
        </is>
      </c>
      <c r="N40" s="20" t="inlineStr"/>
      <c r="O40" s="20" t="inlineStr">
        <is>
          <t>11003</t>
        </is>
      </c>
      <c r="P40" s="20" t="inlineStr">
        <is>
          <t>11004</t>
        </is>
      </c>
      <c r="Q40" s="20" t="n">
        <v>55</v>
      </c>
      <c r="R40" s="20" t="inlineStr"/>
      <c r="S40" s="20" t="inlineStr"/>
      <c r="T40" s="20" t="inlineStr"/>
      <c r="U40" s="20" t="inlineStr">
        <is>
          <t>confirmed</t>
        </is>
      </c>
      <c r="V40" s="20" t="n">
        <v>100</v>
      </c>
      <c r="W40" s="20" t="inlineStr">
        <is>
          <t>价格分歧&gt;30%：历史报价分歧较大，需人工核对；同分多价：最高分候选存在不同历史价格</t>
        </is>
      </c>
      <c r="X40" s="20" t="inlineStr">
        <is>
          <t>赛特尔25年.xls｜初中新课标生物｜第54行</t>
        </is>
      </c>
    </row>
    <row r="41" ht="15.6" customHeight="1" s="16">
      <c r="A41" s="2" t="n">
        <v>39</v>
      </c>
      <c r="B41" s="2" t="inlineStr">
        <is>
          <t>红液温度计</t>
        </is>
      </c>
      <c r="C41" s="5" t="inlineStr">
        <is>
          <t>0 ℃～100 ℃，分度值 1 ℃，示值误差＜1.5 ℃</t>
        </is>
      </c>
      <c r="D41" s="1" t="inlineStr">
        <is>
          <t>支</t>
        </is>
      </c>
      <c r="E41" s="1" t="n">
        <v>26</v>
      </c>
      <c r="F41" s="3" t="inlineStr">
        <is>
          <t>群信</t>
        </is>
      </c>
      <c r="G41" s="1" t="n">
        <v>2</v>
      </c>
      <c r="H41" s="1">
        <f>G41*E41</f>
        <v/>
      </c>
      <c r="I41" s="20" t="n">
        <v>26</v>
      </c>
      <c r="J41" s="20" t="n">
        <v>2</v>
      </c>
      <c r="K41" s="20" t="n">
        <v>52</v>
      </c>
      <c r="L41" s="20" t="inlineStr">
        <is>
          <t>支</t>
        </is>
      </c>
      <c r="M41" s="20" t="inlineStr"/>
      <c r="N41" s="20" t="inlineStr"/>
      <c r="O41" s="20" t="inlineStr"/>
      <c r="P41" s="20" t="inlineStr"/>
      <c r="Q41" s="20" t="n">
        <v>3</v>
      </c>
      <c r="R41" s="20" t="inlineStr"/>
      <c r="S41" s="20" t="n">
        <v>180</v>
      </c>
      <c r="T41" s="20" t="inlineStr"/>
      <c r="U41" s="20" t="inlineStr">
        <is>
          <t>confirmed</t>
        </is>
      </c>
      <c r="V41" s="20" t="n">
        <v>100</v>
      </c>
      <c r="W41" s="20" t="inlineStr">
        <is>
          <t>价格分歧&gt;30%：历史报价分歧较大，需人工核对；同分多价：最高分候选存在不同历史价格</t>
        </is>
      </c>
      <c r="X41" s="20" t="inlineStr">
        <is>
          <t>赛特尔25年.xls｜初中新课标生物｜第59行</t>
        </is>
      </c>
    </row>
    <row r="42" ht="15.6" customHeight="1" s="16">
      <c r="A42" s="2" t="n">
        <v>40</v>
      </c>
      <c r="B42" s="2" t="inlineStr">
        <is>
          <t>数字测温计</t>
        </is>
      </c>
      <c r="C42" s="5" t="inlineStr">
        <is>
          <t>量程-30 ℃～200 ℃，分辨力 0.1 ℃。不接电脑，可独立运行，自带显示屏</t>
        </is>
      </c>
      <c r="D42" s="1" t="inlineStr">
        <is>
          <t>台</t>
        </is>
      </c>
      <c r="E42" s="1" t="n">
        <v>1</v>
      </c>
      <c r="F42" s="3" t="inlineStr">
        <is>
          <t>群信</t>
        </is>
      </c>
      <c r="G42" s="1" t="n">
        <v>40</v>
      </c>
      <c r="H42" s="1">
        <f>G42*E42</f>
        <v/>
      </c>
      <c r="I42" s="20" t="n">
        <v>1</v>
      </c>
      <c r="J42" s="20" t="n">
        <v>150</v>
      </c>
      <c r="K42" s="20" t="n">
        <v>150</v>
      </c>
      <c r="L42" s="20" t="inlineStr">
        <is>
          <t>台</t>
        </is>
      </c>
      <c r="M42" s="20" t="inlineStr"/>
      <c r="N42" s="20" t="inlineStr"/>
      <c r="O42" s="20" t="inlineStr"/>
      <c r="P42" s="20" t="inlineStr"/>
      <c r="Q42" s="20" t="n">
        <v>200</v>
      </c>
      <c r="R42" s="20" t="inlineStr"/>
      <c r="S42" s="20" t="inlineStr"/>
      <c r="T42" s="20" t="inlineStr"/>
      <c r="U42" s="20" t="inlineStr">
        <is>
          <t>confirmed</t>
        </is>
      </c>
      <c r="V42" s="20" t="n">
        <v>100</v>
      </c>
      <c r="W42" s="20" t="inlineStr">
        <is>
          <t>同分多价：最高分候选存在不同历史价格</t>
        </is>
      </c>
      <c r="X42" s="20" t="inlineStr">
        <is>
          <t>赛特尔25年.xls｜初中化学｜第41行</t>
        </is>
      </c>
    </row>
    <row r="43" ht="15.6" customHeight="1" s="16">
      <c r="A43" s="2" t="n">
        <v>41</v>
      </c>
      <c r="B43" s="2" t="inlineStr">
        <is>
          <t>电子秒表</t>
        </is>
      </c>
      <c r="C43" s="5" t="inlineStr">
        <is>
          <t>0.1 s</t>
        </is>
      </c>
      <c r="D43" s="1" t="inlineStr">
        <is>
          <t>个</t>
        </is>
      </c>
      <c r="E43" s="1" t="n">
        <v>26</v>
      </c>
      <c r="F43" s="3" t="inlineStr">
        <is>
          <t>群信</t>
        </is>
      </c>
      <c r="G43" s="1" t="n">
        <v>14</v>
      </c>
      <c r="H43" s="1">
        <f>G43*E43</f>
        <v/>
      </c>
      <c r="I43" s="20" t="n">
        <v>26</v>
      </c>
      <c r="J43" s="20" t="n">
        <v>14</v>
      </c>
      <c r="K43" s="20" t="n">
        <v>364</v>
      </c>
      <c r="L43" s="20" t="inlineStr">
        <is>
          <t>个</t>
        </is>
      </c>
      <c r="M43" s="20" t="inlineStr"/>
      <c r="N43" s="20" t="inlineStr"/>
      <c r="O43" s="20" t="inlineStr"/>
      <c r="P43" s="20" t="inlineStr">
        <is>
          <t>专用型，全时段分辨力 0.01 s；有防震、防水功能，电池更换周期≥1.5 年</t>
        </is>
      </c>
      <c r="Q43" s="20" t="inlineStr"/>
      <c r="R43" s="20" t="inlineStr"/>
      <c r="S43" s="20" t="inlineStr"/>
      <c r="T43" s="20" t="inlineStr"/>
      <c r="U43" s="20" t="inlineStr">
        <is>
          <t>confirmed</t>
        </is>
      </c>
      <c r="V43" s="20" t="n">
        <v>100</v>
      </c>
      <c r="W43" s="20" t="inlineStr"/>
      <c r="X43" s="20" t="inlineStr">
        <is>
          <t>赛特尔25年.xls｜初中新课标生物｜第58行</t>
        </is>
      </c>
    </row>
    <row r="44" ht="15.6" customHeight="1" s="16">
      <c r="A44" s="2" t="n">
        <v>42</v>
      </c>
      <c r="B44" s="2" t="inlineStr">
        <is>
          <t>多用电表</t>
        </is>
      </c>
      <c r="C44" s="5" t="inlineStr">
        <is>
          <t>直流电流、电压、电阻 2.5 级，交流电压 5级</t>
        </is>
      </c>
      <c r="D44" s="1" t="inlineStr">
        <is>
          <t>只</t>
        </is>
      </c>
      <c r="E44" s="1" t="n">
        <v>1</v>
      </c>
      <c r="F44" s="3" t="inlineStr">
        <is>
          <t>南京科华</t>
        </is>
      </c>
      <c r="G44" s="1" t="n">
        <v>68</v>
      </c>
      <c r="H44" s="1">
        <f>G44*E44</f>
        <v/>
      </c>
      <c r="I44" s="20" t="n">
        <v>1</v>
      </c>
      <c r="J44" s="20" t="n">
        <v>65</v>
      </c>
      <c r="K44" s="20" t="n">
        <v>65</v>
      </c>
      <c r="L44" s="20" t="inlineStr">
        <is>
          <t>只</t>
        </is>
      </c>
      <c r="M44" s="20" t="inlineStr"/>
      <c r="N44" s="20" t="inlineStr"/>
      <c r="O44" s="20" t="inlineStr"/>
      <c r="P44" s="20" t="inlineStr"/>
      <c r="Q44" s="20" t="inlineStr"/>
      <c r="R44" s="20" t="inlineStr"/>
      <c r="S44" s="20" t="inlineStr"/>
      <c r="T44" s="20" t="inlineStr"/>
      <c r="U44" s="20" t="inlineStr">
        <is>
          <t>confirmed</t>
        </is>
      </c>
      <c r="V44" s="20" t="n">
        <v>0</v>
      </c>
      <c r="W44" s="20" t="inlineStr">
        <is>
          <t>没有找到可靠候选</t>
        </is>
      </c>
      <c r="X44" s="20" t="inlineStr">
        <is>
          <t>高中理化生报价.xlsx｜凯迪｜第95行</t>
        </is>
      </c>
    </row>
    <row r="45" ht="15.6" customHeight="1" s="16">
      <c r="A45" s="2" t="n">
        <v>43</v>
      </c>
      <c r="B45" s="2" t="inlineStr">
        <is>
          <t>直流电流表</t>
        </is>
      </c>
      <c r="C45" s="5" t="inlineStr">
        <is>
          <t>2.5 级，0.6 A，3 A</t>
        </is>
      </c>
      <c r="D45" s="1" t="inlineStr">
        <is>
          <t>只</t>
        </is>
      </c>
      <c r="E45" s="1" t="n">
        <v>26</v>
      </c>
      <c r="F45" s="3" t="inlineStr">
        <is>
          <t>群信</t>
        </is>
      </c>
      <c r="G45" s="1" t="n">
        <v>17</v>
      </c>
      <c r="H45" s="1">
        <f>G45*E45</f>
        <v/>
      </c>
      <c r="I45" s="20" t="n">
        <v>26</v>
      </c>
      <c r="J45" s="20" t="n">
        <v>17</v>
      </c>
      <c r="K45" s="20" t="n">
        <v>442</v>
      </c>
      <c r="L45" s="20" t="inlineStr">
        <is>
          <t>只</t>
        </is>
      </c>
      <c r="M45" s="20" t="inlineStr"/>
      <c r="N45" s="20" t="inlineStr"/>
      <c r="O45" s="20" t="inlineStr"/>
      <c r="P45" s="20" t="inlineStr"/>
      <c r="Q45" s="20" t="inlineStr"/>
      <c r="R45" s="20" t="inlineStr"/>
      <c r="S45" s="20" t="inlineStr"/>
      <c r="T45" s="20" t="inlineStr"/>
      <c r="U45" s="20" t="inlineStr">
        <is>
          <t>confirmed</t>
        </is>
      </c>
      <c r="V45" s="20" t="n">
        <v>0</v>
      </c>
      <c r="W45" s="20" t="inlineStr">
        <is>
          <t>没有找到可靠候选</t>
        </is>
      </c>
      <c r="X45" s="20" t="inlineStr">
        <is>
          <t>赛特尔25年.xls｜初中物理｜第91行</t>
        </is>
      </c>
    </row>
    <row r="46" ht="15.6" customHeight="1" s="16">
      <c r="A46" s="2" t="n">
        <v>44</v>
      </c>
      <c r="B46" s="2" t="inlineStr">
        <is>
          <t>灵敏电流计</t>
        </is>
      </c>
      <c r="C46" s="5" t="inlineStr">
        <is>
          <t>±300 μA</t>
        </is>
      </c>
      <c r="D46" s="1" t="inlineStr">
        <is>
          <t>个</t>
        </is>
      </c>
      <c r="E46" s="1" t="n">
        <v>26</v>
      </c>
      <c r="F46" s="3" t="inlineStr">
        <is>
          <t>群信</t>
        </is>
      </c>
      <c r="G46" s="1" t="n">
        <v>17</v>
      </c>
      <c r="H46" s="1">
        <f>G46*E46</f>
        <v/>
      </c>
      <c r="I46" s="20" t="n">
        <v>26</v>
      </c>
      <c r="J46" s="20" t="n">
        <v>17</v>
      </c>
      <c r="K46" s="20" t="n">
        <v>442</v>
      </c>
      <c r="L46" s="20" t="inlineStr">
        <is>
          <t>个</t>
        </is>
      </c>
      <c r="M46" s="20" t="inlineStr"/>
      <c r="N46" s="20" t="inlineStr"/>
      <c r="O46" s="20" t="inlineStr"/>
      <c r="P46" s="20" t="inlineStr"/>
      <c r="Q46" s="20" t="inlineStr"/>
      <c r="R46" s="20" t="inlineStr"/>
      <c r="S46" s="20" t="inlineStr"/>
      <c r="T46" s="20" t="inlineStr"/>
      <c r="U46" s="20" t="inlineStr">
        <is>
          <t>confirmed</t>
        </is>
      </c>
      <c r="V46" s="20" t="n">
        <v>0</v>
      </c>
      <c r="W46" s="20" t="inlineStr">
        <is>
          <t>没有找到可靠候选</t>
        </is>
      </c>
      <c r="X46" s="20" t="inlineStr">
        <is>
          <t>赛特尔25年.xls｜初中新课标物理｜第394行</t>
        </is>
      </c>
    </row>
    <row r="47" ht="15.6" customHeight="1" s="16">
      <c r="A47" s="2" t="n">
        <v>45</v>
      </c>
      <c r="B47" s="2" t="inlineStr">
        <is>
          <t>演示电流电压表</t>
        </is>
      </c>
      <c r="C47" s="5" t="inlineStr">
        <is>
          <t>2.5 级</t>
        </is>
      </c>
      <c r="D47" s="1" t="inlineStr">
        <is>
          <t>台</t>
        </is>
      </c>
      <c r="E47" s="1" t="n">
        <v>1</v>
      </c>
      <c r="F47" s="3" t="inlineStr">
        <is>
          <t>三磊</t>
        </is>
      </c>
      <c r="G47" s="1" t="n">
        <v>200</v>
      </c>
      <c r="H47" s="1">
        <f>G47*E47</f>
        <v/>
      </c>
      <c r="I47" s="20" t="n">
        <v>1</v>
      </c>
      <c r="J47" s="20" t="n">
        <v>200</v>
      </c>
      <c r="K47" s="20" t="n">
        <v>200</v>
      </c>
      <c r="L47" s="20" t="inlineStr">
        <is>
          <t>台</t>
        </is>
      </c>
      <c r="M47" s="20" t="inlineStr">
        <is>
          <t>三磊</t>
        </is>
      </c>
      <c r="N47" s="20" t="inlineStr"/>
      <c r="O47" s="20" t="inlineStr">
        <is>
          <t>15016</t>
        </is>
      </c>
      <c r="P47" s="20" t="inlineStr">
        <is>
          <t>15016</t>
        </is>
      </c>
      <c r="Q47" s="20" t="inlineStr"/>
      <c r="R47" s="20" t="inlineStr"/>
      <c r="S47" s="20" t="inlineStr"/>
      <c r="T47" s="20" t="inlineStr"/>
      <c r="U47" s="20" t="inlineStr">
        <is>
          <t>confirmed</t>
        </is>
      </c>
      <c r="V47" s="20" t="n">
        <v>100</v>
      </c>
      <c r="W47" s="20" t="inlineStr"/>
      <c r="X47" s="20" t="inlineStr">
        <is>
          <t>高中理化生报价.xlsx｜凯迪｜第99行</t>
        </is>
      </c>
    </row>
    <row r="48" ht="31.2" customHeight="1" s="16">
      <c r="A48" s="2" t="n">
        <v>46</v>
      </c>
      <c r="B48" s="2" t="inlineStr">
        <is>
          <t>教学支架</t>
        </is>
      </c>
      <c r="C48" s="5" t="inlineStr">
        <is>
          <t>包括方形座，立杆，平行夹，垂直夹两个，烧瓶夹，大铁环，小铁环，吊杆。重心稳定不晃动，烧瓶夹内侧应有缓压层</t>
        </is>
      </c>
      <c r="D48" s="1" t="inlineStr">
        <is>
          <t>套</t>
        </is>
      </c>
      <c r="E48" s="1" t="n">
        <v>26</v>
      </c>
      <c r="F48" s="3" t="inlineStr">
        <is>
          <t>群信</t>
        </is>
      </c>
      <c r="G48" s="1" t="n">
        <v>36</v>
      </c>
      <c r="H48" s="1">
        <f>G48*E48</f>
        <v/>
      </c>
      <c r="I48" s="20" t="n">
        <v>26</v>
      </c>
      <c r="J48" s="20" t="n">
        <v>36</v>
      </c>
      <c r="K48" s="20" t="n">
        <v>936</v>
      </c>
      <c r="L48" s="20" t="inlineStr">
        <is>
          <t>套</t>
        </is>
      </c>
      <c r="M48" s="20" t="inlineStr"/>
      <c r="N48" s="20" t="inlineStr"/>
      <c r="O48" s="20" t="inlineStr"/>
      <c r="P48" s="20" t="inlineStr">
        <is>
          <t>方形座,含铁夹、复夹、铁圈，重心稳定不晃动，夹持器内侧应有垫衬</t>
        </is>
      </c>
      <c r="Q48" s="20" t="inlineStr"/>
      <c r="R48" s="20" t="inlineStr"/>
      <c r="S48" s="20" t="inlineStr"/>
      <c r="T48" s="20" t="inlineStr"/>
      <c r="U48" s="20" t="inlineStr">
        <is>
          <t>confirmed</t>
        </is>
      </c>
      <c r="V48" s="20" t="n">
        <v>100</v>
      </c>
      <c r="W48" s="20" t="inlineStr"/>
      <c r="X48" s="20" t="inlineStr">
        <is>
          <t>赛特尔25年.xls｜初中新课标生物｜第77行</t>
        </is>
      </c>
    </row>
    <row r="49" ht="15.6" customHeight="1" s="16">
      <c r="A49" s="2" t="n">
        <v>47</v>
      </c>
      <c r="B49" s="2" t="inlineStr">
        <is>
          <t>三脚架</t>
        </is>
      </c>
      <c r="C49" s="5" t="inlineStr">
        <is>
          <t>铁制，环内径 75 mm，高 150 mm</t>
        </is>
      </c>
      <c r="D49" s="1" t="inlineStr">
        <is>
          <t>个</t>
        </is>
      </c>
      <c r="E49" s="1" t="n">
        <v>26</v>
      </c>
      <c r="F49" s="3" t="inlineStr">
        <is>
          <t>群信</t>
        </is>
      </c>
      <c r="G49" s="1" t="n">
        <v>5</v>
      </c>
      <c r="H49" s="1">
        <f>G49*E49</f>
        <v/>
      </c>
      <c r="I49" s="20" t="n">
        <v>26</v>
      </c>
      <c r="J49" s="20" t="n">
        <v>5</v>
      </c>
      <c r="K49" s="20" t="n">
        <v>130</v>
      </c>
      <c r="L49" s="20" t="inlineStr">
        <is>
          <t>个</t>
        </is>
      </c>
      <c r="M49" s="20" t="inlineStr"/>
      <c r="N49" s="20" t="inlineStr"/>
      <c r="O49" s="20" t="inlineStr"/>
      <c r="P49" s="20" t="inlineStr"/>
      <c r="Q49" s="20" t="n">
        <v>5</v>
      </c>
      <c r="R49" s="20" t="inlineStr"/>
      <c r="S49" s="20" t="n">
        <v>5.5</v>
      </c>
      <c r="T49" s="20" t="inlineStr"/>
      <c r="U49" s="20" t="inlineStr">
        <is>
          <t>confirmed</t>
        </is>
      </c>
      <c r="V49" s="20" t="n">
        <v>100</v>
      </c>
      <c r="W49" s="20" t="inlineStr"/>
      <c r="X49" s="20" t="inlineStr">
        <is>
          <t>赛特尔25年.xls｜初中新课标生物｜第78行</t>
        </is>
      </c>
    </row>
    <row r="50" ht="15.6" customHeight="1" s="16">
      <c r="A50" s="2" t="n">
        <v>48</v>
      </c>
      <c r="B50" s="2" t="inlineStr">
        <is>
          <t>泥三角</t>
        </is>
      </c>
      <c r="C50" s="5" t="inlineStr">
        <is>
          <t>陶制或者瓷制，内径应保证稳定支撑 30 mm坩埚</t>
        </is>
      </c>
      <c r="D50" s="1" t="inlineStr">
        <is>
          <t>个</t>
        </is>
      </c>
      <c r="E50" s="1" t="n">
        <v>26</v>
      </c>
      <c r="F50" s="3" t="inlineStr">
        <is>
          <t>群信</t>
        </is>
      </c>
      <c r="G50" s="1" t="n">
        <v>2</v>
      </c>
      <c r="H50" s="1">
        <f>G50*E50</f>
        <v/>
      </c>
      <c r="I50" s="20" t="n">
        <v>26</v>
      </c>
      <c r="J50" s="20" t="n">
        <v>2</v>
      </c>
      <c r="K50" s="20" t="n">
        <v>52</v>
      </c>
      <c r="L50" s="20" t="inlineStr">
        <is>
          <t>个</t>
        </is>
      </c>
      <c r="M50" s="20" t="inlineStr"/>
      <c r="N50" s="20" t="inlineStr"/>
      <c r="O50" s="20" t="inlineStr"/>
      <c r="P50" s="20" t="inlineStr"/>
      <c r="Q50" s="20" t="n">
        <v>2</v>
      </c>
      <c r="R50" s="20" t="inlineStr"/>
      <c r="S50" s="20" t="n">
        <v>2.5</v>
      </c>
      <c r="T50" s="20" t="inlineStr"/>
      <c r="U50" s="20" t="inlineStr">
        <is>
          <t>confirmed</t>
        </is>
      </c>
      <c r="V50" s="20" t="n">
        <v>100</v>
      </c>
      <c r="W50" s="20" t="inlineStr">
        <is>
          <t>价格分歧&gt;30%：历史报价分歧较大，需人工核对</t>
        </is>
      </c>
      <c r="X50" s="20" t="inlineStr">
        <is>
          <t>赛特尔25年.xls｜初中新课标化学｜第52行</t>
        </is>
      </c>
    </row>
    <row r="51" ht="31.2" customHeight="1" s="16">
      <c r="A51" s="2" t="n">
        <v>49</v>
      </c>
      <c r="B51" s="2" t="inlineStr">
        <is>
          <t>试管架</t>
        </is>
      </c>
      <c r="C51" s="5" t="inlineStr">
        <is>
          <t>木制或塑料制，8 孔，孔径 21 mm，立柱粘结牢固，提供具有第三方质量检测机构检测报告复印件</t>
        </is>
      </c>
      <c r="D51" s="1" t="inlineStr">
        <is>
          <t>个</t>
        </is>
      </c>
      <c r="E51" s="1" t="n">
        <v>26</v>
      </c>
      <c r="F51" s="3" t="inlineStr">
        <is>
          <t>群信</t>
        </is>
      </c>
      <c r="G51" s="1" t="n">
        <v>6</v>
      </c>
      <c r="H51" s="1">
        <f>G51*E51</f>
        <v/>
      </c>
      <c r="I51" s="20" t="n">
        <v>26</v>
      </c>
      <c r="J51" s="20" t="n">
        <v>0.5</v>
      </c>
      <c r="K51" s="20" t="n">
        <v>13</v>
      </c>
      <c r="L51" s="20" t="inlineStr">
        <is>
          <t>个</t>
        </is>
      </c>
      <c r="M51" s="20" t="inlineStr"/>
      <c r="N51" s="20" t="inlineStr"/>
      <c r="O51" s="20" t="inlineStr"/>
      <c r="P51" s="20" t="inlineStr"/>
      <c r="Q51" s="20" t="n">
        <v>0.7</v>
      </c>
      <c r="R51" s="20" t="inlineStr"/>
      <c r="S51" s="20" t="n">
        <v>6</v>
      </c>
      <c r="T51" s="20" t="inlineStr"/>
      <c r="U51" s="20" t="inlineStr">
        <is>
          <t>confirmed</t>
        </is>
      </c>
      <c r="V51" s="20" t="n">
        <v>100</v>
      </c>
      <c r="W51" s="20" t="inlineStr">
        <is>
          <t>价格分歧&gt;30%：历史报价分歧较大，需人工核对；同分多价：最高分候选存在不同历史价格</t>
        </is>
      </c>
      <c r="X51" s="20" t="inlineStr">
        <is>
          <t>高中理化生报价.xlsx｜凯迪｜第1803行</t>
        </is>
      </c>
    </row>
    <row r="52" ht="31.2" customHeight="1" s="16">
      <c r="A52" s="2" t="n">
        <v>50</v>
      </c>
      <c r="B52" s="22" t="n"/>
      <c r="C52" s="5" t="inlineStr">
        <is>
          <t>木制或塑料制，8 孔，孔径 25 mm，提供具有第三方质量检测机构检测报告复印件</t>
        </is>
      </c>
      <c r="D52" s="1" t="inlineStr">
        <is>
          <t>个</t>
        </is>
      </c>
      <c r="E52" s="1" t="n">
        <v>4</v>
      </c>
      <c r="F52" s="3" t="inlineStr">
        <is>
          <t>群信</t>
        </is>
      </c>
      <c r="G52" s="1" t="n">
        <v>6</v>
      </c>
      <c r="H52" s="1">
        <f>G52*E52</f>
        <v/>
      </c>
      <c r="I52" s="20" t="n">
        <v>4</v>
      </c>
      <c r="J52" s="20" t="n">
        <v>0.5</v>
      </c>
      <c r="K52" s="20" t="n">
        <v>2</v>
      </c>
      <c r="L52" s="20" t="inlineStr">
        <is>
          <t>个</t>
        </is>
      </c>
      <c r="M52" s="20" t="inlineStr"/>
      <c r="N52" s="20" t="inlineStr"/>
      <c r="O52" s="20" t="inlineStr"/>
      <c r="P52" s="20" t="inlineStr"/>
      <c r="Q52" s="20" t="n">
        <v>0.7</v>
      </c>
      <c r="R52" s="20" t="inlineStr"/>
      <c r="S52" s="20" t="n">
        <v>6</v>
      </c>
      <c r="T52" s="20" t="inlineStr"/>
      <c r="U52" s="20" t="inlineStr">
        <is>
          <t>confirmed</t>
        </is>
      </c>
      <c r="V52" s="20" t="n">
        <v>100</v>
      </c>
      <c r="W52" s="20" t="inlineStr">
        <is>
          <t>价格分歧&gt;30%：历史报价分歧较大，需人工核对；同分多价：最高分候选存在不同历史价格</t>
        </is>
      </c>
      <c r="X52" s="20" t="inlineStr">
        <is>
          <t>高中理化生报价.xlsx｜凯迪｜第1803行</t>
        </is>
      </c>
    </row>
    <row r="53" ht="31.2" customHeight="1" s="16">
      <c r="A53" s="2" t="n">
        <v>51</v>
      </c>
      <c r="B53" s="21" t="n"/>
      <c r="C53" s="5" t="inlineStr">
        <is>
          <t>木制或塑料制，8 孔，孔径 35 mm，提供具有第三方质量检测机构检测报告复印件</t>
        </is>
      </c>
      <c r="D53" s="1" t="inlineStr">
        <is>
          <t>个</t>
        </is>
      </c>
      <c r="E53" s="1" t="n">
        <v>4</v>
      </c>
      <c r="F53" s="3" t="inlineStr">
        <is>
          <t>群信</t>
        </is>
      </c>
      <c r="G53" s="1" t="n">
        <v>22</v>
      </c>
      <c r="H53" s="1">
        <f>G53*E53</f>
        <v/>
      </c>
      <c r="I53" s="20" t="n">
        <v>4</v>
      </c>
      <c r="J53" s="20" t="n">
        <v>0.5</v>
      </c>
      <c r="K53" s="20" t="n">
        <v>2</v>
      </c>
      <c r="L53" s="20" t="inlineStr">
        <is>
          <t>个</t>
        </is>
      </c>
      <c r="M53" s="20" t="inlineStr"/>
      <c r="N53" s="20" t="inlineStr"/>
      <c r="O53" s="20" t="inlineStr"/>
      <c r="P53" s="20" t="inlineStr"/>
      <c r="Q53" s="20" t="n">
        <v>0.7</v>
      </c>
      <c r="R53" s="20" t="inlineStr"/>
      <c r="S53" s="20" t="n">
        <v>6</v>
      </c>
      <c r="T53" s="20" t="inlineStr"/>
      <c r="U53" s="20" t="inlineStr">
        <is>
          <t>confirmed</t>
        </is>
      </c>
      <c r="V53" s="20" t="n">
        <v>100</v>
      </c>
      <c r="W53" s="20" t="inlineStr">
        <is>
          <t>价格分歧&gt;30%：历史报价分歧较大，需人工核对；同分多价：最高分候选存在不同历史价格</t>
        </is>
      </c>
      <c r="X53" s="20" t="inlineStr">
        <is>
          <t>高中理化生报价.xlsx｜凯迪｜第1803行</t>
        </is>
      </c>
    </row>
    <row r="54" ht="15.6" customHeight="1" s="16">
      <c r="A54" s="2" t="n">
        <v>52</v>
      </c>
      <c r="B54" s="2" t="inlineStr">
        <is>
          <t>漏斗架</t>
        </is>
      </c>
      <c r="C54" s="5" t="inlineStr">
        <is>
          <t>木制或塑料制</t>
        </is>
      </c>
      <c r="D54" s="1" t="inlineStr">
        <is>
          <t>个</t>
        </is>
      </c>
      <c r="E54" s="1" t="n">
        <v>1</v>
      </c>
      <c r="F54" s="3" t="inlineStr">
        <is>
          <t>群信</t>
        </is>
      </c>
      <c r="G54" s="1" t="n">
        <v>12</v>
      </c>
      <c r="H54" s="1">
        <f>G54*E54</f>
        <v/>
      </c>
      <c r="I54" s="20" t="n">
        <v>1</v>
      </c>
      <c r="J54" s="20" t="n">
        <v>4</v>
      </c>
      <c r="K54" s="20" t="n">
        <v>4</v>
      </c>
      <c r="L54" s="20" t="inlineStr">
        <is>
          <t>个</t>
        </is>
      </c>
      <c r="M54" s="20" t="inlineStr"/>
      <c r="N54" s="20" t="inlineStr"/>
      <c r="O54" s="20" t="inlineStr"/>
      <c r="P54" s="20" t="inlineStr"/>
      <c r="Q54" s="20" t="n">
        <v>6</v>
      </c>
      <c r="R54" s="20" t="inlineStr"/>
      <c r="S54" s="20" t="n">
        <v>11</v>
      </c>
      <c r="T54" s="20" t="inlineStr"/>
      <c r="U54" s="20" t="inlineStr">
        <is>
          <t>confirmed</t>
        </is>
      </c>
      <c r="V54" s="20" t="n">
        <v>100</v>
      </c>
      <c r="W54" s="20" t="inlineStr">
        <is>
          <t>价格分歧&gt;30%：历史报价分歧较大，需人工核对；同分多价：最高分候选存在不同历史价格</t>
        </is>
      </c>
      <c r="X54" s="20" t="inlineStr">
        <is>
          <t>赛特尔25年.xls｜初中生物｜第226行</t>
        </is>
      </c>
    </row>
    <row r="55" ht="15.6" customHeight="1" s="16">
      <c r="A55" s="2" t="n">
        <v>53</v>
      </c>
      <c r="B55" s="2" t="inlineStr">
        <is>
          <t>滴定台</t>
        </is>
      </c>
      <c r="C55" s="5" t="inlineStr">
        <is>
          <t>人造石或大理石白色台面，重心稳定不晃动，底部有四个橡胶垫脚</t>
        </is>
      </c>
      <c r="D55" s="1" t="inlineStr">
        <is>
          <t>个</t>
        </is>
      </c>
      <c r="E55" s="1" t="n">
        <v>26</v>
      </c>
      <c r="F55" s="3" t="inlineStr">
        <is>
          <t>群信</t>
        </is>
      </c>
      <c r="G55" s="1" t="n">
        <v>32</v>
      </c>
      <c r="H55" s="1">
        <f>G55*E55</f>
        <v/>
      </c>
      <c r="I55" s="20" t="n">
        <v>26</v>
      </c>
      <c r="J55" s="20" t="n">
        <v>1.5</v>
      </c>
      <c r="K55" s="20" t="n">
        <v>39</v>
      </c>
      <c r="L55" s="20" t="inlineStr">
        <is>
          <t>个</t>
        </is>
      </c>
      <c r="M55" s="20" t="inlineStr"/>
      <c r="N55" s="20" t="inlineStr"/>
      <c r="O55" s="20" t="inlineStr"/>
      <c r="P55" s="20" t="inlineStr"/>
      <c r="Q55" s="20" t="n">
        <v>32</v>
      </c>
      <c r="R55" s="20" t="inlineStr"/>
      <c r="S55" s="20" t="n">
        <v>32</v>
      </c>
      <c r="T55" s="20" t="inlineStr"/>
      <c r="U55" s="20" t="inlineStr">
        <is>
          <t>confirmed</t>
        </is>
      </c>
      <c r="V55" s="20" t="n">
        <v>100</v>
      </c>
      <c r="W55" s="20" t="inlineStr">
        <is>
          <t>价格分歧&gt;30%：历史报价分歧较大，需人工核对；同分多价：最高分候选存在不同历史价格</t>
        </is>
      </c>
      <c r="X55" s="20" t="inlineStr">
        <is>
          <t>高中理化生报价.xlsx｜凯迪｜第1094行</t>
        </is>
      </c>
    </row>
    <row r="56" ht="15.6" customHeight="1" s="16">
      <c r="A56" s="2" t="n">
        <v>54</v>
      </c>
      <c r="B56" s="2" t="inlineStr">
        <is>
          <t>滴定夹</t>
        </is>
      </c>
      <c r="C56" s="5" t="inlineStr">
        <is>
          <t>铝制，加持部位有防滑脱凹槽</t>
        </is>
      </c>
      <c r="D56" s="1" t="inlineStr">
        <is>
          <t>个</t>
        </is>
      </c>
      <c r="E56" s="1" t="n">
        <v>26</v>
      </c>
      <c r="F56" s="3" t="inlineStr">
        <is>
          <t>群信</t>
        </is>
      </c>
      <c r="G56" s="1" t="n">
        <v>12</v>
      </c>
      <c r="H56" s="1">
        <f>G56*E56</f>
        <v/>
      </c>
      <c r="I56" s="20" t="n">
        <v>26</v>
      </c>
      <c r="J56" s="20" t="n">
        <v>12</v>
      </c>
      <c r="K56" s="20" t="n">
        <v>312</v>
      </c>
      <c r="L56" s="20" t="inlineStr">
        <is>
          <t>个</t>
        </is>
      </c>
      <c r="M56" s="20" t="inlineStr"/>
      <c r="N56" s="20" t="inlineStr"/>
      <c r="O56" s="20" t="inlineStr"/>
      <c r="P56" s="20" t="inlineStr"/>
      <c r="Q56" s="20" t="n">
        <v>12</v>
      </c>
      <c r="R56" s="20" t="inlineStr"/>
      <c r="S56" s="20" t="n">
        <v>13</v>
      </c>
      <c r="T56" s="20" t="inlineStr"/>
      <c r="U56" s="20" t="inlineStr">
        <is>
          <t>confirmed</t>
        </is>
      </c>
      <c r="V56" s="20" t="n">
        <v>100</v>
      </c>
      <c r="W56" s="20" t="inlineStr"/>
      <c r="X56" s="20" t="inlineStr">
        <is>
          <t>赛特尔25年.xls｜初中化学｜第31行</t>
        </is>
      </c>
    </row>
    <row r="57" ht="15.6" customHeight="1" s="16">
      <c r="A57" s="2" t="n">
        <v>55</v>
      </c>
      <c r="B57" s="2" t="inlineStr">
        <is>
          <t>多用滴管架</t>
        </is>
      </c>
      <c r="C57" s="5" t="inlineStr">
        <is>
          <t>塑料制，底部有圆形凹槽</t>
        </is>
      </c>
      <c r="D57" s="1" t="inlineStr">
        <is>
          <t>个</t>
        </is>
      </c>
      <c r="E57" s="1" t="n">
        <v>26</v>
      </c>
      <c r="F57" s="3" t="inlineStr">
        <is>
          <t>群信</t>
        </is>
      </c>
      <c r="G57" s="1" t="n">
        <v>5</v>
      </c>
      <c r="H57" s="1">
        <f>G57*E57</f>
        <v/>
      </c>
      <c r="I57" s="20" t="n">
        <v>26</v>
      </c>
      <c r="J57" s="20" t="n">
        <v>1</v>
      </c>
      <c r="K57" s="20" t="n">
        <v>26</v>
      </c>
      <c r="L57" s="20" t="inlineStr">
        <is>
          <t>个</t>
        </is>
      </c>
      <c r="M57" s="20" t="inlineStr"/>
      <c r="N57" s="20" t="inlineStr"/>
      <c r="O57" s="20" t="inlineStr"/>
      <c r="P57" s="20" t="inlineStr"/>
      <c r="Q57" s="20" t="n">
        <v>5</v>
      </c>
      <c r="R57" s="20" t="inlineStr"/>
      <c r="S57" s="20" t="n">
        <v>5</v>
      </c>
      <c r="T57" s="20" t="inlineStr"/>
      <c r="U57" s="20" t="inlineStr">
        <is>
          <t>confirmed</t>
        </is>
      </c>
      <c r="V57" s="20" t="n">
        <v>100</v>
      </c>
      <c r="W57" s="20" t="inlineStr">
        <is>
          <t>价格分歧&gt;30%：历史报价分歧较大，需人工核对；同分多价：最高分候选存在不同历史价格</t>
        </is>
      </c>
      <c r="X57" s="20" t="inlineStr">
        <is>
          <t>赛特尔25年.xls｜小学科学｜第166行</t>
        </is>
      </c>
    </row>
    <row r="58" ht="15.6" customHeight="1" s="16">
      <c r="A58" s="2" t="n">
        <v>165</v>
      </c>
      <c r="B58" s="2" t="inlineStr">
        <is>
          <t>坩埚</t>
        </is>
      </c>
      <c r="C58" s="5" t="inlineStr">
        <is>
          <t>瓷制，30 mL，耐热≥1200 ℃，内外壁光滑，外壁涂釉，配有坩埚盖</t>
        </is>
      </c>
      <c r="D58" s="1" t="inlineStr">
        <is>
          <t>个</t>
        </is>
      </c>
      <c r="E58" s="1" t="n">
        <v>60</v>
      </c>
      <c r="F58" s="3" t="inlineStr">
        <is>
          <t>群信</t>
        </is>
      </c>
      <c r="G58" s="1" t="n">
        <v>5</v>
      </c>
      <c r="H58" s="1">
        <f>G58*E58</f>
        <v/>
      </c>
      <c r="I58" s="20" t="n">
        <v>60</v>
      </c>
      <c r="J58" s="20" t="n">
        <v>3</v>
      </c>
      <c r="K58" s="20" t="n">
        <v>180</v>
      </c>
      <c r="L58" s="20" t="inlineStr">
        <is>
          <t>个</t>
        </is>
      </c>
      <c r="M58" s="20" t="inlineStr"/>
      <c r="N58" s="20" t="inlineStr"/>
      <c r="O58" s="20" t="inlineStr"/>
      <c r="P58" s="20" t="inlineStr"/>
      <c r="Q58" s="20" t="n">
        <v>3</v>
      </c>
      <c r="R58" s="20" t="inlineStr"/>
      <c r="S58" s="20" t="n">
        <v>3.3</v>
      </c>
      <c r="T58" s="20" t="inlineStr"/>
      <c r="U58" s="20" t="inlineStr">
        <is>
          <t>confirmed</t>
        </is>
      </c>
      <c r="V58" s="20" t="n">
        <v>100</v>
      </c>
      <c r="W58" s="20" t="inlineStr"/>
      <c r="X58" s="20" t="inlineStr">
        <is>
          <t>高中理化生报价.xlsx｜凯迪｜第1298行</t>
        </is>
      </c>
    </row>
    <row r="59" ht="15.6" customHeight="1" s="16">
      <c r="A59" s="2" t="n">
        <v>166</v>
      </c>
      <c r="B59" s="2" t="inlineStr">
        <is>
          <t>坩埚钳</t>
        </is>
      </c>
      <c r="C59" s="5" t="inlineStr">
        <is>
          <t>200 mm，钢制，中间弯曲部分内径应在 2cm～3 cm</t>
        </is>
      </c>
      <c r="D59" s="1" t="inlineStr">
        <is>
          <t>个</t>
        </is>
      </c>
      <c r="E59" s="1" t="n">
        <v>60</v>
      </c>
      <c r="F59" s="3" t="inlineStr">
        <is>
          <t>群信</t>
        </is>
      </c>
      <c r="G59" s="1" t="n">
        <v>5</v>
      </c>
      <c r="H59" s="1">
        <f>G59*E59</f>
        <v/>
      </c>
      <c r="I59" s="20" t="n">
        <v>60</v>
      </c>
      <c r="J59" s="20" t="n">
        <v>3</v>
      </c>
      <c r="K59" s="20" t="n">
        <v>180</v>
      </c>
      <c r="L59" s="20" t="inlineStr">
        <is>
          <t>个</t>
        </is>
      </c>
      <c r="M59" s="20" t="inlineStr"/>
      <c r="N59" s="20" t="inlineStr"/>
      <c r="O59" s="20" t="inlineStr"/>
      <c r="P59" s="20" t="inlineStr"/>
      <c r="Q59" s="20" t="n">
        <v>5</v>
      </c>
      <c r="R59" s="20" t="inlineStr"/>
      <c r="S59" s="20" t="n">
        <v>5</v>
      </c>
      <c r="T59" s="20" t="inlineStr"/>
      <c r="U59" s="20" t="inlineStr">
        <is>
          <t>confirmed</t>
        </is>
      </c>
      <c r="V59" s="20" t="n">
        <v>100</v>
      </c>
      <c r="W59" s="20" t="inlineStr">
        <is>
          <t>价格分歧&gt;30%：历史报价分歧较大，需人工核对；同分多价：最高分候选存在不同历史价格</t>
        </is>
      </c>
      <c r="X59" s="20" t="inlineStr">
        <is>
          <t>高中理化生报价.xlsx｜凯迪｜第1298行</t>
        </is>
      </c>
    </row>
    <row r="60" ht="15.6" customHeight="1" s="16">
      <c r="A60" s="2" t="n">
        <v>167</v>
      </c>
      <c r="B60" s="2" t="inlineStr">
        <is>
          <t>烧杯夹</t>
        </is>
      </c>
      <c r="C60" s="5" t="inlineStr">
        <is>
          <t>钢制或不锈钢制，夹持部位应有橡胶保护套，避免与玻璃烧杯直接接触</t>
        </is>
      </c>
      <c r="D60" s="1" t="inlineStr">
        <is>
          <t>个</t>
        </is>
      </c>
      <c r="E60" s="1" t="n">
        <v>4</v>
      </c>
      <c r="F60" s="3" t="inlineStr">
        <is>
          <t>群信</t>
        </is>
      </c>
      <c r="G60" s="1" t="n">
        <v>6</v>
      </c>
      <c r="H60" s="1">
        <f>G60*E60</f>
        <v/>
      </c>
      <c r="I60" s="20" t="n">
        <v>4</v>
      </c>
      <c r="J60" s="20" t="n">
        <v>2</v>
      </c>
      <c r="K60" s="20" t="n">
        <v>8</v>
      </c>
      <c r="L60" s="20" t="inlineStr">
        <is>
          <t>个</t>
        </is>
      </c>
      <c r="M60" s="20" t="inlineStr"/>
      <c r="N60" s="20" t="inlineStr"/>
      <c r="O60" s="20" t="inlineStr"/>
      <c r="P60" s="20" t="inlineStr"/>
      <c r="Q60" s="20" t="n">
        <v>5</v>
      </c>
      <c r="R60" s="20" t="inlineStr"/>
      <c r="S60" s="20" t="n">
        <v>5</v>
      </c>
      <c r="T60" s="20" t="inlineStr"/>
      <c r="U60" s="20" t="inlineStr">
        <is>
          <t>confirmed</t>
        </is>
      </c>
      <c r="V60" s="20" t="n">
        <v>100</v>
      </c>
      <c r="W60" s="20" t="inlineStr">
        <is>
          <t>价格分歧&gt;30%：历史报价分歧较大，需人工核对；同分多价：最高分候选存在不同历史价格</t>
        </is>
      </c>
      <c r="X60" s="20" t="inlineStr">
        <is>
          <t>高中理化生报价.xlsx｜凯迪｜第992行</t>
        </is>
      </c>
    </row>
    <row r="61" ht="15.6" customHeight="1" s="16">
      <c r="A61" s="2" t="n">
        <v>168</v>
      </c>
      <c r="B61" s="2" t="inlineStr">
        <is>
          <t>镊子</t>
        </is>
      </c>
      <c r="C61" s="5" t="inlineStr">
        <is>
          <t>不锈钢制，平头，长 125 mm，钢板厚 1.2 mm，前部应有防滑脱锯齿</t>
        </is>
      </c>
      <c r="D61" s="1" t="inlineStr">
        <is>
          <t>个</t>
        </is>
      </c>
      <c r="E61" s="1" t="n">
        <v>60</v>
      </c>
      <c r="F61" s="3" t="inlineStr">
        <is>
          <t>群信</t>
        </is>
      </c>
      <c r="G61" s="1" t="n">
        <v>2.5</v>
      </c>
      <c r="H61" s="1">
        <f>G61*E61</f>
        <v/>
      </c>
      <c r="I61" s="20" t="n">
        <v>60</v>
      </c>
      <c r="J61" s="20" t="n">
        <v>2.5</v>
      </c>
      <c r="K61" s="20" t="n">
        <v>150</v>
      </c>
      <c r="L61" s="20" t="inlineStr">
        <is>
          <t>个</t>
        </is>
      </c>
      <c r="M61" s="20" t="inlineStr"/>
      <c r="N61" s="20" t="inlineStr"/>
      <c r="O61" s="20" t="inlineStr"/>
      <c r="P61" s="20" t="inlineStr"/>
      <c r="Q61" s="20" t="n">
        <v>2.5</v>
      </c>
      <c r="R61" s="20" t="inlineStr"/>
      <c r="S61" s="20" t="n">
        <v>2.75</v>
      </c>
      <c r="T61" s="20" t="inlineStr"/>
      <c r="U61" s="20" t="inlineStr">
        <is>
          <t>confirmed</t>
        </is>
      </c>
      <c r="V61" s="20" t="n">
        <v>100</v>
      </c>
      <c r="W61" s="20" t="inlineStr"/>
      <c r="X61" s="20" t="inlineStr">
        <is>
          <t>赛特尔25年.xls｜初中新课标化学｜第138行</t>
        </is>
      </c>
    </row>
    <row r="62" ht="46.8" customHeight="1" s="16">
      <c r="A62" s="2" t="n">
        <v>169</v>
      </c>
      <c r="B62" s="2" t="inlineStr">
        <is>
          <t>试管夹</t>
        </is>
      </c>
      <c r="C62" s="5" t="inlineStr">
        <is>
          <t>木制或者竹制，长度≥200 mm，宽度约 20 mm，厚度约 20 mm。试管夹闭口缝≤1 mm，开口距离≥25 mm。毡块粘接牢固，试管夹弹簧作防锈处理。试管夹持部位圆弧内径≤15 mm</t>
        </is>
      </c>
      <c r="D62" s="1" t="inlineStr">
        <is>
          <t>个</t>
        </is>
      </c>
      <c r="E62" s="1" t="n">
        <v>60</v>
      </c>
      <c r="F62" s="3" t="inlineStr">
        <is>
          <t>群信</t>
        </is>
      </c>
      <c r="G62" s="1" t="n">
        <v>1</v>
      </c>
      <c r="H62" s="1">
        <f>G62*E62</f>
        <v/>
      </c>
      <c r="I62" s="20" t="n">
        <v>60</v>
      </c>
      <c r="J62" s="20" t="n">
        <v>1</v>
      </c>
      <c r="K62" s="20" t="n">
        <v>60</v>
      </c>
      <c r="L62" s="20" t="inlineStr">
        <is>
          <t>个</t>
        </is>
      </c>
      <c r="M62" s="20" t="inlineStr"/>
      <c r="N62" s="20" t="inlineStr"/>
      <c r="O62" s="20" t="inlineStr"/>
      <c r="P62" s="20" t="inlineStr"/>
      <c r="Q62" s="20" t="n">
        <v>1.1</v>
      </c>
      <c r="R62" s="20" t="inlineStr"/>
      <c r="S62" s="20" t="n">
        <v>1.1</v>
      </c>
      <c r="T62" s="20" t="inlineStr"/>
      <c r="U62" s="20" t="inlineStr">
        <is>
          <t>confirmed</t>
        </is>
      </c>
      <c r="V62" s="20" t="n">
        <v>100</v>
      </c>
      <c r="W62" s="20" t="inlineStr">
        <is>
          <t>同分多价：最高分候选存在不同历史价格</t>
        </is>
      </c>
      <c r="X62" s="20" t="inlineStr">
        <is>
          <t>赛特尔25年.xls｜小学科学｜第169行</t>
        </is>
      </c>
    </row>
    <row r="63" ht="15.6" customHeight="1" s="16">
      <c r="A63" s="2" t="n">
        <v>170</v>
      </c>
      <c r="B63" s="2" t="inlineStr">
        <is>
          <t>止水皮管夹</t>
        </is>
      </c>
      <c r="C63" s="5" t="inlineStr">
        <is>
          <t>Φ3 mm 钢丝制成，作防锈处理，夹持角度≥60º</t>
        </is>
      </c>
      <c r="D63" s="1" t="inlineStr">
        <is>
          <t>个</t>
        </is>
      </c>
      <c r="E63" s="1" t="n">
        <v>60</v>
      </c>
      <c r="F63" s="3" t="inlineStr">
        <is>
          <t>群信</t>
        </is>
      </c>
      <c r="G63" s="1" t="n">
        <v>1.2</v>
      </c>
      <c r="H63" s="1">
        <f>G63*E63</f>
        <v/>
      </c>
      <c r="I63" s="20" t="n">
        <v>60</v>
      </c>
      <c r="J63" s="20" t="n">
        <v>1.1</v>
      </c>
      <c r="K63" s="20" t="n">
        <v>66</v>
      </c>
      <c r="L63" s="20" t="inlineStr">
        <is>
          <t>个</t>
        </is>
      </c>
      <c r="M63" s="20" t="inlineStr"/>
      <c r="N63" s="20" t="inlineStr"/>
      <c r="O63" s="20" t="inlineStr"/>
      <c r="P63" s="20" t="inlineStr"/>
      <c r="Q63" s="20" t="n">
        <v>1.1</v>
      </c>
      <c r="R63" s="20" t="inlineStr"/>
      <c r="S63" s="20" t="n">
        <v>1.21</v>
      </c>
      <c r="T63" s="20" t="inlineStr"/>
      <c r="U63" s="20" t="inlineStr">
        <is>
          <t>confirmed</t>
        </is>
      </c>
      <c r="V63" s="20" t="n">
        <v>80</v>
      </c>
      <c r="W63" s="20" t="inlineStr"/>
      <c r="X63" s="20" t="inlineStr">
        <is>
          <t>赛特尔25年.xls｜初中新课标生物｜第129行</t>
        </is>
      </c>
    </row>
    <row r="64" ht="31.2" customHeight="1" s="16">
      <c r="A64" s="2" t="n">
        <v>171</v>
      </c>
      <c r="B64" s="2" t="inlineStr">
        <is>
          <t>螺旋皮管夹</t>
        </is>
      </c>
      <c r="C64" s="5" t="inlineStr">
        <is>
          <t>由支架管和带压板的螺杆等组成。外形尺寸约为 33 mm×20 mm×8 mm，旋转方便，不易变形，压板厚度≥1 mm</t>
        </is>
      </c>
      <c r="D64" s="1" t="inlineStr">
        <is>
          <t>个</t>
        </is>
      </c>
      <c r="E64" s="1" t="n">
        <v>5</v>
      </c>
      <c r="F64" s="3" t="inlineStr">
        <is>
          <t>群信</t>
        </is>
      </c>
      <c r="G64" s="1" t="n">
        <v>1.2</v>
      </c>
      <c r="H64" s="1">
        <f>G64*E64</f>
        <v/>
      </c>
      <c r="I64" s="20" t="n">
        <v>5</v>
      </c>
      <c r="J64" s="20" t="n">
        <v>1.1</v>
      </c>
      <c r="K64" s="20" t="n">
        <v>5.5</v>
      </c>
      <c r="L64" s="20" t="inlineStr">
        <is>
          <t>个</t>
        </is>
      </c>
      <c r="M64" s="20" t="inlineStr"/>
      <c r="N64" s="20" t="inlineStr"/>
      <c r="O64" s="20" t="inlineStr"/>
      <c r="P64" s="20" t="inlineStr"/>
      <c r="Q64" s="20" t="n">
        <v>1.1</v>
      </c>
      <c r="R64" s="20" t="inlineStr"/>
      <c r="S64" s="20" t="n">
        <v>1.21</v>
      </c>
      <c r="T64" s="20" t="inlineStr"/>
      <c r="U64" s="20" t="inlineStr">
        <is>
          <t>confirmed</t>
        </is>
      </c>
      <c r="V64" s="20" t="n">
        <v>100</v>
      </c>
      <c r="W64" s="20" t="inlineStr"/>
      <c r="X64" s="20" t="inlineStr">
        <is>
          <t>赛特尔25年.xls｜初中新课标化学｜第141行</t>
        </is>
      </c>
    </row>
    <row r="65" ht="31.2" customHeight="1" s="16">
      <c r="A65" s="2" t="n">
        <v>172</v>
      </c>
      <c r="B65" s="2" t="inlineStr">
        <is>
          <t>石棉网</t>
        </is>
      </c>
      <c r="C65" s="5" t="inlineStr">
        <is>
          <t>金属网尺寸≥125 mm×125 mm，0.8 mm 钢丝制成，石棉材料不易脱落，石棉网边缘钢丝应作简单处理</t>
        </is>
      </c>
      <c r="D65" s="1" t="inlineStr">
        <is>
          <t>个</t>
        </is>
      </c>
      <c r="E65" s="1" t="n">
        <v>52</v>
      </c>
      <c r="F65" s="3" t="inlineStr">
        <is>
          <t>群信</t>
        </is>
      </c>
      <c r="G65" s="1" t="n">
        <v>1.4</v>
      </c>
      <c r="H65" s="1">
        <f>G65*E65</f>
        <v/>
      </c>
      <c r="I65" s="20" t="n">
        <v>52</v>
      </c>
      <c r="J65" s="20" t="n">
        <v>1.4</v>
      </c>
      <c r="K65" s="20" t="n">
        <v>72.8</v>
      </c>
      <c r="L65" s="20" t="inlineStr">
        <is>
          <t>个</t>
        </is>
      </c>
      <c r="M65" s="20" t="inlineStr"/>
      <c r="N65" s="20" t="inlineStr"/>
      <c r="O65" s="20" t="inlineStr"/>
      <c r="P65" s="20" t="inlineStr"/>
      <c r="Q65" s="20" t="n">
        <v>1.54</v>
      </c>
      <c r="R65" s="20" t="inlineStr"/>
      <c r="S65" s="20" t="inlineStr"/>
      <c r="T65" s="20" t="inlineStr"/>
      <c r="U65" s="20" t="inlineStr">
        <is>
          <t>confirmed</t>
        </is>
      </c>
      <c r="V65" s="20" t="n">
        <v>100</v>
      </c>
      <c r="W65" s="20" t="inlineStr">
        <is>
          <t>同分多价：最高分候选存在不同历史价格</t>
        </is>
      </c>
      <c r="X65" s="20" t="inlineStr">
        <is>
          <t>赛特尔25年.xls｜初中新课标化学｜第142行</t>
        </is>
      </c>
    </row>
    <row r="66" ht="15.6" customHeight="1" s="16">
      <c r="A66" s="2" t="n">
        <v>173</v>
      </c>
      <c r="B66" s="2" t="inlineStr">
        <is>
          <t>陶土网</t>
        </is>
      </c>
      <c r="C66" s="5" t="inlineStr">
        <is>
          <t>金属网尺寸≥125 mm×125 mm，耐火材料为陶土</t>
        </is>
      </c>
      <c r="D66" s="21" t="n"/>
      <c r="E66" s="21" t="n"/>
      <c r="F66" s="3" t="inlineStr">
        <is>
          <t>群信</t>
        </is>
      </c>
      <c r="G66" s="21" t="n"/>
      <c r="H66" s="1" t="n"/>
      <c r="I66" s="20" t="inlineStr"/>
      <c r="J66" s="20" t="n">
        <v>1.4</v>
      </c>
      <c r="K66" s="20" t="inlineStr"/>
      <c r="L66" s="20" t="inlineStr">
        <is>
          <t>个</t>
        </is>
      </c>
      <c r="M66" s="20" t="inlineStr">
        <is>
          <t>苏创</t>
        </is>
      </c>
      <c r="N66" s="20" t="inlineStr"/>
      <c r="O66" s="20" t="inlineStr"/>
      <c r="P66" s="20" t="inlineStr">
        <is>
          <t>82014</t>
        </is>
      </c>
      <c r="Q66" s="20" t="inlineStr"/>
      <c r="R66" s="20" t="inlineStr"/>
      <c r="S66" s="20" t="inlineStr"/>
      <c r="T66" s="20" t="inlineStr"/>
      <c r="U66" s="20" t="inlineStr">
        <is>
          <t>confirmed</t>
        </is>
      </c>
      <c r="V66" s="20" t="n">
        <v>100</v>
      </c>
      <c r="W66" s="20" t="inlineStr"/>
      <c r="X66" s="20" t="inlineStr">
        <is>
          <t>赛特尔25年.xls｜初中新课标生物｜第130行</t>
        </is>
      </c>
    </row>
    <row r="67" ht="15.6" customHeight="1" s="16">
      <c r="A67" s="2" t="n">
        <v>174</v>
      </c>
      <c r="B67" s="2" t="inlineStr">
        <is>
          <t>二连球</t>
        </is>
      </c>
      <c r="C67" s="2" t="inlineStr">
        <is>
          <t>橡胶材质   外管径≥9mm全长≥640mm</t>
        </is>
      </c>
      <c r="D67" s="1" t="inlineStr">
        <is>
          <t>个</t>
        </is>
      </c>
      <c r="E67" s="1" t="n">
        <v>2</v>
      </c>
      <c r="F67" s="3" t="inlineStr">
        <is>
          <t>群信</t>
        </is>
      </c>
      <c r="G67" s="1" t="n">
        <v>11</v>
      </c>
      <c r="H67" s="1">
        <f>G67*E67</f>
        <v/>
      </c>
      <c r="I67" s="20" t="n">
        <v>2</v>
      </c>
      <c r="J67" s="20" t="n">
        <v>11</v>
      </c>
      <c r="K67" s="20" t="n">
        <v>22</v>
      </c>
      <c r="L67" s="20" t="inlineStr">
        <is>
          <t>个</t>
        </is>
      </c>
      <c r="M67" s="20" t="inlineStr">
        <is>
          <t>苏创</t>
        </is>
      </c>
      <c r="N67" s="20" t="inlineStr"/>
      <c r="O67" s="20" t="inlineStr"/>
      <c r="P67" s="20" t="inlineStr">
        <is>
          <t>64035</t>
        </is>
      </c>
      <c r="Q67" s="20" t="inlineStr"/>
      <c r="R67" s="20" t="inlineStr"/>
      <c r="S67" s="20" t="inlineStr"/>
      <c r="T67" s="20" t="inlineStr"/>
      <c r="U67" s="20" t="inlineStr">
        <is>
          <t>confirmed</t>
        </is>
      </c>
      <c r="V67" s="20" t="n">
        <v>100</v>
      </c>
      <c r="W67" s="20" t="inlineStr"/>
      <c r="X67" s="20" t="inlineStr">
        <is>
          <t>高中理化生报价.xlsx｜凯迪｜第1081行</t>
        </is>
      </c>
    </row>
    <row r="68" ht="31.2" customHeight="1" s="16">
      <c r="A68" s="2" t="n">
        <v>175</v>
      </c>
      <c r="B68" s="2" t="inlineStr">
        <is>
          <t>燃烧匙</t>
        </is>
      </c>
      <c r="C68" s="5" t="inlineStr">
        <is>
          <t>铜勺，勺直径 18 mm，深 10 mm，铁柄，柄长 300 mm，长柄和铜勺连接稳定结实</t>
        </is>
      </c>
      <c r="D68" s="1" t="inlineStr">
        <is>
          <t>个</t>
        </is>
      </c>
      <c r="E68" s="1" t="n">
        <v>26</v>
      </c>
      <c r="F68" s="3" t="inlineStr">
        <is>
          <t>群信</t>
        </is>
      </c>
      <c r="G68" s="1" t="n">
        <v>2</v>
      </c>
      <c r="H68" s="1">
        <f>G68*E68</f>
        <v/>
      </c>
      <c r="I68" s="20" t="n">
        <v>26</v>
      </c>
      <c r="J68" s="20" t="n">
        <v>2</v>
      </c>
      <c r="K68" s="20" t="n">
        <v>52</v>
      </c>
      <c r="L68" s="20" t="inlineStr">
        <is>
          <t>个</t>
        </is>
      </c>
      <c r="M68" s="20" t="inlineStr"/>
      <c r="N68" s="20" t="inlineStr"/>
      <c r="O68" s="20" t="inlineStr"/>
      <c r="P68" s="20" t="inlineStr"/>
      <c r="Q68" s="20" t="n">
        <v>2</v>
      </c>
      <c r="R68" s="20" t="inlineStr"/>
      <c r="S68" s="20" t="n">
        <v>2.2</v>
      </c>
      <c r="T68" s="20" t="inlineStr"/>
      <c r="U68" s="20" t="inlineStr">
        <is>
          <t>confirmed</t>
        </is>
      </c>
      <c r="V68" s="20" t="n">
        <v>100</v>
      </c>
      <c r="W68" s="20" t="inlineStr"/>
      <c r="X68" s="20" t="inlineStr">
        <is>
          <t>赛特尔25年.xls｜初中新课标化学｜第144行</t>
        </is>
      </c>
    </row>
    <row r="69" ht="15.6" customHeight="1" s="16">
      <c r="A69" s="2" t="n">
        <v>176</v>
      </c>
      <c r="B69" s="2" t="inlineStr">
        <is>
          <t>药匙</t>
        </is>
      </c>
      <c r="C69" s="5" t="inlineStr">
        <is>
          <t>中号 13.5 cm，带小勺</t>
        </is>
      </c>
      <c r="D69" s="1" t="inlineStr">
        <is>
          <t>个</t>
        </is>
      </c>
      <c r="E69" s="1" t="n">
        <v>100</v>
      </c>
      <c r="F69" s="3" t="inlineStr">
        <is>
          <t>群信</t>
        </is>
      </c>
      <c r="G69" s="1" t="n">
        <v>1</v>
      </c>
      <c r="H69" s="1">
        <f>G69*E69</f>
        <v/>
      </c>
      <c r="I69" s="20" t="n">
        <v>100</v>
      </c>
      <c r="J69" s="20" t="n">
        <v>1</v>
      </c>
      <c r="K69" s="20" t="n">
        <v>100</v>
      </c>
      <c r="L69" s="20" t="inlineStr">
        <is>
          <t>个</t>
        </is>
      </c>
      <c r="M69" s="20" t="inlineStr"/>
      <c r="N69" s="20" t="inlineStr"/>
      <c r="O69" s="20" t="inlineStr"/>
      <c r="P69" s="20" t="inlineStr"/>
      <c r="Q69" s="20" t="n">
        <v>1</v>
      </c>
      <c r="R69" s="20" t="inlineStr"/>
      <c r="S69" s="20" t="n">
        <v>1.1</v>
      </c>
      <c r="T69" s="20" t="inlineStr"/>
      <c r="U69" s="20" t="inlineStr">
        <is>
          <t>confirmed</t>
        </is>
      </c>
      <c r="V69" s="20" t="n">
        <v>100</v>
      </c>
      <c r="W69" s="20" t="inlineStr"/>
      <c r="X69" s="20" t="inlineStr">
        <is>
          <t>赛特尔25年.xls｜初中新课标化学｜第145行</t>
        </is>
      </c>
    </row>
    <row r="70" ht="15.6" customHeight="1" s="16">
      <c r="A70" s="2" t="n">
        <v>177</v>
      </c>
      <c r="B70" s="2" t="inlineStr">
        <is>
          <t>玻璃管</t>
        </is>
      </c>
      <c r="C70" s="5" t="inlineStr">
        <is>
          <t>Φ5 mm～Φ6 mm</t>
        </is>
      </c>
      <c r="D70" s="1" t="inlineStr">
        <is>
          <t>千克</t>
        </is>
      </c>
      <c r="E70" s="1" t="n">
        <v>5</v>
      </c>
      <c r="F70" s="3" t="inlineStr">
        <is>
          <t>群信</t>
        </is>
      </c>
      <c r="G70" s="1" t="n">
        <v>12</v>
      </c>
      <c r="H70" s="1">
        <f>G70*E70</f>
        <v/>
      </c>
      <c r="I70" s="20" t="n">
        <v>5</v>
      </c>
      <c r="J70" s="20" t="n">
        <v>12</v>
      </c>
      <c r="K70" s="20" t="n">
        <v>60</v>
      </c>
      <c r="L70" s="20" t="inlineStr">
        <is>
          <t>千克</t>
        </is>
      </c>
      <c r="M70" s="20" t="inlineStr"/>
      <c r="N70" s="20" t="inlineStr"/>
      <c r="O70" s="20" t="inlineStr"/>
      <c r="P70" s="20" t="inlineStr"/>
      <c r="Q70" s="20" t="n">
        <v>12</v>
      </c>
      <c r="R70" s="20" t="inlineStr"/>
      <c r="S70" s="20" t="n">
        <v>13.2</v>
      </c>
      <c r="T70" s="20" t="inlineStr"/>
      <c r="U70" s="20" t="inlineStr">
        <is>
          <t>confirmed</t>
        </is>
      </c>
      <c r="V70" s="20" t="n">
        <v>100</v>
      </c>
      <c r="W70" s="20" t="inlineStr"/>
      <c r="X70" s="20" t="inlineStr">
        <is>
          <t>高中理化生报价.xlsx｜凯迪｜第1309行</t>
        </is>
      </c>
    </row>
    <row r="71" ht="15.6" customHeight="1" s="16">
      <c r="A71" s="2" t="n">
        <v>178</v>
      </c>
      <c r="B71" s="21" t="n"/>
      <c r="C71" s="5" t="inlineStr">
        <is>
          <t>Φ7 mm～Φ8 mm</t>
        </is>
      </c>
      <c r="D71" s="1" t="inlineStr">
        <is>
          <t>千克</t>
        </is>
      </c>
      <c r="E71" s="1" t="n">
        <v>4</v>
      </c>
      <c r="F71" s="3" t="inlineStr">
        <is>
          <t>群信</t>
        </is>
      </c>
      <c r="G71" s="1" t="n">
        <v>12</v>
      </c>
      <c r="H71" s="1">
        <f>G71*E71</f>
        <v/>
      </c>
      <c r="I71" s="20" t="n">
        <v>4</v>
      </c>
      <c r="J71" s="20" t="n">
        <v>12</v>
      </c>
      <c r="K71" s="20" t="n">
        <v>48</v>
      </c>
      <c r="L71" s="20" t="inlineStr">
        <is>
          <t>千克</t>
        </is>
      </c>
      <c r="M71" s="20" t="inlineStr"/>
      <c r="N71" s="20" t="inlineStr"/>
      <c r="O71" s="20" t="inlineStr"/>
      <c r="P71" s="20" t="inlineStr"/>
      <c r="Q71" s="20" t="n">
        <v>12</v>
      </c>
      <c r="R71" s="20" t="inlineStr"/>
      <c r="S71" s="20" t="n">
        <v>13.2</v>
      </c>
      <c r="T71" s="20" t="inlineStr"/>
      <c r="U71" s="20" t="inlineStr">
        <is>
          <t>confirmed</t>
        </is>
      </c>
      <c r="V71" s="20" t="n">
        <v>100</v>
      </c>
      <c r="W71" s="20" t="inlineStr"/>
      <c r="X71" s="20" t="inlineStr">
        <is>
          <t>高中理化生报价.xlsx｜凯迪｜第1309行</t>
        </is>
      </c>
    </row>
    <row r="72" ht="15.6" customHeight="1" s="16">
      <c r="A72" s="2" t="n">
        <v>179</v>
      </c>
      <c r="B72" s="2" t="inlineStr">
        <is>
          <t>玻璃弯管</t>
        </is>
      </c>
      <c r="C72" s="5" t="inlineStr">
        <is>
          <t>Φ7 mm～Φ8 mm</t>
        </is>
      </c>
      <c r="D72" s="1" t="inlineStr">
        <is>
          <t>只</t>
        </is>
      </c>
      <c r="E72" s="1" t="n">
        <v>100</v>
      </c>
      <c r="F72" s="3" t="inlineStr">
        <is>
          <t>群信</t>
        </is>
      </c>
      <c r="G72" s="1" t="n">
        <v>2</v>
      </c>
      <c r="H72" s="1">
        <f>G72*E72</f>
        <v/>
      </c>
      <c r="I72" s="20" t="n">
        <v>100</v>
      </c>
      <c r="J72" s="20" t="n">
        <v>18</v>
      </c>
      <c r="K72" s="20" t="n">
        <v>1800</v>
      </c>
      <c r="L72" s="20" t="inlineStr">
        <is>
          <t>只</t>
        </is>
      </c>
      <c r="M72" s="20" t="inlineStr"/>
      <c r="N72" s="20" t="inlineStr"/>
      <c r="O72" s="20" t="inlineStr"/>
      <c r="P72" s="20" t="inlineStr"/>
      <c r="Q72" s="20" t="inlineStr"/>
      <c r="R72" s="20" t="inlineStr"/>
      <c r="S72" s="20" t="inlineStr"/>
      <c r="T72" s="20" t="inlineStr"/>
      <c r="U72" s="20" t="inlineStr">
        <is>
          <t>confirmed</t>
        </is>
      </c>
      <c r="V72" s="20" t="n">
        <v>0</v>
      </c>
      <c r="W72" s="20" t="inlineStr">
        <is>
          <t>没有找到可靠候选</t>
        </is>
      </c>
      <c r="X72" s="20" t="inlineStr">
        <is>
          <t>赛特尔25年.xls｜初中生物｜第230行</t>
        </is>
      </c>
    </row>
    <row r="73" ht="15.6" customHeight="1" s="16">
      <c r="A73" s="2" t="n">
        <v>180</v>
      </c>
      <c r="B73" s="2" t="inlineStr">
        <is>
          <t>玻璃棒</t>
        </is>
      </c>
      <c r="C73" s="5" t="inlineStr">
        <is>
          <t>Φ5 mm～Φ6 mm</t>
        </is>
      </c>
      <c r="D73" s="1" t="inlineStr">
        <is>
          <t>只</t>
        </is>
      </c>
      <c r="E73" s="1" t="n">
        <v>200</v>
      </c>
      <c r="F73" s="3" t="inlineStr">
        <is>
          <t>群信</t>
        </is>
      </c>
      <c r="G73" s="1" t="n">
        <v>1.5</v>
      </c>
      <c r="H73" s="1">
        <f>G73*E73</f>
        <v/>
      </c>
      <c r="I73" s="20" t="n">
        <v>200</v>
      </c>
      <c r="J73" s="20" t="n">
        <v>12</v>
      </c>
      <c r="K73" s="20" t="n">
        <v>2400</v>
      </c>
      <c r="L73" s="20" t="inlineStr">
        <is>
          <t>只</t>
        </is>
      </c>
      <c r="M73" s="20" t="inlineStr"/>
      <c r="N73" s="20" t="inlineStr"/>
      <c r="O73" s="20" t="inlineStr"/>
      <c r="P73" s="20" t="inlineStr"/>
      <c r="Q73" s="20" t="inlineStr"/>
      <c r="R73" s="20" t="inlineStr"/>
      <c r="S73" s="20" t="inlineStr"/>
      <c r="T73" s="20" t="inlineStr"/>
      <c r="U73" s="20" t="inlineStr">
        <is>
          <t>confirmed</t>
        </is>
      </c>
      <c r="V73" s="20" t="n">
        <v>0</v>
      </c>
      <c r="W73" s="20" t="inlineStr">
        <is>
          <t>没有找到可靠候选</t>
        </is>
      </c>
      <c r="X73" s="20" t="inlineStr">
        <is>
          <t>高中理化生报价.xlsx｜凯迪｜第1834行</t>
        </is>
      </c>
    </row>
    <row r="74" ht="15.6" customHeight="1" s="16">
      <c r="A74" s="2" t="n">
        <v>181</v>
      </c>
      <c r="B74" s="21" t="n"/>
      <c r="C74" s="5" t="inlineStr">
        <is>
          <t>Φ7 mm～Φ8 mm</t>
        </is>
      </c>
      <c r="D74" s="1" t="inlineStr">
        <is>
          <t>只</t>
        </is>
      </c>
      <c r="E74" s="1" t="n">
        <v>200</v>
      </c>
      <c r="F74" s="3" t="inlineStr">
        <is>
          <t>群信</t>
        </is>
      </c>
      <c r="G74" s="1" t="n">
        <v>1.5</v>
      </c>
      <c r="H74" s="1">
        <f>G74*E74</f>
        <v/>
      </c>
      <c r="I74" s="20" t="n">
        <v>200</v>
      </c>
      <c r="J74" s="20" t="n">
        <v>12</v>
      </c>
      <c r="K74" s="20" t="n">
        <v>2400</v>
      </c>
      <c r="L74" s="20" t="inlineStr">
        <is>
          <t>只</t>
        </is>
      </c>
      <c r="M74" s="20" t="inlineStr"/>
      <c r="N74" s="20" t="inlineStr"/>
      <c r="O74" s="20" t="inlineStr"/>
      <c r="P74" s="20" t="inlineStr"/>
      <c r="Q74" s="20" t="inlineStr"/>
      <c r="R74" s="20" t="inlineStr"/>
      <c r="S74" s="20" t="inlineStr"/>
      <c r="T74" s="20" t="inlineStr"/>
      <c r="U74" s="20" t="inlineStr">
        <is>
          <t>confirmed</t>
        </is>
      </c>
      <c r="V74" s="20" t="n">
        <v>0</v>
      </c>
      <c r="W74" s="20" t="inlineStr">
        <is>
          <t>没有找到可靠候选</t>
        </is>
      </c>
      <c r="X74" s="20" t="inlineStr">
        <is>
          <t>高中理化生报价.xlsx｜凯迪｜第1834行</t>
        </is>
      </c>
    </row>
    <row r="75" ht="15.6" customHeight="1" s="16">
      <c r="A75" s="2" t="n">
        <v>182</v>
      </c>
      <c r="B75" s="2" t="inlineStr">
        <is>
          <t>橡胶塞</t>
        </is>
      </c>
      <c r="C75" s="5" t="inlineStr">
        <is>
          <t>000、00、0～10 号</t>
        </is>
      </c>
      <c r="D75" s="1" t="inlineStr">
        <is>
          <t>千克</t>
        </is>
      </c>
      <c r="E75" s="1" t="n">
        <v>8</v>
      </c>
      <c r="F75" s="3" t="inlineStr">
        <is>
          <t>群信</t>
        </is>
      </c>
      <c r="G75" s="1" t="n">
        <v>28</v>
      </c>
      <c r="H75" s="1">
        <f>G75*E75</f>
        <v/>
      </c>
      <c r="I75" s="20" t="n">
        <v>8</v>
      </c>
      <c r="J75" s="20" t="n">
        <v>2.6</v>
      </c>
      <c r="K75" s="20" t="n">
        <v>20.8</v>
      </c>
      <c r="L75" s="20" t="inlineStr">
        <is>
          <t>千克</t>
        </is>
      </c>
      <c r="M75" s="20" t="inlineStr"/>
      <c r="N75" s="20" t="inlineStr"/>
      <c r="O75" s="20" t="inlineStr"/>
      <c r="P75" s="20" t="inlineStr">
        <is>
          <t>000、00、0号～10号，白色，质地均匀</t>
        </is>
      </c>
      <c r="Q75" s="20" t="inlineStr"/>
      <c r="R75" s="20" t="inlineStr"/>
      <c r="S75" s="20" t="inlineStr"/>
      <c r="T75" s="20" t="inlineStr"/>
      <c r="U75" s="20" t="inlineStr">
        <is>
          <t>confirmed</t>
        </is>
      </c>
      <c r="V75" s="20" t="n">
        <v>0</v>
      </c>
      <c r="W75" s="20" t="inlineStr">
        <is>
          <t>没有找到可靠候选</t>
        </is>
      </c>
      <c r="X75" s="20" t="inlineStr">
        <is>
          <t>赛特尔25年.xls｜小学新课标科学｜第77行</t>
        </is>
      </c>
    </row>
    <row r="76" ht="15.6" customHeight="1" s="16">
      <c r="A76" s="2" t="n">
        <v>183</v>
      </c>
      <c r="B76" s="2" t="inlineStr">
        <is>
          <t>橡胶管</t>
        </is>
      </c>
      <c r="C76" s="5" t="inlineStr">
        <is>
          <t>外径 9 mm，内径 6 mm</t>
        </is>
      </c>
      <c r="D76" s="1" t="inlineStr">
        <is>
          <t>m</t>
        </is>
      </c>
      <c r="E76" s="1" t="n">
        <v>40</v>
      </c>
      <c r="F76" s="3" t="inlineStr">
        <is>
          <t>群信</t>
        </is>
      </c>
      <c r="G76" s="1" t="n">
        <v>3</v>
      </c>
      <c r="H76" s="1">
        <f>G76*E76</f>
        <v/>
      </c>
      <c r="I76" s="20" t="n">
        <v>40</v>
      </c>
      <c r="J76" s="20" t="n">
        <v>28</v>
      </c>
      <c r="K76" s="20" t="n">
        <v>1120</v>
      </c>
      <c r="L76" s="20" t="inlineStr">
        <is>
          <t>m</t>
        </is>
      </c>
      <c r="M76" s="20" t="inlineStr"/>
      <c r="N76" s="20" t="inlineStr"/>
      <c r="O76" s="20" t="inlineStr"/>
      <c r="P76" s="20" t="inlineStr"/>
      <c r="Q76" s="20" t="inlineStr"/>
      <c r="R76" s="20" t="inlineStr"/>
      <c r="S76" s="20" t="inlineStr"/>
      <c r="T76" s="20" t="inlineStr"/>
      <c r="U76" s="20" t="inlineStr">
        <is>
          <t>confirmed</t>
        </is>
      </c>
      <c r="V76" s="20" t="n">
        <v>0</v>
      </c>
      <c r="W76" s="20" t="inlineStr">
        <is>
          <t>没有找到可靠候选</t>
        </is>
      </c>
      <c r="X76" s="20" t="inlineStr">
        <is>
          <t>赛特尔25年.xls｜初中生物｜第247行</t>
        </is>
      </c>
    </row>
    <row r="77" ht="15.6" customHeight="1" s="16">
      <c r="A77" s="2" t="n">
        <v>184</v>
      </c>
      <c r="B77" s="2" t="inlineStr">
        <is>
          <t>乳胶管</t>
        </is>
      </c>
      <c r="C77" s="5" t="inlineStr">
        <is>
          <t>外径 6 mm，内径 4 mm</t>
        </is>
      </c>
      <c r="D77" s="1" t="inlineStr">
        <is>
          <t>m</t>
        </is>
      </c>
      <c r="E77" s="1" t="n">
        <v>40</v>
      </c>
      <c r="F77" s="3" t="inlineStr">
        <is>
          <t>群信</t>
        </is>
      </c>
      <c r="G77" s="1" t="n">
        <v>3.5</v>
      </c>
      <c r="H77" s="1">
        <f>G77*E77</f>
        <v/>
      </c>
      <c r="I77" s="20" t="n">
        <v>40</v>
      </c>
      <c r="J77" s="20" t="n">
        <v>3</v>
      </c>
      <c r="K77" s="20" t="n">
        <v>120</v>
      </c>
      <c r="L77" s="20" t="inlineStr">
        <is>
          <t>m</t>
        </is>
      </c>
      <c r="M77" s="20" t="inlineStr"/>
      <c r="N77" s="20" t="inlineStr"/>
      <c r="O77" s="20" t="inlineStr"/>
      <c r="P77" s="20" t="inlineStr"/>
      <c r="Q77" s="20" t="inlineStr"/>
      <c r="R77" s="20" t="inlineStr"/>
      <c r="S77" s="20" t="inlineStr"/>
      <c r="T77" s="20" t="inlineStr"/>
      <c r="U77" s="20" t="inlineStr">
        <is>
          <t>confirmed</t>
        </is>
      </c>
      <c r="V77" s="20" t="n">
        <v>0</v>
      </c>
      <c r="W77" s="20" t="inlineStr">
        <is>
          <t>没有找到可靠候选</t>
        </is>
      </c>
      <c r="X77" s="20" t="inlineStr">
        <is>
          <t>赛特尔25年.xls｜初中化学｜第172行</t>
        </is>
      </c>
    </row>
    <row r="78" ht="15.6" customHeight="1" s="16">
      <c r="A78" s="2" t="n">
        <v>185</v>
      </c>
      <c r="B78" s="22" t="n"/>
      <c r="C78" s="5" t="inlineStr">
        <is>
          <t>外径 7 mm，内径 5 mm</t>
        </is>
      </c>
      <c r="D78" s="1" t="inlineStr">
        <is>
          <t>m</t>
        </is>
      </c>
      <c r="E78" s="1" t="n">
        <v>40</v>
      </c>
      <c r="F78" s="3" t="inlineStr">
        <is>
          <t>群信</t>
        </is>
      </c>
      <c r="G78" s="1" t="n">
        <v>3.5</v>
      </c>
      <c r="H78" s="1">
        <f>G78*E78</f>
        <v/>
      </c>
      <c r="I78" s="20" t="n">
        <v>40</v>
      </c>
      <c r="J78" s="20" t="n">
        <v>3</v>
      </c>
      <c r="K78" s="20" t="n">
        <v>120</v>
      </c>
      <c r="L78" s="20" t="inlineStr">
        <is>
          <t>m</t>
        </is>
      </c>
      <c r="M78" s="20" t="inlineStr"/>
      <c r="N78" s="20" t="inlineStr"/>
      <c r="O78" s="20" t="inlineStr"/>
      <c r="P78" s="20" t="inlineStr"/>
      <c r="Q78" s="20" t="inlineStr"/>
      <c r="R78" s="20" t="inlineStr"/>
      <c r="S78" s="20" t="inlineStr"/>
      <c r="T78" s="20" t="inlineStr"/>
      <c r="U78" s="20" t="inlineStr">
        <is>
          <t>confirmed</t>
        </is>
      </c>
      <c r="V78" s="20" t="n">
        <v>0</v>
      </c>
      <c r="W78" s="20" t="inlineStr">
        <is>
          <t>没有找到可靠候选</t>
        </is>
      </c>
      <c r="X78" s="20" t="inlineStr">
        <is>
          <t>赛特尔25年.xls｜初中化学｜第172行</t>
        </is>
      </c>
    </row>
    <row r="79" ht="15.6" customHeight="1" s="16">
      <c r="A79" s="2" t="n">
        <v>186</v>
      </c>
      <c r="B79" s="21" t="n"/>
      <c r="C79" s="5" t="inlineStr">
        <is>
          <t>外径 9 mm，内径 6 mm</t>
        </is>
      </c>
      <c r="D79" s="1" t="inlineStr">
        <is>
          <t>m</t>
        </is>
      </c>
      <c r="E79" s="1" t="n">
        <v>40</v>
      </c>
      <c r="F79" s="3" t="inlineStr">
        <is>
          <t>群信</t>
        </is>
      </c>
      <c r="G79" s="1" t="n">
        <v>3.5</v>
      </c>
      <c r="H79" s="1">
        <f>G79*E79</f>
        <v/>
      </c>
      <c r="I79" s="20" t="n">
        <v>40</v>
      </c>
      <c r="J79" s="20" t="n">
        <v>3</v>
      </c>
      <c r="K79" s="20" t="n">
        <v>120</v>
      </c>
      <c r="L79" s="20" t="inlineStr">
        <is>
          <t>m</t>
        </is>
      </c>
      <c r="M79" s="20" t="inlineStr"/>
      <c r="N79" s="20" t="inlineStr"/>
      <c r="O79" s="20" t="inlineStr"/>
      <c r="P79" s="20" t="inlineStr"/>
      <c r="Q79" s="20" t="inlineStr"/>
      <c r="R79" s="20" t="inlineStr"/>
      <c r="S79" s="20" t="inlineStr"/>
      <c r="T79" s="20" t="inlineStr"/>
      <c r="U79" s="20" t="inlineStr">
        <is>
          <t>confirmed</t>
        </is>
      </c>
      <c r="V79" s="20" t="n">
        <v>0</v>
      </c>
      <c r="W79" s="20" t="inlineStr">
        <is>
          <t>没有找到可靠候选</t>
        </is>
      </c>
      <c r="X79" s="20" t="inlineStr">
        <is>
          <t>赛特尔25年.xls｜初中化学｜第172行</t>
        </is>
      </c>
    </row>
    <row r="80" ht="15.6" customHeight="1" s="16">
      <c r="A80" s="2" t="n">
        <v>187</v>
      </c>
      <c r="B80" s="2" t="inlineStr">
        <is>
          <t>洗耳球</t>
        </is>
      </c>
      <c r="C80" s="5" t="inlineStr">
        <is>
          <t>60 mL</t>
        </is>
      </c>
      <c r="D80" s="1" t="inlineStr">
        <is>
          <t>个</t>
        </is>
      </c>
      <c r="E80" s="1" t="n">
        <v>26</v>
      </c>
      <c r="F80" s="3" t="inlineStr">
        <is>
          <t>群信</t>
        </is>
      </c>
      <c r="G80" s="1" t="n">
        <v>4</v>
      </c>
      <c r="H80" s="1">
        <f>G80*E80</f>
        <v/>
      </c>
      <c r="I80" s="20" t="n">
        <v>26</v>
      </c>
      <c r="J80" s="20" t="n">
        <v>4</v>
      </c>
      <c r="K80" s="20" t="n">
        <v>104</v>
      </c>
      <c r="L80" s="20" t="inlineStr">
        <is>
          <t>个</t>
        </is>
      </c>
      <c r="M80" s="20" t="inlineStr">
        <is>
          <t>苏创</t>
        </is>
      </c>
      <c r="N80" s="20" t="inlineStr"/>
      <c r="O80" s="20" t="inlineStr"/>
      <c r="P80" s="20" t="inlineStr">
        <is>
          <t>64067</t>
        </is>
      </c>
      <c r="Q80" s="20" t="inlineStr"/>
      <c r="R80" s="20" t="inlineStr"/>
      <c r="S80" s="20" t="inlineStr"/>
      <c r="T80" s="20" t="inlineStr"/>
      <c r="U80" s="20" t="inlineStr">
        <is>
          <t>confirmed</t>
        </is>
      </c>
      <c r="V80" s="20" t="n">
        <v>100</v>
      </c>
      <c r="W80" s="20" t="inlineStr"/>
      <c r="X80" s="20" t="inlineStr">
        <is>
          <t>高中理化生报价.xlsx｜凯迪｜第1535行</t>
        </is>
      </c>
    </row>
    <row r="81" ht="15.6" customHeight="1" s="16">
      <c r="A81" s="2" t="n">
        <v>188</v>
      </c>
      <c r="B81" s="2" t="inlineStr">
        <is>
          <t>试管刷</t>
        </is>
      </c>
      <c r="C81" s="5" t="inlineStr">
        <is>
          <t>直径 12 mm</t>
        </is>
      </c>
      <c r="D81" s="1" t="inlineStr">
        <is>
          <t>个</t>
        </is>
      </c>
      <c r="E81" s="1" t="n">
        <v>52</v>
      </c>
      <c r="F81" s="3" t="inlineStr">
        <is>
          <t>群信</t>
        </is>
      </c>
      <c r="G81" s="1" t="n">
        <v>1</v>
      </c>
      <c r="H81" s="1">
        <f>G81*E81</f>
        <v/>
      </c>
      <c r="I81" s="20" t="n">
        <v>52</v>
      </c>
      <c r="J81" s="20" t="n">
        <v>1</v>
      </c>
      <c r="K81" s="20" t="n">
        <v>52</v>
      </c>
      <c r="L81" s="20" t="inlineStr">
        <is>
          <t>个</t>
        </is>
      </c>
      <c r="M81" s="20" t="inlineStr"/>
      <c r="N81" s="20" t="inlineStr"/>
      <c r="O81" s="20" t="inlineStr"/>
      <c r="P81" s="20" t="inlineStr"/>
      <c r="Q81" s="20" t="n">
        <v>1.5</v>
      </c>
      <c r="R81" s="20" t="inlineStr"/>
      <c r="S81" s="20" t="n">
        <v>2</v>
      </c>
      <c r="T81" s="20" t="inlineStr"/>
      <c r="U81" s="20" t="inlineStr">
        <is>
          <t>confirmed</t>
        </is>
      </c>
      <c r="V81" s="20" t="n">
        <v>100</v>
      </c>
      <c r="W81" s="20" t="inlineStr">
        <is>
          <t>价格分歧&gt;30%：历史报价分歧较大，需人工核对；同分多价：最高分候选存在不同历史价格</t>
        </is>
      </c>
      <c r="X81" s="20" t="inlineStr">
        <is>
          <t>赛特尔25年.xls｜初中新课标生物｜第135行</t>
        </is>
      </c>
    </row>
    <row r="82" ht="15.6" customHeight="1" s="16">
      <c r="A82" s="2" t="n">
        <v>189</v>
      </c>
      <c r="B82" s="22" t="n"/>
      <c r="C82" s="5" t="inlineStr">
        <is>
          <t>直径 18 mm</t>
        </is>
      </c>
      <c r="D82" s="1" t="inlineStr">
        <is>
          <t>个</t>
        </is>
      </c>
      <c r="E82" s="1" t="n">
        <v>52</v>
      </c>
      <c r="F82" s="3" t="inlineStr">
        <is>
          <t>群信</t>
        </is>
      </c>
      <c r="G82" s="1" t="n">
        <v>1.5</v>
      </c>
      <c r="H82" s="1">
        <f>G82*E82</f>
        <v/>
      </c>
      <c r="I82" s="20" t="n">
        <v>52</v>
      </c>
      <c r="J82" s="20" t="n">
        <v>1</v>
      </c>
      <c r="K82" s="20" t="n">
        <v>52</v>
      </c>
      <c r="L82" s="20" t="inlineStr">
        <is>
          <t>个</t>
        </is>
      </c>
      <c r="M82" s="20" t="inlineStr"/>
      <c r="N82" s="20" t="inlineStr"/>
      <c r="O82" s="20" t="inlineStr"/>
      <c r="P82" s="20" t="inlineStr"/>
      <c r="Q82" s="20" t="n">
        <v>1.5</v>
      </c>
      <c r="R82" s="20" t="inlineStr"/>
      <c r="S82" s="20" t="n">
        <v>2</v>
      </c>
      <c r="T82" s="20" t="inlineStr"/>
      <c r="U82" s="20" t="inlineStr">
        <is>
          <t>confirmed</t>
        </is>
      </c>
      <c r="V82" s="20" t="n">
        <v>100</v>
      </c>
      <c r="W82" s="20" t="inlineStr">
        <is>
          <t>价格分歧&gt;30%：历史报价分歧较大，需人工核对；同分多价：最高分候选存在不同历史价格</t>
        </is>
      </c>
      <c r="X82" s="20" t="inlineStr">
        <is>
          <t>赛特尔25年.xls｜初中新课标生物｜第135行</t>
        </is>
      </c>
    </row>
    <row r="83" ht="15.6" customHeight="1" s="16">
      <c r="A83" s="2" t="n">
        <v>190</v>
      </c>
      <c r="B83" s="21" t="n"/>
      <c r="C83" s="5" t="inlineStr">
        <is>
          <t>直径 32 mm</t>
        </is>
      </c>
      <c r="D83" s="1" t="inlineStr">
        <is>
          <t>个</t>
        </is>
      </c>
      <c r="E83" s="1" t="n">
        <v>5</v>
      </c>
      <c r="F83" s="3" t="inlineStr">
        <is>
          <t>群信</t>
        </is>
      </c>
      <c r="G83" s="1" t="n">
        <v>2</v>
      </c>
      <c r="H83" s="1">
        <f>G83*E83</f>
        <v/>
      </c>
      <c r="I83" s="20" t="n">
        <v>5</v>
      </c>
      <c r="J83" s="20" t="n">
        <v>1</v>
      </c>
      <c r="K83" s="20" t="n">
        <v>5</v>
      </c>
      <c r="L83" s="20" t="inlineStr">
        <is>
          <t>个</t>
        </is>
      </c>
      <c r="M83" s="20" t="inlineStr"/>
      <c r="N83" s="20" t="inlineStr"/>
      <c r="O83" s="20" t="inlineStr"/>
      <c r="P83" s="20" t="inlineStr"/>
      <c r="Q83" s="20" t="n">
        <v>1.5</v>
      </c>
      <c r="R83" s="20" t="inlineStr"/>
      <c r="S83" s="20" t="n">
        <v>2</v>
      </c>
      <c r="T83" s="20" t="inlineStr"/>
      <c r="U83" s="20" t="inlineStr">
        <is>
          <t>confirmed</t>
        </is>
      </c>
      <c r="V83" s="20" t="n">
        <v>100</v>
      </c>
      <c r="W83" s="20" t="inlineStr">
        <is>
          <t>价格分歧&gt;30%：历史报价分歧较大，需人工核对；同分多价：最高分候选存在不同历史价格</t>
        </is>
      </c>
      <c r="X83" s="20" t="inlineStr">
        <is>
          <t>赛特尔25年.xls｜初中新课标生物｜第135行</t>
        </is>
      </c>
    </row>
    <row r="84" ht="15.6" customHeight="1" s="16">
      <c r="A84" s="2" t="n">
        <v>191</v>
      </c>
      <c r="B84" s="2" t="inlineStr">
        <is>
          <t>烧瓶刷</t>
        </is>
      </c>
      <c r="C84" s="5" t="inlineStr">
        <is>
          <t>250 mL 烧瓶用</t>
        </is>
      </c>
      <c r="D84" s="1" t="inlineStr">
        <is>
          <t>个</t>
        </is>
      </c>
      <c r="E84" s="1" t="n">
        <v>26</v>
      </c>
      <c r="F84" s="3" t="inlineStr">
        <is>
          <t>群信</t>
        </is>
      </c>
      <c r="G84" s="1" t="n">
        <v>1.5</v>
      </c>
      <c r="H84" s="1">
        <f>G84*E84</f>
        <v/>
      </c>
      <c r="I84" s="20" t="n">
        <v>26</v>
      </c>
      <c r="J84" s="20" t="n">
        <v>1.5</v>
      </c>
      <c r="K84" s="20" t="n">
        <v>39</v>
      </c>
      <c r="L84" s="20" t="inlineStr">
        <is>
          <t>个</t>
        </is>
      </c>
      <c r="M84" s="20" t="inlineStr"/>
      <c r="N84" s="20" t="inlineStr"/>
      <c r="O84" s="20" t="inlineStr"/>
      <c r="P84" s="20" t="inlineStr"/>
      <c r="Q84" s="20" t="n">
        <v>2</v>
      </c>
      <c r="R84" s="20" t="inlineStr"/>
      <c r="S84" s="20" t="n">
        <v>3</v>
      </c>
      <c r="T84" s="20" t="inlineStr"/>
      <c r="U84" s="20" t="inlineStr">
        <is>
          <t>confirmed</t>
        </is>
      </c>
      <c r="V84" s="20" t="n">
        <v>100</v>
      </c>
      <c r="W84" s="20" t="inlineStr">
        <is>
          <t>价格分歧&gt;30%：历史报价分歧较大，需人工核对；同分多价：最高分候选存在不同历史价格</t>
        </is>
      </c>
      <c r="X84" s="20" t="inlineStr">
        <is>
          <t>赛特尔25年.xls｜小学科学｜第178行</t>
        </is>
      </c>
    </row>
    <row r="85" ht="15.6" customHeight="1" s="16">
      <c r="A85" s="2" t="n">
        <v>192</v>
      </c>
      <c r="B85" s="21" t="n"/>
      <c r="C85" s="5" t="inlineStr">
        <is>
          <t>500 mL 烧瓶用</t>
        </is>
      </c>
      <c r="D85" s="1" t="inlineStr">
        <is>
          <t>个</t>
        </is>
      </c>
      <c r="E85" s="1" t="n">
        <v>26</v>
      </c>
      <c r="F85" s="3" t="inlineStr">
        <is>
          <t>群信</t>
        </is>
      </c>
      <c r="G85" s="1" t="n">
        <v>2.5</v>
      </c>
      <c r="H85" s="1">
        <f>G85*E85</f>
        <v/>
      </c>
      <c r="I85" s="20" t="n">
        <v>26</v>
      </c>
      <c r="J85" s="20" t="n">
        <v>1.5</v>
      </c>
      <c r="K85" s="20" t="n">
        <v>39</v>
      </c>
      <c r="L85" s="20" t="inlineStr">
        <is>
          <t>个</t>
        </is>
      </c>
      <c r="M85" s="20" t="inlineStr"/>
      <c r="N85" s="20" t="inlineStr"/>
      <c r="O85" s="20" t="inlineStr"/>
      <c r="P85" s="20" t="inlineStr"/>
      <c r="Q85" s="20" t="n">
        <v>2</v>
      </c>
      <c r="R85" s="20" t="inlineStr"/>
      <c r="S85" s="20" t="n">
        <v>3</v>
      </c>
      <c r="T85" s="20" t="inlineStr"/>
      <c r="U85" s="20" t="inlineStr">
        <is>
          <t>confirmed</t>
        </is>
      </c>
      <c r="V85" s="20" t="n">
        <v>100</v>
      </c>
      <c r="W85" s="20" t="inlineStr">
        <is>
          <t>价格分歧&gt;30%：历史报价分歧较大，需人工核对；同分多价：最高分候选存在不同历史价格</t>
        </is>
      </c>
      <c r="X85" s="20" t="inlineStr">
        <is>
          <t>赛特尔25年.xls｜小学科学｜第178行</t>
        </is>
      </c>
    </row>
    <row r="86" ht="15.6" customHeight="1" s="16">
      <c r="A86" s="2" t="n">
        <v>193</v>
      </c>
      <c r="B86" s="2" t="inlineStr">
        <is>
          <t>滴定管刷</t>
        </is>
      </c>
      <c r="C86" s="2" t="inlineStr">
        <is>
          <t>长度≥550mm</t>
        </is>
      </c>
      <c r="D86" s="1" t="inlineStr">
        <is>
          <t>个</t>
        </is>
      </c>
      <c r="E86" s="1" t="n">
        <v>25</v>
      </c>
      <c r="F86" s="3" t="inlineStr">
        <is>
          <t>群信</t>
        </is>
      </c>
      <c r="G86" s="1" t="n">
        <v>2</v>
      </c>
      <c r="H86" s="1">
        <f>G86*E86</f>
        <v/>
      </c>
      <c r="I86" s="20" t="n">
        <v>25</v>
      </c>
      <c r="J86" s="20" t="n">
        <v>1.5</v>
      </c>
      <c r="K86" s="20" t="n">
        <v>37.5</v>
      </c>
      <c r="L86" s="20" t="inlineStr">
        <is>
          <t>个</t>
        </is>
      </c>
      <c r="M86" s="20" t="inlineStr"/>
      <c r="N86" s="20" t="inlineStr"/>
      <c r="O86" s="20" t="inlineStr"/>
      <c r="P86" s="20" t="inlineStr"/>
      <c r="Q86" s="20" t="n">
        <v>32</v>
      </c>
      <c r="R86" s="20" t="inlineStr"/>
      <c r="S86" s="20" t="n">
        <v>32</v>
      </c>
      <c r="T86" s="20" t="inlineStr"/>
      <c r="U86" s="20" t="inlineStr">
        <is>
          <t>confirmed</t>
        </is>
      </c>
      <c r="V86" s="20" t="n">
        <v>57.1</v>
      </c>
      <c r="W86" s="20" t="inlineStr">
        <is>
          <t>价格分歧&gt;30%：历史报价分歧较大，需人工核对；同分多价：最高分候选存在不同历史价格</t>
        </is>
      </c>
      <c r="X86" s="20" t="inlineStr">
        <is>
          <t>高中理化生报价.xlsx｜凯迪｜第1094行</t>
        </is>
      </c>
    </row>
    <row r="87" ht="15.6" customHeight="1" s="16">
      <c r="A87" s="2" t="n">
        <v>194</v>
      </c>
      <c r="B87" s="2" t="inlineStr">
        <is>
          <t>研钵</t>
        </is>
      </c>
      <c r="C87" s="5" t="inlineStr">
        <is>
          <t>瓷或玻璃制，60 mm</t>
        </is>
      </c>
      <c r="D87" s="1" t="inlineStr">
        <is>
          <t>个</t>
        </is>
      </c>
      <c r="E87" s="1" t="n">
        <v>52</v>
      </c>
      <c r="F87" s="3" t="inlineStr">
        <is>
          <t>群信</t>
        </is>
      </c>
      <c r="G87" s="1" t="n">
        <v>3.75</v>
      </c>
      <c r="H87" s="1">
        <f>G87*E87</f>
        <v/>
      </c>
      <c r="I87" s="20" t="n">
        <v>52</v>
      </c>
      <c r="J87" s="20" t="n">
        <v>3.75</v>
      </c>
      <c r="K87" s="20" t="n">
        <v>195</v>
      </c>
      <c r="L87" s="20" t="inlineStr">
        <is>
          <t>个</t>
        </is>
      </c>
      <c r="M87" s="20" t="inlineStr"/>
      <c r="N87" s="20" t="inlineStr"/>
      <c r="O87" s="20" t="inlineStr"/>
      <c r="P87" s="20" t="inlineStr"/>
      <c r="Q87" s="20" t="n">
        <v>3.75</v>
      </c>
      <c r="R87" s="20" t="inlineStr"/>
      <c r="S87" s="20" t="n">
        <v>4.12</v>
      </c>
      <c r="T87" s="20" t="inlineStr"/>
      <c r="U87" s="20" t="inlineStr">
        <is>
          <t>confirmed</t>
        </is>
      </c>
      <c r="V87" s="20" t="n">
        <v>100</v>
      </c>
      <c r="W87" s="20" t="inlineStr"/>
      <c r="X87" s="20" t="inlineStr">
        <is>
          <t>高中理化生报价.xlsx｜凯迪｜第1839行</t>
        </is>
      </c>
    </row>
    <row r="88" ht="15.6" customHeight="1" s="16">
      <c r="A88" s="2" t="n">
        <v>195</v>
      </c>
      <c r="B88" s="21" t="n"/>
      <c r="C88" s="5" t="inlineStr">
        <is>
          <t>瓷或玻璃制，100 mm</t>
        </is>
      </c>
      <c r="D88" s="1" t="inlineStr">
        <is>
          <t>个</t>
        </is>
      </c>
      <c r="E88" s="1" t="n">
        <v>2</v>
      </c>
      <c r="F88" s="3" t="inlineStr">
        <is>
          <t>群信</t>
        </is>
      </c>
      <c r="G88" s="1" t="n">
        <v>5.2</v>
      </c>
      <c r="H88" s="1">
        <f>G88*E88</f>
        <v/>
      </c>
      <c r="I88" s="20" t="n">
        <v>2</v>
      </c>
      <c r="J88" s="20" t="n">
        <v>3.75</v>
      </c>
      <c r="K88" s="20" t="n">
        <v>7.5</v>
      </c>
      <c r="L88" s="20" t="inlineStr">
        <is>
          <t>个</t>
        </is>
      </c>
      <c r="M88" s="20" t="inlineStr"/>
      <c r="N88" s="20" t="inlineStr"/>
      <c r="O88" s="20" t="inlineStr"/>
      <c r="P88" s="20" t="inlineStr"/>
      <c r="Q88" s="20" t="n">
        <v>3.75</v>
      </c>
      <c r="R88" s="20" t="inlineStr"/>
      <c r="S88" s="20" t="n">
        <v>4.12</v>
      </c>
      <c r="T88" s="20" t="inlineStr"/>
      <c r="U88" s="20" t="inlineStr">
        <is>
          <t>confirmed</t>
        </is>
      </c>
      <c r="V88" s="20" t="n">
        <v>100</v>
      </c>
      <c r="W88" s="20" t="inlineStr"/>
      <c r="X88" s="20" t="inlineStr">
        <is>
          <t>高中理化生报价.xlsx｜凯迪｜第1839行</t>
        </is>
      </c>
    </row>
    <row r="89" ht="15.6" customHeight="1" s="16">
      <c r="A89" s="2" t="n">
        <v>196</v>
      </c>
      <c r="B89" s="2" t="inlineStr">
        <is>
          <t>蒸发皿</t>
        </is>
      </c>
      <c r="C89" s="5" t="inlineStr">
        <is>
          <t>瓷制，60 mm</t>
        </is>
      </c>
      <c r="D89" s="1" t="inlineStr">
        <is>
          <t>个</t>
        </is>
      </c>
      <c r="E89" s="1" t="n">
        <v>52</v>
      </c>
      <c r="F89" s="3" t="inlineStr">
        <is>
          <t>群信</t>
        </is>
      </c>
      <c r="G89" s="1" t="n">
        <v>2.8</v>
      </c>
      <c r="H89" s="1">
        <f>G89*E89</f>
        <v/>
      </c>
      <c r="I89" s="20" t="n">
        <v>52</v>
      </c>
      <c r="J89" s="20" t="n">
        <v>2.8</v>
      </c>
      <c r="K89" s="20" t="n">
        <v>145.6</v>
      </c>
      <c r="L89" s="20" t="inlineStr">
        <is>
          <t>个</t>
        </is>
      </c>
      <c r="M89" s="20" t="inlineStr"/>
      <c r="N89" s="20" t="inlineStr"/>
      <c r="O89" s="20" t="inlineStr"/>
      <c r="P89" s="20" t="inlineStr"/>
      <c r="Q89" s="20" t="n">
        <v>3</v>
      </c>
      <c r="R89" s="20" t="inlineStr"/>
      <c r="S89" s="20" t="n">
        <v>4</v>
      </c>
      <c r="T89" s="20" t="inlineStr"/>
      <c r="U89" s="20" t="inlineStr">
        <is>
          <t>confirmed</t>
        </is>
      </c>
      <c r="V89" s="20" t="n">
        <v>100</v>
      </c>
      <c r="W89" s="20" t="inlineStr"/>
      <c r="X89" s="20" t="inlineStr">
        <is>
          <t>赛特尔25年.xls｜初中化学｜第180行</t>
        </is>
      </c>
    </row>
    <row r="90" ht="15.6" customHeight="1" s="16">
      <c r="A90" s="2" t="n">
        <v>197</v>
      </c>
      <c r="B90" s="21" t="n"/>
      <c r="C90" s="5" t="inlineStr">
        <is>
          <t>瓷制，120 mm</t>
        </is>
      </c>
      <c r="D90" s="1" t="inlineStr">
        <is>
          <t>个</t>
        </is>
      </c>
      <c r="E90" s="1" t="n">
        <v>5</v>
      </c>
      <c r="F90" s="3" t="inlineStr">
        <is>
          <t>群信</t>
        </is>
      </c>
      <c r="G90" s="1" t="n">
        <v>4</v>
      </c>
      <c r="H90" s="1">
        <f>G90*E90</f>
        <v/>
      </c>
      <c r="I90" s="20" t="n">
        <v>5</v>
      </c>
      <c r="J90" s="20" t="n">
        <v>2.8</v>
      </c>
      <c r="K90" s="20" t="n">
        <v>14</v>
      </c>
      <c r="L90" s="20" t="inlineStr">
        <is>
          <t>个</t>
        </is>
      </c>
      <c r="M90" s="20" t="inlineStr"/>
      <c r="N90" s="20" t="inlineStr"/>
      <c r="O90" s="20" t="inlineStr"/>
      <c r="P90" s="20" t="inlineStr"/>
      <c r="Q90" s="20" t="n">
        <v>3</v>
      </c>
      <c r="R90" s="20" t="inlineStr"/>
      <c r="S90" s="20" t="n">
        <v>4</v>
      </c>
      <c r="T90" s="20" t="inlineStr"/>
      <c r="U90" s="20" t="inlineStr">
        <is>
          <t>confirmed</t>
        </is>
      </c>
      <c r="V90" s="20" t="n">
        <v>100</v>
      </c>
      <c r="W90" s="20" t="inlineStr"/>
      <c r="X90" s="20" t="inlineStr">
        <is>
          <t>赛特尔25年.xls｜初中化学｜第180行</t>
        </is>
      </c>
    </row>
    <row r="91" ht="15.6" customHeight="1" s="16">
      <c r="A91" s="2" t="n">
        <v>198</v>
      </c>
      <c r="B91" s="2" t="inlineStr">
        <is>
          <t>布氏漏斗</t>
        </is>
      </c>
      <c r="C91" s="5" t="inlineStr">
        <is>
          <t>瓷制，80 mm</t>
        </is>
      </c>
      <c r="D91" s="1" t="inlineStr">
        <is>
          <t>个</t>
        </is>
      </c>
      <c r="E91" s="1" t="n">
        <v>2</v>
      </c>
      <c r="F91" s="3" t="inlineStr">
        <is>
          <t>群信</t>
        </is>
      </c>
      <c r="G91" s="1" t="n">
        <v>13</v>
      </c>
      <c r="H91" s="1">
        <f>G91*E91</f>
        <v/>
      </c>
      <c r="I91" s="20" t="n">
        <v>2</v>
      </c>
      <c r="J91" s="20" t="n">
        <v>10</v>
      </c>
      <c r="K91" s="20" t="n">
        <v>20</v>
      </c>
      <c r="L91" s="20" t="inlineStr">
        <is>
          <t>个</t>
        </is>
      </c>
      <c r="M91" s="20" t="inlineStr"/>
      <c r="N91" s="20" t="inlineStr"/>
      <c r="O91" s="20" t="inlineStr"/>
      <c r="P91" s="20" t="inlineStr"/>
      <c r="Q91" s="20" t="n">
        <v>10</v>
      </c>
      <c r="R91" s="20" t="inlineStr"/>
      <c r="S91" s="20" t="n">
        <v>11</v>
      </c>
      <c r="T91" s="20" t="inlineStr"/>
      <c r="U91" s="20" t="inlineStr">
        <is>
          <t>confirmed</t>
        </is>
      </c>
      <c r="V91" s="20" t="n">
        <v>100</v>
      </c>
      <c r="W91" s="20" t="inlineStr"/>
      <c r="X91" s="20" t="inlineStr">
        <is>
          <t>高中理化生报价.xlsx｜凯迪｜第1259行</t>
        </is>
      </c>
    </row>
    <row r="92" ht="15.6" customHeight="1" s="16">
      <c r="A92" s="2" t="n">
        <v>199</v>
      </c>
      <c r="B92" s="2" t="inlineStr">
        <is>
          <t>反应板</t>
        </is>
      </c>
      <c r="C92" s="5" t="inlineStr">
        <is>
          <t>白色陶瓷，6 孔，表面有釉层</t>
        </is>
      </c>
      <c r="D92" s="1" t="inlineStr">
        <is>
          <t>个</t>
        </is>
      </c>
      <c r="E92" s="1" t="n">
        <v>52</v>
      </c>
      <c r="F92" s="3" t="inlineStr">
        <is>
          <t>群信</t>
        </is>
      </c>
      <c r="G92" s="1" t="n">
        <v>2.5</v>
      </c>
      <c r="H92" s="1">
        <f>G92*E92</f>
        <v/>
      </c>
      <c r="I92" s="20" t="n">
        <v>52</v>
      </c>
      <c r="J92" s="20" t="n">
        <v>2.5</v>
      </c>
      <c r="K92" s="20" t="n">
        <v>130</v>
      </c>
      <c r="L92" s="20" t="inlineStr">
        <is>
          <t>个</t>
        </is>
      </c>
      <c r="M92" s="20" t="inlineStr"/>
      <c r="N92" s="20" t="inlineStr"/>
      <c r="O92" s="20" t="inlineStr"/>
      <c r="P92" s="20" t="inlineStr"/>
      <c r="Q92" s="20" t="n">
        <v>2.5</v>
      </c>
      <c r="R92" s="20" t="inlineStr"/>
      <c r="S92" s="20" t="n">
        <v>2.75</v>
      </c>
      <c r="T92" s="20" t="inlineStr"/>
      <c r="U92" s="20" t="inlineStr">
        <is>
          <t>confirmed</t>
        </is>
      </c>
      <c r="V92" s="20" t="n">
        <v>100</v>
      </c>
      <c r="W92" s="20" t="inlineStr"/>
      <c r="X92" s="20" t="inlineStr">
        <is>
          <t>赛特尔25年.xls｜初中新课标化学｜第168行</t>
        </is>
      </c>
    </row>
    <row r="93" ht="15.6" customHeight="1" s="16">
      <c r="A93" s="2" t="n">
        <v>200</v>
      </c>
      <c r="B93" s="2" t="inlineStr">
        <is>
          <t>井穴板</t>
        </is>
      </c>
      <c r="C93" s="5" t="inlineStr">
        <is>
          <t>透明塑料，9 孔，每孔 0.7 mL，环保材料</t>
        </is>
      </c>
      <c r="D93" s="1" t="inlineStr">
        <is>
          <t>个</t>
        </is>
      </c>
      <c r="E93" s="1" t="n">
        <v>52</v>
      </c>
      <c r="F93" s="3" t="inlineStr">
        <is>
          <t>群信</t>
        </is>
      </c>
      <c r="G93" s="1" t="n">
        <v>1.3</v>
      </c>
      <c r="H93" s="1">
        <f>G93*E93</f>
        <v/>
      </c>
      <c r="I93" s="20" t="n">
        <v>52</v>
      </c>
      <c r="J93" s="20" t="n">
        <v>1.3</v>
      </c>
      <c r="K93" s="20" t="n">
        <v>67.59999999999999</v>
      </c>
      <c r="L93" s="20" t="inlineStr">
        <is>
          <t>个</t>
        </is>
      </c>
      <c r="M93" s="20" t="inlineStr"/>
      <c r="N93" s="20" t="inlineStr"/>
      <c r="O93" s="20" t="inlineStr"/>
      <c r="P93" s="20" t="inlineStr"/>
      <c r="Q93" s="20" t="n">
        <v>1.3</v>
      </c>
      <c r="R93" s="20" t="inlineStr"/>
      <c r="S93" s="20" t="n">
        <v>1.43</v>
      </c>
      <c r="T93" s="20" t="inlineStr"/>
      <c r="U93" s="20" t="inlineStr">
        <is>
          <t>confirmed</t>
        </is>
      </c>
      <c r="V93" s="20" t="n">
        <v>100</v>
      </c>
      <c r="W93" s="20" t="inlineStr"/>
      <c r="X93" s="20" t="inlineStr">
        <is>
          <t>赛特尔25年.xls｜初中化学｜第183行</t>
        </is>
      </c>
    </row>
    <row r="94" ht="15.6" customHeight="1" s="16">
      <c r="A94" s="2" t="n">
        <v>201</v>
      </c>
      <c r="B94" s="21" t="n"/>
      <c r="C94" s="5" t="inlineStr">
        <is>
          <t>透明塑料，6 孔，每孔 5 mL，配 6 个双导气管的井穴塞</t>
        </is>
      </c>
      <c r="D94" s="1" t="inlineStr">
        <is>
          <t>个</t>
        </is>
      </c>
      <c r="E94" s="1" t="n">
        <v>52</v>
      </c>
      <c r="F94" s="3" t="inlineStr">
        <is>
          <t>群信</t>
        </is>
      </c>
      <c r="G94" s="1" t="n">
        <v>6</v>
      </c>
      <c r="H94" s="1">
        <f>G94*E94</f>
        <v/>
      </c>
      <c r="I94" s="20" t="n">
        <v>52</v>
      </c>
      <c r="J94" s="20" t="n">
        <v>1.3</v>
      </c>
      <c r="K94" s="20" t="n">
        <v>67.59999999999999</v>
      </c>
      <c r="L94" s="20" t="inlineStr">
        <is>
          <t>个</t>
        </is>
      </c>
      <c r="M94" s="20" t="inlineStr"/>
      <c r="N94" s="20" t="inlineStr"/>
      <c r="O94" s="20" t="inlineStr"/>
      <c r="P94" s="20" t="inlineStr"/>
      <c r="Q94" s="20" t="n">
        <v>1.3</v>
      </c>
      <c r="R94" s="20" t="inlineStr"/>
      <c r="S94" s="20" t="n">
        <v>1.43</v>
      </c>
      <c r="T94" s="20" t="inlineStr"/>
      <c r="U94" s="20" t="inlineStr">
        <is>
          <t>confirmed</t>
        </is>
      </c>
      <c r="V94" s="20" t="n">
        <v>100</v>
      </c>
      <c r="W94" s="20" t="inlineStr"/>
      <c r="X94" s="20" t="inlineStr">
        <is>
          <t>赛特尔25年.xls｜初中化学｜第183行</t>
        </is>
      </c>
    </row>
    <row r="95" ht="15.6" customHeight="1" s="16">
      <c r="A95" s="2" t="n">
        <v>202</v>
      </c>
      <c r="B95" s="2" t="inlineStr">
        <is>
          <t>塑料多用滴管</t>
        </is>
      </c>
      <c r="C95" s="5" t="inlineStr">
        <is>
          <t>弹性圆筒形吸泡和一根Φ1 mm×120 mm 的径管连接而成，容积 4 mL</t>
        </is>
      </c>
      <c r="D95" s="1" t="inlineStr">
        <is>
          <t>支</t>
        </is>
      </c>
      <c r="E95" s="1" t="n">
        <v>1000</v>
      </c>
      <c r="F95" s="3" t="inlineStr">
        <is>
          <t>群信</t>
        </is>
      </c>
      <c r="G95" s="1" t="n">
        <v>0.4</v>
      </c>
      <c r="H95" s="1">
        <f>G95*E95</f>
        <v/>
      </c>
      <c r="I95" s="20" t="n">
        <v>1000</v>
      </c>
      <c r="J95" s="20" t="n">
        <v>0.4</v>
      </c>
      <c r="K95" s="20" t="n">
        <v>400</v>
      </c>
      <c r="L95" s="20" t="inlineStr">
        <is>
          <t>支</t>
        </is>
      </c>
      <c r="M95" s="20" t="inlineStr"/>
      <c r="N95" s="20" t="inlineStr"/>
      <c r="O95" s="20" t="inlineStr"/>
      <c r="P95" s="20" t="inlineStr"/>
      <c r="Q95" s="20" t="n">
        <v>1</v>
      </c>
      <c r="R95" s="20" t="inlineStr"/>
      <c r="S95" s="20" t="n">
        <v>1.4</v>
      </c>
      <c r="T95" s="20" t="inlineStr"/>
      <c r="U95" s="20" t="inlineStr">
        <is>
          <t>confirmed</t>
        </is>
      </c>
      <c r="V95" s="20" t="n">
        <v>100</v>
      </c>
      <c r="W95" s="20" t="inlineStr">
        <is>
          <t>同分多价：最高分候选存在不同历史价格</t>
        </is>
      </c>
      <c r="X95" s="20" t="inlineStr">
        <is>
          <t>赛特尔25年.xls｜初中新课标化学｜第171行</t>
        </is>
      </c>
    </row>
    <row r="96" ht="15.6" customHeight="1" s="16">
      <c r="A96" s="2" t="n">
        <v>203</v>
      </c>
      <c r="B96" s="2" t="inlineStr">
        <is>
          <t>塑料洗瓶</t>
        </is>
      </c>
      <c r="C96" s="5" t="inlineStr">
        <is>
          <t>250 mL 或 500 mL，水嘴略向下倾斜,口径 1mm～2 mm,瓶口紧实不漏气</t>
        </is>
      </c>
      <c r="D96" s="1" t="inlineStr">
        <is>
          <t>个</t>
        </is>
      </c>
      <c r="E96" s="1" t="n">
        <v>52</v>
      </c>
      <c r="F96" s="3" t="inlineStr">
        <is>
          <t>群信</t>
        </is>
      </c>
      <c r="G96" s="1" t="n">
        <v>4</v>
      </c>
      <c r="H96" s="1">
        <f>G96*E96</f>
        <v/>
      </c>
      <c r="I96" s="20" t="n">
        <v>52</v>
      </c>
      <c r="J96" s="20" t="n">
        <v>4</v>
      </c>
      <c r="K96" s="20" t="n">
        <v>208</v>
      </c>
      <c r="L96" s="20" t="inlineStr">
        <is>
          <t>个</t>
        </is>
      </c>
      <c r="M96" s="20" t="inlineStr"/>
      <c r="N96" s="20" t="inlineStr"/>
      <c r="O96" s="20" t="inlineStr"/>
      <c r="P96" s="20" t="inlineStr"/>
      <c r="Q96" s="20" t="n">
        <v>4.5</v>
      </c>
      <c r="R96" s="20" t="inlineStr"/>
      <c r="S96" s="20" t="n">
        <v>4.5</v>
      </c>
      <c r="T96" s="20" t="inlineStr"/>
      <c r="U96" s="20" t="inlineStr">
        <is>
          <t>confirmed</t>
        </is>
      </c>
      <c r="V96" s="20" t="n">
        <v>100</v>
      </c>
      <c r="W96" s="20" t="inlineStr">
        <is>
          <t>同分多价：最高分候选存在不同历史价格</t>
        </is>
      </c>
      <c r="X96" s="20" t="inlineStr">
        <is>
          <t>高中理化生报价.xlsx｜凯迪｜第1395行</t>
        </is>
      </c>
    </row>
    <row r="97" ht="15.6" customHeight="1" s="16">
      <c r="A97" s="2" t="n">
        <v>204</v>
      </c>
      <c r="B97" s="2" t="inlineStr">
        <is>
          <t>透明塑料水槽</t>
        </is>
      </c>
      <c r="C97" s="5" t="inlineStr">
        <is>
          <t>≥250 mm×180 mm×100 mm</t>
        </is>
      </c>
      <c r="D97" s="1" t="inlineStr">
        <is>
          <t>个</t>
        </is>
      </c>
      <c r="E97" s="1" t="n">
        <v>26</v>
      </c>
      <c r="F97" s="3" t="inlineStr">
        <is>
          <t>群信</t>
        </is>
      </c>
      <c r="G97" s="1" t="n">
        <v>12</v>
      </c>
      <c r="H97" s="1">
        <f>G97*E97</f>
        <v/>
      </c>
      <c r="I97" s="20" t="n">
        <v>26</v>
      </c>
      <c r="J97" s="20" t="n">
        <v>11</v>
      </c>
      <c r="K97" s="20" t="n">
        <v>286</v>
      </c>
      <c r="L97" s="20" t="inlineStr">
        <is>
          <t>个</t>
        </is>
      </c>
      <c r="M97" s="20" t="inlineStr"/>
      <c r="N97" s="20" t="inlineStr"/>
      <c r="O97" s="20" t="inlineStr"/>
      <c r="P97" s="20" t="inlineStr"/>
      <c r="Q97" s="20" t="n">
        <v>12</v>
      </c>
      <c r="R97" s="20" t="inlineStr"/>
      <c r="S97" s="20" t="n">
        <v>13</v>
      </c>
      <c r="T97" s="20" t="inlineStr"/>
      <c r="U97" s="20" t="inlineStr">
        <is>
          <t>confirmed</t>
        </is>
      </c>
      <c r="V97" s="20" t="n">
        <v>100</v>
      </c>
      <c r="W97" s="20" t="inlineStr">
        <is>
          <t>同分多价：最高分候选存在不同历史价格</t>
        </is>
      </c>
      <c r="X97" s="20" t="inlineStr">
        <is>
          <t>赛特尔25年.xls｜初中新课标化学｜第173行</t>
        </is>
      </c>
    </row>
    <row r="98" ht="15.6" customHeight="1" s="16">
      <c r="A98" s="2" t="n">
        <v>205</v>
      </c>
      <c r="B98" s="2" t="inlineStr">
        <is>
          <t>集气瓶挂扣器</t>
        </is>
      </c>
      <c r="C98" s="5" t="inlineStr">
        <is>
          <t>适合 125 mL 集气瓶，塑料制</t>
        </is>
      </c>
      <c r="D98" s="1" t="inlineStr">
        <is>
          <t>个</t>
        </is>
      </c>
      <c r="E98" s="1" t="n">
        <v>26</v>
      </c>
      <c r="F98" s="3" t="inlineStr">
        <is>
          <t>群信</t>
        </is>
      </c>
      <c r="G98" s="1" t="n">
        <v>8</v>
      </c>
      <c r="H98" s="1">
        <f>G98*E98</f>
        <v/>
      </c>
      <c r="I98" s="20" t="n">
        <v>26</v>
      </c>
      <c r="J98" s="20" t="n">
        <v>3</v>
      </c>
      <c r="K98" s="20" t="n">
        <v>78</v>
      </c>
      <c r="L98" s="20" t="inlineStr">
        <is>
          <t>个</t>
        </is>
      </c>
      <c r="M98" s="20" t="inlineStr"/>
      <c r="N98" s="20" t="inlineStr"/>
      <c r="O98" s="20" t="inlineStr"/>
      <c r="P98" s="20" t="inlineStr"/>
      <c r="Q98" s="20" t="n">
        <v>4</v>
      </c>
      <c r="R98" s="20" t="inlineStr"/>
      <c r="S98" s="20" t="n">
        <v>8</v>
      </c>
      <c r="T98" s="20" t="inlineStr"/>
      <c r="U98" s="20" t="inlineStr">
        <is>
          <t>confirmed</t>
        </is>
      </c>
      <c r="V98" s="20" t="n">
        <v>100</v>
      </c>
      <c r="W98" s="20" t="inlineStr">
        <is>
          <t>价格分歧&gt;30%：历史报价分歧较大，需人工核对；同分多价：最高分候选存在不同历史价格</t>
        </is>
      </c>
      <c r="X98" s="20" t="inlineStr">
        <is>
          <t>赛特尔25年.xls｜初中新课标化学｜第90行</t>
        </is>
      </c>
    </row>
    <row r="99" ht="15.6" customHeight="1" s="16">
      <c r="A99" s="2" t="n">
        <v>206</v>
      </c>
      <c r="B99" s="21" t="n"/>
      <c r="C99" s="5" t="inlineStr">
        <is>
          <t>适合 250 mL 集气瓶，塑料制</t>
        </is>
      </c>
      <c r="D99" s="1" t="inlineStr">
        <is>
          <t>个</t>
        </is>
      </c>
      <c r="E99" s="1" t="n">
        <v>5</v>
      </c>
      <c r="F99" s="3" t="inlineStr">
        <is>
          <t>群信</t>
        </is>
      </c>
      <c r="G99" s="1" t="n">
        <v>8</v>
      </c>
      <c r="H99" s="1">
        <f>G99*E99</f>
        <v/>
      </c>
      <c r="I99" s="20" t="n">
        <v>5</v>
      </c>
      <c r="J99" s="20" t="n">
        <v>3</v>
      </c>
      <c r="K99" s="20" t="n">
        <v>15</v>
      </c>
      <c r="L99" s="20" t="inlineStr">
        <is>
          <t>个</t>
        </is>
      </c>
      <c r="M99" s="20" t="inlineStr"/>
      <c r="N99" s="20" t="inlineStr"/>
      <c r="O99" s="20" t="inlineStr"/>
      <c r="P99" s="20" t="inlineStr"/>
      <c r="Q99" s="20" t="n">
        <v>4</v>
      </c>
      <c r="R99" s="20" t="inlineStr"/>
      <c r="S99" s="20" t="n">
        <v>8</v>
      </c>
      <c r="T99" s="20" t="inlineStr"/>
      <c r="U99" s="20" t="inlineStr">
        <is>
          <t>confirmed</t>
        </is>
      </c>
      <c r="V99" s="20" t="n">
        <v>100</v>
      </c>
      <c r="W99" s="20" t="inlineStr">
        <is>
          <t>价格分歧&gt;30%：历史报价分歧较大，需人工核对；同分多价：最高分候选存在不同历史价格</t>
        </is>
      </c>
      <c r="X99" s="20" t="inlineStr">
        <is>
          <t>赛特尔25年.xls｜初中新课标化学｜第90行</t>
        </is>
      </c>
    </row>
    <row r="100" ht="15.6" customHeight="1" s="16">
      <c r="A100" s="2" t="n">
        <v>207</v>
      </c>
      <c r="B100" s="2" t="inlineStr">
        <is>
          <t>注射器</t>
        </is>
      </c>
      <c r="C100" s="5" t="inlineStr">
        <is>
          <t>10 mL，塑料</t>
        </is>
      </c>
      <c r="D100" s="1" t="inlineStr">
        <is>
          <t>只</t>
        </is>
      </c>
      <c r="E100" s="1" t="n">
        <v>26</v>
      </c>
      <c r="F100" s="3" t="inlineStr">
        <is>
          <t>锋利</t>
        </is>
      </c>
      <c r="G100" s="1" t="n">
        <v>1</v>
      </c>
      <c r="H100" s="1">
        <f>G100*E100</f>
        <v/>
      </c>
      <c r="I100" s="20" t="n">
        <v>26</v>
      </c>
      <c r="J100" s="20" t="n">
        <v>1</v>
      </c>
      <c r="K100" s="20" t="n">
        <v>26</v>
      </c>
      <c r="L100" s="20" t="inlineStr">
        <is>
          <t>只</t>
        </is>
      </c>
      <c r="M100" s="20" t="inlineStr"/>
      <c r="N100" s="20" t="inlineStr"/>
      <c r="O100" s="20" t="inlineStr"/>
      <c r="P100" s="20" t="inlineStr"/>
      <c r="Q100" s="20" t="n">
        <v>1</v>
      </c>
      <c r="R100" s="20" t="inlineStr"/>
      <c r="S100" s="20" t="n">
        <v>1.1</v>
      </c>
      <c r="T100" s="20" t="inlineStr"/>
      <c r="U100" s="20" t="inlineStr">
        <is>
          <t>confirmed</t>
        </is>
      </c>
      <c r="V100" s="20" t="n">
        <v>100</v>
      </c>
      <c r="W100" s="20" t="inlineStr"/>
      <c r="X100" s="20" t="inlineStr">
        <is>
          <t>赛特尔25年.xls｜初中新课标化学｜第177行</t>
        </is>
      </c>
    </row>
    <row r="101" ht="15.6" customHeight="1" s="16">
      <c r="A101" s="2" t="n">
        <v>208</v>
      </c>
      <c r="B101" s="21" t="n"/>
      <c r="C101" s="5" t="inlineStr">
        <is>
          <t>50 mL，玻璃制</t>
        </is>
      </c>
      <c r="D101" s="1" t="inlineStr">
        <is>
          <t>只</t>
        </is>
      </c>
      <c r="E101" s="1" t="n">
        <v>25</v>
      </c>
      <c r="F101" s="3" t="inlineStr">
        <is>
          <t>飞鸽</t>
        </is>
      </c>
      <c r="G101" s="1" t="n">
        <v>3</v>
      </c>
      <c r="H101" s="1">
        <f>G101*E101</f>
        <v/>
      </c>
      <c r="I101" s="20" t="n">
        <v>25</v>
      </c>
      <c r="J101" s="20" t="n">
        <v>1</v>
      </c>
      <c r="K101" s="20" t="n">
        <v>25</v>
      </c>
      <c r="L101" s="20" t="inlineStr">
        <is>
          <t>只</t>
        </is>
      </c>
      <c r="M101" s="20" t="inlineStr"/>
      <c r="N101" s="20" t="inlineStr"/>
      <c r="O101" s="20" t="inlineStr"/>
      <c r="P101" s="20" t="inlineStr"/>
      <c r="Q101" s="20" t="n">
        <v>1</v>
      </c>
      <c r="R101" s="20" t="inlineStr"/>
      <c r="S101" s="20" t="n">
        <v>1.1</v>
      </c>
      <c r="T101" s="20" t="inlineStr"/>
      <c r="U101" s="20" t="inlineStr">
        <is>
          <t>confirmed</t>
        </is>
      </c>
      <c r="V101" s="20" t="n">
        <v>100</v>
      </c>
      <c r="W101" s="20" t="inlineStr"/>
      <c r="X101" s="20" t="inlineStr">
        <is>
          <t>赛特尔25年.xls｜初中新课标化学｜第177行</t>
        </is>
      </c>
    </row>
    <row r="102" ht="15.6" customHeight="1" s="16">
      <c r="A102" s="2" t="n">
        <v>209</v>
      </c>
      <c r="B102" s="2" t="inlineStr">
        <is>
          <t>铂金丝</t>
        </is>
      </c>
      <c r="C102" s="5" t="inlineStr">
        <is>
          <t>Φ0.5 mm×50 mm；具金属柄，可拆卸</t>
        </is>
      </c>
      <c r="D102" s="1" t="inlineStr">
        <is>
          <t>支</t>
        </is>
      </c>
      <c r="E102" s="1" t="n">
        <v>2</v>
      </c>
      <c r="F102" s="3" t="inlineStr">
        <is>
          <t>群信</t>
        </is>
      </c>
      <c r="G102" s="1" t="n">
        <v>56</v>
      </c>
      <c r="H102" s="1">
        <f>G102*E102</f>
        <v/>
      </c>
      <c r="I102" s="20" t="n">
        <v>2</v>
      </c>
      <c r="J102" s="20" t="n">
        <v>25</v>
      </c>
      <c r="K102" s="20" t="n">
        <v>50</v>
      </c>
      <c r="L102" s="20" t="inlineStr">
        <is>
          <t>支</t>
        </is>
      </c>
      <c r="M102" s="20" t="inlineStr">
        <is>
          <t>群信</t>
        </is>
      </c>
      <c r="N102" s="20" t="inlineStr"/>
      <c r="O102" s="20" t="inlineStr"/>
      <c r="P102" s="20" t="inlineStr">
        <is>
          <t>64098</t>
        </is>
      </c>
      <c r="Q102" s="20" t="inlineStr"/>
      <c r="R102" s="20" t="inlineStr"/>
      <c r="S102" s="20" t="inlineStr"/>
      <c r="T102" s="20" t="inlineStr"/>
      <c r="U102" s="20" t="inlineStr">
        <is>
          <t>confirmed</t>
        </is>
      </c>
      <c r="V102" s="20" t="n">
        <v>66.7</v>
      </c>
      <c r="W102" s="20" t="inlineStr"/>
      <c r="X102" s="20" t="inlineStr">
        <is>
          <t>高中理化生报价.xlsx｜凯迪｜第1106行</t>
        </is>
      </c>
    </row>
    <row r="103" ht="15.6" customHeight="1" s="16">
      <c r="A103" s="2" t="n">
        <v>210</v>
      </c>
      <c r="B103" s="2" t="inlineStr">
        <is>
          <t>酒精喷灯</t>
        </is>
      </c>
      <c r="C103" s="5" t="inlineStr">
        <is>
          <t>座式，铜制，壶体容积≥300 mL，火焰温度≥1000 ℃</t>
        </is>
      </c>
      <c r="D103" s="1" t="inlineStr">
        <is>
          <t>个</t>
        </is>
      </c>
      <c r="E103" s="1" t="n">
        <v>2</v>
      </c>
      <c r="F103" s="3" t="inlineStr">
        <is>
          <t>华奇</t>
        </is>
      </c>
      <c r="G103" s="1" t="n">
        <v>48</v>
      </c>
      <c r="H103" s="1">
        <f>G103*E103</f>
        <v/>
      </c>
      <c r="I103" s="20" t="n">
        <v>2</v>
      </c>
      <c r="J103" s="20" t="n">
        <v>0.02</v>
      </c>
      <c r="K103" s="20" t="n">
        <v>0.04</v>
      </c>
      <c r="L103" s="20" t="inlineStr">
        <is>
          <t>个</t>
        </is>
      </c>
      <c r="M103" s="20" t="inlineStr"/>
      <c r="N103" s="20" t="inlineStr"/>
      <c r="O103" s="20" t="inlineStr"/>
      <c r="P103" s="20" t="inlineStr">
        <is>
          <t>工业</t>
        </is>
      </c>
      <c r="Q103" s="20" t="inlineStr"/>
      <c r="R103" s="20" t="inlineStr"/>
      <c r="S103" s="20" t="inlineStr"/>
      <c r="T103" s="20" t="inlineStr"/>
      <c r="U103" s="20" t="inlineStr">
        <is>
          <t>confirmed</t>
        </is>
      </c>
      <c r="V103" s="20" t="n">
        <v>0</v>
      </c>
      <c r="W103" s="20" t="inlineStr">
        <is>
          <t>没有找到可靠候选</t>
        </is>
      </c>
      <c r="X103" s="20" t="inlineStr">
        <is>
          <t>赛特尔25年.xls｜初中物理｜第311行</t>
        </is>
      </c>
    </row>
    <row r="104" ht="15.6" customHeight="1" s="16">
      <c r="A104" s="2" t="n">
        <v>211</v>
      </c>
      <c r="B104" s="2" t="inlineStr">
        <is>
          <t>储气装置</t>
        </is>
      </c>
      <c r="C104" s="5" t="inlineStr">
        <is>
          <t>容积≥2 L</t>
        </is>
      </c>
      <c r="D104" s="1" t="inlineStr">
        <is>
          <t>台</t>
        </is>
      </c>
      <c r="E104" s="1" t="n">
        <v>2</v>
      </c>
      <c r="F104" s="3" t="inlineStr">
        <is>
          <t>群信</t>
        </is>
      </c>
      <c r="G104" s="1" t="n">
        <v>40</v>
      </c>
      <c r="H104" s="1">
        <f>G104*E104</f>
        <v/>
      </c>
      <c r="I104" s="20" t="n">
        <v>2</v>
      </c>
      <c r="J104" s="20" t="n">
        <v>40</v>
      </c>
      <c r="K104" s="20" t="n">
        <v>80</v>
      </c>
      <c r="L104" s="20" t="inlineStr">
        <is>
          <t>台</t>
        </is>
      </c>
      <c r="M104" s="20" t="inlineStr"/>
      <c r="N104" s="20" t="inlineStr"/>
      <c r="O104" s="20" t="inlineStr"/>
      <c r="P104" s="20" t="inlineStr"/>
      <c r="Q104" s="20" t="n">
        <v>40</v>
      </c>
      <c r="R104" s="20" t="inlineStr"/>
      <c r="S104" s="20" t="n">
        <v>44</v>
      </c>
      <c r="T104" s="20" t="inlineStr"/>
      <c r="U104" s="20" t="inlineStr">
        <is>
          <t>confirmed</t>
        </is>
      </c>
      <c r="V104" s="20" t="n">
        <v>75</v>
      </c>
      <c r="W104" s="20" t="inlineStr"/>
      <c r="X104" s="20" t="inlineStr">
        <is>
          <t>赛特尔25年.xls｜初中新课标化学｜第180行</t>
        </is>
      </c>
    </row>
    <row r="105" ht="31.2" customHeight="1" s="16">
      <c r="A105" s="2" t="n">
        <v>212</v>
      </c>
      <c r="B105" s="2" t="inlineStr">
        <is>
          <t>储气袋</t>
        </is>
      </c>
      <c r="C105" s="5" t="inlineStr">
        <is>
          <t>容积≥30 L，可承受≥10.6 kPa 压力，使用 PVC 和橡胶材料制成，导气管为硅胶软管，长度≥50 cm，软管应有止气阀，关闭时确保不漏气</t>
        </is>
      </c>
      <c r="D105" s="1" t="inlineStr">
        <is>
          <t>个</t>
        </is>
      </c>
      <c r="E105" s="1" t="n">
        <v>2</v>
      </c>
      <c r="F105" s="3" t="inlineStr">
        <is>
          <t>群信</t>
        </is>
      </c>
      <c r="G105" s="1" t="n">
        <v>200</v>
      </c>
      <c r="H105" s="1">
        <f>G105*E105</f>
        <v/>
      </c>
      <c r="I105" s="20" t="n">
        <v>2</v>
      </c>
      <c r="J105" s="20" t="n">
        <v>360</v>
      </c>
      <c r="K105" s="20" t="n">
        <v>720</v>
      </c>
      <c r="L105" s="20" t="inlineStr">
        <is>
          <t>个</t>
        </is>
      </c>
      <c r="M105" s="20" t="inlineStr"/>
      <c r="N105" s="20" t="inlineStr"/>
      <c r="O105" s="20" t="inlineStr"/>
      <c r="P105" s="20" t="inlineStr">
        <is>
          <t>容积≥30 L，可承受≥10.6 kPa 压力，使用 PVC和橡胶尼龙材料制成，导气管为硅胶软管，长度≥50 cm，软管应有止气阀，关闭时确保不漏气</t>
        </is>
      </c>
      <c r="Q105" s="20" t="inlineStr"/>
      <c r="R105" s="20" t="inlineStr"/>
      <c r="S105" s="20" t="inlineStr"/>
      <c r="T105" s="20" t="inlineStr"/>
      <c r="U105" s="20" t="inlineStr">
        <is>
          <t>confirmed</t>
        </is>
      </c>
      <c r="V105" s="20" t="n">
        <v>100</v>
      </c>
      <c r="W105" s="20" t="inlineStr"/>
      <c r="X105" s="20" t="inlineStr">
        <is>
          <t>赛特尔25年.xls｜初中新课标化学｜第181行</t>
        </is>
      </c>
    </row>
    <row r="106" ht="15.6" customHeight="1" s="16">
      <c r="A106" s="2" t="n">
        <v>213</v>
      </c>
      <c r="B106" s="2" t="inlineStr">
        <is>
          <t>定性滤纸</t>
        </is>
      </c>
      <c r="C106" s="5" t="inlineStr">
        <is>
          <t>快速，9 cm，100 张/盒</t>
        </is>
      </c>
      <c r="D106" s="1" t="inlineStr">
        <is>
          <t>盒</t>
        </is>
      </c>
      <c r="E106" s="1" t="n">
        <v>15</v>
      </c>
      <c r="F106" s="3" t="inlineStr">
        <is>
          <t>长里百灵</t>
        </is>
      </c>
      <c r="G106" s="1" t="n">
        <v>9</v>
      </c>
      <c r="H106" s="1">
        <f>G106*E106</f>
        <v/>
      </c>
      <c r="I106" s="20" t="n">
        <v>15</v>
      </c>
      <c r="J106" s="20" t="n">
        <v>10</v>
      </c>
      <c r="K106" s="20" t="n">
        <v>150</v>
      </c>
      <c r="L106" s="20" t="inlineStr">
        <is>
          <t>盒</t>
        </is>
      </c>
      <c r="M106" s="20" t="inlineStr"/>
      <c r="N106" s="20" t="inlineStr"/>
      <c r="O106" s="20" t="inlineStr"/>
      <c r="P106" s="20" t="inlineStr"/>
      <c r="Q106" s="20" t="n">
        <v>10</v>
      </c>
      <c r="R106" s="20" t="inlineStr"/>
      <c r="S106" s="20" t="n">
        <v>11</v>
      </c>
      <c r="T106" s="20" t="inlineStr"/>
      <c r="U106" s="20" t="inlineStr">
        <is>
          <t>confirmed</t>
        </is>
      </c>
      <c r="V106" s="20" t="n">
        <v>100</v>
      </c>
      <c r="W106" s="20" t="inlineStr"/>
      <c r="X106" s="20" t="inlineStr">
        <is>
          <t>赛特尔25年.xls｜初中新课标生物｜第183行</t>
        </is>
      </c>
    </row>
    <row r="107" ht="15.6" customHeight="1" s="16">
      <c r="A107" s="2" t="n">
        <v>214</v>
      </c>
      <c r="B107" s="2" t="inlineStr">
        <is>
          <t>定性滤纸</t>
        </is>
      </c>
      <c r="C107" s="5" t="inlineStr">
        <is>
          <t>快速，15 cm，100 张/盒</t>
        </is>
      </c>
      <c r="D107" s="1" t="inlineStr">
        <is>
          <t>盒</t>
        </is>
      </c>
      <c r="E107" s="1" t="n">
        <v>3</v>
      </c>
      <c r="F107" s="3" t="inlineStr">
        <is>
          <t>长里百灵</t>
        </is>
      </c>
      <c r="G107" s="1" t="n">
        <v>10</v>
      </c>
      <c r="H107" s="1">
        <f>G107*E107</f>
        <v/>
      </c>
      <c r="I107" s="20" t="n">
        <v>3</v>
      </c>
      <c r="J107" s="20" t="n">
        <v>10</v>
      </c>
      <c r="K107" s="20" t="n">
        <v>30</v>
      </c>
      <c r="L107" s="20" t="inlineStr">
        <is>
          <t>盒</t>
        </is>
      </c>
      <c r="M107" s="20" t="inlineStr"/>
      <c r="N107" s="20" t="inlineStr"/>
      <c r="O107" s="20" t="inlineStr"/>
      <c r="P107" s="20" t="inlineStr"/>
      <c r="Q107" s="20" t="n">
        <v>10</v>
      </c>
      <c r="R107" s="20" t="inlineStr"/>
      <c r="S107" s="20" t="n">
        <v>11</v>
      </c>
      <c r="T107" s="20" t="inlineStr"/>
      <c r="U107" s="20" t="inlineStr">
        <is>
          <t>confirmed</t>
        </is>
      </c>
      <c r="V107" s="20" t="n">
        <v>100</v>
      </c>
      <c r="W107" s="20" t="inlineStr"/>
      <c r="X107" s="20" t="inlineStr">
        <is>
          <t>赛特尔25年.xls｜初中新课标生物｜第183行</t>
        </is>
      </c>
    </row>
    <row r="108" ht="15.6" customHeight="1" s="16">
      <c r="A108" s="2" t="n">
        <v>215</v>
      </c>
      <c r="B108" s="2" t="inlineStr">
        <is>
          <t>中和热测定仪</t>
        </is>
      </c>
      <c r="C108" s="5" t="inlineStr">
        <is>
          <t>包括反应容器、温度计、环形玻璃搅拌棒  ≥高度160mm直径90mm</t>
        </is>
      </c>
      <c r="D108" s="1" t="inlineStr">
        <is>
          <t>套</t>
        </is>
      </c>
      <c r="E108" s="1" t="n">
        <v>52</v>
      </c>
      <c r="F108" s="3" t="inlineStr">
        <is>
          <t>群信</t>
        </is>
      </c>
      <c r="G108" s="1" t="n">
        <v>20</v>
      </c>
      <c r="H108" s="1">
        <f>G108*E108</f>
        <v/>
      </c>
      <c r="I108" s="20" t="n">
        <v>52</v>
      </c>
      <c r="J108" s="20" t="n">
        <v>20</v>
      </c>
      <c r="K108" s="20" t="n">
        <v>1040</v>
      </c>
      <c r="L108" s="20" t="inlineStr">
        <is>
          <t>套</t>
        </is>
      </c>
      <c r="M108" s="20" t="inlineStr">
        <is>
          <t>群信</t>
        </is>
      </c>
      <c r="N108" s="20" t="inlineStr"/>
      <c r="O108" s="20" t="inlineStr"/>
      <c r="P108" s="20" t="inlineStr">
        <is>
          <t>26013</t>
        </is>
      </c>
      <c r="Q108" s="20" t="inlineStr"/>
      <c r="R108" s="20" t="inlineStr"/>
      <c r="S108" s="20" t="inlineStr"/>
      <c r="T108" s="20" t="inlineStr"/>
      <c r="U108" s="20" t="inlineStr">
        <is>
          <t>confirmed</t>
        </is>
      </c>
      <c r="V108" s="20" t="n">
        <v>100</v>
      </c>
      <c r="W108" s="20" t="inlineStr"/>
      <c r="X108" s="20" t="inlineStr">
        <is>
          <t>高中理化生报价.xlsx｜凯迪｜第914行</t>
        </is>
      </c>
    </row>
    <row r="109" ht="31.2" customHeight="1" s="16">
      <c r="A109" s="2" t="n">
        <v>216</v>
      </c>
      <c r="B109" s="2" t="inlineStr">
        <is>
          <t>原电池实验器</t>
        </is>
      </c>
      <c r="C109" s="5" t="inlineStr">
        <is>
          <t>包括缸体、带固定接线柱和电极夹的缸体盖板、铜电极板、锌电极板、铁电极板、碳棒、发光二极管、导线等</t>
        </is>
      </c>
      <c r="D109" s="1" t="inlineStr">
        <is>
          <t>个</t>
        </is>
      </c>
      <c r="E109" s="1" t="n">
        <v>52</v>
      </c>
      <c r="F109" s="3" t="inlineStr">
        <is>
          <t>群信</t>
        </is>
      </c>
      <c r="G109" s="1" t="n">
        <v>22</v>
      </c>
      <c r="H109" s="1">
        <f>G109*E109</f>
        <v/>
      </c>
      <c r="I109" s="20" t="n">
        <v>52</v>
      </c>
      <c r="J109" s="20" t="n">
        <v>9</v>
      </c>
      <c r="K109" s="20" t="n">
        <v>468</v>
      </c>
      <c r="L109" s="20" t="inlineStr">
        <is>
          <t>个</t>
        </is>
      </c>
      <c r="M109" s="20" t="inlineStr"/>
      <c r="N109" s="20" t="inlineStr"/>
      <c r="O109" s="20" t="inlineStr"/>
      <c r="P109" s="20" t="inlineStr"/>
      <c r="Q109" s="20" t="n">
        <v>9</v>
      </c>
      <c r="R109" s="20" t="inlineStr"/>
      <c r="S109" s="20" t="n">
        <v>13</v>
      </c>
      <c r="T109" s="20" t="inlineStr"/>
      <c r="U109" s="20" t="inlineStr">
        <is>
          <t>confirmed</t>
        </is>
      </c>
      <c r="V109" s="20" t="n">
        <v>100</v>
      </c>
      <c r="W109" s="20" t="inlineStr">
        <is>
          <t>价格分歧&gt;30%：历史报价分歧较大，需人工核对</t>
        </is>
      </c>
      <c r="X109" s="20" t="inlineStr">
        <is>
          <t>赛特尔25年.xls｜初中化学｜第48行</t>
        </is>
      </c>
    </row>
    <row r="110" ht="93.59999999999999" customHeight="1" s="16">
      <c r="A110" s="2" t="n">
        <v>217</v>
      </c>
      <c r="B110" s="2" t="inlineStr">
        <is>
          <t>溶液导电演示器</t>
        </is>
      </c>
      <c r="C110" s="5" t="inlineStr">
        <is>
          <t>主要配置及特征参数：由电表、电位器、电阻、石墨电极、透明贮液筒、底座、档位开关等组成技术指标：外形尺寸666×470mm（±5mm）；上下为钢结构,具有良好的抗拉强度，表面绿色喷塑处理。左右为ABS塑料精密注塑成型边框。仪器面板表面印有原理电路图，配有透明透明贮液筒（带底座）5个、内表外表切换开关、1×7档位开关（其中一档为校验），预留外表接口，可同时比较五组溶液的导电性能。能够完成的教学演示：不同溶液的的导电性能</t>
        </is>
      </c>
      <c r="D110" s="1" t="inlineStr">
        <is>
          <t>台</t>
        </is>
      </c>
      <c r="E110" s="1" t="n">
        <v>1</v>
      </c>
      <c r="F110" s="3" t="inlineStr">
        <is>
          <t>群信</t>
        </is>
      </c>
      <c r="G110" s="1" t="n">
        <v>300</v>
      </c>
      <c r="H110" s="1">
        <f>G110*E110</f>
        <v/>
      </c>
      <c r="I110" s="20" t="n">
        <v>1</v>
      </c>
      <c r="J110" s="20" t="n">
        <v>75</v>
      </c>
      <c r="K110" s="20" t="n">
        <v>75</v>
      </c>
      <c r="L110" s="20" t="inlineStr">
        <is>
          <t>台</t>
        </is>
      </c>
      <c r="M110" s="20" t="inlineStr"/>
      <c r="N110" s="20" t="inlineStr"/>
      <c r="O110" s="20" t="inlineStr"/>
      <c r="P110" s="20" t="inlineStr"/>
      <c r="Q110" s="20" t="n">
        <v>75</v>
      </c>
      <c r="R110" s="20" t="inlineStr"/>
      <c r="S110" s="20" t="n">
        <v>165</v>
      </c>
      <c r="T110" s="20" t="inlineStr"/>
      <c r="U110" s="20" t="inlineStr">
        <is>
          <t>confirmed</t>
        </is>
      </c>
      <c r="V110" s="20" t="n">
        <v>100</v>
      </c>
      <c r="W110" s="20" t="inlineStr">
        <is>
          <t>价格分歧&gt;30%：历史报价分歧较大，需人工核对</t>
        </is>
      </c>
      <c r="X110" s="20" t="inlineStr">
        <is>
          <t>赛特尔25年.xls｜初中化学｜第52行</t>
        </is>
      </c>
    </row>
    <row r="111" ht="15.6" customHeight="1" s="16">
      <c r="A111" s="2" t="n">
        <v>218</v>
      </c>
      <c r="B111" s="2" t="inlineStr">
        <is>
          <t>教师用分子结构模型</t>
        </is>
      </c>
      <c r="C111" s="5" t="inlineStr">
        <is>
          <t>球棍式，氢原子球直径不小于 30 mm，其他原子球直径不小于 40 mm</t>
        </is>
      </c>
      <c r="D111" s="1" t="inlineStr">
        <is>
          <t>套</t>
        </is>
      </c>
      <c r="E111" s="1" t="n">
        <v>3</v>
      </c>
      <c r="F111" s="3" t="inlineStr">
        <is>
          <t>群信</t>
        </is>
      </c>
      <c r="G111" s="1" t="n">
        <v>140</v>
      </c>
      <c r="H111" s="1">
        <f>G111*E111</f>
        <v/>
      </c>
      <c r="I111" s="20" t="n">
        <v>3</v>
      </c>
      <c r="J111" s="20" t="n">
        <v>35</v>
      </c>
      <c r="K111" s="20" t="n">
        <v>105</v>
      </c>
      <c r="L111" s="20" t="inlineStr">
        <is>
          <t>套</t>
        </is>
      </c>
      <c r="M111" s="20" t="inlineStr"/>
      <c r="N111" s="20" t="inlineStr"/>
      <c r="O111" s="20" t="inlineStr">
        <is>
          <t>3</t>
        </is>
      </c>
      <c r="P111" s="20" t="inlineStr"/>
      <c r="Q111" s="20" t="inlineStr"/>
      <c r="R111" s="20" t="inlineStr"/>
      <c r="S111" s="20" t="inlineStr"/>
      <c r="T111" s="20" t="inlineStr"/>
      <c r="U111" s="20" t="inlineStr">
        <is>
          <t>confirmed</t>
        </is>
      </c>
      <c r="V111" s="20" t="n">
        <v>0</v>
      </c>
      <c r="W111" s="20" t="inlineStr">
        <is>
          <t>匹配到商品档案但无历史价格记录</t>
        </is>
      </c>
      <c r="X111" s="20" t="inlineStr">
        <is>
          <t>赛特尔25年.xls｜初中物理｜第328行</t>
        </is>
      </c>
    </row>
    <row r="112" ht="15.6" customHeight="1" s="16">
      <c r="A112" s="2" t="n">
        <v>219</v>
      </c>
      <c r="B112" s="2" t="inlineStr">
        <is>
          <t>教师用分子结构模型</t>
        </is>
      </c>
      <c r="C112" s="5" t="inlineStr">
        <is>
          <t>空间充填式   直径不小于30mm</t>
        </is>
      </c>
      <c r="D112" s="1" t="inlineStr">
        <is>
          <t>套</t>
        </is>
      </c>
      <c r="E112" s="1" t="n">
        <v>3</v>
      </c>
      <c r="F112" s="3" t="inlineStr">
        <is>
          <t>群信</t>
        </is>
      </c>
      <c r="G112" s="1" t="n">
        <v>140</v>
      </c>
      <c r="H112" s="1">
        <f>G112*E112</f>
        <v/>
      </c>
      <c r="I112" s="20" t="n">
        <v>3</v>
      </c>
      <c r="J112" s="20" t="n">
        <v>35</v>
      </c>
      <c r="K112" s="20" t="n">
        <v>105</v>
      </c>
      <c r="L112" s="20" t="inlineStr">
        <is>
          <t>套</t>
        </is>
      </c>
      <c r="M112" s="20" t="inlineStr"/>
      <c r="N112" s="20" t="inlineStr"/>
      <c r="O112" s="20" t="inlineStr">
        <is>
          <t>3</t>
        </is>
      </c>
      <c r="P112" s="20" t="inlineStr"/>
      <c r="Q112" s="20" t="inlineStr"/>
      <c r="R112" s="20" t="inlineStr"/>
      <c r="S112" s="20" t="inlineStr"/>
      <c r="T112" s="20" t="inlineStr"/>
      <c r="U112" s="20" t="inlineStr">
        <is>
          <t>confirmed</t>
        </is>
      </c>
      <c r="V112" s="20" t="n">
        <v>0</v>
      </c>
      <c r="W112" s="20" t="inlineStr">
        <is>
          <t>匹配到商品档案但无历史价格记录</t>
        </is>
      </c>
      <c r="X112" s="20" t="inlineStr">
        <is>
          <t>赛特尔25年.xls｜初中物理｜第328行</t>
        </is>
      </c>
    </row>
    <row r="113" ht="15.6" customHeight="1" s="16">
      <c r="A113" s="2" t="n">
        <v>220</v>
      </c>
      <c r="B113" s="2" t="inlineStr">
        <is>
          <t>学生用分子结构模型</t>
        </is>
      </c>
      <c r="C113" s="5" t="inlineStr">
        <is>
          <t>球棍式，氢原子球直径不小于 17 mm，其他原子球直径不小于 25 mm</t>
        </is>
      </c>
      <c r="D113" s="1" t="inlineStr">
        <is>
          <t>套</t>
        </is>
      </c>
      <c r="E113" s="1" t="n">
        <v>52</v>
      </c>
      <c r="F113" s="3" t="inlineStr">
        <is>
          <t>群信</t>
        </is>
      </c>
      <c r="G113" s="1" t="n">
        <v>40</v>
      </c>
      <c r="H113" s="1">
        <f>G113*E113</f>
        <v/>
      </c>
      <c r="I113" s="20" t="n">
        <v>52</v>
      </c>
      <c r="J113" s="20" t="n">
        <v>35</v>
      </c>
      <c r="K113" s="20" t="n">
        <v>1820</v>
      </c>
      <c r="L113" s="20" t="inlineStr">
        <is>
          <t>套</t>
        </is>
      </c>
      <c r="M113" s="20" t="inlineStr"/>
      <c r="N113" s="20" t="inlineStr"/>
      <c r="O113" s="20" t="inlineStr">
        <is>
          <t>3</t>
        </is>
      </c>
      <c r="P113" s="20" t="inlineStr"/>
      <c r="Q113" s="20" t="inlineStr"/>
      <c r="R113" s="20" t="inlineStr"/>
      <c r="S113" s="20" t="inlineStr"/>
      <c r="T113" s="20" t="inlineStr"/>
      <c r="U113" s="20" t="inlineStr">
        <is>
          <t>confirmed</t>
        </is>
      </c>
      <c r="V113" s="20" t="n">
        <v>0</v>
      </c>
      <c r="W113" s="20" t="inlineStr">
        <is>
          <t>匹配到商品档案但无历史价格记录</t>
        </is>
      </c>
      <c r="X113" s="20" t="inlineStr">
        <is>
          <t>赛特尔25年.xls｜初中物理｜第328行</t>
        </is>
      </c>
    </row>
    <row r="114" ht="15.6" customHeight="1" s="16">
      <c r="A114" s="2" t="n">
        <v>221</v>
      </c>
      <c r="B114" s="2" t="inlineStr">
        <is>
          <t>价层电子对互斥模型</t>
        </is>
      </c>
      <c r="C114" s="5" t="inlineStr">
        <is>
          <t>外包装尺寸不小于23cm*17cm*3cm</t>
        </is>
      </c>
      <c r="D114" s="1" t="inlineStr">
        <is>
          <t>件</t>
        </is>
      </c>
      <c r="E114" s="1" t="n">
        <v>1</v>
      </c>
      <c r="F114" s="3" t="inlineStr">
        <is>
          <t>群信</t>
        </is>
      </c>
      <c r="G114" s="1" t="n">
        <v>170</v>
      </c>
      <c r="H114" s="1">
        <f>G114*E114</f>
        <v/>
      </c>
      <c r="I114" s="20" t="n">
        <v>1</v>
      </c>
      <c r="J114" s="20" t="n">
        <v>4</v>
      </c>
      <c r="K114" s="20" t="n">
        <v>4</v>
      </c>
      <c r="L114" s="20" t="inlineStr">
        <is>
          <t>件</t>
        </is>
      </c>
      <c r="M114" s="20" t="inlineStr"/>
      <c r="N114" s="20" t="inlineStr"/>
      <c r="O114" s="20" t="inlineStr">
        <is>
          <t>3</t>
        </is>
      </c>
      <c r="P114" s="20" t="inlineStr"/>
      <c r="Q114" s="20" t="n">
        <v>35</v>
      </c>
      <c r="R114" s="20" t="inlineStr"/>
      <c r="S114" s="20" t="n">
        <v>760</v>
      </c>
      <c r="T114" s="20" t="inlineStr"/>
      <c r="U114" s="20" t="inlineStr">
        <is>
          <t>confirmed</t>
        </is>
      </c>
      <c r="V114" s="20" t="n">
        <v>90</v>
      </c>
      <c r="W114" s="20" t="inlineStr">
        <is>
          <t>价格分歧&gt;30%：历史报价分歧较大，需人工核对；同分多价：最高分候选存在不同历史价格</t>
        </is>
      </c>
      <c r="X114" s="20" t="inlineStr">
        <is>
          <t>赛特尔25年.xls｜小学新课标科学｜第130行</t>
        </is>
      </c>
    </row>
    <row r="115" ht="15.6" customHeight="1" s="16">
      <c r="A115" s="2" t="n">
        <v>222</v>
      </c>
      <c r="B115" s="2" t="inlineStr">
        <is>
          <t>金属晶体结构模型</t>
        </is>
      </c>
      <c r="C115" s="5" t="inlineStr">
        <is>
          <t>包括但不局限于Cu、Na、Zn 等球直径不小于 30 mm</t>
        </is>
      </c>
      <c r="D115" s="1" t="inlineStr">
        <is>
          <t>套</t>
        </is>
      </c>
      <c r="E115" s="1" t="n">
        <v>1</v>
      </c>
      <c r="F115" s="3" t="inlineStr">
        <is>
          <t>群信</t>
        </is>
      </c>
      <c r="G115" s="1" t="n">
        <v>210</v>
      </c>
      <c r="H115" s="1">
        <f>G115*E115</f>
        <v/>
      </c>
      <c r="I115" s="20" t="n">
        <v>1</v>
      </c>
      <c r="J115" s="20" t="n">
        <v>70</v>
      </c>
      <c r="K115" s="20" t="n">
        <v>70</v>
      </c>
      <c r="L115" s="20" t="inlineStr">
        <is>
          <t>套</t>
        </is>
      </c>
      <c r="M115" s="20" t="inlineStr"/>
      <c r="N115" s="20" t="inlineStr"/>
      <c r="O115" s="20" t="inlineStr"/>
      <c r="P115" s="20" t="inlineStr"/>
      <c r="Q115" s="20" t="n">
        <v>75</v>
      </c>
      <c r="R115" s="20" t="inlineStr"/>
      <c r="S115" s="20" t="n">
        <v>75</v>
      </c>
      <c r="T115" s="20" t="inlineStr"/>
      <c r="U115" s="20" t="inlineStr">
        <is>
          <t>confirmed</t>
        </is>
      </c>
      <c r="V115" s="20" t="n">
        <v>70.59999999999999</v>
      </c>
      <c r="W115" s="20" t="inlineStr">
        <is>
          <t>同分多价：最高分候选存在不同历史价格</t>
        </is>
      </c>
      <c r="X115" s="20" t="inlineStr">
        <is>
          <t>赛特尔25年.xls｜初中新课标化学｜第301行</t>
        </is>
      </c>
    </row>
    <row r="116" ht="15.6" customHeight="1" s="16">
      <c r="A116" s="2" t="n">
        <v>223</v>
      </c>
      <c r="B116" s="2" t="inlineStr">
        <is>
          <t>离子晶体结构模型</t>
        </is>
      </c>
      <c r="C116" s="5" t="inlineStr">
        <is>
          <t>包括但不局限于氯化钠、氯化铯等球直径不小于 30 mm</t>
        </is>
      </c>
      <c r="D116" s="1" t="inlineStr">
        <is>
          <t>套</t>
        </is>
      </c>
      <c r="E116" s="1" t="n">
        <v>1</v>
      </c>
      <c r="F116" s="3" t="inlineStr">
        <is>
          <t>群信</t>
        </is>
      </c>
      <c r="G116" s="1" t="n">
        <v>85</v>
      </c>
      <c r="H116" s="1">
        <f>G116*E116</f>
        <v/>
      </c>
      <c r="I116" s="20" t="n">
        <v>1</v>
      </c>
      <c r="J116" s="20" t="n">
        <v>70</v>
      </c>
      <c r="K116" s="20" t="n">
        <v>70</v>
      </c>
      <c r="L116" s="20" t="inlineStr">
        <is>
          <t>套</t>
        </is>
      </c>
      <c r="M116" s="20" t="inlineStr"/>
      <c r="N116" s="20" t="inlineStr"/>
      <c r="O116" s="20" t="inlineStr"/>
      <c r="P116" s="20" t="inlineStr"/>
      <c r="Q116" s="20" t="n">
        <v>75</v>
      </c>
      <c r="R116" s="20" t="inlineStr"/>
      <c r="S116" s="20" t="n">
        <v>75</v>
      </c>
      <c r="T116" s="20" t="inlineStr"/>
      <c r="U116" s="20" t="inlineStr">
        <is>
          <t>confirmed</t>
        </is>
      </c>
      <c r="V116" s="20" t="n">
        <v>70.59999999999999</v>
      </c>
      <c r="W116" s="20" t="inlineStr">
        <is>
          <t>同分多价：最高分候选存在不同历史价格</t>
        </is>
      </c>
      <c r="X116" s="20" t="inlineStr">
        <is>
          <t>赛特尔25年.xls｜初中新课标化学｜第301行</t>
        </is>
      </c>
    </row>
    <row r="117" ht="15.6" customHeight="1" s="16">
      <c r="A117" s="2" t="n">
        <v>224</v>
      </c>
      <c r="B117" s="2" t="inlineStr">
        <is>
          <t>共价晶体结构模型</t>
        </is>
      </c>
      <c r="C117" s="5" t="inlineStr">
        <is>
          <t>包括但不局限于金刚石、二氧化硅等球直径不小于 30 mm</t>
        </is>
      </c>
      <c r="D117" s="1" t="inlineStr">
        <is>
          <t>套</t>
        </is>
      </c>
      <c r="E117" s="1" t="n">
        <v>1</v>
      </c>
      <c r="F117" s="3" t="inlineStr">
        <is>
          <t>群信</t>
        </is>
      </c>
      <c r="G117" s="1" t="n">
        <v>75</v>
      </c>
      <c r="H117" s="1">
        <f>G117*E117</f>
        <v/>
      </c>
      <c r="I117" s="20" t="n">
        <v>1</v>
      </c>
      <c r="J117" s="20" t="n">
        <v>70</v>
      </c>
      <c r="K117" s="20" t="n">
        <v>70</v>
      </c>
      <c r="L117" s="20" t="inlineStr">
        <is>
          <t>套</t>
        </is>
      </c>
      <c r="M117" s="20" t="inlineStr"/>
      <c r="N117" s="20" t="inlineStr"/>
      <c r="O117" s="20" t="inlineStr"/>
      <c r="P117" s="20" t="inlineStr"/>
      <c r="Q117" s="20" t="n">
        <v>75</v>
      </c>
      <c r="R117" s="20" t="inlineStr"/>
      <c r="S117" s="20" t="n">
        <v>75</v>
      </c>
      <c r="T117" s="20" t="inlineStr"/>
      <c r="U117" s="20" t="inlineStr">
        <is>
          <t>confirmed</t>
        </is>
      </c>
      <c r="V117" s="20" t="n">
        <v>70.59999999999999</v>
      </c>
      <c r="W117" s="20" t="inlineStr">
        <is>
          <t>同分多价：最高分候选存在不同历史价格</t>
        </is>
      </c>
      <c r="X117" s="20" t="inlineStr">
        <is>
          <t>赛特尔25年.xls｜初中新课标化学｜第301行</t>
        </is>
      </c>
    </row>
    <row r="118" ht="18.6" customHeight="1" s="16">
      <c r="A118" s="2" t="n">
        <v>225</v>
      </c>
      <c r="B118" s="2" t="inlineStr">
        <is>
          <t>分子晶体结构模型</t>
        </is>
      </c>
      <c r="C118" s="5" t="inlineStr">
        <is>
          <t>包括但不局限于 C60、冰、干冰、碘、天然气水合物等球直径不小于 30 mm</t>
        </is>
      </c>
      <c r="D118" s="1" t="inlineStr">
        <is>
          <t>套</t>
        </is>
      </c>
      <c r="E118" s="1" t="n">
        <v>1</v>
      </c>
      <c r="F118" s="3" t="inlineStr">
        <is>
          <t>群信</t>
        </is>
      </c>
      <c r="G118" s="1" t="n">
        <v>460</v>
      </c>
      <c r="H118" s="1">
        <f>G118*E118</f>
        <v/>
      </c>
      <c r="I118" s="20" t="n">
        <v>1</v>
      </c>
      <c r="J118" s="20" t="n">
        <v>70</v>
      </c>
      <c r="K118" s="20" t="n">
        <v>70</v>
      </c>
      <c r="L118" s="20" t="inlineStr">
        <is>
          <t>套</t>
        </is>
      </c>
      <c r="M118" s="20" t="inlineStr"/>
      <c r="N118" s="20" t="inlineStr"/>
      <c r="O118" s="20" t="inlineStr"/>
      <c r="P118" s="20" t="inlineStr"/>
      <c r="Q118" s="20" t="n">
        <v>75</v>
      </c>
      <c r="R118" s="20" t="inlineStr"/>
      <c r="S118" s="20" t="n">
        <v>75</v>
      </c>
      <c r="T118" s="20" t="inlineStr"/>
      <c r="U118" s="20" t="inlineStr">
        <is>
          <t>confirmed</t>
        </is>
      </c>
      <c r="V118" s="20" t="n">
        <v>70.59999999999999</v>
      </c>
      <c r="W118" s="20" t="inlineStr">
        <is>
          <t>同分多价：最高分候选存在不同历史价格</t>
        </is>
      </c>
      <c r="X118" s="20" t="inlineStr">
        <is>
          <t>赛特尔25年.xls｜初中新课标化学｜第301行</t>
        </is>
      </c>
    </row>
    <row r="119" ht="15.6" customHeight="1" s="16">
      <c r="A119" s="2" t="n">
        <v>226</v>
      </c>
      <c r="B119" s="2" t="inlineStr">
        <is>
          <t>混合型晶体结构模型</t>
        </is>
      </c>
      <c r="C119" s="5" t="inlineStr">
        <is>
          <t>石墨球直径不小于 30 mm</t>
        </is>
      </c>
      <c r="D119" s="1" t="inlineStr">
        <is>
          <t>套</t>
        </is>
      </c>
      <c r="E119" s="1" t="n">
        <v>1</v>
      </c>
      <c r="F119" s="3" t="inlineStr">
        <is>
          <t>群信</t>
        </is>
      </c>
      <c r="G119" s="1" t="n">
        <v>50</v>
      </c>
      <c r="H119" s="1">
        <f>G119*E119</f>
        <v/>
      </c>
      <c r="I119" s="20" t="n">
        <v>1</v>
      </c>
      <c r="J119" s="20" t="n">
        <v>4</v>
      </c>
      <c r="K119" s="20" t="n">
        <v>4</v>
      </c>
      <c r="L119" s="20" t="inlineStr">
        <is>
          <t>套</t>
        </is>
      </c>
      <c r="M119" s="20" t="inlineStr"/>
      <c r="N119" s="20" t="inlineStr"/>
      <c r="O119" s="20" t="inlineStr">
        <is>
          <t>3</t>
        </is>
      </c>
      <c r="P119" s="20" t="inlineStr"/>
      <c r="Q119" s="20" t="n">
        <v>35</v>
      </c>
      <c r="R119" s="20" t="inlineStr"/>
      <c r="S119" s="20" t="n">
        <v>75</v>
      </c>
      <c r="T119" s="20" t="inlineStr"/>
      <c r="U119" s="20" t="inlineStr">
        <is>
          <t>confirmed</t>
        </is>
      </c>
      <c r="V119" s="20" t="n">
        <v>90</v>
      </c>
      <c r="W119" s="20" t="inlineStr">
        <is>
          <t>价格分歧&gt;30%：历史报价分歧较大，需人工核对；同分多价：最高分候选存在不同历史价格</t>
        </is>
      </c>
      <c r="X119" s="20" t="inlineStr">
        <is>
          <t>赛特尔25年.xls｜小学新课标科学｜第130行</t>
        </is>
      </c>
    </row>
    <row r="120">
      <c r="H120" s="11">
        <f>SUM(H3:H119)</f>
        <v/>
      </c>
    </row>
  </sheetData>
  <mergeCells count="17">
    <mergeCell ref="B87:B88"/>
    <mergeCell ref="D65:D66"/>
    <mergeCell ref="B77:B79"/>
    <mergeCell ref="B93:B94"/>
    <mergeCell ref="E65:E66"/>
    <mergeCell ref="B51:B53"/>
    <mergeCell ref="B81:B83"/>
    <mergeCell ref="G65:G66"/>
    <mergeCell ref="B70:B71"/>
    <mergeCell ref="A1:F1"/>
    <mergeCell ref="B98:B99"/>
    <mergeCell ref="B17:B18"/>
    <mergeCell ref="B37:B40"/>
    <mergeCell ref="B73:B74"/>
    <mergeCell ref="B89:B90"/>
    <mergeCell ref="B84:B85"/>
    <mergeCell ref="B100:B101"/>
  </mergeCells>
  <pageMargins left="0.75" right="0.75" top="1" bottom="1" header="0.5" footer="0.5"/>
  <pageSetup orientation="portrait" paperSize="9"/>
</worksheet>
</file>

<file path=xl/worksheets/sheet2.xml><?xml version="1.0" encoding="utf-8"?>
<worksheet xmlns="http://schemas.openxmlformats.org/spreadsheetml/2006/main">
  <sheetPr>
    <outlinePr summaryBelow="1" summaryRight="1"/>
    <pageSetUpPr/>
  </sheetPr>
  <dimension ref="A1:Y73"/>
  <sheetViews>
    <sheetView topLeftCell="A29" workbookViewId="0">
      <selection activeCell="H26" sqref="H26"/>
    </sheetView>
  </sheetViews>
  <sheetFormatPr baseColWidth="8" defaultColWidth="8.888888888888889" defaultRowHeight="14.4"/>
  <cols>
    <col width="12.2222222222222" customWidth="1" style="16" min="3" max="3"/>
    <col width="79.2222222222222" customWidth="1" style="16" min="4" max="4"/>
  </cols>
  <sheetData>
    <row r="1" ht="17.1" customHeight="1" s="16">
      <c r="A1" s="8" t="inlineStr">
        <is>
          <t>高中物理电学</t>
        </is>
      </c>
      <c r="B1" s="17" t="n"/>
      <c r="C1" s="17" t="n"/>
      <c r="D1" s="17" t="n"/>
      <c r="E1" s="17" t="n"/>
      <c r="F1" s="17" t="n"/>
      <c r="G1" s="18" t="n"/>
      <c r="H1" s="8" t="n"/>
      <c r="I1" s="8" t="n"/>
    </row>
    <row r="2" ht="15.6" customHeight="1" s="16">
      <c r="A2" s="8" t="inlineStr">
        <is>
          <t>序号</t>
        </is>
      </c>
      <c r="B2" s="8" t="n"/>
      <c r="C2" s="8" t="inlineStr">
        <is>
          <t>器材名称</t>
        </is>
      </c>
      <c r="D2" s="8" t="inlineStr">
        <is>
          <t>规格、品名、教学性能要求</t>
        </is>
      </c>
      <c r="E2" s="8" t="inlineStr">
        <is>
          <t>单位</t>
        </is>
      </c>
      <c r="F2" s="8" t="inlineStr">
        <is>
          <t>数量</t>
        </is>
      </c>
      <c r="G2" s="8" t="inlineStr">
        <is>
          <t>备注</t>
        </is>
      </c>
      <c r="H2" s="8" t="inlineStr">
        <is>
          <t>单价</t>
        </is>
      </c>
      <c r="I2" s="8" t="inlineStr">
        <is>
          <t>金额</t>
        </is>
      </c>
      <c r="J2" s="19" t="inlineStr">
        <is>
          <t>数量</t>
        </is>
      </c>
      <c r="K2" s="19" t="inlineStr">
        <is>
          <t>确认单价</t>
        </is>
      </c>
      <c r="L2" s="19" t="inlineStr">
        <is>
          <t>总价</t>
        </is>
      </c>
      <c r="M2" s="19" t="inlineStr">
        <is>
          <t>单位</t>
        </is>
      </c>
      <c r="N2" s="19" t="inlineStr">
        <is>
          <t>品牌</t>
        </is>
      </c>
      <c r="O2" s="19" t="inlineStr">
        <is>
          <t>制造商</t>
        </is>
      </c>
      <c r="P2" s="19" t="inlineStr">
        <is>
          <t>型号</t>
        </is>
      </c>
      <c r="Q2" s="19" t="inlineStr">
        <is>
          <t>参数</t>
        </is>
      </c>
      <c r="R2" s="19" t="inlineStr">
        <is>
          <t>报价2单价</t>
        </is>
      </c>
      <c r="S2" s="19" t="inlineStr">
        <is>
          <t>报价2制造商</t>
        </is>
      </c>
      <c r="T2" s="19" t="inlineStr">
        <is>
          <t>报价3单价</t>
        </is>
      </c>
      <c r="U2" s="19" t="inlineStr">
        <is>
          <t>报价3制造商</t>
        </is>
      </c>
      <c r="V2" s="19" t="inlineStr">
        <is>
          <t>匹配状态</t>
        </is>
      </c>
      <c r="W2" s="19" t="inlineStr">
        <is>
          <t>匹配分</t>
        </is>
      </c>
      <c r="X2" s="19" t="inlineStr">
        <is>
          <t>风险提示</t>
        </is>
      </c>
      <c r="Y2" s="19" t="inlineStr">
        <is>
          <t>历史来源</t>
        </is>
      </c>
    </row>
    <row r="3" ht="46.8" customHeight="1" s="16">
      <c r="A3" s="1" t="n">
        <v>1</v>
      </c>
      <c r="B3" s="1" t="inlineStr">
        <is>
          <t>电与磁</t>
        </is>
      </c>
      <c r="C3" s="1" t="inlineStr">
        <is>
          <t>玻棒(附丝绸)</t>
        </is>
      </c>
      <c r="D3" s="5" t="inlineStr">
        <is>
          <t>或有机玻棒(附丝绸)，丝绸面积≥350 mm×350 mm。在规定工作条件下，用丝绸裹住玻棒（或有机玻棒），做一次快速拉出，棒上所带的电荷用 D－YDQ－Z－ 100 型指针验电器检验张角≥30°（≥50°）。</t>
        </is>
      </c>
      <c r="E3" s="2" t="inlineStr">
        <is>
          <t>对</t>
        </is>
      </c>
      <c r="F3" s="1" t="n">
        <v>26</v>
      </c>
      <c r="G3" s="3" t="inlineStr">
        <is>
          <t>群信</t>
        </is>
      </c>
      <c r="H3" s="1" t="n">
        <v>6</v>
      </c>
      <c r="I3" s="1" t="n"/>
      <c r="J3" s="20" t="n">
        <v>26</v>
      </c>
      <c r="K3" s="20" t="n">
        <v>3</v>
      </c>
      <c r="L3" s="20" t="n">
        <v>78</v>
      </c>
      <c r="M3" s="20" t="inlineStr">
        <is>
          <t>对</t>
        </is>
      </c>
      <c r="N3" s="20" t="inlineStr"/>
      <c r="O3" s="20" t="inlineStr"/>
      <c r="P3" s="20" t="inlineStr"/>
      <c r="Q3" s="20" t="inlineStr"/>
      <c r="R3" s="20" t="n">
        <v>3</v>
      </c>
      <c r="S3" s="20" t="inlineStr"/>
      <c r="T3" s="20" t="n">
        <v>6.5</v>
      </c>
      <c r="U3" s="20" t="inlineStr"/>
      <c r="V3" s="20" t="inlineStr">
        <is>
          <t>confirmed</t>
        </is>
      </c>
      <c r="W3" s="20" t="n">
        <v>100</v>
      </c>
      <c r="X3" s="20" t="inlineStr">
        <is>
          <t>价格分歧&gt;30%：历史报价分歧较大，需人工核对</t>
        </is>
      </c>
      <c r="Y3" s="20" t="inlineStr">
        <is>
          <t>赛特尔25年.xls｜初中物理｜第158行</t>
        </is>
      </c>
    </row>
    <row r="4" ht="46.8" customHeight="1" s="16">
      <c r="A4" s="1" t="n">
        <v>2</v>
      </c>
      <c r="B4" s="21" t="n"/>
      <c r="C4" s="1" t="inlineStr">
        <is>
          <t>胶棒(附毛皮)</t>
        </is>
      </c>
      <c r="D4" s="5" t="inlineStr">
        <is>
          <t>或聚碳酸酯棒(附毛皮)，毛皮面积≥150 mm×150 mm。在规定工作条件下，用毛皮裹胶棒（或聚碳酸脂棒），做一次快速拉出，棒上所带的电荷用 D－YDQ－Z－100 型指针验电器检验张角≥30°（≥45°）。</t>
        </is>
      </c>
      <c r="E4" s="2" t="inlineStr">
        <is>
          <t>对</t>
        </is>
      </c>
      <c r="F4" s="1" t="n">
        <v>26</v>
      </c>
      <c r="G4" s="3" t="inlineStr">
        <is>
          <t>群信</t>
        </is>
      </c>
      <c r="H4" s="1" t="n">
        <v>6</v>
      </c>
      <c r="I4" s="1" t="n"/>
      <c r="J4" s="20" t="n">
        <v>26</v>
      </c>
      <c r="K4" s="20" t="n">
        <v>3</v>
      </c>
      <c r="L4" s="20" t="n">
        <v>78</v>
      </c>
      <c r="M4" s="20" t="inlineStr">
        <is>
          <t>对</t>
        </is>
      </c>
      <c r="N4" s="20" t="inlineStr"/>
      <c r="O4" s="20" t="inlineStr"/>
      <c r="P4" s="20" t="inlineStr"/>
      <c r="Q4" s="20" t="inlineStr"/>
      <c r="R4" s="20" t="n">
        <v>3</v>
      </c>
      <c r="S4" s="20" t="inlineStr"/>
      <c r="T4" s="20" t="n">
        <v>6.5</v>
      </c>
      <c r="U4" s="20" t="inlineStr"/>
      <c r="V4" s="20" t="inlineStr">
        <is>
          <t>confirmed</t>
        </is>
      </c>
      <c r="W4" s="20" t="n">
        <v>100</v>
      </c>
      <c r="X4" s="20" t="inlineStr">
        <is>
          <t>价格分歧&gt;30%：历史报价分歧较大，需人工核对</t>
        </is>
      </c>
      <c r="Y4" s="20" t="inlineStr">
        <is>
          <t>赛特尔25年.xls｜初中物理｜第160行</t>
        </is>
      </c>
    </row>
    <row r="5" ht="78" customHeight="1" s="16">
      <c r="A5" s="1" t="n">
        <v>3</v>
      </c>
      <c r="B5" s="1" t="inlineStr">
        <is>
          <t>电与磁</t>
        </is>
      </c>
      <c r="C5" s="1" t="inlineStr">
        <is>
          <t>箔片验电器</t>
        </is>
      </c>
      <c r="D5" s="5" t="inlineStr">
        <is>
          <t>由外壳、圆盘、导电杆、绝缘子、箔片、中位卡、接线柱和底座等组成。外壳应由不能带静电的材料制成，观察面应采用透明材料，透明材料透光率≥90%，箔片长度≥25 mm。性能要求：相对湿度≤ 65%的环境，圆盘上加 8 kV 直流高压，箔片张开与中位片角度≥45°。移去高压后，箔片张开角度保持 30°以上的时间≥10 min</t>
        </is>
      </c>
      <c r="E5" s="2" t="inlineStr">
        <is>
          <t>对</t>
        </is>
      </c>
      <c r="F5" s="1" t="n">
        <v>26</v>
      </c>
      <c r="G5" s="3" t="inlineStr">
        <is>
          <t>群信</t>
        </is>
      </c>
      <c r="H5" s="1" t="n">
        <v>15</v>
      </c>
      <c r="I5" s="1" t="n"/>
      <c r="J5" s="20" t="n">
        <v>26</v>
      </c>
      <c r="K5" s="20" t="n">
        <v>9</v>
      </c>
      <c r="L5" s="20" t="n">
        <v>234</v>
      </c>
      <c r="M5" s="20" t="inlineStr">
        <is>
          <t>对</t>
        </is>
      </c>
      <c r="N5" s="20" t="inlineStr"/>
      <c r="O5" s="20" t="inlineStr"/>
      <c r="P5" s="20" t="inlineStr"/>
      <c r="Q5" s="20" t="inlineStr"/>
      <c r="R5" s="20" t="n">
        <v>9</v>
      </c>
      <c r="S5" s="20" t="inlineStr"/>
      <c r="T5" s="20" t="n">
        <v>15</v>
      </c>
      <c r="U5" s="20" t="inlineStr"/>
      <c r="V5" s="20" t="inlineStr">
        <is>
          <t>confirmed</t>
        </is>
      </c>
      <c r="W5" s="20" t="n">
        <v>100</v>
      </c>
      <c r="X5" s="20" t="inlineStr">
        <is>
          <t>价格分歧&gt;30%：历史报价分歧较大，需人工核对</t>
        </is>
      </c>
      <c r="Y5" s="20" t="inlineStr">
        <is>
          <t>赛特尔25年.xls｜初中物理｜第162行</t>
        </is>
      </c>
    </row>
    <row r="6" ht="93.59999999999999" customHeight="1" s="16">
      <c r="A6" s="1" t="n">
        <v>4</v>
      </c>
      <c r="B6" s="21" t="n"/>
      <c r="C6" s="1" t="inlineStr">
        <is>
          <t>指针验电器</t>
        </is>
      </c>
      <c r="D6" s="5" t="inlineStr">
        <is>
          <t>D－YDQ－Z－100 型指针验电器，由外壳、圆球、法拉第圆筒、导电杆、绝缘子、指针、指针架、接地线柱构成。外壳应由不能带静电的材料制成，外壳上观察面应采用透明材料（透光率≥90%），指针用非磁性材料，长度≥100 mm，带法拉第圆筒。性能要求：相对湿度≤65%的环境，圆球加 9 kV 直流高压，指针张开角度在 45º～50º，移去高压后，指针保持 30°以上的时间≥20 min，提供具有第三方质量检测机构检测报告复印件</t>
        </is>
      </c>
      <c r="E6" s="2" t="inlineStr">
        <is>
          <t>对</t>
        </is>
      </c>
      <c r="F6" s="1" t="n">
        <v>26</v>
      </c>
      <c r="G6" s="21" t="n"/>
      <c r="H6" s="1" t="n">
        <v>75</v>
      </c>
      <c r="I6" s="1" t="n"/>
      <c r="J6" s="20" t="n">
        <v>26</v>
      </c>
      <c r="K6" s="20" t="n">
        <v>60</v>
      </c>
      <c r="L6" s="20" t="n">
        <v>1560</v>
      </c>
      <c r="M6" s="20" t="inlineStr">
        <is>
          <t>对</t>
        </is>
      </c>
      <c r="N6" s="20" t="inlineStr"/>
      <c r="O6" s="20" t="inlineStr"/>
      <c r="P6" s="20" t="inlineStr"/>
      <c r="Q6" s="20" t="inlineStr"/>
      <c r="R6" s="20" t="n">
        <v>75</v>
      </c>
      <c r="S6" s="20" t="inlineStr"/>
      <c r="T6" s="20" t="n">
        <v>75</v>
      </c>
      <c r="U6" s="20" t="inlineStr"/>
      <c r="V6" s="20" t="inlineStr">
        <is>
          <t>confirmed</t>
        </is>
      </c>
      <c r="W6" s="20" t="n">
        <v>100</v>
      </c>
      <c r="X6" s="20" t="inlineStr">
        <is>
          <t>同分多价：最高分候选存在不同历史价格</t>
        </is>
      </c>
      <c r="Y6" s="20" t="inlineStr">
        <is>
          <t>赛特尔25年.xls｜初中物理｜第163行</t>
        </is>
      </c>
    </row>
    <row r="7" ht="31.2" customHeight="1" s="16">
      <c r="A7" s="1" t="n">
        <v>5</v>
      </c>
      <c r="B7" s="1" t="inlineStr">
        <is>
          <t>电与磁</t>
        </is>
      </c>
      <c r="C7" s="1" t="inlineStr">
        <is>
          <t>移电球（验电球）</t>
        </is>
      </c>
      <c r="D7" s="2" t="inlineStr">
        <is>
          <t>带有绝缘棒的金属小球</t>
        </is>
      </c>
      <c r="E7" s="2" t="inlineStr">
        <is>
          <t>个</t>
        </is>
      </c>
      <c r="F7" s="1" t="n">
        <v>2</v>
      </c>
      <c r="G7" s="3" t="inlineStr">
        <is>
          <t>群信</t>
        </is>
      </c>
      <c r="H7" s="1" t="n">
        <v>5</v>
      </c>
      <c r="I7" s="1" t="n"/>
      <c r="J7" s="20" t="n">
        <v>2</v>
      </c>
      <c r="K7" s="20" t="n">
        <v>5</v>
      </c>
      <c r="L7" s="20" t="n">
        <v>10</v>
      </c>
      <c r="M7" s="20" t="inlineStr">
        <is>
          <t>个</t>
        </is>
      </c>
      <c r="N7" s="20" t="inlineStr">
        <is>
          <t>群信</t>
        </is>
      </c>
      <c r="O7" s="20" t="inlineStr"/>
      <c r="P7" s="20" t="inlineStr">
        <is>
          <t>23043</t>
        </is>
      </c>
      <c r="Q7" s="20" t="inlineStr">
        <is>
          <t>23043</t>
        </is>
      </c>
      <c r="R7" s="20" t="inlineStr"/>
      <c r="S7" s="20" t="inlineStr"/>
      <c r="T7" s="20" t="inlineStr"/>
      <c r="U7" s="20" t="inlineStr"/>
      <c r="V7" s="20" t="inlineStr">
        <is>
          <t>confirmed</t>
        </is>
      </c>
      <c r="W7" s="20" t="n">
        <v>100</v>
      </c>
      <c r="X7" s="20" t="inlineStr"/>
      <c r="Y7" s="20" t="inlineStr">
        <is>
          <t>高中理化生报价.xlsx｜凯迪｜第225行</t>
        </is>
      </c>
    </row>
    <row r="8" ht="31.2" customHeight="1" s="16">
      <c r="A8" s="1" t="n">
        <v>6</v>
      </c>
      <c r="B8" s="21" t="n"/>
      <c r="C8" s="1" t="inlineStr">
        <is>
          <t>正负电荷检验器</t>
        </is>
      </c>
      <c r="D8" s="2" t="inlineStr">
        <is>
          <t>由机壳、指示灯、复位开关、电源开关、探头、电路板、电池盒等组成。可用于检验摩擦起电的电荷、电容等带电体的正负，还可演示静电感应现象</t>
        </is>
      </c>
      <c r="E8" s="2" t="inlineStr">
        <is>
          <t>台</t>
        </is>
      </c>
      <c r="F8" s="1" t="n">
        <v>1</v>
      </c>
      <c r="G8" s="3" t="inlineStr">
        <is>
          <t>群信</t>
        </is>
      </c>
      <c r="H8" s="1" t="n">
        <v>60</v>
      </c>
      <c r="I8" s="1" t="n"/>
      <c r="J8" s="20" t="n">
        <v>1</v>
      </c>
      <c r="K8" s="20" t="n">
        <v>60</v>
      </c>
      <c r="L8" s="20" t="n">
        <v>60</v>
      </c>
      <c r="M8" s="20" t="inlineStr">
        <is>
          <t>台</t>
        </is>
      </c>
      <c r="N8" s="20" t="inlineStr">
        <is>
          <t>群信</t>
        </is>
      </c>
      <c r="O8" s="20" t="inlineStr"/>
      <c r="P8" s="20" t="inlineStr">
        <is>
          <t>23047</t>
        </is>
      </c>
      <c r="Q8" s="20" t="inlineStr">
        <is>
          <t>23047</t>
        </is>
      </c>
      <c r="R8" s="20" t="inlineStr"/>
      <c r="S8" s="20" t="inlineStr"/>
      <c r="T8" s="20" t="inlineStr"/>
      <c r="U8" s="20" t="inlineStr"/>
      <c r="V8" s="20" t="inlineStr">
        <is>
          <t>confirmed</t>
        </is>
      </c>
      <c r="W8" s="20" t="n">
        <v>100</v>
      </c>
      <c r="X8" s="20" t="inlineStr"/>
      <c r="Y8" s="20" t="inlineStr">
        <is>
          <t>高中理化生报价.xlsx｜凯迪｜第229行</t>
        </is>
      </c>
    </row>
    <row r="9" ht="93.59999999999999" customHeight="1" s="16">
      <c r="A9" s="1" t="n">
        <v>7</v>
      </c>
      <c r="B9" s="1" t="n"/>
      <c r="C9" s="1" t="inlineStr">
        <is>
          <t>感应起电机</t>
        </is>
      </c>
      <c r="D9" s="5" t="inlineStr">
        <is>
          <t>由起电盘、底座、莱顿瓶、集电杆、放电杆、电刷、电刷杆、皮带轮、连接片组成。起电盘上导电膜应采用铝箔和纸箔交替分布，电刷应采用束状磷铜线，导电膜与起电盘的 90°剥离强度应≥8 N，使用硅橡胶带。性能要求：在温度为20 ℃、相对湿度为 65%±5% 的环境中，摇柄转速 120 r/min，火花放电距离应≥55 mm，在温度为 5 ℃～30 ℃范围，相对湿度为85%±5%的条件下，仪器应正常工作， 提供具有第三方质量检测机构检测报告复印件</t>
        </is>
      </c>
      <c r="E9" s="2" t="inlineStr">
        <is>
          <t>台</t>
        </is>
      </c>
      <c r="F9" s="1" t="n">
        <v>1</v>
      </c>
      <c r="G9" s="3" t="inlineStr">
        <is>
          <t>群信</t>
        </is>
      </c>
      <c r="H9" s="1" t="n">
        <v>90</v>
      </c>
      <c r="I9" s="1" t="n"/>
      <c r="J9" s="20" t="n">
        <v>1</v>
      </c>
      <c r="K9" s="20" t="n">
        <v>95</v>
      </c>
      <c r="L9" s="20" t="n">
        <v>95</v>
      </c>
      <c r="M9" s="20" t="inlineStr">
        <is>
          <t>台</t>
        </is>
      </c>
      <c r="N9" s="20" t="inlineStr"/>
      <c r="O9" s="20" t="inlineStr"/>
      <c r="P9" s="20" t="inlineStr"/>
      <c r="Q9" s="20" t="inlineStr"/>
      <c r="R9" s="20" t="n">
        <v>95</v>
      </c>
      <c r="S9" s="20" t="inlineStr"/>
      <c r="T9" s="20" t="n">
        <v>380</v>
      </c>
      <c r="U9" s="20" t="inlineStr"/>
      <c r="V9" s="20" t="inlineStr">
        <is>
          <t>confirmed</t>
        </is>
      </c>
      <c r="W9" s="20" t="n">
        <v>100</v>
      </c>
      <c r="X9" s="20" t="inlineStr">
        <is>
          <t>价格分歧&gt;30%：历史报价分歧较大，需人工核对</t>
        </is>
      </c>
      <c r="Y9" s="20" t="inlineStr">
        <is>
          <t>赛特尔25年.xls｜初中新课标物理｜第325行</t>
        </is>
      </c>
    </row>
    <row r="10" ht="62.4" customHeight="1" s="16">
      <c r="A10" s="1" t="n">
        <v>8</v>
      </c>
      <c r="B10" s="1" t="n"/>
      <c r="C10" s="1" t="inlineStr">
        <is>
          <t>库仑扭秤模型</t>
        </is>
      </c>
      <c r="D10" s="5" t="inlineStr">
        <is>
          <t>由悬丝、横杆、两个带电金属小球，一个平衡小球，一个移电小球、旋钮和电磁阻尼部分等组成。仪器封装在有机玻璃罩内，玻璃罩的下半部分做成可开合的门，以便清洁绝缘横杆和竖立支杆，调整绝缘横杆的水平，使金属小球带电等。仪器的底座上装有三个螺旋支脚，旋转支脚，可调底座水平</t>
        </is>
      </c>
      <c r="E10" s="2" t="inlineStr">
        <is>
          <t>台</t>
        </is>
      </c>
      <c r="F10" s="1" t="n">
        <v>1</v>
      </c>
      <c r="G10" s="3" t="inlineStr">
        <is>
          <t>群信</t>
        </is>
      </c>
      <c r="H10" s="1" t="n">
        <v>250</v>
      </c>
      <c r="I10" s="1" t="n"/>
      <c r="J10" s="20" t="n">
        <v>1</v>
      </c>
      <c r="K10" s="20" t="n">
        <v>35</v>
      </c>
      <c r="L10" s="20" t="n">
        <v>35</v>
      </c>
      <c r="M10" s="20" t="inlineStr">
        <is>
          <t>台</t>
        </is>
      </c>
      <c r="N10" s="20" t="inlineStr"/>
      <c r="O10" s="20" t="inlineStr"/>
      <c r="P10" s="20" t="inlineStr">
        <is>
          <t>3</t>
        </is>
      </c>
      <c r="Q10" s="20" t="inlineStr"/>
      <c r="R10" s="20" t="inlineStr"/>
      <c r="S10" s="20" t="inlineStr"/>
      <c r="T10" s="20" t="inlineStr"/>
      <c r="U10" s="20" t="inlineStr"/>
      <c r="V10" s="20" t="inlineStr">
        <is>
          <t>confirmed</t>
        </is>
      </c>
      <c r="W10" s="20" t="n">
        <v>0</v>
      </c>
      <c r="X10" s="20" t="inlineStr">
        <is>
          <t>匹配到商品档案但无历史价格记录</t>
        </is>
      </c>
      <c r="Y10" s="20" t="inlineStr">
        <is>
          <t>赛特尔25年.xls｜初中物理｜第328行</t>
        </is>
      </c>
    </row>
    <row r="11" ht="62.4" customHeight="1" s="16">
      <c r="A11" s="1" t="n">
        <v>9</v>
      </c>
      <c r="B11" s="21" t="n"/>
      <c r="C11" s="1" t="inlineStr">
        <is>
          <t>库仑定律演示器</t>
        </is>
      </c>
      <c r="D11" s="5" t="inlineStr">
        <is>
          <t>精确到千分位的电子天平，三个带有绝缘底座的相同的金属小球，带刻度（最小刻度 1 mm）的支架，一个金属小球通过绝缘杆连接在支架上，并可自由升降和固定。将以上仪器封装于矩形有机玻璃罩内，有开口可进行相应调节，另附红外干燥器</t>
        </is>
      </c>
      <c r="E11" s="2" t="inlineStr">
        <is>
          <t>套</t>
        </is>
      </c>
      <c r="F11" s="1" t="n">
        <v>1</v>
      </c>
      <c r="G11" s="3" t="inlineStr">
        <is>
          <t>群信</t>
        </is>
      </c>
      <c r="H11" s="1" t="n">
        <v>400</v>
      </c>
      <c r="I11" s="1" t="n"/>
      <c r="J11" s="20" t="n">
        <v>1</v>
      </c>
      <c r="K11" s="20" t="n">
        <v>38</v>
      </c>
      <c r="L11" s="20" t="n">
        <v>38</v>
      </c>
      <c r="M11" s="20" t="inlineStr">
        <is>
          <t>套</t>
        </is>
      </c>
      <c r="N11" s="20" t="inlineStr"/>
      <c r="O11" s="20" t="inlineStr"/>
      <c r="P11" s="20" t="inlineStr"/>
      <c r="Q11" s="20" t="inlineStr"/>
      <c r="R11" s="20" t="n">
        <v>40</v>
      </c>
      <c r="S11" s="20" t="inlineStr"/>
      <c r="T11" s="20" t="n">
        <v>300</v>
      </c>
      <c r="U11" s="20" t="inlineStr"/>
      <c r="V11" s="20" t="inlineStr">
        <is>
          <t>confirmed</t>
        </is>
      </c>
      <c r="W11" s="20" t="n">
        <v>71.40000000000001</v>
      </c>
      <c r="X11" s="20" t="inlineStr">
        <is>
          <t>价格分歧&gt;30%：历史报价分歧较大，需人工核对；同分多价：最高分候选存在不同历史价格</t>
        </is>
      </c>
      <c r="Y11" s="20" t="inlineStr">
        <is>
          <t>高中理化生报价.xlsx｜凯迪｜第662行</t>
        </is>
      </c>
    </row>
    <row r="12" ht="62.4" customHeight="1" s="16">
      <c r="A12" s="1" t="n">
        <v>10</v>
      </c>
      <c r="B12" s="1" t="inlineStr">
        <is>
          <t>电与磁</t>
        </is>
      </c>
      <c r="C12" s="1" t="inlineStr">
        <is>
          <t>静电驱动演示器</t>
        </is>
      </c>
      <c r="D12" s="5" t="inlineStr">
        <is>
          <t>由环形轨道和交错排列的两组铝箔片组成，配有绝缘底座，轨道截面为弧形，轨道外径Φ400 mm，内径Φ280 mm，每片铝箔宽 10 mm，箔片间隔约 40 mm，两组箔片设有引线，可分别连接起电机。附件：喷有石墨漆的直径Φ20 mm 的泡沫球两个，接线夹导线两根，导线质地较硬，使用时不能下垂至桌面以免漏电</t>
        </is>
      </c>
      <c r="E12" s="2" t="inlineStr">
        <is>
          <t>套</t>
        </is>
      </c>
      <c r="F12" s="1" t="n">
        <v>1</v>
      </c>
      <c r="G12" s="3" t="inlineStr">
        <is>
          <t>群信</t>
        </is>
      </c>
      <c r="H12" s="1" t="n">
        <v>400</v>
      </c>
      <c r="I12" s="1" t="n"/>
      <c r="J12" s="20" t="n">
        <v>1</v>
      </c>
      <c r="K12" s="20" t="n">
        <v>230</v>
      </c>
      <c r="L12" s="20" t="n">
        <v>230</v>
      </c>
      <c r="M12" s="20" t="inlineStr">
        <is>
          <t>套</t>
        </is>
      </c>
      <c r="N12" s="20" t="inlineStr">
        <is>
          <t>群信</t>
        </is>
      </c>
      <c r="O12" s="20" t="inlineStr"/>
      <c r="P12" s="20" t="inlineStr">
        <is>
          <t>22015</t>
        </is>
      </c>
      <c r="Q12" s="20" t="inlineStr">
        <is>
          <t>22015</t>
        </is>
      </c>
      <c r="R12" s="20" t="inlineStr"/>
      <c r="S12" s="20" t="inlineStr"/>
      <c r="T12" s="20" t="inlineStr"/>
      <c r="U12" s="20" t="inlineStr"/>
      <c r="V12" s="20" t="inlineStr">
        <is>
          <t>confirmed</t>
        </is>
      </c>
      <c r="W12" s="20" t="n">
        <v>0</v>
      </c>
      <c r="X12" s="20" t="inlineStr">
        <is>
          <t>匹配到商品档案但无历史价格记录</t>
        </is>
      </c>
      <c r="Y12" s="20" t="inlineStr">
        <is>
          <t>高中理化生报价.xlsx｜凯迪｜第173行</t>
        </is>
      </c>
    </row>
    <row r="13" ht="31.2" customHeight="1" s="16">
      <c r="A13" s="1" t="n">
        <v>11</v>
      </c>
      <c r="B13" s="22" t="n"/>
      <c r="C13" s="1" t="inlineStr">
        <is>
          <t>验电羽</t>
        </is>
      </c>
      <c r="D13" s="5" t="inlineStr">
        <is>
          <t>由绝缘支架、金属片、细尼龙绳、螺钉等组成。绝缘支架上装有两片金属片，两金属片间夹有若干长条形细尼龙绳</t>
        </is>
      </c>
      <c r="E13" s="2" t="inlineStr">
        <is>
          <t>对</t>
        </is>
      </c>
      <c r="F13" s="1" t="n">
        <v>1</v>
      </c>
      <c r="G13" s="3" t="inlineStr">
        <is>
          <t>群信</t>
        </is>
      </c>
      <c r="H13" s="1" t="n">
        <v>8</v>
      </c>
      <c r="I13" s="1" t="n"/>
      <c r="J13" s="20" t="n">
        <v>1</v>
      </c>
      <c r="K13" s="20" t="n">
        <v>8</v>
      </c>
      <c r="L13" s="20" t="n">
        <v>8</v>
      </c>
      <c r="M13" s="20" t="inlineStr">
        <is>
          <t>对</t>
        </is>
      </c>
      <c r="N13" s="20" t="inlineStr">
        <is>
          <t>群信</t>
        </is>
      </c>
      <c r="O13" s="20" t="inlineStr"/>
      <c r="P13" s="20" t="inlineStr">
        <is>
          <t>23044</t>
        </is>
      </c>
      <c r="Q13" s="20" t="inlineStr">
        <is>
          <t>23044</t>
        </is>
      </c>
      <c r="R13" s="20" t="inlineStr"/>
      <c r="S13" s="20" t="inlineStr"/>
      <c r="T13" s="20" t="inlineStr"/>
      <c r="U13" s="20" t="inlineStr"/>
      <c r="V13" s="20" t="inlineStr">
        <is>
          <t>confirmed</t>
        </is>
      </c>
      <c r="W13" s="20" t="n">
        <v>100</v>
      </c>
      <c r="X13" s="20" t="inlineStr"/>
      <c r="Y13" s="20" t="inlineStr">
        <is>
          <t>高中理化生报价.xlsx｜凯迪｜第226行</t>
        </is>
      </c>
    </row>
    <row r="14" ht="78" customHeight="1" s="16">
      <c r="A14" s="1" t="n">
        <v>12</v>
      </c>
      <c r="B14" s="21" t="n"/>
      <c r="C14" s="1" t="inlineStr">
        <is>
          <t>电子束演示器</t>
        </is>
      </c>
      <c r="D14" s="2" t="inlineStr">
        <is>
          <t>产品采用全金属机箱，使用彩涂铁板，铝合金型材机框，机箱结构部分无塑料配件。加速电压：0～700伏  连续可调。偏转电压：幅度为0～50伏  连续可调。偏转方向：上、下、左、右四个方向。（电场作用）显示方式：荧光屏幕显示电子束径迹。电源：220V±10％  50Hz。功耗：＜30W。工作环境：a)温度：0～40℃。b)相对湿度：＜85%。连续工作时间：一小时。</t>
        </is>
      </c>
      <c r="E14" s="2" t="inlineStr">
        <is>
          <t>台</t>
        </is>
      </c>
      <c r="F14" s="1" t="n">
        <v>2</v>
      </c>
      <c r="G14" s="3" t="inlineStr">
        <is>
          <t>群信</t>
        </is>
      </c>
      <c r="H14" s="1" t="n">
        <v>1000</v>
      </c>
      <c r="I14" s="1" t="n"/>
      <c r="J14" s="20" t="n">
        <v>2</v>
      </c>
      <c r="K14" s="20" t="n">
        <v>32</v>
      </c>
      <c r="L14" s="20" t="n">
        <v>64</v>
      </c>
      <c r="M14" s="20" t="inlineStr">
        <is>
          <t>台</t>
        </is>
      </c>
      <c r="N14" s="20" t="inlineStr"/>
      <c r="O14" s="20" t="inlineStr"/>
      <c r="P14" s="20" t="inlineStr"/>
      <c r="Q14" s="20" t="inlineStr"/>
      <c r="R14" s="20" t="n">
        <v>32</v>
      </c>
      <c r="S14" s="20" t="inlineStr"/>
      <c r="T14" s="20" t="n">
        <v>290</v>
      </c>
      <c r="U14" s="20" t="inlineStr"/>
      <c r="V14" s="20" t="inlineStr">
        <is>
          <t>confirmed</t>
        </is>
      </c>
      <c r="W14" s="20" t="n">
        <v>66.7</v>
      </c>
      <c r="X14" s="20" t="inlineStr"/>
      <c r="Y14" s="20" t="inlineStr">
        <is>
          <t>赛特尔25年.xls｜初中化学｜第46行</t>
        </is>
      </c>
    </row>
    <row r="15" ht="46.8" customHeight="1" s="16">
      <c r="A15" s="1" t="n">
        <v>13</v>
      </c>
      <c r="B15" s="1" t="inlineStr">
        <is>
          <t>电与磁</t>
        </is>
      </c>
      <c r="C15" s="1" t="inlineStr">
        <is>
          <t>平行板电容器演示器</t>
        </is>
      </c>
      <c r="D15" s="5" t="inlineStr">
        <is>
          <t>由两片带有有机玻璃支架的铝板板构成，有机玻璃底座，可用螺丝固定在底座上上，且面积、材质完全相同。另配与金属板面积相同的绝缘板一件，配合感应起电机和指针验电器等仪器使用</t>
        </is>
      </c>
      <c r="E15" s="2" t="inlineStr">
        <is>
          <t>套</t>
        </is>
      </c>
      <c r="F15" s="1" t="n">
        <v>13</v>
      </c>
      <c r="G15" s="3" t="inlineStr">
        <is>
          <t>群信</t>
        </is>
      </c>
      <c r="H15" s="1" t="n">
        <v>45</v>
      </c>
      <c r="I15" s="1" t="n"/>
      <c r="J15" s="20" t="n">
        <v>13</v>
      </c>
      <c r="K15" s="20" t="n">
        <v>45</v>
      </c>
      <c r="L15" s="20" t="n">
        <v>585</v>
      </c>
      <c r="M15" s="20" t="inlineStr">
        <is>
          <t>套</t>
        </is>
      </c>
      <c r="N15" s="20" t="inlineStr">
        <is>
          <t>群信</t>
        </is>
      </c>
      <c r="O15" s="20" t="inlineStr"/>
      <c r="P15" s="20" t="inlineStr">
        <is>
          <t>23056</t>
        </is>
      </c>
      <c r="Q15" s="20" t="inlineStr">
        <is>
          <t>23056</t>
        </is>
      </c>
      <c r="R15" s="20" t="inlineStr"/>
      <c r="S15" s="20" t="inlineStr"/>
      <c r="T15" s="20" t="inlineStr"/>
      <c r="U15" s="20" t="inlineStr"/>
      <c r="V15" s="20" t="inlineStr">
        <is>
          <t>confirmed</t>
        </is>
      </c>
      <c r="W15" s="20" t="n">
        <v>100</v>
      </c>
      <c r="X15" s="20" t="inlineStr"/>
      <c r="Y15" s="20" t="inlineStr">
        <is>
          <t>高中理化生报价.xlsx｜凯迪｜第238行</t>
        </is>
      </c>
    </row>
    <row r="16" ht="124.8" customHeight="1" s="16">
      <c r="A16" s="1" t="n">
        <v>14</v>
      </c>
      <c r="B16" s="22" t="n"/>
      <c r="C16" s="1" t="inlineStr">
        <is>
          <t>常用电容器示教板</t>
        </is>
      </c>
      <c r="D16" s="5" t="inlineStr">
        <is>
          <t>主要配置及特征参数：
由电解电容器、云母电容器、陶瓷电容器、独石电容器、薄膜电容器、贴片电容器、微调电容器、可变电容器等组成。
技术指标：外形尺寸666*470mm（±5mm）；上下为钢结构,具有良好的抗拉强度，表面绿色喷塑处理。左右为ABS塑料精密注塑成型边框。   
能够完成的教学演示：
展示常用电容器的实物，使学生了解常用电容器种类和外形，以加深对电容器外形与结构的认识；另配万用表可以演示测定不同种类电容的值。</t>
        </is>
      </c>
      <c r="E16" s="2" t="inlineStr">
        <is>
          <t>套</t>
        </is>
      </c>
      <c r="F16" s="1" t="n">
        <v>1</v>
      </c>
      <c r="G16" s="3" t="inlineStr">
        <is>
          <t>群信</t>
        </is>
      </c>
      <c r="H16" s="1" t="n">
        <v>45</v>
      </c>
      <c r="I16" s="1" t="n"/>
      <c r="J16" s="20" t="n">
        <v>1</v>
      </c>
      <c r="K16" s="20" t="n">
        <v>45</v>
      </c>
      <c r="L16" s="20" t="n">
        <v>45</v>
      </c>
      <c r="M16" s="20" t="inlineStr">
        <is>
          <t>套</t>
        </is>
      </c>
      <c r="N16" s="20" t="inlineStr">
        <is>
          <t>群信</t>
        </is>
      </c>
      <c r="O16" s="20" t="inlineStr"/>
      <c r="P16" s="20" t="inlineStr">
        <is>
          <t>23058</t>
        </is>
      </c>
      <c r="Q16" s="20" t="inlineStr">
        <is>
          <t>23058</t>
        </is>
      </c>
      <c r="R16" s="20" t="inlineStr"/>
      <c r="S16" s="20" t="inlineStr"/>
      <c r="T16" s="20" t="inlineStr"/>
      <c r="U16" s="20" t="inlineStr"/>
      <c r="V16" s="20" t="inlineStr">
        <is>
          <t>confirmed</t>
        </is>
      </c>
      <c r="W16" s="20" t="n">
        <v>100</v>
      </c>
      <c r="X16" s="20" t="inlineStr"/>
      <c r="Y16" s="20" t="inlineStr">
        <is>
          <t>高中理化生报价.xlsx｜凯迪｜第240行</t>
        </is>
      </c>
    </row>
    <row r="17" ht="31.2" customHeight="1" s="16">
      <c r="A17" s="1" t="n">
        <v>15</v>
      </c>
      <c r="B17" s="21" t="n"/>
      <c r="C17" s="1" t="inlineStr">
        <is>
          <t>电容器实验板</t>
        </is>
      </c>
      <c r="D17" s="2" t="inlineStr">
        <is>
          <t>包含不少于 5 种规格不同电解电容器，排列均匀，焊接在实验板上，能有效实现电容器充放电等实验，尺寸：200*150*20mm</t>
        </is>
      </c>
      <c r="E17" s="2" t="inlineStr">
        <is>
          <t>块</t>
        </is>
      </c>
      <c r="F17" s="1" t="n">
        <v>26</v>
      </c>
      <c r="G17" s="3" t="inlineStr">
        <is>
          <t>群信</t>
        </is>
      </c>
      <c r="H17" s="1" t="n">
        <v>50</v>
      </c>
      <c r="I17" s="1" t="n"/>
      <c r="J17" s="20" t="n">
        <v>26</v>
      </c>
      <c r="K17" s="20" t="n">
        <v>12</v>
      </c>
      <c r="L17" s="20" t="n">
        <v>312</v>
      </c>
      <c r="M17" s="20" t="inlineStr">
        <is>
          <t>块</t>
        </is>
      </c>
      <c r="N17" s="20" t="inlineStr">
        <is>
          <t>群信</t>
        </is>
      </c>
      <c r="O17" s="20" t="inlineStr"/>
      <c r="P17" s="20" t="inlineStr">
        <is>
          <t>80113</t>
        </is>
      </c>
      <c r="Q17" s="20" t="inlineStr">
        <is>
          <t>80113</t>
        </is>
      </c>
      <c r="R17" s="20" t="inlineStr"/>
      <c r="S17" s="20" t="inlineStr"/>
      <c r="T17" s="20" t="inlineStr"/>
      <c r="U17" s="20" t="inlineStr"/>
      <c r="V17" s="20" t="inlineStr">
        <is>
          <t>confirmed</t>
        </is>
      </c>
      <c r="W17" s="20" t="n">
        <v>0</v>
      </c>
      <c r="X17" s="20" t="inlineStr">
        <is>
          <t>匹配到商品档案但无历史价格记录</t>
        </is>
      </c>
      <c r="Y17" s="20" t="inlineStr">
        <is>
          <t>高中理化生报价.xlsx｜凯迪｜第387行</t>
        </is>
      </c>
    </row>
    <row r="18" ht="124.8" customHeight="1" s="16">
      <c r="A18" s="1" t="n">
        <v>16</v>
      </c>
      <c r="B18" s="1" t="inlineStr">
        <is>
          <t>电与磁</t>
        </is>
      </c>
      <c r="C18" s="1" t="inlineStr">
        <is>
          <t>常用电阻器示教板</t>
        </is>
      </c>
      <c r="D18" s="5" t="inlineStr">
        <is>
          <t>主要配置及特征参数：由定值电阻(碳膜电阻、金属膜电阻、绕线电阻、水泥电阻、贴片式电阻等)、可变电阻(电位器、小型滑动变阻器)、特殊电阻(热敏电阻、光敏电阻、压敏电阻）等组成。
技术指标：外形尺寸666*470mm（±5mm）；上下为钢结构,具有良好的抗拉强度，表面绿色喷塑处理。左右为ABS塑料精密注塑成型边框。    
能够完成的教学演示：展示常用电阻器的实物，使学生了解常用电阻器种类和外形，以加深对电阻器外形与结构的认识；另配万用表可以演示测定不同种类电阻的阻值。</t>
        </is>
      </c>
      <c r="E18" s="2" t="inlineStr">
        <is>
          <t>套</t>
        </is>
      </c>
      <c r="F18" s="1" t="n">
        <v>1</v>
      </c>
      <c r="G18" s="3" t="inlineStr">
        <is>
          <t>群信</t>
        </is>
      </c>
      <c r="H18" s="1" t="n">
        <v>45</v>
      </c>
      <c r="I18" s="1" t="n"/>
      <c r="J18" s="20" t="n">
        <v>1</v>
      </c>
      <c r="K18" s="20" t="n">
        <v>45</v>
      </c>
      <c r="L18" s="20" t="n">
        <v>45</v>
      </c>
      <c r="M18" s="20" t="inlineStr">
        <is>
          <t>套</t>
        </is>
      </c>
      <c r="N18" s="20" t="inlineStr">
        <is>
          <t>群信</t>
        </is>
      </c>
      <c r="O18" s="20" t="inlineStr"/>
      <c r="P18" s="20" t="inlineStr">
        <is>
          <t>23059</t>
        </is>
      </c>
      <c r="Q18" s="20" t="inlineStr">
        <is>
          <t>23059</t>
        </is>
      </c>
      <c r="R18" s="20" t="n">
        <v>220</v>
      </c>
      <c r="S18" s="20" t="inlineStr"/>
      <c r="T18" s="20" t="inlineStr"/>
      <c r="U18" s="20" t="inlineStr"/>
      <c r="V18" s="20" t="inlineStr">
        <is>
          <t>confirmed</t>
        </is>
      </c>
      <c r="W18" s="20" t="n">
        <v>93.3</v>
      </c>
      <c r="X18" s="20" t="inlineStr">
        <is>
          <t>同分多价：最高分候选存在不同历史价格</t>
        </is>
      </c>
      <c r="Y18" s="20" t="inlineStr">
        <is>
          <t>高中理化生报价.xlsx｜凯迪｜第241行</t>
        </is>
      </c>
    </row>
    <row r="19" ht="15.6" customHeight="1" s="16">
      <c r="A19" s="1" t="n">
        <v>17</v>
      </c>
      <c r="B19" s="1" t="inlineStr">
        <is>
          <t>电与磁</t>
        </is>
      </c>
      <c r="C19" s="1" t="inlineStr">
        <is>
          <t>单刀开关</t>
        </is>
      </c>
      <c r="D19" s="5" t="inlineStr">
        <is>
          <t>最高工作电压 36 V，额定工作电流 6 A。开关闸刀、接线柱、垫片均为铜质。闸刀宽度≥7 mm，闸刀厚度≥0.7 mm。接线柱直径为 4 mm，有效行程≥4 mm。通额定电流，导电部分允许温升≤35 ℃，操作手柄允许温升≤25 ℃。开关的绝缘强度应能承受 1200 V 在额定直流电流工作条件下，接线两端直流电压降≤100 mV</t>
        </is>
      </c>
      <c r="E19" s="2" t="inlineStr">
        <is>
          <t>个</t>
        </is>
      </c>
      <c r="F19" s="1" t="n">
        <v>26</v>
      </c>
      <c r="G19" s="3" t="inlineStr">
        <is>
          <t>群信</t>
        </is>
      </c>
      <c r="H19" s="1" t="n">
        <v>2.5</v>
      </c>
      <c r="I19" s="1" t="n"/>
      <c r="J19" s="20" t="n">
        <v>26</v>
      </c>
      <c r="K19" s="20" t="n">
        <v>2.5</v>
      </c>
      <c r="L19" s="20" t="n">
        <v>65</v>
      </c>
      <c r="M19" s="20" t="inlineStr">
        <is>
          <t>个</t>
        </is>
      </c>
      <c r="N19" s="20" t="inlineStr"/>
      <c r="O19" s="20" t="inlineStr"/>
      <c r="P19" s="20" t="inlineStr"/>
      <c r="Q19" s="20" t="inlineStr"/>
      <c r="R19" s="20" t="n">
        <v>2.5</v>
      </c>
      <c r="S19" s="20" t="inlineStr"/>
      <c r="T19" s="20" t="n">
        <v>2.75</v>
      </c>
      <c r="U19" s="20" t="inlineStr"/>
      <c r="V19" s="20" t="inlineStr">
        <is>
          <t>confirmed</t>
        </is>
      </c>
      <c r="W19" s="20" t="n">
        <v>100</v>
      </c>
      <c r="X19" s="20" t="inlineStr"/>
      <c r="Y19" s="20" t="inlineStr">
        <is>
          <t>赛特尔25年.xls｜初中新课标物理｜第406行</t>
        </is>
      </c>
    </row>
    <row r="20" ht="31.2" customHeight="1" s="16">
      <c r="A20" s="1" t="n">
        <v>18</v>
      </c>
      <c r="B20" s="22" t="n"/>
      <c r="C20" s="1" t="inlineStr">
        <is>
          <t>单刀双掷开关</t>
        </is>
      </c>
      <c r="D20" s="21" t="n"/>
      <c r="E20" s="2" t="inlineStr">
        <is>
          <t>个</t>
        </is>
      </c>
      <c r="F20" s="1" t="n">
        <v>26</v>
      </c>
      <c r="G20" s="3" t="inlineStr">
        <is>
          <t>群信</t>
        </is>
      </c>
      <c r="H20" s="1" t="n">
        <v>3.5</v>
      </c>
      <c r="I20" s="1" t="n"/>
      <c r="J20" s="20" t="n">
        <v>26</v>
      </c>
      <c r="K20" s="20" t="n">
        <v>3.5</v>
      </c>
      <c r="L20" s="20" t="n">
        <v>91</v>
      </c>
      <c r="M20" s="20" t="inlineStr">
        <is>
          <t>个</t>
        </is>
      </c>
      <c r="N20" s="20" t="inlineStr"/>
      <c r="O20" s="20" t="inlineStr"/>
      <c r="P20" s="20" t="inlineStr"/>
      <c r="Q20" s="20" t="inlineStr"/>
      <c r="R20" s="20" t="n">
        <v>3.5</v>
      </c>
      <c r="S20" s="20" t="inlineStr"/>
      <c r="T20" s="20" t="n">
        <v>3.85</v>
      </c>
      <c r="U20" s="20" t="inlineStr"/>
      <c r="V20" s="20" t="inlineStr">
        <is>
          <t>confirmed</t>
        </is>
      </c>
      <c r="W20" s="20" t="n">
        <v>100</v>
      </c>
      <c r="X20" s="20" t="inlineStr"/>
      <c r="Y20" s="20" t="inlineStr">
        <is>
          <t>赛特尔25年.xls｜初中新课标物理｜第407行</t>
        </is>
      </c>
    </row>
    <row r="21" ht="15.6" customHeight="1" s="16">
      <c r="A21" s="1" t="n">
        <v>19</v>
      </c>
      <c r="B21" s="21" t="n"/>
      <c r="C21" s="1" t="inlineStr">
        <is>
          <t>蓄电池</t>
        </is>
      </c>
      <c r="D21" s="2" t="inlineStr">
        <is>
          <t>6 V，12 Ah，阀控式</t>
        </is>
      </c>
      <c r="E21" s="2" t="inlineStr">
        <is>
          <t>台</t>
        </is>
      </c>
      <c r="F21" s="1" t="n">
        <v>13</v>
      </c>
      <c r="G21" s="3" t="inlineStr">
        <is>
          <t>群信</t>
        </is>
      </c>
      <c r="H21" s="1" t="n">
        <v>26</v>
      </c>
      <c r="I21" s="1" t="n"/>
      <c r="J21" s="20" t="n">
        <v>13</v>
      </c>
      <c r="K21" s="20" t="n">
        <v>26</v>
      </c>
      <c r="L21" s="20" t="n">
        <v>338</v>
      </c>
      <c r="M21" s="20" t="inlineStr">
        <is>
          <t>台</t>
        </is>
      </c>
      <c r="N21" s="20" t="inlineStr"/>
      <c r="O21" s="20" t="inlineStr"/>
      <c r="P21" s="20" t="inlineStr"/>
      <c r="Q21" s="20" t="inlineStr"/>
      <c r="R21" s="20" t="inlineStr"/>
      <c r="S21" s="20" t="inlineStr"/>
      <c r="T21" s="20" t="inlineStr"/>
      <c r="U21" s="20" t="inlineStr"/>
      <c r="V21" s="20" t="inlineStr">
        <is>
          <t>confirmed</t>
        </is>
      </c>
      <c r="W21" s="20" t="n">
        <v>0</v>
      </c>
      <c r="X21" s="20" t="inlineStr">
        <is>
          <t>没有找到可靠候选</t>
        </is>
      </c>
      <c r="Y21" s="20" t="inlineStr">
        <is>
          <t>赛特尔25年.xls｜初中物理｜第36行</t>
        </is>
      </c>
    </row>
    <row r="22" ht="31.2" customHeight="1" s="16">
      <c r="A22" s="1" t="n">
        <v>20</v>
      </c>
      <c r="B22" s="1" t="inlineStr">
        <is>
          <t>电与磁</t>
        </is>
      </c>
      <c r="C22" s="1" t="inlineStr">
        <is>
          <t>电池盒</t>
        </is>
      </c>
      <c r="D22" s="5" t="inlineStr">
        <is>
          <t>R20（1＃）电池用，有接线柱，负极可用弹簧或弹性磷铜片，有串并联接插口，电池装反时不能接通</t>
        </is>
      </c>
      <c r="E22" s="2" t="inlineStr">
        <is>
          <t>个</t>
        </is>
      </c>
      <c r="F22" s="1" t="n">
        <v>120</v>
      </c>
      <c r="G22" s="3" t="inlineStr">
        <is>
          <t>群信</t>
        </is>
      </c>
      <c r="H22" s="1" t="n">
        <v>1.6</v>
      </c>
      <c r="I22" s="1" t="n"/>
      <c r="J22" s="20" t="n">
        <v>120</v>
      </c>
      <c r="K22" s="20" t="n">
        <v>4</v>
      </c>
      <c r="L22" s="20" t="n">
        <v>480</v>
      </c>
      <c r="M22" s="20" t="inlineStr">
        <is>
          <t>个</t>
        </is>
      </c>
      <c r="N22" s="20" t="inlineStr"/>
      <c r="O22" s="20" t="inlineStr"/>
      <c r="P22" s="20" t="inlineStr"/>
      <c r="Q22" s="20" t="inlineStr"/>
      <c r="R22" s="20" t="inlineStr"/>
      <c r="S22" s="20" t="inlineStr"/>
      <c r="T22" s="20" t="inlineStr"/>
      <c r="U22" s="20" t="inlineStr"/>
      <c r="V22" s="20" t="inlineStr">
        <is>
          <t>confirmed</t>
        </is>
      </c>
      <c r="W22" s="20" t="n">
        <v>0</v>
      </c>
      <c r="X22" s="20" t="inlineStr">
        <is>
          <t>匹配到商品档案但无历史价格记录</t>
        </is>
      </c>
      <c r="Y22" s="20" t="inlineStr">
        <is>
          <t>赛特尔25年.xls｜初中物理｜第39行</t>
        </is>
      </c>
    </row>
    <row r="23" ht="31.2" customHeight="1" s="16">
      <c r="A23" s="1" t="n">
        <v>21</v>
      </c>
      <c r="B23" s="21" t="n"/>
      <c r="C23" s="21" t="n"/>
      <c r="D23" s="5" t="inlineStr">
        <is>
          <t>R6 电池用，有接线柱，负极可用弹簧或弹性磷铜片，有串联接插口，电池装反时不能接通。</t>
        </is>
      </c>
      <c r="E23" s="5" t="inlineStr">
        <is>
          <t>个</t>
        </is>
      </c>
      <c r="F23" s="1" t="n">
        <v>120</v>
      </c>
      <c r="G23" s="3" t="inlineStr">
        <is>
          <t>群信</t>
        </is>
      </c>
      <c r="H23" s="1" t="n">
        <v>1</v>
      </c>
      <c r="I23" s="1" t="n"/>
      <c r="J23" s="20" t="n">
        <v>120</v>
      </c>
      <c r="K23" s="20" t="n">
        <v>4</v>
      </c>
      <c r="L23" s="20" t="n">
        <v>480</v>
      </c>
      <c r="M23" s="20" t="inlineStr">
        <is>
          <t>个</t>
        </is>
      </c>
      <c r="N23" s="20" t="inlineStr"/>
      <c r="O23" s="20" t="inlineStr"/>
      <c r="P23" s="20" t="inlineStr"/>
      <c r="Q23" s="20" t="inlineStr"/>
      <c r="R23" s="20" t="inlineStr"/>
      <c r="S23" s="20" t="inlineStr"/>
      <c r="T23" s="20" t="inlineStr"/>
      <c r="U23" s="20" t="inlineStr"/>
      <c r="V23" s="20" t="inlineStr">
        <is>
          <t>confirmed</t>
        </is>
      </c>
      <c r="W23" s="20" t="n">
        <v>0</v>
      </c>
      <c r="X23" s="20" t="inlineStr">
        <is>
          <t>匹配到商品档案但无历史价格记录</t>
        </is>
      </c>
      <c r="Y23" s="20" t="inlineStr">
        <is>
          <t>赛特尔25年.xls｜初中物理｜第39行</t>
        </is>
      </c>
    </row>
    <row r="24" ht="46.8" customHeight="1" s="16">
      <c r="A24" s="1" t="n">
        <v>22</v>
      </c>
      <c r="B24" s="1" t="inlineStr">
        <is>
          <t>电与磁</t>
        </is>
      </c>
      <c r="C24" s="1" t="inlineStr">
        <is>
          <t>高中学生电源</t>
        </is>
      </c>
      <c r="D24" s="5" t="inlineStr">
        <is>
          <t>交流输出：2 V～16 V/3 A，每 2 V 一档。直流稳压输出：2 V～16 V/2 A，每 2 V一档。有过载保护。安全要求：电源端与外壳抗电强度 1500 V（有保护接地线）或3000V（无保护接地线），电源端与低压输出抗电强度 3000V</t>
        </is>
      </c>
      <c r="E24" s="2" t="inlineStr">
        <is>
          <t>台</t>
        </is>
      </c>
      <c r="F24" s="1" t="n">
        <v>26</v>
      </c>
      <c r="G24" s="3" t="inlineStr">
        <is>
          <t>群信</t>
        </is>
      </c>
      <c r="H24" s="1" t="n">
        <v>115</v>
      </c>
      <c r="I24" s="1" t="n"/>
      <c r="J24" s="20" t="n">
        <v>26</v>
      </c>
      <c r="K24" s="20" t="n">
        <v>68</v>
      </c>
      <c r="L24" s="20" t="n">
        <v>1768</v>
      </c>
      <c r="M24" s="20" t="inlineStr">
        <is>
          <t>台</t>
        </is>
      </c>
      <c r="N24" s="20" t="inlineStr">
        <is>
          <t>群信</t>
        </is>
      </c>
      <c r="O24" s="20" t="inlineStr"/>
      <c r="P24" s="20" t="inlineStr"/>
      <c r="Q24" s="20" t="inlineStr">
        <is>
          <t>04001</t>
        </is>
      </c>
      <c r="R24" s="20" t="inlineStr"/>
      <c r="S24" s="20" t="inlineStr"/>
      <c r="T24" s="20" t="inlineStr"/>
      <c r="U24" s="20" t="inlineStr"/>
      <c r="V24" s="20" t="inlineStr">
        <is>
          <t>confirmed</t>
        </is>
      </c>
      <c r="W24" s="20" t="n">
        <v>100</v>
      </c>
      <c r="X24" s="20" t="inlineStr"/>
      <c r="Y24" s="20" t="inlineStr">
        <is>
          <t>赛特尔25年.xls｜初中新课标化学｜第23行</t>
        </is>
      </c>
    </row>
    <row r="25" ht="109.2" customHeight="1" s="16">
      <c r="A25" s="1" t="n">
        <v>23</v>
      </c>
      <c r="B25" s="1" t="inlineStr">
        <is>
          <t>电与磁</t>
        </is>
      </c>
      <c r="C25" s="1" t="inlineStr">
        <is>
          <t>高中教学电源</t>
        </is>
      </c>
      <c r="D25" s="5" t="inlineStr">
        <is>
          <t>交流：2 V～24 V，每 2 V 一档，2 V～6 V/12 A，8 V～12 V/6 A，14 V～24 V/3
A；直流稳压：1 V～25 V 分档连续可调， 2 V～6 V/6 A，8 V～12 V/4 A，14 V～
24 V/2 A；40 A、8 s 自动关断。安全要求：电源端与外壳抗电强度 1500 V（有保护接地线）或 3000 V（无保护接地线），电源端与低压输出抗电强度 3000 V</t>
        </is>
      </c>
      <c r="E25" s="2" t="inlineStr">
        <is>
          <t>台</t>
        </is>
      </c>
      <c r="F25" s="1" t="n">
        <v>2</v>
      </c>
      <c r="G25" s="3" t="inlineStr">
        <is>
          <t>群信</t>
        </is>
      </c>
      <c r="H25" s="1" t="n">
        <v>320</v>
      </c>
      <c r="I25" s="1" t="n"/>
      <c r="J25" s="20" t="n">
        <v>2</v>
      </c>
      <c r="K25" s="20" t="n">
        <v>145</v>
      </c>
      <c r="L25" s="20" t="n">
        <v>290</v>
      </c>
      <c r="M25" s="20" t="inlineStr">
        <is>
          <t>台</t>
        </is>
      </c>
      <c r="N25" s="20" t="inlineStr">
        <is>
          <t>群信</t>
        </is>
      </c>
      <c r="O25" s="20" t="inlineStr"/>
      <c r="P25" s="20" t="inlineStr"/>
      <c r="Q25" s="20" t="inlineStr">
        <is>
          <t>04004</t>
        </is>
      </c>
      <c r="R25" s="20" t="n">
        <v>160</v>
      </c>
      <c r="S25" s="20" t="inlineStr"/>
      <c r="T25" s="20" t="n">
        <v>180</v>
      </c>
      <c r="U25" s="20" t="inlineStr"/>
      <c r="V25" s="20" t="inlineStr">
        <is>
          <t>confirmed</t>
        </is>
      </c>
      <c r="W25" s="20" t="n">
        <v>100</v>
      </c>
      <c r="X25" s="20" t="inlineStr">
        <is>
          <t>同分多价：最高分候选存在不同历史价格</t>
        </is>
      </c>
      <c r="Y25" s="20" t="inlineStr">
        <is>
          <t>赛特尔25年.xls｜初中化学｜第34行</t>
        </is>
      </c>
    </row>
    <row r="26" ht="46.8" customHeight="1" s="16">
      <c r="A26" s="1" t="n">
        <v>24</v>
      </c>
      <c r="B26" s="22" t="n"/>
      <c r="C26" s="1" t="inlineStr">
        <is>
          <t>演示电表</t>
        </is>
      </c>
      <c r="D26" s="5" t="inlineStr">
        <is>
          <t>2.5 级，直流电流：200 μA、 0.5  A、
2.5 A，直流电压：2.5 V、10 V，检流：
－500 μA～500 μA，电压灵敏度： 5 kΩ/V</t>
        </is>
      </c>
      <c r="E26" s="2" t="inlineStr">
        <is>
          <t>只</t>
        </is>
      </c>
      <c r="F26" s="1" t="n">
        <v>1</v>
      </c>
      <c r="G26" s="3" t="inlineStr">
        <is>
          <t>群信</t>
        </is>
      </c>
      <c r="H26" s="1" t="n"/>
      <c r="I26" s="1" t="n"/>
      <c r="J26" s="20" t="n">
        <v>1</v>
      </c>
      <c r="K26" s="20" t="n">
        <v>95</v>
      </c>
      <c r="L26" s="20" t="n">
        <v>95</v>
      </c>
      <c r="M26" s="20" t="inlineStr">
        <is>
          <t>只</t>
        </is>
      </c>
      <c r="N26" s="20" t="inlineStr"/>
      <c r="O26" s="20" t="inlineStr"/>
      <c r="P26" s="20" t="inlineStr"/>
      <c r="Q26" s="20" t="inlineStr"/>
      <c r="R26" s="20" t="n">
        <v>650</v>
      </c>
      <c r="S26" s="20" t="inlineStr"/>
      <c r="T26" s="20" t="n">
        <v>650</v>
      </c>
      <c r="U26" s="20" t="inlineStr"/>
      <c r="V26" s="20" t="inlineStr">
        <is>
          <t>confirmed</t>
        </is>
      </c>
      <c r="W26" s="20" t="n">
        <v>100</v>
      </c>
      <c r="X26" s="20" t="inlineStr">
        <is>
          <t>价格分歧&gt;30%：历史报价分歧较大，需人工核对；同分多价：最高分候选存在不同历史价格</t>
        </is>
      </c>
      <c r="Y26" s="20" t="inlineStr">
        <is>
          <t>赛特尔25年.xls｜初中新课标物理｜第391行</t>
        </is>
      </c>
    </row>
    <row r="27" ht="31.2" customHeight="1" s="16">
      <c r="A27" s="1" t="n">
        <v>25</v>
      </c>
      <c r="B27" s="22" t="n"/>
      <c r="C27" s="1" t="inlineStr">
        <is>
          <t>直流电压表</t>
        </is>
      </c>
      <c r="D27" s="5" t="inlineStr">
        <is>
          <t>3 V、15 V 双量程，2.5 级，基本误差、升降变差、平衡误差不超过量程上限的 2.5％</t>
        </is>
      </c>
      <c r="E27" s="2" t="inlineStr">
        <is>
          <t>只</t>
        </is>
      </c>
      <c r="F27" s="1" t="n">
        <v>26</v>
      </c>
      <c r="G27" s="3" t="inlineStr">
        <is>
          <t>烛光</t>
        </is>
      </c>
      <c r="H27" s="1" t="n">
        <v>17</v>
      </c>
      <c r="I27" s="1" t="n"/>
      <c r="J27" s="20" t="n">
        <v>26</v>
      </c>
      <c r="K27" s="20" t="n">
        <v>17</v>
      </c>
      <c r="L27" s="20" t="n">
        <v>442</v>
      </c>
      <c r="M27" s="20" t="inlineStr">
        <is>
          <t>只</t>
        </is>
      </c>
      <c r="N27" s="20" t="inlineStr"/>
      <c r="O27" s="20" t="inlineStr"/>
      <c r="P27" s="20" t="inlineStr"/>
      <c r="Q27" s="20" t="inlineStr"/>
      <c r="R27" s="20" t="inlineStr"/>
      <c r="S27" s="20" t="inlineStr"/>
      <c r="T27" s="20" t="inlineStr"/>
      <c r="U27" s="20" t="inlineStr"/>
      <c r="V27" s="20" t="inlineStr">
        <is>
          <t>confirmed</t>
        </is>
      </c>
      <c r="W27" s="20" t="n">
        <v>0</v>
      </c>
      <c r="X27" s="20" t="inlineStr">
        <is>
          <t>没有找到可靠候选</t>
        </is>
      </c>
      <c r="Y27" s="20" t="inlineStr">
        <is>
          <t>赛特尔25年.xls｜初中物理｜第92行</t>
        </is>
      </c>
    </row>
    <row r="28" ht="31.2" customHeight="1" s="16">
      <c r="A28" s="1" t="n">
        <v>26</v>
      </c>
      <c r="B28" s="22" t="n"/>
      <c r="C28" s="1" t="inlineStr">
        <is>
          <t>直流电流表</t>
        </is>
      </c>
      <c r="D28" s="5" t="inlineStr">
        <is>
          <t>0.6 A、3 A 双量程，2.5 级，基本误差、升降变差、平衡误差不超过量程上限的 2.5％</t>
        </is>
      </c>
      <c r="E28" s="2" t="inlineStr">
        <is>
          <t>只</t>
        </is>
      </c>
      <c r="F28" s="1" t="n">
        <v>26</v>
      </c>
      <c r="G28" s="3" t="inlineStr">
        <is>
          <t>群信</t>
        </is>
      </c>
      <c r="H28" s="1" t="n">
        <v>17</v>
      </c>
      <c r="I28" s="1" t="n"/>
      <c r="J28" s="20" t="n">
        <v>26</v>
      </c>
      <c r="K28" s="20" t="n">
        <v>17</v>
      </c>
      <c r="L28" s="20" t="n">
        <v>442</v>
      </c>
      <c r="M28" s="20" t="inlineStr">
        <is>
          <t>只</t>
        </is>
      </c>
      <c r="N28" s="20" t="inlineStr"/>
      <c r="O28" s="20" t="inlineStr"/>
      <c r="P28" s="20" t="inlineStr"/>
      <c r="Q28" s="20" t="inlineStr"/>
      <c r="R28" s="20" t="inlineStr"/>
      <c r="S28" s="20" t="inlineStr"/>
      <c r="T28" s="20" t="inlineStr"/>
      <c r="U28" s="20" t="inlineStr"/>
      <c r="V28" s="20" t="inlineStr">
        <is>
          <t>confirmed</t>
        </is>
      </c>
      <c r="W28" s="20" t="n">
        <v>0</v>
      </c>
      <c r="X28" s="20" t="inlineStr">
        <is>
          <t>没有找到可靠候选</t>
        </is>
      </c>
      <c r="Y28" s="20" t="inlineStr">
        <is>
          <t>赛特尔25年.xls｜初中物理｜第91行</t>
        </is>
      </c>
    </row>
    <row r="29" ht="15.6" customHeight="1" s="16">
      <c r="A29" s="1" t="n">
        <v>27</v>
      </c>
      <c r="B29" s="21" t="n"/>
      <c r="C29" s="1" t="inlineStr">
        <is>
          <t>多用电表</t>
        </is>
      </c>
      <c r="D29" s="5" t="inlineStr">
        <is>
          <t>指针式，不低于 2.5 级，功能不低于 MF47型</t>
        </is>
      </c>
      <c r="E29" s="2" t="inlineStr">
        <is>
          <t>套</t>
        </is>
      </c>
      <c r="F29" s="1" t="n">
        <v>26</v>
      </c>
      <c r="G29" s="3" t="inlineStr">
        <is>
          <t>群信</t>
        </is>
      </c>
      <c r="H29" s="1" t="n">
        <v>68</v>
      </c>
      <c r="I29" s="1" t="n"/>
      <c r="J29" s="20" t="n">
        <v>26</v>
      </c>
      <c r="K29" s="20" t="n">
        <v>65</v>
      </c>
      <c r="L29" s="20" t="n">
        <v>1690</v>
      </c>
      <c r="M29" s="20" t="inlineStr">
        <is>
          <t>套</t>
        </is>
      </c>
      <c r="N29" s="20" t="inlineStr"/>
      <c r="O29" s="20" t="inlineStr"/>
      <c r="P29" s="20" t="inlineStr"/>
      <c r="Q29" s="20" t="inlineStr"/>
      <c r="R29" s="20" t="inlineStr"/>
      <c r="S29" s="20" t="inlineStr"/>
      <c r="T29" s="20" t="inlineStr"/>
      <c r="U29" s="20" t="inlineStr"/>
      <c r="V29" s="20" t="inlineStr">
        <is>
          <t>confirmed</t>
        </is>
      </c>
      <c r="W29" s="20" t="n">
        <v>0</v>
      </c>
      <c r="X29" s="20" t="inlineStr">
        <is>
          <t>没有找到可靠候选</t>
        </is>
      </c>
      <c r="Y29" s="20" t="inlineStr">
        <is>
          <t>高中理化生报价.xlsx｜凯迪｜第95行</t>
        </is>
      </c>
    </row>
    <row r="30" ht="46.8" customHeight="1" s="16">
      <c r="A30" s="1" t="n">
        <v>28</v>
      </c>
      <c r="B30" s="1" t="inlineStr">
        <is>
          <t>电与磁</t>
        </is>
      </c>
      <c r="C30" s="1" t="inlineStr">
        <is>
          <t>电阻定律演示器</t>
        </is>
      </c>
      <c r="D30" s="5" t="inlineStr">
        <is>
          <t>由底板、2 种金属导线（康铜、镍铬）、接线柱、支撑架等组成；康铜导线 2 根（长均为 1000 mm，直径分别为0.5 mm、0.3 mm）；镍铬线 2 根（长分别为 1000 mm、500 mm，直径均为 0.3 mm）</t>
        </is>
      </c>
      <c r="E30" s="2" t="inlineStr">
        <is>
          <t>台</t>
        </is>
      </c>
      <c r="F30" s="1" t="n">
        <v>2</v>
      </c>
      <c r="G30" s="3" t="inlineStr">
        <is>
          <t>群信</t>
        </is>
      </c>
      <c r="H30" s="1" t="n"/>
      <c r="I30" s="1" t="n"/>
      <c r="J30" s="20" t="n">
        <v>2</v>
      </c>
      <c r="K30" s="20" t="n">
        <v>45</v>
      </c>
      <c r="L30" s="20" t="n">
        <v>90</v>
      </c>
      <c r="M30" s="20" t="inlineStr">
        <is>
          <t>台</t>
        </is>
      </c>
      <c r="N30" s="20" t="inlineStr"/>
      <c r="O30" s="20" t="inlineStr"/>
      <c r="P30" s="20" t="inlineStr"/>
      <c r="Q30" s="20" t="inlineStr"/>
      <c r="R30" s="20" t="n">
        <v>45</v>
      </c>
      <c r="S30" s="20" t="inlineStr"/>
      <c r="T30" s="20" t="n">
        <v>290</v>
      </c>
      <c r="U30" s="20" t="inlineStr"/>
      <c r="V30" s="20" t="inlineStr">
        <is>
          <t>confirmed</t>
        </is>
      </c>
      <c r="W30" s="20" t="n">
        <v>100</v>
      </c>
      <c r="X30" s="20" t="inlineStr">
        <is>
          <t>价格分歧&gt;30%：历史报价分歧较大，需人工核对</t>
        </is>
      </c>
      <c r="Y30" s="20" t="inlineStr">
        <is>
          <t>赛特尔25年.xls｜初中新课标物理｜第416行</t>
        </is>
      </c>
    </row>
    <row r="31" ht="46.8" customHeight="1" s="16">
      <c r="A31" s="1" t="n">
        <v>29</v>
      </c>
      <c r="B31" s="21" t="n"/>
      <c r="C31" s="1" t="inlineStr">
        <is>
          <t>电阻定律实验器</t>
        </is>
      </c>
      <c r="D31" s="5" t="inlineStr">
        <is>
          <t>由底板、2 种金属导线（康铜、镍铬）、接线柱等组成；康铜导线 2 根（长均为 500 mm，直径分别为0.5 mm、0.3 mm）；镍铬线 2 根（长分别为 500 mm、300 mm，直径均为 0.3 mm）。</t>
        </is>
      </c>
      <c r="E31" s="2" t="inlineStr">
        <is>
          <t>台</t>
        </is>
      </c>
      <c r="F31" s="1" t="n">
        <v>26</v>
      </c>
      <c r="G31" s="3" t="inlineStr">
        <is>
          <t>群信</t>
        </is>
      </c>
      <c r="H31" s="1" t="n"/>
      <c r="I31" s="1" t="n"/>
      <c r="J31" s="20" t="n">
        <v>26</v>
      </c>
      <c r="K31" s="20" t="n">
        <v>20</v>
      </c>
      <c r="L31" s="20" t="n">
        <v>520</v>
      </c>
      <c r="M31" s="20" t="inlineStr">
        <is>
          <t>台</t>
        </is>
      </c>
      <c r="N31" s="20" t="inlineStr"/>
      <c r="O31" s="20" t="inlineStr"/>
      <c r="P31" s="20" t="inlineStr"/>
      <c r="Q31" s="20" t="inlineStr"/>
      <c r="R31" s="20" t="n">
        <v>20</v>
      </c>
      <c r="S31" s="20" t="inlineStr"/>
      <c r="T31" s="20" t="n">
        <v>60.5</v>
      </c>
      <c r="U31" s="20" t="inlineStr"/>
      <c r="V31" s="20" t="inlineStr">
        <is>
          <t>confirmed</t>
        </is>
      </c>
      <c r="W31" s="20" t="n">
        <v>100</v>
      </c>
      <c r="X31" s="20" t="inlineStr">
        <is>
          <t>价格分歧&gt;30%：历史报价分歧较大，需人工核对</t>
        </is>
      </c>
      <c r="Y31" s="20" t="inlineStr">
        <is>
          <t>赛特尔25年.xls｜初中新课标物理｜第417行</t>
        </is>
      </c>
    </row>
    <row r="32" ht="33" customHeight="1" s="16">
      <c r="A32" s="1" t="n">
        <v>30</v>
      </c>
      <c r="B32" s="1" t="inlineStr">
        <is>
          <t>电与磁</t>
        </is>
      </c>
      <c r="C32" s="1" t="inlineStr">
        <is>
          <t>接线夹导线</t>
        </is>
      </c>
      <c r="D32" s="9" t="inlineStr">
        <is>
          <t>纯铜接线夹；纯铜导线，长度分别为 200 mm、300 mm、400 mm，芯线截面积不小于 0.5 mm2；各两根，宜用不同线色</t>
        </is>
      </c>
      <c r="E32" s="2" t="inlineStr">
        <is>
          <t>套</t>
        </is>
      </c>
      <c r="F32" s="1" t="n">
        <v>52</v>
      </c>
      <c r="G32" s="3" t="inlineStr">
        <is>
          <t>群信</t>
        </is>
      </c>
      <c r="H32" s="1" t="n"/>
      <c r="I32" s="1" t="n"/>
      <c r="J32" s="20" t="n">
        <v>52</v>
      </c>
      <c r="K32" s="20" t="n">
        <v>11</v>
      </c>
      <c r="L32" s="20" t="n">
        <v>572</v>
      </c>
      <c r="M32" s="20" t="inlineStr">
        <is>
          <t>套</t>
        </is>
      </c>
      <c r="N32" s="20" t="inlineStr"/>
      <c r="O32" s="20" t="inlineStr"/>
      <c r="P32" s="20" t="inlineStr"/>
      <c r="Q32" s="20" t="inlineStr">
        <is>
          <t>长度分别为 200 mm、300 mm、400 mm；单芯4 mm 纯铜接线夹，纯铜导线；宜用不同线色</t>
        </is>
      </c>
      <c r="R32" s="20" t="inlineStr"/>
      <c r="S32" s="20" t="inlineStr"/>
      <c r="T32" s="20" t="inlineStr"/>
      <c r="U32" s="20" t="inlineStr"/>
      <c r="V32" s="20" t="inlineStr">
        <is>
          <t>confirmed</t>
        </is>
      </c>
      <c r="W32" s="20" t="n">
        <v>100</v>
      </c>
      <c r="X32" s="20" t="inlineStr"/>
      <c r="Y32" s="20" t="inlineStr">
        <is>
          <t>赛特尔25年.xls｜初中新课标物理｜第419行</t>
        </is>
      </c>
    </row>
    <row r="33" ht="33" customHeight="1" s="16">
      <c r="A33" s="1" t="n">
        <v>31</v>
      </c>
      <c r="B33" s="22" t="n"/>
      <c r="C33" s="1" t="inlineStr">
        <is>
          <t>接线叉导线</t>
        </is>
      </c>
      <c r="D33" s="9" t="inlineStr">
        <is>
          <t>纯铜接线叉，接线叉开口 5.9 mm；纯铜导线，长度分别为 200 mm、300 mm、400 mm，芯线截面积不小于 0.5 mm2；各2根；宜用不同线色</t>
        </is>
      </c>
      <c r="E33" s="2" t="inlineStr">
        <is>
          <t>套</t>
        </is>
      </c>
      <c r="F33" s="1" t="n">
        <v>52</v>
      </c>
      <c r="G33" s="3" t="inlineStr">
        <is>
          <t>群信</t>
        </is>
      </c>
      <c r="H33" s="1" t="n"/>
      <c r="I33" s="1" t="n"/>
      <c r="J33" s="20" t="n">
        <v>52</v>
      </c>
      <c r="K33" s="20" t="n">
        <v>11</v>
      </c>
      <c r="L33" s="20" t="n">
        <v>572</v>
      </c>
      <c r="M33" s="20" t="inlineStr">
        <is>
          <t>套</t>
        </is>
      </c>
      <c r="N33" s="20" t="inlineStr"/>
      <c r="O33" s="20" t="inlineStr"/>
      <c r="P33" s="20" t="inlineStr"/>
      <c r="Q33" s="20" t="inlineStr">
        <is>
          <t>长度分别为 200 mm、300 mm、400 mm；单芯4 mm 纯铜接线叉，接线叉开口 5.9 mm，纯铜导线；宜用不同线色</t>
        </is>
      </c>
      <c r="R33" s="20" t="inlineStr"/>
      <c r="S33" s="20" t="inlineStr"/>
      <c r="T33" s="20" t="inlineStr"/>
      <c r="U33" s="20" t="inlineStr"/>
      <c r="V33" s="20" t="inlineStr">
        <is>
          <t>confirmed</t>
        </is>
      </c>
      <c r="W33" s="20" t="n">
        <v>100</v>
      </c>
      <c r="X33" s="20" t="inlineStr"/>
      <c r="Y33" s="20" t="inlineStr">
        <is>
          <t>赛特尔25年.xls｜初中新课标物理｜第420行</t>
        </is>
      </c>
    </row>
    <row r="34" ht="48.6" customHeight="1" s="16">
      <c r="A34" s="1" t="n">
        <v>32</v>
      </c>
      <c r="B34" s="21" t="n"/>
      <c r="C34" s="1" t="inlineStr">
        <is>
          <t>组合接头导线</t>
        </is>
      </c>
      <c r="D34" s="9" t="inlineStr">
        <is>
          <t>一头为纯铜接线叉，一头为接线夹，接线叉开口 5.9 mm；纯铜导线，长度分别为 200 mm、300 mm、400 mm，芯线截面积不小于 0.5 mm2；各两根，宜用不同线色</t>
        </is>
      </c>
      <c r="E34" s="2" t="inlineStr">
        <is>
          <t>套</t>
        </is>
      </c>
      <c r="F34" s="1" t="n">
        <v>52</v>
      </c>
      <c r="G34" s="1" t="n"/>
      <c r="H34" s="1" t="n"/>
      <c r="I34" s="1" t="n"/>
      <c r="J34" s="20" t="n">
        <v>52</v>
      </c>
      <c r="K34" s="20" t="n">
        <v>11</v>
      </c>
      <c r="L34" s="20" t="n">
        <v>572</v>
      </c>
      <c r="M34" s="20" t="inlineStr">
        <is>
          <t>套</t>
        </is>
      </c>
      <c r="N34" s="20" t="inlineStr"/>
      <c r="O34" s="20" t="inlineStr"/>
      <c r="P34" s="20" t="inlineStr"/>
      <c r="Q34" s="20" t="inlineStr">
        <is>
          <t>长度分别为 200 mm、300 mm、400 mm；一头为单芯 4 mm 纯铜接线叉，一头为接线夹，接线叉开口 5.9 mm，纯铜导线；宜用不同线色</t>
        </is>
      </c>
      <c r="R34" s="20" t="inlineStr"/>
      <c r="S34" s="20" t="inlineStr"/>
      <c r="T34" s="20" t="inlineStr"/>
      <c r="U34" s="20" t="inlineStr"/>
      <c r="V34" s="20" t="inlineStr">
        <is>
          <t>confirmed</t>
        </is>
      </c>
      <c r="W34" s="20" t="n">
        <v>100</v>
      </c>
      <c r="X34" s="20" t="inlineStr"/>
      <c r="Y34" s="20" t="inlineStr">
        <is>
          <t>赛特尔25年.xls｜初中新课标物理｜第421行</t>
        </is>
      </c>
    </row>
    <row r="35" ht="78" customHeight="1" s="16">
      <c r="A35" s="1" t="n">
        <v>33</v>
      </c>
      <c r="B35" s="1" t="inlineStr">
        <is>
          <t>电与磁</t>
        </is>
      </c>
      <c r="C35" s="1" t="inlineStr">
        <is>
          <t>电阻圈</t>
        </is>
      </c>
      <c r="D35" s="5" t="inlineStr">
        <is>
          <t>包括 5 Ω、1.5 A，10 Ω、1.0 A，15 Ω，0.6 A 共 3 种规格， 阻值误差±1%；电阻丝应采用锰铜线或康铜线绕制；按额定电流连续工作 15 min 后，5 Ω、1.5 A，10 Ω、1.0 A，15 Ω、0.6 A 电阻圈外壳两侧温升分别不应高于 60 K、60 K 和45 K；按额定电流连续工作 2 h 后外壳不应出现焦灼、熔化变形、冒烟现象；加热后电阻值变化应在 1%以内。</t>
        </is>
      </c>
      <c r="E35" s="2" t="inlineStr">
        <is>
          <t>套</t>
        </is>
      </c>
      <c r="F35" s="1" t="n">
        <v>13</v>
      </c>
      <c r="G35" s="3" t="inlineStr">
        <is>
          <t>群信</t>
        </is>
      </c>
      <c r="H35" s="1" t="n"/>
      <c r="I35" s="1" t="n"/>
      <c r="J35" s="20" t="n">
        <v>13</v>
      </c>
      <c r="K35" s="20" t="n">
        <v>9</v>
      </c>
      <c r="L35" s="20" t="n">
        <v>117</v>
      </c>
      <c r="M35" s="20" t="inlineStr">
        <is>
          <t>套</t>
        </is>
      </c>
      <c r="N35" s="20" t="inlineStr"/>
      <c r="O35" s="20" t="inlineStr"/>
      <c r="P35" s="20" t="inlineStr"/>
      <c r="Q35" s="20" t="inlineStr"/>
      <c r="R35" s="20" t="inlineStr"/>
      <c r="S35" s="20" t="inlineStr"/>
      <c r="T35" s="20" t="inlineStr"/>
      <c r="U35" s="20" t="inlineStr"/>
      <c r="V35" s="20" t="inlineStr">
        <is>
          <t>confirmed</t>
        </is>
      </c>
      <c r="W35" s="20" t="n">
        <v>0</v>
      </c>
      <c r="X35" s="20" t="inlineStr">
        <is>
          <t>没有找到可靠候选</t>
        </is>
      </c>
      <c r="Y35" s="20" t="inlineStr">
        <is>
          <t>赛特尔25年.xls｜初中新课标物理｜第412行</t>
        </is>
      </c>
    </row>
    <row r="36" ht="15.6" customHeight="1" s="16">
      <c r="A36" s="1" t="n">
        <v>34</v>
      </c>
      <c r="B36" s="21" t="n"/>
      <c r="C36" s="1" t="inlineStr">
        <is>
          <t>电阻箱</t>
        </is>
      </c>
      <c r="D36" s="2" t="inlineStr">
        <is>
          <t>六位，99999.9 Ω，1 级</t>
        </is>
      </c>
      <c r="E36" s="2" t="inlineStr">
        <is>
          <t>个</t>
        </is>
      </c>
      <c r="F36" s="1" t="n">
        <v>26</v>
      </c>
      <c r="G36" s="3" t="inlineStr">
        <is>
          <t>光扬</t>
        </is>
      </c>
      <c r="H36" s="1" t="n"/>
      <c r="I36" s="1" t="n"/>
      <c r="J36" s="20" t="n">
        <v>26</v>
      </c>
      <c r="K36" s="20" t="n">
        <v>15</v>
      </c>
      <c r="L36" s="20" t="n">
        <v>390</v>
      </c>
      <c r="M36" s="20" t="inlineStr">
        <is>
          <t>个</t>
        </is>
      </c>
      <c r="N36" s="20" t="inlineStr"/>
      <c r="O36" s="20" t="inlineStr"/>
      <c r="P36" s="20" t="inlineStr"/>
      <c r="Q36" s="20" t="inlineStr"/>
      <c r="R36" s="20" t="n">
        <v>15</v>
      </c>
      <c r="S36" s="20" t="inlineStr"/>
      <c r="T36" s="20" t="n">
        <v>60</v>
      </c>
      <c r="U36" s="20" t="inlineStr"/>
      <c r="V36" s="20" t="inlineStr">
        <is>
          <t>confirmed</t>
        </is>
      </c>
      <c r="W36" s="20" t="n">
        <v>100</v>
      </c>
      <c r="X36" s="20" t="inlineStr">
        <is>
          <t>价格分歧&gt;30%：历史报价分歧较大，需人工核对</t>
        </is>
      </c>
      <c r="Y36" s="20" t="inlineStr">
        <is>
          <t>赛特尔25年.xls｜初中新课标物理｜第413行</t>
        </is>
      </c>
    </row>
    <row r="37" ht="62.4" customHeight="1" s="16">
      <c r="A37" s="1" t="n">
        <v>35</v>
      </c>
      <c r="B37" s="1" t="inlineStr">
        <is>
          <t>电与磁</t>
        </is>
      </c>
      <c r="C37" s="1" t="inlineStr">
        <is>
          <t>教学用 E10 螺
口灯座
（小灯座）</t>
        </is>
      </c>
      <c r="D37" s="5" t="inlineStr">
        <is>
          <t>由底座、接线柱和灯座等组成。底座应采用硬质绝缘材料制成，最高工作电压应为 36 V 最大工作电流应为 2.5 A。灯座口圈应采用厚 0.4 mm～0.5 mm 的黄铜材料制作，中心触点应采用厚 0.3 mm～0.4 mm 的磷铜材料制作，中心电极应有弹性。 两接线柱之间绝缘电阻应≥2 M Ω</t>
        </is>
      </c>
      <c r="E37" s="2" t="inlineStr">
        <is>
          <t>个</t>
        </is>
      </c>
      <c r="F37" s="1" t="n">
        <v>52</v>
      </c>
      <c r="G37" s="3" t="inlineStr">
        <is>
          <t>群信</t>
        </is>
      </c>
      <c r="H37" s="1" t="n"/>
      <c r="I37" s="1" t="n"/>
      <c r="J37" s="20" t="n">
        <v>52</v>
      </c>
      <c r="K37" s="20" t="n">
        <v>1.5</v>
      </c>
      <c r="L37" s="20" t="n">
        <v>78</v>
      </c>
      <c r="M37" s="20" t="inlineStr">
        <is>
          <t>个</t>
        </is>
      </c>
      <c r="N37" s="20" t="inlineStr"/>
      <c r="O37" s="20" t="inlineStr"/>
      <c r="P37" s="20" t="inlineStr"/>
      <c r="Q37" s="20" t="inlineStr">
        <is>
          <t>由底座、接线柱和灯座等组成。底座应采用硬质绝缘材料制成，最高工作电压应为 36 V，最大工作电流应为 2.5 A。灯座口圈应采用厚 0.4 mm～0.5 mm 的黄铜材料制作，中心触点应采用厚 0.3 mm～0.4 mm 的磷铜材料制作。两接线柱之间绝缘电阻应≥2 MΩ</t>
        </is>
      </c>
      <c r="R37" s="20" t="inlineStr"/>
      <c r="S37" s="20" t="inlineStr"/>
      <c r="T37" s="20" t="inlineStr"/>
      <c r="U37" s="20" t="inlineStr"/>
      <c r="V37" s="20" t="inlineStr">
        <is>
          <t>confirmed</t>
        </is>
      </c>
      <c r="W37" s="20" t="n">
        <v>100</v>
      </c>
      <c r="X37" s="20" t="inlineStr"/>
      <c r="Y37" s="20" t="inlineStr">
        <is>
          <t>赛特尔25年.xls｜初中新课标物理｜第401行</t>
        </is>
      </c>
    </row>
    <row r="38" ht="15.6" customHeight="1" s="16">
      <c r="A38" s="1" t="n">
        <v>36</v>
      </c>
      <c r="B38" s="22" t="n"/>
      <c r="C38" s="1" t="inlineStr">
        <is>
          <t>电珠(小灯泡)</t>
        </is>
      </c>
      <c r="D38" s="2" t="inlineStr">
        <is>
          <t>1.5 V，0.3 A</t>
        </is>
      </c>
      <c r="E38" s="2" t="inlineStr">
        <is>
          <t>个</t>
        </is>
      </c>
      <c r="F38" s="1" t="n">
        <v>110</v>
      </c>
      <c r="G38" s="3" t="inlineStr">
        <is>
          <t>群信</t>
        </is>
      </c>
      <c r="H38" s="1" t="n"/>
      <c r="I38" s="1" t="n"/>
      <c r="J38" s="20" t="n">
        <v>110</v>
      </c>
      <c r="K38" s="20" t="n">
        <v>0.45</v>
      </c>
      <c r="L38" s="20" t="n">
        <v>49.5</v>
      </c>
      <c r="M38" s="20" t="inlineStr">
        <is>
          <t>个</t>
        </is>
      </c>
      <c r="N38" s="20" t="inlineStr"/>
      <c r="O38" s="20" t="inlineStr"/>
      <c r="P38" s="20" t="inlineStr"/>
      <c r="Q38" s="20" t="inlineStr"/>
      <c r="R38" s="20" t="n">
        <v>0.5</v>
      </c>
      <c r="S38" s="20" t="inlineStr"/>
      <c r="T38" s="20" t="n">
        <v>0.8</v>
      </c>
      <c r="U38" s="20" t="inlineStr"/>
      <c r="V38" s="20" t="inlineStr">
        <is>
          <t>confirmed</t>
        </is>
      </c>
      <c r="W38" s="20" t="n">
        <v>100</v>
      </c>
      <c r="X38" s="20" t="inlineStr">
        <is>
          <t>价格分歧&gt;30%：历史报价分歧较大，需人工核对；同分多价：最高分候选存在不同历史价格</t>
        </is>
      </c>
      <c r="Y38" s="20" t="inlineStr">
        <is>
          <t>赛特尔25年.xls｜初中物理｜第325行</t>
        </is>
      </c>
    </row>
    <row r="39" ht="15.6" customHeight="1" s="16">
      <c r="A39" s="1" t="n">
        <v>37</v>
      </c>
      <c r="B39" s="21" t="n"/>
      <c r="C39" s="21" t="n"/>
      <c r="D39" s="2" t="inlineStr">
        <is>
          <t>2.5 V，0.3 A</t>
        </is>
      </c>
      <c r="E39" s="2" t="inlineStr">
        <is>
          <t>个</t>
        </is>
      </c>
      <c r="F39" s="1" t="n">
        <v>110</v>
      </c>
      <c r="G39" s="3" t="inlineStr">
        <is>
          <t>群信</t>
        </is>
      </c>
      <c r="H39" s="1" t="n"/>
      <c r="I39" s="1" t="n"/>
      <c r="J39" s="20" t="n">
        <v>110</v>
      </c>
      <c r="K39" s="20" t="n">
        <v>0.45</v>
      </c>
      <c r="L39" s="20" t="n">
        <v>49.5</v>
      </c>
      <c r="M39" s="20" t="inlineStr">
        <is>
          <t>个</t>
        </is>
      </c>
      <c r="N39" s="20" t="inlineStr"/>
      <c r="O39" s="20" t="inlineStr"/>
      <c r="P39" s="20" t="inlineStr"/>
      <c r="Q39" s="20" t="inlineStr"/>
      <c r="R39" s="20" t="n">
        <v>0.5</v>
      </c>
      <c r="S39" s="20" t="inlineStr"/>
      <c r="T39" s="20" t="n">
        <v>0.8</v>
      </c>
      <c r="U39" s="20" t="inlineStr"/>
      <c r="V39" s="20" t="inlineStr">
        <is>
          <t>confirmed</t>
        </is>
      </c>
      <c r="W39" s="20" t="n">
        <v>100</v>
      </c>
      <c r="X39" s="20" t="inlineStr">
        <is>
          <t>价格分歧&gt;30%：历史报价分歧较大，需人工核对；同分多价：最高分候选存在不同历史价格</t>
        </is>
      </c>
      <c r="Y39" s="20" t="inlineStr">
        <is>
          <t>赛特尔25年.xls｜初中物理｜第325行</t>
        </is>
      </c>
    </row>
    <row r="40" ht="31.2" customHeight="1" s="16">
      <c r="A40" s="1" t="n">
        <v>38</v>
      </c>
      <c r="B40" s="1" t="inlineStr">
        <is>
          <t>电与磁</t>
        </is>
      </c>
      <c r="C40" s="1" t="inlineStr">
        <is>
          <t>滑动变阻器</t>
        </is>
      </c>
      <c r="D40" s="2" t="inlineStr">
        <is>
          <t>10Ω，2A滑杆宜采用正多边形截面（正六边形、正四边形、正三角形）；滑片不应滑出端夹以外；全部电阻线以额定电流连续工作30min，温升不应超过300℃</t>
        </is>
      </c>
      <c r="E40" s="2" t="inlineStr">
        <is>
          <t>个</t>
        </is>
      </c>
      <c r="F40" s="1" t="n">
        <v>26</v>
      </c>
      <c r="G40" s="3" t="inlineStr">
        <is>
          <t>群信</t>
        </is>
      </c>
      <c r="H40" s="1" t="n"/>
      <c r="I40" s="1" t="n"/>
      <c r="J40" s="20" t="n">
        <v>26</v>
      </c>
      <c r="K40" s="20" t="n">
        <v>14</v>
      </c>
      <c r="L40" s="20" t="n">
        <v>364</v>
      </c>
      <c r="M40" s="20" t="inlineStr">
        <is>
          <t>个</t>
        </is>
      </c>
      <c r="N40" s="20" t="inlineStr"/>
      <c r="O40" s="20" t="inlineStr"/>
      <c r="P40" s="20" t="inlineStr"/>
      <c r="Q40" s="20" t="inlineStr"/>
      <c r="R40" s="20" t="n">
        <v>15</v>
      </c>
      <c r="S40" s="20" t="inlineStr"/>
      <c r="T40" s="20" t="n">
        <v>20</v>
      </c>
      <c r="U40" s="20" t="inlineStr"/>
      <c r="V40" s="20" t="inlineStr">
        <is>
          <t>confirmed</t>
        </is>
      </c>
      <c r="W40" s="20" t="n">
        <v>100</v>
      </c>
      <c r="X40" s="20" t="inlineStr">
        <is>
          <t>价格分歧&gt;30%：历史报价分歧较大，需人工核对；同分多价：最高分候选存在不同历史价格</t>
        </is>
      </c>
      <c r="Y40" s="20" t="inlineStr">
        <is>
          <t>赛特尔25年.xls｜初中新课标物理｜第409行</t>
        </is>
      </c>
    </row>
    <row r="41" ht="31.2" customHeight="1" s="16">
      <c r="A41" s="1" t="n">
        <v>39</v>
      </c>
      <c r="B41" s="22" t="n"/>
      <c r="C41" s="21" t="n"/>
      <c r="D41" s="2" t="inlineStr">
        <is>
          <t>20Ω，2A滑杆采用正多边形截面（正六边形、正四边形、正三角形）；滑片不应滑出端夹以外；全部电阻线以额定电流连续工作30min，温升不应超过300℃</t>
        </is>
      </c>
      <c r="E41" s="2" t="inlineStr">
        <is>
          <t>个</t>
        </is>
      </c>
      <c r="F41" s="1" t="n">
        <v>26</v>
      </c>
      <c r="G41" s="3" t="inlineStr">
        <is>
          <t>群信</t>
        </is>
      </c>
      <c r="H41" s="1" t="n"/>
      <c r="I41" s="1" t="n"/>
      <c r="J41" s="20" t="n">
        <v>26</v>
      </c>
      <c r="K41" s="20" t="n">
        <v>14</v>
      </c>
      <c r="L41" s="20" t="n">
        <v>364</v>
      </c>
      <c r="M41" s="20" t="inlineStr">
        <is>
          <t>个</t>
        </is>
      </c>
      <c r="N41" s="20" t="inlineStr"/>
      <c r="O41" s="20" t="inlineStr"/>
      <c r="P41" s="20" t="inlineStr"/>
      <c r="Q41" s="20" t="inlineStr"/>
      <c r="R41" s="20" t="n">
        <v>15</v>
      </c>
      <c r="S41" s="20" t="inlineStr"/>
      <c r="T41" s="20" t="n">
        <v>20</v>
      </c>
      <c r="U41" s="20" t="inlineStr"/>
      <c r="V41" s="20" t="inlineStr">
        <is>
          <t>confirmed</t>
        </is>
      </c>
      <c r="W41" s="20" t="n">
        <v>100</v>
      </c>
      <c r="X41" s="20" t="inlineStr">
        <is>
          <t>价格分歧&gt;30%：历史报价分歧较大，需人工核对；同分多价：最高分候选存在不同历史价格</t>
        </is>
      </c>
      <c r="Y41" s="20" t="inlineStr">
        <is>
          <t>赛特尔25年.xls｜初中新课标物理｜第409行</t>
        </is>
      </c>
    </row>
    <row r="42" ht="31.2" customHeight="1" s="16">
      <c r="A42" s="1" t="n">
        <v>40</v>
      </c>
      <c r="B42" s="22" t="n"/>
      <c r="C42" s="1" t="inlineStr">
        <is>
          <t>菱形小磁针</t>
        </is>
      </c>
      <c r="D42" s="5" t="inlineStr">
        <is>
          <t>16 支，磁针 28 mm×8 mm，座Φ25 mm×25 mm，磁针体中间铆接铜轴承套，内嵌玻璃轴承，平均磁感应强度≥5 mT</t>
        </is>
      </c>
      <c r="E42" s="2" t="inlineStr">
        <is>
          <t>个</t>
        </is>
      </c>
      <c r="F42" s="1" t="n">
        <v>52</v>
      </c>
      <c r="G42" s="3" t="inlineStr">
        <is>
          <t>群信</t>
        </is>
      </c>
      <c r="H42" s="1" t="n"/>
      <c r="I42" s="1" t="n"/>
      <c r="J42" s="20" t="n">
        <v>52</v>
      </c>
      <c r="K42" s="20" t="n">
        <v>6</v>
      </c>
      <c r="L42" s="20" t="n">
        <v>312</v>
      </c>
      <c r="M42" s="20" t="inlineStr">
        <is>
          <t>个</t>
        </is>
      </c>
      <c r="N42" s="20" t="inlineStr"/>
      <c r="O42" s="20" t="inlineStr"/>
      <c r="P42" s="20" t="inlineStr"/>
      <c r="Q42" s="20" t="inlineStr"/>
      <c r="R42" s="20" t="inlineStr"/>
      <c r="S42" s="20" t="inlineStr"/>
      <c r="T42" s="20" t="inlineStr"/>
      <c r="U42" s="20" t="inlineStr"/>
      <c r="V42" s="20" t="inlineStr">
        <is>
          <t>confirmed</t>
        </is>
      </c>
      <c r="W42" s="20" t="n">
        <v>0</v>
      </c>
      <c r="X42" s="20" t="inlineStr">
        <is>
          <t>没有找到可靠候选</t>
        </is>
      </c>
      <c r="Y42" s="20" t="inlineStr">
        <is>
          <t>赛特尔25年.xls｜初中物理｜第193行</t>
        </is>
      </c>
    </row>
    <row r="43" ht="31.2" customHeight="1" s="16">
      <c r="A43" s="1" t="n">
        <v>41</v>
      </c>
      <c r="B43" s="22" t="n"/>
      <c r="C43" s="1" t="inlineStr">
        <is>
          <t>翼形磁针</t>
        </is>
      </c>
      <c r="D43" s="5" t="inlineStr">
        <is>
          <t>2 支，针体 140 mm×8 mm，座Φ71 mm×112 mm。磁针体中间铆接铜轴承套，内嵌玻璃轴承，平均磁感应强度≥9 mT</t>
        </is>
      </c>
      <c r="E43" s="2" t="inlineStr">
        <is>
          <t>对</t>
        </is>
      </c>
      <c r="F43" s="1" t="n">
        <v>2</v>
      </c>
      <c r="G43" s="3" t="inlineStr">
        <is>
          <t>群信</t>
        </is>
      </c>
      <c r="H43" s="1" t="n"/>
      <c r="I43" s="1" t="n"/>
      <c r="J43" s="20" t="n">
        <v>2</v>
      </c>
      <c r="K43" s="20" t="n">
        <v>4</v>
      </c>
      <c r="L43" s="20" t="n">
        <v>8</v>
      </c>
      <c r="M43" s="20" t="inlineStr">
        <is>
          <t>对</t>
        </is>
      </c>
      <c r="N43" s="20" t="inlineStr"/>
      <c r="O43" s="20" t="inlineStr"/>
      <c r="P43" s="20" t="inlineStr"/>
      <c r="Q43" s="20" t="inlineStr"/>
      <c r="R43" s="20" t="n">
        <v>4</v>
      </c>
      <c r="S43" s="20" t="inlineStr"/>
      <c r="T43" s="20" t="n">
        <v>4.4</v>
      </c>
      <c r="U43" s="20" t="inlineStr"/>
      <c r="V43" s="20" t="inlineStr">
        <is>
          <t>confirmed</t>
        </is>
      </c>
      <c r="W43" s="20" t="n">
        <v>100</v>
      </c>
      <c r="X43" s="20" t="inlineStr"/>
      <c r="Y43" s="20" t="inlineStr">
        <is>
          <t>赛特尔25年.xls｜初中物理｜第194行</t>
        </is>
      </c>
    </row>
    <row r="44" ht="15.6" customHeight="1" s="16">
      <c r="A44" s="1" t="n">
        <v>42</v>
      </c>
      <c r="B44" s="22" t="n"/>
      <c r="C44" s="1" t="inlineStr">
        <is>
          <t>条形磁铁</t>
        </is>
      </c>
      <c r="D44" s="5" t="inlineStr">
        <is>
          <t>D-CG-LT-180，表面磁感应强度≥0.07 T</t>
        </is>
      </c>
      <c r="E44" s="5" t="inlineStr">
        <is>
          <t>对</t>
        </is>
      </c>
      <c r="F44" s="1" t="n">
        <v>26</v>
      </c>
      <c r="G44" s="3" t="inlineStr">
        <is>
          <t>群信</t>
        </is>
      </c>
      <c r="H44" s="1" t="n"/>
      <c r="I44" s="1" t="n"/>
      <c r="J44" s="20" t="n">
        <v>26</v>
      </c>
      <c r="K44" s="20" t="n">
        <v>16</v>
      </c>
      <c r="L44" s="20" t="n">
        <v>416</v>
      </c>
      <c r="M44" s="20" t="inlineStr">
        <is>
          <t>对</t>
        </is>
      </c>
      <c r="N44" s="20" t="inlineStr"/>
      <c r="O44" s="20" t="inlineStr"/>
      <c r="P44" s="20" t="inlineStr"/>
      <c r="Q44" s="20" t="inlineStr"/>
      <c r="R44" s="20" t="n">
        <v>17.6</v>
      </c>
      <c r="S44" s="20" t="inlineStr"/>
      <c r="T44" s="20" t="n">
        <v>26</v>
      </c>
      <c r="U44" s="20" t="inlineStr"/>
      <c r="V44" s="20" t="inlineStr">
        <is>
          <t>confirmed</t>
        </is>
      </c>
      <c r="W44" s="20" t="n">
        <v>100</v>
      </c>
      <c r="X44" s="20" t="inlineStr">
        <is>
          <t>价格分歧&gt;30%：历史报价分歧较大，需人工核对；同分多价：最高分候选存在不同历史价格</t>
        </is>
      </c>
      <c r="Y44" s="20" t="inlineStr">
        <is>
          <t>赛特尔25年.xls｜初中新课标物理｜第328行</t>
        </is>
      </c>
    </row>
    <row r="45" ht="15.6" customHeight="1" s="16">
      <c r="A45" s="1" t="n">
        <v>43</v>
      </c>
      <c r="B45" s="22" t="n"/>
      <c r="C45" s="1" t="inlineStr">
        <is>
          <t>蹄形磁铁</t>
        </is>
      </c>
      <c r="D45" s="2" t="inlineStr">
        <is>
          <t>一体成型，D-CG-LU-100，表面磁感应强度≥0.055 T</t>
        </is>
      </c>
      <c r="E45" s="2" t="inlineStr">
        <is>
          <t>对</t>
        </is>
      </c>
      <c r="F45" s="1" t="n">
        <v>26</v>
      </c>
      <c r="G45" s="3" t="inlineStr">
        <is>
          <t>群信</t>
        </is>
      </c>
      <c r="H45" s="1" t="n"/>
      <c r="I45" s="1" t="n"/>
      <c r="J45" s="20" t="n">
        <v>26</v>
      </c>
      <c r="K45" s="20" t="n">
        <v>0.03</v>
      </c>
      <c r="L45" s="20" t="n">
        <v>0.78</v>
      </c>
      <c r="M45" s="20" t="inlineStr">
        <is>
          <t>对</t>
        </is>
      </c>
      <c r="N45" s="20" t="inlineStr"/>
      <c r="O45" s="20" t="inlineStr"/>
      <c r="P45" s="20" t="inlineStr"/>
      <c r="Q45" s="20" t="inlineStr"/>
      <c r="R45" s="20" t="inlineStr"/>
      <c r="S45" s="20" t="inlineStr"/>
      <c r="T45" s="20" t="inlineStr"/>
      <c r="U45" s="20" t="inlineStr"/>
      <c r="V45" s="20" t="inlineStr">
        <is>
          <t>confirmed</t>
        </is>
      </c>
      <c r="W45" s="20" t="n">
        <v>0</v>
      </c>
      <c r="X45" s="20" t="inlineStr">
        <is>
          <t>没有找到可靠候选</t>
        </is>
      </c>
      <c r="Y45" s="20" t="inlineStr">
        <is>
          <t>赛特尔25年.xls｜高中化学｜第314行</t>
        </is>
      </c>
    </row>
    <row r="46" ht="31.2" customHeight="1" s="16">
      <c r="A46" s="1" t="n">
        <v>44</v>
      </c>
      <c r="B46" s="21" t="n"/>
      <c r="C46" s="1" t="inlineStr">
        <is>
          <t>磁感线演示板</t>
        </is>
      </c>
      <c r="D46" s="5" t="inlineStr">
        <is>
          <t>磁针式，透明穴板尺寸不小于 210 mm×70 mm，可演示直导线、圆线圈、螺线管、亥姆霍兹线圈磁场</t>
        </is>
      </c>
      <c r="E46" s="2" t="inlineStr">
        <is>
          <t>套</t>
        </is>
      </c>
      <c r="F46" s="1" t="n">
        <v>2</v>
      </c>
      <c r="G46" s="3" t="inlineStr">
        <is>
          <t>群信</t>
        </is>
      </c>
      <c r="H46" s="1" t="n"/>
      <c r="I46" s="1" t="n"/>
      <c r="J46" s="20" t="n">
        <v>2</v>
      </c>
      <c r="K46" s="20" t="n">
        <v>36</v>
      </c>
      <c r="L46" s="20" t="n">
        <v>72</v>
      </c>
      <c r="M46" s="20" t="inlineStr">
        <is>
          <t>套</t>
        </is>
      </c>
      <c r="N46" s="20" t="inlineStr"/>
      <c r="O46" s="20" t="inlineStr"/>
      <c r="P46" s="20" t="inlineStr"/>
      <c r="Q46" s="20" t="inlineStr"/>
      <c r="R46" s="20" t="n">
        <v>38</v>
      </c>
      <c r="S46" s="20" t="inlineStr"/>
      <c r="T46" s="20" t="n">
        <v>41.8</v>
      </c>
      <c r="U46" s="20" t="inlineStr"/>
      <c r="V46" s="20" t="inlineStr">
        <is>
          <t>confirmed</t>
        </is>
      </c>
      <c r="W46" s="20" t="n">
        <v>100</v>
      </c>
      <c r="X46" s="20" t="inlineStr">
        <is>
          <t>同分多价：最高分候选存在不同历史价格</t>
        </is>
      </c>
      <c r="Y46" s="20" t="inlineStr">
        <is>
          <t>高中理化生报价.xlsx｜凯迪｜第672行</t>
        </is>
      </c>
    </row>
    <row r="47" ht="46.8" customHeight="1" s="16">
      <c r="A47" s="1" t="n">
        <v>45</v>
      </c>
      <c r="B47" s="1" t="inlineStr">
        <is>
          <t>电与磁</t>
        </is>
      </c>
      <c r="C47" s="1" t="inlineStr">
        <is>
          <t>立体磁感线演示器</t>
        </is>
      </c>
      <c r="D47" s="5" t="inlineStr">
        <is>
          <t>由六块平面磁感线演示板在空间交叉均匀分布，单块面积约 150 mm×100 mm，在中间预留放置条形或蹄形强磁铁的位置，放上磁铁后，演示器上可以自由移动的小磁针应模拟出空间各个位置的磁感线分布</t>
        </is>
      </c>
      <c r="E47" s="2" t="inlineStr">
        <is>
          <t>个</t>
        </is>
      </c>
      <c r="F47" s="1" t="n">
        <v>2</v>
      </c>
      <c r="G47" s="3" t="inlineStr">
        <is>
          <t>群信</t>
        </is>
      </c>
      <c r="H47" s="1" t="n"/>
      <c r="I47" s="1" t="n"/>
      <c r="J47" s="20" t="n">
        <v>2</v>
      </c>
      <c r="K47" s="20" t="n">
        <v>32</v>
      </c>
      <c r="L47" s="20" t="n">
        <v>64</v>
      </c>
      <c r="M47" s="20" t="inlineStr">
        <is>
          <t>个</t>
        </is>
      </c>
      <c r="N47" s="20" t="inlineStr"/>
      <c r="O47" s="20" t="inlineStr"/>
      <c r="P47" s="20" t="inlineStr"/>
      <c r="Q47" s="20" t="inlineStr"/>
      <c r="R47" s="20" t="inlineStr"/>
      <c r="S47" s="20" t="inlineStr"/>
      <c r="T47" s="20" t="inlineStr"/>
      <c r="U47" s="20" t="inlineStr"/>
      <c r="V47" s="20" t="inlineStr">
        <is>
          <t>confirmed</t>
        </is>
      </c>
      <c r="W47" s="20" t="n">
        <v>0</v>
      </c>
      <c r="X47" s="20" t="inlineStr">
        <is>
          <t>没有找到可靠候选</t>
        </is>
      </c>
      <c r="Y47" s="20" t="inlineStr">
        <is>
          <t>赛特尔25年.xls｜初中新课标物理｜第334行</t>
        </is>
      </c>
    </row>
    <row r="48" ht="62.4" customHeight="1" s="16">
      <c r="A48" s="1" t="n">
        <v>46</v>
      </c>
      <c r="B48" s="1" t="inlineStr">
        <is>
          <t>电与磁</t>
        </is>
      </c>
      <c r="C48" s="1" t="inlineStr">
        <is>
          <t>通电平行直导线相互作用演示器</t>
        </is>
      </c>
      <c r="D48" s="5" t="inlineStr">
        <is>
          <t>旋转式。按通电 2 s，间隔 4 s 的过程，连续操作 10 次后，变压器的初级线圈温升应不高于 80 ℃。接入同向电流后作相互吸引运动，两导线能运动到相互接触。接入反方向电流后作相互排斥运动，两导线的最大间距应不小于 70 mm。连续运行十次不应出现故障，需去除氧化层</t>
        </is>
      </c>
      <c r="E48" s="2" t="inlineStr">
        <is>
          <t>个</t>
        </is>
      </c>
      <c r="F48" s="1" t="n">
        <v>1</v>
      </c>
      <c r="G48" s="3" t="inlineStr">
        <is>
          <t>群信</t>
        </is>
      </c>
      <c r="H48" s="1" t="n"/>
      <c r="I48" s="1" t="n"/>
      <c r="J48" s="20" t="n">
        <v>1</v>
      </c>
      <c r="K48" s="20" t="n">
        <v>240</v>
      </c>
      <c r="L48" s="20" t="n">
        <v>240</v>
      </c>
      <c r="M48" s="20" t="inlineStr">
        <is>
          <t>个</t>
        </is>
      </c>
      <c r="N48" s="20" t="inlineStr">
        <is>
          <t>群信</t>
        </is>
      </c>
      <c r="O48" s="20" t="inlineStr"/>
      <c r="P48" s="20" t="inlineStr">
        <is>
          <t>24033</t>
        </is>
      </c>
      <c r="Q48" s="20" t="inlineStr">
        <is>
          <t>24033</t>
        </is>
      </c>
      <c r="R48" s="20" t="inlineStr"/>
      <c r="S48" s="20" t="inlineStr"/>
      <c r="T48" s="20" t="inlineStr"/>
      <c r="U48" s="20" t="inlineStr"/>
      <c r="V48" s="20" t="inlineStr">
        <is>
          <t>confirmed</t>
        </is>
      </c>
      <c r="W48" s="20" t="n">
        <v>0</v>
      </c>
      <c r="X48" s="20" t="inlineStr">
        <is>
          <t>没有找到可靠候选</t>
        </is>
      </c>
      <c r="Y48" s="20" t="inlineStr">
        <is>
          <t>高中理化生报价.xlsx｜凯迪｜第269行</t>
        </is>
      </c>
    </row>
    <row r="49" ht="31.2" customHeight="1" s="16">
      <c r="A49" s="1" t="n">
        <v>47</v>
      </c>
      <c r="B49" s="22" t="n"/>
      <c r="C49" s="1" t="inlineStr">
        <is>
          <t>螺线管</t>
        </is>
      </c>
      <c r="D49" s="5" t="inlineStr">
        <is>
          <t>透明底板，纯铜漆包线，单层绕线，线圈直径不小于45mm,线圈绕向清晰可见，宜附带手柄磁针</t>
        </is>
      </c>
      <c r="E49" s="2" t="inlineStr">
        <is>
          <t>组</t>
        </is>
      </c>
      <c r="F49" s="1" t="n">
        <v>26</v>
      </c>
      <c r="G49" s="3" t="inlineStr">
        <is>
          <t>群信</t>
        </is>
      </c>
      <c r="H49" s="1" t="n"/>
      <c r="I49" s="1" t="n"/>
      <c r="J49" s="20" t="n">
        <v>26</v>
      </c>
      <c r="K49" s="20" t="n">
        <v>30</v>
      </c>
      <c r="L49" s="20" t="n">
        <v>780</v>
      </c>
      <c r="M49" s="20" t="inlineStr">
        <is>
          <t>组</t>
        </is>
      </c>
      <c r="N49" s="20" t="inlineStr"/>
      <c r="O49" s="20" t="inlineStr"/>
      <c r="P49" s="20" t="inlineStr"/>
      <c r="Q49" s="20" t="inlineStr">
        <is>
          <t>透明底板，纯铜漆包线，单层绕线，线圈绕向清晰可见，宜附带手柄磁针</t>
        </is>
      </c>
      <c r="R49" s="20" t="inlineStr"/>
      <c r="S49" s="20" t="inlineStr"/>
      <c r="T49" s="20" t="inlineStr"/>
      <c r="U49" s="20" t="inlineStr"/>
      <c r="V49" s="20" t="inlineStr">
        <is>
          <t>confirmed</t>
        </is>
      </c>
      <c r="W49" s="20" t="n">
        <v>100</v>
      </c>
      <c r="X49" s="20" t="inlineStr"/>
      <c r="Y49" s="20" t="inlineStr">
        <is>
          <t>赛特尔25年.xls｜初中新课标物理｜第346行</t>
        </is>
      </c>
    </row>
    <row r="50" ht="46.8" customHeight="1" s="16">
      <c r="A50" s="1" t="n">
        <v>48</v>
      </c>
      <c r="B50" s="21" t="n"/>
      <c r="C50" s="1" t="inlineStr">
        <is>
          <t>电磁波的发送和接收演示器</t>
        </is>
      </c>
      <c r="D50" s="5" t="inlineStr">
        <is>
          <t>由高频振荡器和接收器组成。采用声、光、电表指示等手段，可演示电磁波的发射和接收、调制、调谐、电谐振及电磁波的波动特性</t>
        </is>
      </c>
      <c r="E50" s="2" t="inlineStr">
        <is>
          <t>套</t>
        </is>
      </c>
      <c r="F50" s="1" t="n">
        <v>1</v>
      </c>
      <c r="G50" s="3" t="inlineStr">
        <is>
          <t>群信</t>
        </is>
      </c>
      <c r="H50" s="1" t="n"/>
      <c r="I50" s="1" t="n"/>
      <c r="J50" s="20" t="n">
        <v>1</v>
      </c>
      <c r="K50" s="20" t="n">
        <v>340</v>
      </c>
      <c r="L50" s="20" t="n">
        <v>340</v>
      </c>
      <c r="M50" s="20" t="inlineStr">
        <is>
          <t>套</t>
        </is>
      </c>
      <c r="N50" s="20" t="inlineStr">
        <is>
          <t>群信</t>
        </is>
      </c>
      <c r="O50" s="20" t="inlineStr"/>
      <c r="P50" s="20" t="inlineStr">
        <is>
          <t>24062</t>
        </is>
      </c>
      <c r="Q50" s="20" t="inlineStr">
        <is>
          <t>24062</t>
        </is>
      </c>
      <c r="R50" s="20" t="inlineStr"/>
      <c r="S50" s="20" t="inlineStr"/>
      <c r="T50" s="20" t="inlineStr"/>
      <c r="U50" s="20" t="inlineStr"/>
      <c r="V50" s="20" t="inlineStr">
        <is>
          <t>confirmed</t>
        </is>
      </c>
      <c r="W50" s="20" t="n">
        <v>100</v>
      </c>
      <c r="X50" s="20" t="inlineStr"/>
      <c r="Y50" s="20" t="inlineStr">
        <is>
          <t>高中理化生报价.xlsx｜凯迪｜第295行</t>
        </is>
      </c>
    </row>
    <row r="51" ht="78" customHeight="1" s="16">
      <c r="A51" s="1" t="n">
        <v>49</v>
      </c>
      <c r="B51" s="1" t="inlineStr">
        <is>
          <t>电与磁</t>
        </is>
      </c>
      <c r="C51" s="1" t="inlineStr">
        <is>
          <t>方形线圈</t>
        </is>
      </c>
      <c r="D51" s="5" t="inlineStr">
        <is>
          <t>非金属材料正方形框架，线圈应由直径Φ0.41 mm QZ 型漆包线绕 150 匝以上制成，线圈边长为 63 mm±3 mm，线圈引线为截面积为 0.20 mm2～0.25 mm2、长 320mm 的多股软线，线端接线叉。接线棒由绝缘材料制成，长度 150 mm～160 mm，安装红、黑接插两用接线柱，两接线柱的间距等于线圈宽度。接线棒固定端外径 10 mm，能固定在方座支架的垂直夹上</t>
        </is>
      </c>
      <c r="E51" s="5" t="inlineStr">
        <is>
          <t>套</t>
        </is>
      </c>
      <c r="F51" s="1" t="n">
        <v>26</v>
      </c>
      <c r="G51" s="3" t="inlineStr">
        <is>
          <t>群信</t>
        </is>
      </c>
      <c r="H51" s="1" t="n"/>
      <c r="I51" s="1" t="n"/>
      <c r="J51" s="20" t="n">
        <v>26</v>
      </c>
      <c r="K51" s="20" t="n">
        <v>11</v>
      </c>
      <c r="L51" s="20" t="n">
        <v>286</v>
      </c>
      <c r="M51" s="20" t="inlineStr">
        <is>
          <t>套</t>
        </is>
      </c>
      <c r="N51" s="20" t="inlineStr"/>
      <c r="O51" s="20" t="inlineStr"/>
      <c r="P51" s="20" t="inlineStr"/>
      <c r="Q51" s="20" t="inlineStr">
        <is>
          <t>非金属材料正方形框架；线圈应由直径 Φ0.41 mmQZ 型漆包线绕 150 匝以上制成，线圈边长为 63 mm±3 mm；线圈引线为截面积为 0.20 mm2 ～0.25 mm 2 、长 320 mm 的多股软线，线端接线叉；接线棒由绝缘材料制成，长度 150 mm～160 mm，安装红、黑接插两用接线柱，两接线柱的间距等于线圈宽度；接线棒固定端外径 10 mm，能固定在方座支架的垂直夹上</t>
        </is>
      </c>
      <c r="R51" s="20" t="inlineStr"/>
      <c r="S51" s="20" t="inlineStr"/>
      <c r="T51" s="20" t="inlineStr"/>
      <c r="U51" s="20" t="inlineStr"/>
      <c r="V51" s="20" t="inlineStr">
        <is>
          <t>confirmed</t>
        </is>
      </c>
      <c r="W51" s="20" t="n">
        <v>100</v>
      </c>
      <c r="X51" s="20" t="inlineStr"/>
      <c r="Y51" s="20" t="inlineStr">
        <is>
          <t>赛特尔25年.xls｜初中新课标物理｜第355行</t>
        </is>
      </c>
    </row>
    <row r="52" ht="31.2" customHeight="1" s="16">
      <c r="A52" s="1" t="n">
        <v>50</v>
      </c>
      <c r="B52" s="21" t="n"/>
      <c r="C52" s="1" t="inlineStr">
        <is>
          <t>安培力演示器</t>
        </is>
      </c>
      <c r="D52" s="5" t="inlineStr">
        <is>
          <t>由底座、磁极框架、磁铁、通电线框、接线柱、连接片、刻度盘支架、刻度盘、指针等组成</t>
        </is>
      </c>
      <c r="E52" s="5" t="inlineStr">
        <is>
          <t>套</t>
        </is>
      </c>
      <c r="F52" s="1" t="n">
        <v>1</v>
      </c>
      <c r="G52" s="3" t="inlineStr">
        <is>
          <t>烛光</t>
        </is>
      </c>
      <c r="H52" s="1" t="n"/>
      <c r="I52" s="1" t="n"/>
      <c r="J52" s="20" t="n">
        <v>1</v>
      </c>
      <c r="K52" s="20" t="n">
        <v>16</v>
      </c>
      <c r="L52" s="20" t="n">
        <v>16</v>
      </c>
      <c r="M52" s="20" t="inlineStr">
        <is>
          <t>套</t>
        </is>
      </c>
      <c r="N52" s="20" t="inlineStr"/>
      <c r="O52" s="20" t="inlineStr"/>
      <c r="P52" s="20" t="inlineStr"/>
      <c r="Q52" s="20" t="inlineStr"/>
      <c r="R52" s="20" t="n">
        <v>22</v>
      </c>
      <c r="S52" s="20" t="inlineStr"/>
      <c r="T52" s="20" t="n">
        <v>25</v>
      </c>
      <c r="U52" s="20" t="inlineStr"/>
      <c r="V52" s="20" t="inlineStr">
        <is>
          <t>confirmed</t>
        </is>
      </c>
      <c r="W52" s="20" t="n">
        <v>66.7</v>
      </c>
      <c r="X52" s="20" t="inlineStr">
        <is>
          <t>同分多价：最高分候选存在不同历史价格</t>
        </is>
      </c>
      <c r="Y52" s="20" t="inlineStr">
        <is>
          <t>赛特尔25年.xls｜初中物理｜第145行</t>
        </is>
      </c>
    </row>
    <row r="53" ht="109.2" customHeight="1" s="16">
      <c r="A53" s="1" t="n">
        <v>51</v>
      </c>
      <c r="B53" s="1" t="inlineStr">
        <is>
          <t>电与磁</t>
        </is>
      </c>
      <c r="C53" s="1" t="inlineStr">
        <is>
          <t>演示电磁继电器</t>
        </is>
      </c>
      <c r="D53" s="5" t="inlineStr">
        <is>
          <t>主要配置及特征参数：由电磁线圈、铁芯、常开触点、常闭触点、弹簧、蜂鸣器、指示灯等组成。
核心产品技术指标：外形尺寸666*470mm（±5mm）；上下为钢结构,具有良好的抗拉强度，表面绿色喷塑处理。左右为ABS塑料精密注塑成型边框；仪器面板表面印有原理电路图，导线采用暗线布置，内部接线与面板上的电路图一致，红绿色指示灯分别指示常开和常闭状态。
能够完成的教学演示：电磁继电器工作原理。</t>
        </is>
      </c>
      <c r="E53" s="2" t="inlineStr">
        <is>
          <t>个</t>
        </is>
      </c>
      <c r="F53" s="1" t="n">
        <v>1</v>
      </c>
      <c r="G53" s="3" t="inlineStr">
        <is>
          <t>群信</t>
        </is>
      </c>
      <c r="H53" s="1" t="n"/>
      <c r="I53" s="1" t="n"/>
      <c r="J53" s="20" t="n">
        <v>1</v>
      </c>
      <c r="K53" s="20" t="n">
        <v>40</v>
      </c>
      <c r="L53" s="20" t="n">
        <v>40</v>
      </c>
      <c r="M53" s="20" t="inlineStr">
        <is>
          <t>个</t>
        </is>
      </c>
      <c r="N53" s="20" t="inlineStr"/>
      <c r="O53" s="20" t="inlineStr"/>
      <c r="P53" s="20" t="inlineStr"/>
      <c r="Q53" s="20" t="inlineStr"/>
      <c r="R53" s="20" t="n">
        <v>44</v>
      </c>
      <c r="S53" s="20" t="inlineStr"/>
      <c r="T53" s="20" t="n">
        <v>45</v>
      </c>
      <c r="U53" s="20" t="inlineStr"/>
      <c r="V53" s="20" t="inlineStr">
        <is>
          <t>confirmed</t>
        </is>
      </c>
      <c r="W53" s="20" t="n">
        <v>100</v>
      </c>
      <c r="X53" s="20" t="inlineStr">
        <is>
          <t>同分多价：最高分候选存在不同历史价格</t>
        </is>
      </c>
      <c r="Y53" s="20" t="inlineStr">
        <is>
          <t>赛特尔25年.xls｜初中新课标物理｜第348行</t>
        </is>
      </c>
    </row>
    <row r="54" ht="31.2" customHeight="1" s="16">
      <c r="A54" s="1" t="n">
        <v>52</v>
      </c>
      <c r="B54" s="22" t="n"/>
      <c r="C54" s="1" t="inlineStr">
        <is>
          <t>洛伦兹力演示器</t>
        </is>
      </c>
      <c r="D54" s="2" t="inlineStr">
        <is>
          <t>有洛伦兹力演示管</t>
        </is>
      </c>
      <c r="E54" s="2" t="inlineStr">
        <is>
          <t>台</t>
        </is>
      </c>
      <c r="F54" s="1" t="n">
        <v>1</v>
      </c>
      <c r="G54" s="3" t="inlineStr">
        <is>
          <t>群信</t>
        </is>
      </c>
      <c r="H54" s="1" t="n"/>
      <c r="I54" s="1" t="n"/>
      <c r="J54" s="20" t="n">
        <v>1</v>
      </c>
      <c r="K54" s="20" t="n">
        <v>220</v>
      </c>
      <c r="L54" s="20" t="n">
        <v>220</v>
      </c>
      <c r="M54" s="20" t="inlineStr">
        <is>
          <t>台</t>
        </is>
      </c>
      <c r="N54" s="20" t="inlineStr">
        <is>
          <t>群信</t>
        </is>
      </c>
      <c r="O54" s="20" t="inlineStr"/>
      <c r="P54" s="20" t="inlineStr">
        <is>
          <t>21024</t>
        </is>
      </c>
      <c r="Q54" s="20" t="inlineStr">
        <is>
          <t>21024</t>
        </is>
      </c>
      <c r="R54" s="20" t="inlineStr"/>
      <c r="S54" s="20" t="inlineStr"/>
      <c r="T54" s="20" t="inlineStr"/>
      <c r="U54" s="20" t="inlineStr"/>
      <c r="V54" s="20" t="inlineStr">
        <is>
          <t>confirmed</t>
        </is>
      </c>
      <c r="W54" s="20" t="n">
        <v>61.5</v>
      </c>
      <c r="X54" s="20" t="inlineStr"/>
      <c r="Y54" s="20" t="inlineStr">
        <is>
          <t>高中理化生报价.xlsx｜凯迪｜第122行</t>
        </is>
      </c>
    </row>
    <row r="55" ht="33" customHeight="1" s="16">
      <c r="A55" s="1" t="n">
        <v>53</v>
      </c>
      <c r="B55" s="22" t="n"/>
      <c r="C55" s="1" t="inlineStr">
        <is>
          <t>阴极射线管</t>
        </is>
      </c>
      <c r="D55" s="9" t="inlineStr">
        <is>
          <t>磁偏转管，使用高压为 60kV，负载电流为 200μA 的直流高压电源，阴极射线管应能工作，电子束轨迹的亮度应≥100 cd/m2</t>
        </is>
      </c>
      <c r="E55" s="2" t="inlineStr">
        <is>
          <t>支</t>
        </is>
      </c>
      <c r="F55" s="1" t="n">
        <v>2</v>
      </c>
      <c r="G55" s="3" t="inlineStr">
        <is>
          <t>烛光</t>
        </is>
      </c>
      <c r="H55" s="1" t="n"/>
      <c r="I55" s="1" t="n"/>
      <c r="J55" s="20" t="n">
        <v>2</v>
      </c>
      <c r="K55" s="20" t="n">
        <v>150</v>
      </c>
      <c r="L55" s="20" t="n">
        <v>300</v>
      </c>
      <c r="M55" s="20" t="inlineStr">
        <is>
          <t>支</t>
        </is>
      </c>
      <c r="N55" s="20" t="inlineStr"/>
      <c r="O55" s="20" t="inlineStr"/>
      <c r="P55" s="20" t="inlineStr"/>
      <c r="Q55" s="20" t="inlineStr"/>
      <c r="R55" s="20" t="inlineStr"/>
      <c r="S55" s="20" t="inlineStr"/>
      <c r="T55" s="20" t="inlineStr"/>
      <c r="U55" s="20" t="inlineStr"/>
      <c r="V55" s="20" t="inlineStr">
        <is>
          <t>confirmed</t>
        </is>
      </c>
      <c r="W55" s="20" t="n">
        <v>0</v>
      </c>
      <c r="X55" s="20" t="inlineStr">
        <is>
          <t>匹配到商品档案但无历史价格记录</t>
        </is>
      </c>
      <c r="Y55" s="20" t="inlineStr">
        <is>
          <t>赛特尔25年.xls｜初中物理｜第207行</t>
        </is>
      </c>
    </row>
    <row r="56" ht="34.2" customHeight="1" s="16">
      <c r="A56" s="1" t="n">
        <v>54</v>
      </c>
      <c r="B56" s="22" t="n"/>
      <c r="C56" s="1" t="inlineStr">
        <is>
          <t>灵敏电流计</t>
        </is>
      </c>
      <c r="D56" s="9" t="inlineStr">
        <is>
          <t>测量精度：2.5 级，测量范围：-300 μA～ 0μA～300 μA，表头内阻：G0 档 80 Ω～300 μA：G0 档 80 Ω～125 Ω，G1 档 2400 Ω～3000 Ω</t>
        </is>
      </c>
      <c r="E56" s="2" t="inlineStr">
        <is>
          <t>只</t>
        </is>
      </c>
      <c r="F56" s="1" t="n">
        <v>26</v>
      </c>
      <c r="G56" s="3" t="inlineStr">
        <is>
          <t>群信</t>
        </is>
      </c>
      <c r="H56" s="1" t="n"/>
      <c r="I56" s="1" t="n"/>
      <c r="J56" s="20" t="n">
        <v>26</v>
      </c>
      <c r="K56" s="20" t="n">
        <v>17</v>
      </c>
      <c r="L56" s="20" t="n">
        <v>442</v>
      </c>
      <c r="M56" s="20" t="inlineStr">
        <is>
          <t>只</t>
        </is>
      </c>
      <c r="N56" s="20" t="inlineStr"/>
      <c r="O56" s="20" t="inlineStr"/>
      <c r="P56" s="20" t="inlineStr"/>
      <c r="Q56" s="20" t="inlineStr"/>
      <c r="R56" s="20" t="n">
        <v>17</v>
      </c>
      <c r="S56" s="20" t="inlineStr"/>
      <c r="T56" s="20" t="n">
        <v>18.7</v>
      </c>
      <c r="U56" s="20" t="inlineStr"/>
      <c r="V56" s="20" t="inlineStr">
        <is>
          <t>confirmed</t>
        </is>
      </c>
      <c r="W56" s="20" t="n">
        <v>100</v>
      </c>
      <c r="X56" s="20" t="inlineStr"/>
      <c r="Y56" s="20" t="inlineStr">
        <is>
          <t>赛特尔25年.xls｜初中新课标物理｜第394行</t>
        </is>
      </c>
    </row>
    <row r="57" ht="46.8" customHeight="1" s="16">
      <c r="A57" s="1" t="n">
        <v>55</v>
      </c>
      <c r="B57" s="22" t="n"/>
      <c r="C57" s="1" t="inlineStr">
        <is>
          <t>演示原副线圈</t>
        </is>
      </c>
      <c r="D57" s="5" t="inlineStr">
        <is>
          <t>原线圈：0.56 mm QZ 型漆包线 350 匝～370 匝，线圈架内径 13 mm，绕线宽度 65mm； 副线圈：0.25 mm QZ 型漆包线 2100匝～2200 匝，线圈架内径 35 mm，绕线宽度 69 mm。性能要求：各线圈都应带绕向标识。</t>
        </is>
      </c>
      <c r="E57" s="5" t="inlineStr">
        <is>
          <t>套</t>
        </is>
      </c>
      <c r="F57" s="1" t="n">
        <v>4</v>
      </c>
      <c r="G57" s="3" t="inlineStr">
        <is>
          <t>群信</t>
        </is>
      </c>
      <c r="H57" s="1" t="n"/>
      <c r="I57" s="1" t="n"/>
      <c r="J57" s="20" t="n">
        <v>4</v>
      </c>
      <c r="K57" s="20" t="n">
        <v>25</v>
      </c>
      <c r="L57" s="20" t="n">
        <v>100</v>
      </c>
      <c r="M57" s="20" t="inlineStr">
        <is>
          <t>套</t>
        </is>
      </c>
      <c r="N57" s="20" t="inlineStr"/>
      <c r="O57" s="20" t="inlineStr"/>
      <c r="P57" s="20" t="inlineStr"/>
      <c r="Q57" s="20" t="inlineStr"/>
      <c r="R57" s="20" t="n">
        <v>25</v>
      </c>
      <c r="S57" s="20" t="inlineStr"/>
      <c r="T57" s="20" t="inlineStr"/>
      <c r="U57" s="20" t="inlineStr"/>
      <c r="V57" s="20" t="inlineStr">
        <is>
          <t>confirmed</t>
        </is>
      </c>
      <c r="W57" s="20" t="n">
        <v>100</v>
      </c>
      <c r="X57" s="20" t="inlineStr"/>
      <c r="Y57" s="20" t="inlineStr">
        <is>
          <t>赛特尔25年.xls｜初中新课标物理｜第344行</t>
        </is>
      </c>
    </row>
    <row r="58" ht="46.8" customHeight="1" s="16">
      <c r="A58" s="1" t="n">
        <v>56</v>
      </c>
      <c r="B58" s="21" t="n"/>
      <c r="C58" s="1" t="inlineStr">
        <is>
          <t>原副线圈</t>
        </is>
      </c>
      <c r="D58" s="5" t="inlineStr">
        <is>
          <t>原线圈：0.56 mm QZ 型漆包线 310 匝～330 匝，线圈架内径 11 mm，绕线宽度 57mm。 副线圈 0.25 mm QZ 型漆包线 670匝～680 匝， 线圈架内径 24 mm，绕线宽度 52 mm。性能要求：各线圈都应带绕向标识。</t>
        </is>
      </c>
      <c r="E58" s="2" t="inlineStr">
        <is>
          <t>套</t>
        </is>
      </c>
      <c r="F58" s="1" t="n">
        <v>26</v>
      </c>
      <c r="G58" s="3" t="inlineStr">
        <is>
          <t>群信</t>
        </is>
      </c>
      <c r="H58" s="1" t="n"/>
      <c r="I58" s="1" t="n"/>
      <c r="J58" s="20" t="n">
        <v>26</v>
      </c>
      <c r="K58" s="20" t="n">
        <v>12</v>
      </c>
      <c r="L58" s="20" t="n">
        <v>312</v>
      </c>
      <c r="M58" s="20" t="inlineStr">
        <is>
          <t>套</t>
        </is>
      </c>
      <c r="N58" s="20" t="inlineStr"/>
      <c r="O58" s="20" t="inlineStr"/>
      <c r="P58" s="20" t="inlineStr"/>
      <c r="Q58" s="20" t="inlineStr"/>
      <c r="R58" s="20" t="n">
        <v>12</v>
      </c>
      <c r="S58" s="20" t="inlineStr"/>
      <c r="T58" s="20" t="n">
        <v>13.2</v>
      </c>
      <c r="U58" s="20" t="inlineStr"/>
      <c r="V58" s="20" t="inlineStr">
        <is>
          <t>confirmed</t>
        </is>
      </c>
      <c r="W58" s="20" t="n">
        <v>100</v>
      </c>
      <c r="X58" s="20" t="inlineStr"/>
      <c r="Y58" s="20" t="inlineStr">
        <is>
          <t>赛特尔25年.xls｜初中新课标物理｜第345行</t>
        </is>
      </c>
    </row>
    <row r="59" ht="15.6" customHeight="1" s="16">
      <c r="A59" s="1" t="n">
        <v>57</v>
      </c>
      <c r="B59" s="1" t="inlineStr">
        <is>
          <t>电与磁</t>
        </is>
      </c>
      <c r="C59" s="1" t="inlineStr">
        <is>
          <t>楞次定律演示器</t>
        </is>
      </c>
      <c r="D59" s="5" t="inlineStr">
        <is>
          <t>由铝梁、开口铝环、闭口铝环和带顶针的支柱座组成。铝梁长度不小于 140 mm,</t>
        </is>
      </c>
      <c r="E59" s="2" t="inlineStr">
        <is>
          <t>套</t>
        </is>
      </c>
      <c r="F59" s="1" t="n">
        <v>2</v>
      </c>
      <c r="G59" s="3" t="inlineStr">
        <is>
          <t>群信</t>
        </is>
      </c>
      <c r="H59" s="1" t="n"/>
      <c r="I59" s="1" t="n"/>
      <c r="J59" s="20" t="n">
        <v>2</v>
      </c>
      <c r="K59" s="20" t="n">
        <v>38</v>
      </c>
      <c r="L59" s="20" t="n">
        <v>76</v>
      </c>
      <c r="M59" s="20" t="inlineStr">
        <is>
          <t>套</t>
        </is>
      </c>
      <c r="N59" s="20" t="inlineStr"/>
      <c r="O59" s="20" t="inlineStr"/>
      <c r="P59" s="20" t="inlineStr"/>
      <c r="Q59" s="20" t="inlineStr"/>
      <c r="R59" s="20" t="n">
        <v>40</v>
      </c>
      <c r="S59" s="20" t="inlineStr"/>
      <c r="T59" s="20" t="n">
        <v>300</v>
      </c>
      <c r="U59" s="20" t="inlineStr"/>
      <c r="V59" s="20" t="inlineStr">
        <is>
          <t>confirmed</t>
        </is>
      </c>
      <c r="W59" s="20" t="n">
        <v>71.40000000000001</v>
      </c>
      <c r="X59" s="20" t="inlineStr">
        <is>
          <t>价格分歧&gt;30%：历史报价分歧较大，需人工核对；同分多价：最高分候选存在不同历史价格</t>
        </is>
      </c>
      <c r="Y59" s="20" t="inlineStr">
        <is>
          <t>高中理化生报价.xlsx｜凯迪｜第662行</t>
        </is>
      </c>
    </row>
    <row r="60" ht="62.4" customHeight="1" s="16">
      <c r="A60" s="21" t="n"/>
      <c r="B60" s="21" t="n"/>
      <c r="C60" s="21" t="n"/>
      <c r="D60" s="5" t="inlineStr">
        <is>
          <t>宽不小于 10 mm，厚为 0.5 mm，有两条通长加强筋，铜轴承套嵌在铝梁中间，内钳玻璃轴承。铝环直径不小于 40 mm，宽不小于 10 mm，厚 0.5 mm～1 mm。铝梁和铝环表面应氧化处理。铝梁置于支柱顶针时应能保持水平，两端高度差不大于 2 mm，并转动灵活</t>
        </is>
      </c>
      <c r="E60" s="21" t="n"/>
      <c r="F60" s="21" t="n"/>
      <c r="G60" s="21" t="n"/>
      <c r="H60" s="21" t="n"/>
      <c r="I60" s="21" t="n"/>
      <c r="J60" s="20" t="inlineStr"/>
      <c r="K60" s="20" t="n">
        <v>38</v>
      </c>
      <c r="L60" s="20" t="inlineStr"/>
      <c r="M60" s="20" t="inlineStr">
        <is>
          <t>套</t>
        </is>
      </c>
      <c r="N60" s="20" t="inlineStr"/>
      <c r="O60" s="20" t="inlineStr"/>
      <c r="P60" s="20" t="inlineStr"/>
      <c r="Q60" s="20" t="inlineStr"/>
      <c r="R60" s="20" t="n">
        <v>40</v>
      </c>
      <c r="S60" s="20" t="inlineStr"/>
      <c r="T60" s="20" t="n">
        <v>290</v>
      </c>
      <c r="U60" s="20" t="inlineStr"/>
      <c r="V60" s="20" t="inlineStr">
        <is>
          <t>confirmed</t>
        </is>
      </c>
      <c r="W60" s="20" t="n">
        <v>71.40000000000001</v>
      </c>
      <c r="X60" s="20" t="inlineStr">
        <is>
          <t>同分多价：最高分候选存在不同历史价格</t>
        </is>
      </c>
      <c r="Y60" s="20" t="inlineStr">
        <is>
          <t>高中理化生报价.xlsx｜凯迪｜第662行</t>
        </is>
      </c>
    </row>
    <row r="61" ht="46.8" customHeight="1" s="16">
      <c r="A61" s="1" t="n">
        <v>58</v>
      </c>
      <c r="B61" s="1" t="inlineStr">
        <is>
          <t>电与磁</t>
        </is>
      </c>
      <c r="C61" s="1" t="inlineStr">
        <is>
          <t>电磁阻尼演示器</t>
        </is>
      </c>
      <c r="D61" s="5" t="inlineStr">
        <is>
          <t>管式；由底座、支架、透明亚克力管、铜管2根（其中一根侧壁开有等间距细缝）、铝管1根以及同尺寸的塑料柱、钕磁铁等组成；管的尺寸：长400mm~600mm；内径20mm、厚2mm；可呈现强阻尼、弱阻尼、无阻尼</t>
        </is>
      </c>
      <c r="E61" s="2" t="inlineStr">
        <is>
          <t>套</t>
        </is>
      </c>
      <c r="F61" s="1" t="n">
        <v>1</v>
      </c>
      <c r="G61" s="3" t="inlineStr">
        <is>
          <t>群信</t>
        </is>
      </c>
      <c r="H61" s="1" t="n"/>
      <c r="I61" s="1" t="n"/>
      <c r="J61" s="20" t="n">
        <v>1</v>
      </c>
      <c r="K61" s="20" t="n">
        <v>45</v>
      </c>
      <c r="L61" s="20" t="n">
        <v>45</v>
      </c>
      <c r="M61" s="20" t="inlineStr">
        <is>
          <t>套</t>
        </is>
      </c>
      <c r="N61" s="20" t="inlineStr"/>
      <c r="O61" s="20" t="inlineStr"/>
      <c r="P61" s="20" t="inlineStr"/>
      <c r="Q61" s="20" t="inlineStr"/>
      <c r="R61" s="20" t="n">
        <v>45</v>
      </c>
      <c r="S61" s="20" t="inlineStr"/>
      <c r="T61" s="20" t="n">
        <v>120</v>
      </c>
      <c r="U61" s="20" t="inlineStr"/>
      <c r="V61" s="20" t="inlineStr">
        <is>
          <t>confirmed</t>
        </is>
      </c>
      <c r="W61" s="20" t="n">
        <v>71.40000000000001</v>
      </c>
      <c r="X61" s="20" t="inlineStr">
        <is>
          <t>价格分歧&gt;30%：历史报价分歧较大，需人工核对</t>
        </is>
      </c>
      <c r="Y61" s="20" t="inlineStr">
        <is>
          <t>赛特尔25年.xls｜初中新课标物理｜第341行</t>
        </is>
      </c>
    </row>
    <row r="62" ht="93.59999999999999" customHeight="1" s="16">
      <c r="A62" s="1" t="n">
        <v>59</v>
      </c>
      <c r="B62" s="22" t="n"/>
      <c r="C62" s="22" t="n"/>
      <c r="D62" s="5" t="inlineStr">
        <is>
          <t>仪器由：底座、铝合金立杆、扇形阻尼摆、齿状阻尼摆、U型磁铁等组成 
1、底板尺寸：140*100*20mm    铝合金立杆尺寸：20*20*200mm 阻尼摆尺寸：98*180mm厚度为1.5mm的铝板                                    
外壳为金属喷塑成型
3、阻尼摆采用铝制，一只底部是半圆、一只底部是半圆齿状                         
4、可以同时使用两只阻尼摆进行比较</t>
        </is>
      </c>
      <c r="E62" s="2" t="inlineStr">
        <is>
          <t>套</t>
        </is>
      </c>
      <c r="F62" s="1" t="n">
        <v>1</v>
      </c>
      <c r="G62" s="3" t="inlineStr">
        <is>
          <t>光扬</t>
        </is>
      </c>
      <c r="H62" s="1" t="n"/>
      <c r="I62" s="1" t="n"/>
      <c r="J62" s="20" t="n">
        <v>1</v>
      </c>
      <c r="K62" s="20" t="n">
        <v>45</v>
      </c>
      <c r="L62" s="20" t="n">
        <v>45</v>
      </c>
      <c r="M62" s="20" t="inlineStr">
        <is>
          <t>套</t>
        </is>
      </c>
      <c r="N62" s="20" t="inlineStr"/>
      <c r="O62" s="20" t="inlineStr"/>
      <c r="P62" s="20" t="inlineStr"/>
      <c r="Q62" s="20" t="inlineStr"/>
      <c r="R62" s="20" t="n">
        <v>45</v>
      </c>
      <c r="S62" s="20" t="inlineStr"/>
      <c r="T62" s="20" t="n">
        <v>120</v>
      </c>
      <c r="U62" s="20" t="inlineStr"/>
      <c r="V62" s="20" t="inlineStr">
        <is>
          <t>confirmed</t>
        </is>
      </c>
      <c r="W62" s="20" t="n">
        <v>71.40000000000001</v>
      </c>
      <c r="X62" s="20" t="inlineStr">
        <is>
          <t>价格分歧&gt;30%：历史报价分歧较大，需人工核对</t>
        </is>
      </c>
      <c r="Y62" s="20" t="inlineStr">
        <is>
          <t>赛特尔25年.xls｜初中新课标物理｜第341行</t>
        </is>
      </c>
    </row>
    <row r="63" ht="15.6" customHeight="1" s="16">
      <c r="A63" s="1" t="n">
        <v>60</v>
      </c>
      <c r="B63" s="21" t="n"/>
      <c r="C63" s="21" t="n"/>
      <c r="D63" s="2" t="inlineStr">
        <is>
          <t>旋转式</t>
        </is>
      </c>
      <c r="E63" s="2" t="inlineStr">
        <is>
          <t>套</t>
        </is>
      </c>
      <c r="F63" s="1" t="n">
        <v>1</v>
      </c>
      <c r="G63" s="3" t="inlineStr">
        <is>
          <t>群信</t>
        </is>
      </c>
      <c r="H63" s="1" t="n"/>
      <c r="I63" s="1" t="n"/>
      <c r="J63" s="20" t="n">
        <v>1</v>
      </c>
      <c r="K63" s="20" t="n">
        <v>45</v>
      </c>
      <c r="L63" s="20" t="n">
        <v>45</v>
      </c>
      <c r="M63" s="20" t="inlineStr">
        <is>
          <t>套</t>
        </is>
      </c>
      <c r="N63" s="20" t="inlineStr"/>
      <c r="O63" s="20" t="inlineStr"/>
      <c r="P63" s="20" t="inlineStr"/>
      <c r="Q63" s="20" t="inlineStr"/>
      <c r="R63" s="20" t="n">
        <v>45</v>
      </c>
      <c r="S63" s="20" t="inlineStr"/>
      <c r="T63" s="20" t="n">
        <v>120</v>
      </c>
      <c r="U63" s="20" t="inlineStr"/>
      <c r="V63" s="20" t="inlineStr">
        <is>
          <t>confirmed</t>
        </is>
      </c>
      <c r="W63" s="20" t="n">
        <v>71.40000000000001</v>
      </c>
      <c r="X63" s="20" t="inlineStr">
        <is>
          <t>价格分歧&gt;30%：历史报价分歧较大，需人工核对</t>
        </is>
      </c>
      <c r="Y63" s="20" t="inlineStr">
        <is>
          <t>赛特尔25年.xls｜初中新课标物理｜第341行</t>
        </is>
      </c>
    </row>
    <row r="64" ht="93.59999999999999" customHeight="1" s="16">
      <c r="A64" s="1" t="n">
        <v>61</v>
      </c>
      <c r="B64" s="1" t="inlineStr">
        <is>
          <t>电与磁</t>
        </is>
      </c>
      <c r="C64" s="1" t="inlineStr">
        <is>
          <t>自感现象演示器</t>
        </is>
      </c>
      <c r="D64" s="5" t="inlineStr">
        <is>
          <t>主要配置及特征参数：由小灯泡、灯座、变压器、电位器、开关等组成。
产品技术指标：外形尺寸666*470mm（±5mm）；上下为钢结构,具有良好的抗拉强度，表面绿色喷塑处理。左右为ABS塑料精密注塑成型边框；仪器面板分为“通电自感现象”和“断电自感现象”两部分。表面印有电路原理图并分别标有两部分的工作电压。导线采用暗线布置，内部接线与面板上的原理图一致。
能够完成的教学演示：通电自感现象演示；断电自感现象演示。</t>
        </is>
      </c>
      <c r="E64" s="2" t="inlineStr">
        <is>
          <t>台</t>
        </is>
      </c>
      <c r="F64" s="1" t="n">
        <v>1</v>
      </c>
      <c r="G64" s="3" t="inlineStr">
        <is>
          <t>群信</t>
        </is>
      </c>
      <c r="H64" s="1" t="n"/>
      <c r="I64" s="1" t="n"/>
      <c r="J64" s="20" t="n">
        <v>1</v>
      </c>
      <c r="K64" s="20" t="n">
        <v>150</v>
      </c>
      <c r="L64" s="20" t="n">
        <v>150</v>
      </c>
      <c r="M64" s="20" t="inlineStr">
        <is>
          <t>台</t>
        </is>
      </c>
      <c r="N64" s="20" t="inlineStr">
        <is>
          <t>群信</t>
        </is>
      </c>
      <c r="O64" s="20" t="inlineStr"/>
      <c r="P64" s="20" t="inlineStr">
        <is>
          <t>24037</t>
        </is>
      </c>
      <c r="Q64" s="20" t="inlineStr">
        <is>
          <t>24037</t>
        </is>
      </c>
      <c r="R64" s="20" t="inlineStr"/>
      <c r="S64" s="20" t="inlineStr"/>
      <c r="T64" s="20" t="inlineStr"/>
      <c r="U64" s="20" t="inlineStr"/>
      <c r="V64" s="20" t="inlineStr">
        <is>
          <t>confirmed</t>
        </is>
      </c>
      <c r="W64" s="20" t="n">
        <v>100</v>
      </c>
      <c r="X64" s="20" t="inlineStr"/>
      <c r="Y64" s="20" t="inlineStr">
        <is>
          <t>高中理化生报价.xlsx｜凯迪｜第273行</t>
        </is>
      </c>
    </row>
    <row r="65" ht="31.2" customHeight="1" s="16">
      <c r="A65" s="1" t="n">
        <v>62</v>
      </c>
      <c r="B65" s="21" t="n"/>
      <c r="C65" s="1" t="inlineStr">
        <is>
          <t>教学示波器</t>
        </is>
      </c>
      <c r="D65" s="5" t="inlineStr">
        <is>
          <t>DC～5 MHz，扫描范围：10 Hz～100 kHz， I 类电器，电源端与信号输出端，抗电强度 3000 V</t>
        </is>
      </c>
      <c r="E65" s="2" t="inlineStr">
        <is>
          <t>台</t>
        </is>
      </c>
      <c r="F65" s="1" t="n">
        <v>1</v>
      </c>
      <c r="G65" s="3" t="inlineStr">
        <is>
          <t>光扬</t>
        </is>
      </c>
      <c r="H65" s="1" t="n"/>
      <c r="I65" s="1" t="n"/>
      <c r="J65" s="20" t="n">
        <v>1</v>
      </c>
      <c r="K65" s="20" t="n">
        <v>1200</v>
      </c>
      <c r="L65" s="20" t="n">
        <v>1200</v>
      </c>
      <c r="M65" s="20" t="inlineStr">
        <is>
          <t>台</t>
        </is>
      </c>
      <c r="N65" s="20" t="inlineStr"/>
      <c r="O65" s="20" t="inlineStr"/>
      <c r="P65" s="20" t="inlineStr"/>
      <c r="Q65" s="20" t="inlineStr"/>
      <c r="R65" s="20" t="n">
        <v>1300</v>
      </c>
      <c r="S65" s="20" t="inlineStr"/>
      <c r="T65" s="20" t="inlineStr"/>
      <c r="U65" s="20" t="inlineStr"/>
      <c r="V65" s="20" t="inlineStr">
        <is>
          <t>confirmed</t>
        </is>
      </c>
      <c r="W65" s="20" t="n">
        <v>100</v>
      </c>
      <c r="X65" s="20" t="inlineStr">
        <is>
          <t>同分多价：最高分候选存在不同历史价格</t>
        </is>
      </c>
      <c r="Y65" s="20" t="inlineStr">
        <is>
          <t>高中理化生报价.xlsx｜凯迪｜第573行</t>
        </is>
      </c>
    </row>
    <row r="66" ht="280.8" customHeight="1" s="16">
      <c r="A66" s="1" t="n">
        <v>63</v>
      </c>
      <c r="B66" s="1" t="n"/>
      <c r="C66" s="1" t="inlineStr">
        <is>
          <t>交流电路特性演示器</t>
        </is>
      </c>
      <c r="D66" s="5" t="inlineStr">
        <is>
          <t>1、产品外框尺寸:长585*高420mm*宽54mm±3mm；框架为铝塑结构。
2、演示面板尺寸:≥530mm*360mm，采用≥4.5mm厚木板UV彩色印制技术制作,色彩鲜艳持久，版面清晰，标识明确与框架完美契合，安装无偏差。后背板采用厚度≥4.5mm密度板制作，平整度高，确保整体结构稳固不形变。
3、产品上下铝合金横梁采用几何力学设计，壁厚度≥1.1mm，型材两侧设有凹槽，可配套底脚的固定，横梁内侧的双凹槽兼容面板与背板嵌入式安装，有效连接框架结构；中心螺孔可实现铝塑框架异面无缝对接，提升整体稳固性，能解决传统横梁易变形问题。铝合金应选用国标6063 AL-Mg-Si铝合金棒通过热熔、挤压、时效强化、前处理、氧化电白等工艺处理，精制而成高强度铝合金型材。4、产品左右立柱采用天蓝色ABS塑料，一次性注塑成型，表面光洁无毛刺，色泽纯正。立柱宽54mm±1mm，长422mm±1mm。左右立柱上下两端设有U型槽，与上下横梁连接可完成框架中异面对接成体。左右立柱框架两端U型槽完美对接上下横梁两侧凹槽，实现框架多向受力提升强度，螺丝采用嵌入式连接。
5、产品输入电压：AC/DC6V 由香蕉座、绕线电阻、电解电容、小灯泡、灯座、电感线圈、纽子开关等组成。
6、产品底脚宽45mm士1mm，脚长136mm±1mm，底脚采用天蓝色ABS塑料，一次性注塑成型，表面光洁无毛刺，色泽纯正。底脚设有固定卡扣，与横梁两侧的凹槽配套安装，底脚安装后，并支持在横梁上左右滑动调节。</t>
        </is>
      </c>
      <c r="E66" s="2" t="inlineStr">
        <is>
          <t>台</t>
        </is>
      </c>
      <c r="F66" s="1" t="n">
        <v>1</v>
      </c>
      <c r="G66" s="3" t="inlineStr">
        <is>
          <t>群信</t>
        </is>
      </c>
      <c r="H66" s="1" t="n"/>
      <c r="I66" s="1" t="n"/>
      <c r="J66" s="20" t="n">
        <v>1</v>
      </c>
      <c r="K66" s="20" t="n">
        <v>178</v>
      </c>
      <c r="L66" s="20" t="n">
        <v>178</v>
      </c>
      <c r="M66" s="20" t="inlineStr">
        <is>
          <t>台</t>
        </is>
      </c>
      <c r="N66" s="20" t="inlineStr">
        <is>
          <t>群信</t>
        </is>
      </c>
      <c r="O66" s="20" t="inlineStr"/>
      <c r="P66" s="20" t="inlineStr">
        <is>
          <t>24047</t>
        </is>
      </c>
      <c r="Q66" s="20" t="inlineStr">
        <is>
          <t>24047</t>
        </is>
      </c>
      <c r="R66" s="20" t="inlineStr"/>
      <c r="S66" s="20" t="inlineStr"/>
      <c r="T66" s="20" t="inlineStr"/>
      <c r="U66" s="20" t="inlineStr"/>
      <c r="V66" s="20" t="inlineStr">
        <is>
          <t>confirmed</t>
        </is>
      </c>
      <c r="W66" s="20" t="n">
        <v>100</v>
      </c>
      <c r="X66" s="20" t="inlineStr"/>
      <c r="Y66" s="20" t="inlineStr">
        <is>
          <t>高中理化生报价.xlsx｜凯迪｜第282行</t>
        </is>
      </c>
    </row>
    <row r="67" ht="46.8" customHeight="1" s="16">
      <c r="A67" s="1" t="n">
        <v>64</v>
      </c>
      <c r="B67" s="1" t="inlineStr">
        <is>
          <t>电与磁</t>
        </is>
      </c>
      <c r="C67" s="1" t="inlineStr">
        <is>
          <t>变压器原理说明器</t>
        </is>
      </c>
      <c r="D67" s="5" t="inlineStr">
        <is>
          <t>由线圈、U 形铁芯、条形铁轭、极掌、压板螺钉、强阻尼摆、弱阻尼摆、摆架、示教板、感应线圈、铝环、低压小灯泡（6 V、1.5 V 等规格）、可调电阻、接线铝片、感应灯等组成；1600 匝线圈接220 V 时空载电流应不大于 60 mA</t>
        </is>
      </c>
      <c r="E67" s="2" t="inlineStr">
        <is>
          <t>套</t>
        </is>
      </c>
      <c r="F67" s="1" t="n">
        <v>1</v>
      </c>
      <c r="G67" s="3" t="inlineStr">
        <is>
          <t>群信</t>
        </is>
      </c>
      <c r="H67" s="1" t="n"/>
      <c r="I67" s="1" t="n"/>
      <c r="J67" s="20" t="n">
        <v>1</v>
      </c>
      <c r="K67" s="20" t="n">
        <v>300</v>
      </c>
      <c r="L67" s="20" t="n">
        <v>300</v>
      </c>
      <c r="M67" s="20" t="inlineStr">
        <is>
          <t>套</t>
        </is>
      </c>
      <c r="N67" s="20" t="inlineStr">
        <is>
          <t>群信</t>
        </is>
      </c>
      <c r="O67" s="20" t="inlineStr"/>
      <c r="P67" s="20" t="inlineStr">
        <is>
          <t>24050</t>
        </is>
      </c>
      <c r="Q67" s="20" t="inlineStr">
        <is>
          <t>24050</t>
        </is>
      </c>
      <c r="R67" s="20" t="inlineStr"/>
      <c r="S67" s="20" t="inlineStr"/>
      <c r="T67" s="20" t="inlineStr"/>
      <c r="U67" s="20" t="inlineStr"/>
      <c r="V67" s="20" t="inlineStr">
        <is>
          <t>confirmed</t>
        </is>
      </c>
      <c r="W67" s="20" t="n">
        <v>0</v>
      </c>
      <c r="X67" s="20" t="inlineStr">
        <is>
          <t>没有找到可靠候选</t>
        </is>
      </c>
      <c r="Y67" s="20" t="inlineStr">
        <is>
          <t>高中理化生报价.xlsx｜凯迪｜第285行</t>
        </is>
      </c>
    </row>
    <row r="68" ht="124.8" customHeight="1" s="16">
      <c r="A68" s="1" t="n">
        <v>65</v>
      </c>
      <c r="B68" s="1" t="inlineStr">
        <is>
          <t>电与磁</t>
        </is>
      </c>
      <c r="C68" s="1" t="inlineStr">
        <is>
          <t>可拆变压器</t>
        </is>
      </c>
      <c r="D68" s="5" t="inlineStr">
        <is>
          <t>单相芯式结构，铁芯以钢硅片冲制并经绝缘处理。 变压器初级线圈 1400匝在 220 V、50 Hz 电源供电时，空载电流应不大于 100 mA。 空载时变压器电压比与线圈匝数比误差应不大于 3%；变压器的电流比与线圈匝数比的误差升压时应不大于 10％，降压时应不大于 15％，均不应出现正误差。 变压器的效率应不低于 65%。额定功率 35 VA， 变压器在额定功率时连续运行 30 min，温升应不高于 30 K。 变压器抗电强度：初级线圈与铁芯间应不小于 3000 V。 初级线圈与铁芯、初级线圈与次级线圈绕组间的电气间隙和爬电距离应均不小于6 mm。 接线柱周围不应使用金属面板。</t>
        </is>
      </c>
      <c r="E68" s="2" t="inlineStr">
        <is>
          <t>个</t>
        </is>
      </c>
      <c r="F68" s="1" t="n">
        <v>26</v>
      </c>
      <c r="G68" s="3" t="inlineStr">
        <is>
          <t>群信</t>
        </is>
      </c>
      <c r="H68" s="1" t="n"/>
      <c r="I68" s="1" t="n"/>
      <c r="J68" s="20" t="n">
        <v>26</v>
      </c>
      <c r="K68" s="20" t="n">
        <v>210</v>
      </c>
      <c r="L68" s="20" t="n">
        <v>5460</v>
      </c>
      <c r="M68" s="20" t="inlineStr">
        <is>
          <t>个</t>
        </is>
      </c>
      <c r="N68" s="20" t="inlineStr">
        <is>
          <t>群信</t>
        </is>
      </c>
      <c r="O68" s="20" t="inlineStr"/>
      <c r="P68" s="20" t="inlineStr">
        <is>
          <t>24048</t>
        </is>
      </c>
      <c r="Q68" s="20" t="inlineStr">
        <is>
          <t>24048</t>
        </is>
      </c>
      <c r="R68" s="20" t="inlineStr"/>
      <c r="S68" s="20" t="inlineStr"/>
      <c r="T68" s="20" t="inlineStr"/>
      <c r="U68" s="20" t="inlineStr"/>
      <c r="V68" s="20" t="inlineStr">
        <is>
          <t>confirmed</t>
        </is>
      </c>
      <c r="W68" s="20" t="n">
        <v>0</v>
      </c>
      <c r="X68" s="20" t="inlineStr">
        <is>
          <t>没有找到可靠候选</t>
        </is>
      </c>
      <c r="Y68" s="20" t="inlineStr">
        <is>
          <t>高中理化生报价.xlsx｜凯迪｜第283行</t>
        </is>
      </c>
    </row>
    <row r="69" ht="31.2" customHeight="1" s="16">
      <c r="A69" s="1" t="n">
        <v>66</v>
      </c>
      <c r="B69" s="1" t="inlineStr">
        <is>
          <t>电与磁</t>
        </is>
      </c>
      <c r="C69" s="1" t="inlineStr">
        <is>
          <t>三相电机原理演示器</t>
        </is>
      </c>
      <c r="D69" s="5" t="inlineStr">
        <is>
          <t>由蹄形磁铁、磁针、铝框、塑料框、方形线圈、支架、转轴、接线柱等组成。性能要求：包含永磁式旋转磁场演示器和电磁式旋转磁场演示器</t>
        </is>
      </c>
      <c r="E69" s="2" t="inlineStr">
        <is>
          <t>台</t>
        </is>
      </c>
      <c r="F69" s="1" t="n">
        <v>1</v>
      </c>
      <c r="G69" s="3" t="inlineStr">
        <is>
          <t>群信</t>
        </is>
      </c>
      <c r="H69" s="1" t="n"/>
      <c r="I69" s="1" t="n"/>
      <c r="J69" s="20" t="n">
        <v>1</v>
      </c>
      <c r="K69" s="20" t="n">
        <v>165</v>
      </c>
      <c r="L69" s="20" t="n">
        <v>165</v>
      </c>
      <c r="M69" s="20" t="inlineStr">
        <is>
          <t>台</t>
        </is>
      </c>
      <c r="N69" s="20" t="inlineStr"/>
      <c r="O69" s="20" t="inlineStr"/>
      <c r="P69" s="20" t="inlineStr"/>
      <c r="Q69" s="20" t="inlineStr"/>
      <c r="R69" s="20" t="inlineStr"/>
      <c r="S69" s="20" t="inlineStr"/>
      <c r="T69" s="20" t="inlineStr"/>
      <c r="U69" s="20" t="inlineStr"/>
      <c r="V69" s="20" t="inlineStr">
        <is>
          <t>confirmed</t>
        </is>
      </c>
      <c r="W69" s="20" t="n">
        <v>0</v>
      </c>
      <c r="X69" s="20" t="inlineStr">
        <is>
          <t>匹配到商品档案但无历史价格记录</t>
        </is>
      </c>
      <c r="Y69" s="20" t="inlineStr">
        <is>
          <t>高中理化生报价.xlsx｜凯迪｜第612行</t>
        </is>
      </c>
    </row>
    <row r="70" ht="109.2" customHeight="1" s="16">
      <c r="A70" s="1" t="n">
        <v>67</v>
      </c>
      <c r="B70" s="21" t="n"/>
      <c r="C70" s="1" t="inlineStr">
        <is>
          <t>手摇交直流发电机</t>
        </is>
      </c>
      <c r="D70" s="5" t="inlineStr">
        <is>
          <t>包括定子、转子、整流器、集流环、电刷、灯座（带灯泡）、手摇驱动机构和底板等部分。定子应由永磁体和极靴组成，转子应由转轴、两极电枢铁芯、电枢线圈以及整流器和集流环等组成。整流器在任何位置不应将两电刷短路，电刷与整流器和集流环应使用弹性接触，转动灵活。转子转速为 1600 r/min 空载时，输出端交流和直流电压均应不小于 8V。接 16 Ω电阻负载时，输出端交流和直流电压均应不小于 5 V。不带皮带轮用作电动机使用时启动电压应不大于 4 V，电流应不大于 0.4 A</t>
        </is>
      </c>
      <c r="E70" s="2" t="inlineStr">
        <is>
          <t>个</t>
        </is>
      </c>
      <c r="F70" s="1" t="n">
        <v>1</v>
      </c>
      <c r="G70" s="3" t="inlineStr">
        <is>
          <t>群信</t>
        </is>
      </c>
      <c r="H70" s="1" t="n"/>
      <c r="I70" s="1" t="n"/>
      <c r="J70" s="20" t="n">
        <v>1</v>
      </c>
      <c r="K70" s="20" t="n">
        <v>21</v>
      </c>
      <c r="L70" s="20" t="n">
        <v>21</v>
      </c>
      <c r="M70" s="20" t="inlineStr">
        <is>
          <t>个</t>
        </is>
      </c>
      <c r="N70" s="20" t="inlineStr"/>
      <c r="O70" s="20" t="inlineStr"/>
      <c r="P70" s="20" t="inlineStr"/>
      <c r="Q70" s="20" t="inlineStr"/>
      <c r="R70" s="20" t="n">
        <v>90</v>
      </c>
      <c r="S70" s="20" t="inlineStr"/>
      <c r="T70" s="20" t="n">
        <v>95</v>
      </c>
      <c r="U70" s="20" t="inlineStr"/>
      <c r="V70" s="20" t="inlineStr">
        <is>
          <t>confirmed</t>
        </is>
      </c>
      <c r="W70" s="20" t="n">
        <v>100</v>
      </c>
      <c r="X70" s="20" t="inlineStr">
        <is>
          <t>价格分歧&gt;30%：历史报价分歧较大，需人工核对；同分多价：最高分候选存在不同历史价格</t>
        </is>
      </c>
      <c r="Y70" s="20" t="inlineStr">
        <is>
          <t>赛特尔25年.xls｜小学科学｜第85行</t>
        </is>
      </c>
    </row>
    <row r="71" ht="46.8" customHeight="1" s="16">
      <c r="A71" s="1" t="n">
        <v>68</v>
      </c>
      <c r="B71" s="1" t="inlineStr">
        <is>
          <t>电与磁</t>
        </is>
      </c>
      <c r="C71" s="1" t="inlineStr">
        <is>
          <t>手摇三相交流发电机</t>
        </is>
      </c>
      <c r="D71" s="5" t="inlineStr">
        <is>
          <t>励磁电流应不大于 2 A；空载输出相电压不小于 20 V；每相连接 42 Ω负转电阻时，输出相电压不小于 10 V；负载线电压不小于 16 V； 输出功率为 7 VA～8 VA；三相电压均衡度不小于 95％。负载板应有 Y 形和△形两种</t>
        </is>
      </c>
      <c r="E71" s="2" t="inlineStr">
        <is>
          <t>台</t>
        </is>
      </c>
      <c r="F71" s="1" t="n">
        <v>1</v>
      </c>
      <c r="G71" s="3" t="inlineStr">
        <is>
          <t>群信</t>
        </is>
      </c>
      <c r="H71" s="1" t="n"/>
      <c r="I71" s="1" t="n"/>
      <c r="J71" s="20" t="n">
        <v>1</v>
      </c>
      <c r="K71" s="20" t="n">
        <v>290</v>
      </c>
      <c r="L71" s="20" t="n">
        <v>290</v>
      </c>
      <c r="M71" s="20" t="inlineStr">
        <is>
          <t>台</t>
        </is>
      </c>
      <c r="N71" s="20" t="inlineStr">
        <is>
          <t>群信</t>
        </is>
      </c>
      <c r="O71" s="20" t="inlineStr"/>
      <c r="P71" s="20" t="inlineStr">
        <is>
          <t>24045</t>
        </is>
      </c>
      <c r="Q71" s="20" t="inlineStr">
        <is>
          <t>24045</t>
        </is>
      </c>
      <c r="R71" s="20" t="inlineStr"/>
      <c r="S71" s="20" t="inlineStr"/>
      <c r="T71" s="20" t="inlineStr"/>
      <c r="U71" s="20" t="inlineStr"/>
      <c r="V71" s="20" t="inlineStr">
        <is>
          <t>confirmed</t>
        </is>
      </c>
      <c r="W71" s="20" t="n">
        <v>100</v>
      </c>
      <c r="X71" s="20" t="inlineStr"/>
      <c r="Y71" s="20" t="inlineStr">
        <is>
          <t>高中理化生报价.xlsx｜凯迪｜第280行</t>
        </is>
      </c>
    </row>
    <row r="72" ht="93.59999999999999" customHeight="1" s="16">
      <c r="A72" s="1" t="n">
        <v>69</v>
      </c>
      <c r="B72" s="21" t="n"/>
      <c r="C72" s="1" t="inlineStr">
        <is>
          <t>电磁振荡演示仪</t>
        </is>
      </c>
      <c r="D72" s="5" t="inlineStr">
        <is>
          <t>主要配置及特征参数：由具有铁芯的电感线圈、电容器、集成电路等组成。
产品技术指标：外形尺寸666*470mm（±5mm）；上下为钢结构,具有良好的抗拉强度，表面绿色喷塑处理。左右为ABS塑料精密注塑成型边框。包括等幅振荡演示电路和减幅振荡演示电路。仪器面板表面印有原理电路图，导线采用暗线布置，内部接线与面板上的电路图一致。
能够完成的教学演示：等幅振荡；减幅振荡。</t>
        </is>
      </c>
      <c r="E72" s="2" t="inlineStr">
        <is>
          <t>台</t>
        </is>
      </c>
      <c r="F72" s="1" t="n">
        <v>1</v>
      </c>
      <c r="G72" s="3" t="inlineStr">
        <is>
          <t>群信</t>
        </is>
      </c>
      <c r="H72" s="1" t="n"/>
      <c r="I72" s="1" t="n"/>
      <c r="J72" s="20" t="n">
        <v>1</v>
      </c>
      <c r="K72" s="20" t="n">
        <v>180</v>
      </c>
      <c r="L72" s="20" t="n">
        <v>180</v>
      </c>
      <c r="M72" s="20" t="inlineStr">
        <is>
          <t>台</t>
        </is>
      </c>
      <c r="N72" s="20" t="inlineStr">
        <is>
          <t>群信</t>
        </is>
      </c>
      <c r="O72" s="20" t="inlineStr"/>
      <c r="P72" s="20" t="inlineStr">
        <is>
          <t>24061</t>
        </is>
      </c>
      <c r="Q72" s="20" t="inlineStr">
        <is>
          <t>24061</t>
        </is>
      </c>
      <c r="R72" s="20" t="inlineStr"/>
      <c r="S72" s="20" t="inlineStr"/>
      <c r="T72" s="20" t="inlineStr"/>
      <c r="U72" s="20" t="inlineStr"/>
      <c r="V72" s="20" t="inlineStr">
        <is>
          <t>confirmed</t>
        </is>
      </c>
      <c r="W72" s="20" t="n">
        <v>0</v>
      </c>
      <c r="X72" s="20" t="inlineStr">
        <is>
          <t>没有找到可靠候选</t>
        </is>
      </c>
      <c r="Y72" s="20" t="inlineStr">
        <is>
          <t>高中理化生报价.xlsx｜凯迪｜第294行</t>
        </is>
      </c>
    </row>
    <row r="73" ht="46.8" customHeight="1" s="16">
      <c r="A73" s="1" t="n">
        <v>70</v>
      </c>
      <c r="B73" s="1" t="n"/>
      <c r="C73" s="1" t="inlineStr">
        <is>
          <t>电磁波的干涉和衍射偏振演示器</t>
        </is>
      </c>
      <c r="D73" s="5" t="inlineStr">
        <is>
          <t>由微波发射器、微波接收器、大反射板、小反射板、棱镜、吸收体、反射板支架、偏振栅等组成</t>
        </is>
      </c>
      <c r="E73" s="2" t="inlineStr">
        <is>
          <t>套</t>
        </is>
      </c>
      <c r="F73" s="1" t="n">
        <v>1</v>
      </c>
      <c r="G73" s="3" t="inlineStr">
        <is>
          <t>群信</t>
        </is>
      </c>
      <c r="H73" s="1" t="n"/>
      <c r="I73" s="1" t="n"/>
      <c r="J73" s="20" t="n">
        <v>1</v>
      </c>
      <c r="K73" s="20" t="n">
        <v>1500</v>
      </c>
      <c r="L73" s="20" t="n">
        <v>1500</v>
      </c>
      <c r="M73" s="20" t="inlineStr">
        <is>
          <t>套</t>
        </is>
      </c>
      <c r="N73" s="20" t="inlineStr">
        <is>
          <t>群信</t>
        </is>
      </c>
      <c r="O73" s="20" t="inlineStr"/>
      <c r="P73" s="20" t="inlineStr">
        <is>
          <t>24063</t>
        </is>
      </c>
      <c r="Q73" s="20" t="inlineStr">
        <is>
          <t>24063</t>
        </is>
      </c>
      <c r="R73" s="20" t="inlineStr"/>
      <c r="S73" s="20" t="inlineStr"/>
      <c r="T73" s="20" t="inlineStr"/>
      <c r="U73" s="20" t="inlineStr"/>
      <c r="V73" s="20" t="inlineStr">
        <is>
          <t>confirmed</t>
        </is>
      </c>
      <c r="W73" s="20" t="n">
        <v>100</v>
      </c>
      <c r="X73" s="20" t="inlineStr"/>
      <c r="Y73" s="20" t="inlineStr">
        <is>
          <t>高中理化生报价.xlsx｜凯迪｜第296行</t>
        </is>
      </c>
    </row>
  </sheetData>
  <mergeCells count="36">
    <mergeCell ref="B71:B72"/>
    <mergeCell ref="C61:C63"/>
    <mergeCell ref="B3:B4"/>
    <mergeCell ref="B15:B17"/>
    <mergeCell ref="F59:F60"/>
    <mergeCell ref="H59:H60"/>
    <mergeCell ref="C59:C60"/>
    <mergeCell ref="C22:C23"/>
    <mergeCell ref="E59:E60"/>
    <mergeCell ref="B40:B46"/>
    <mergeCell ref="B69:B70"/>
    <mergeCell ref="C40:C41"/>
    <mergeCell ref="B10:B11"/>
    <mergeCell ref="B32:B34"/>
    <mergeCell ref="G5:G6"/>
    <mergeCell ref="A1:G1"/>
    <mergeCell ref="B12:B14"/>
    <mergeCell ref="B25:B29"/>
    <mergeCell ref="B64:B65"/>
    <mergeCell ref="G59:G60"/>
    <mergeCell ref="B53:B58"/>
    <mergeCell ref="B5:B6"/>
    <mergeCell ref="I59:I60"/>
    <mergeCell ref="B30:B31"/>
    <mergeCell ref="D19:D20"/>
    <mergeCell ref="B61:B63"/>
    <mergeCell ref="B51:B52"/>
    <mergeCell ref="C38:C39"/>
    <mergeCell ref="B48:B50"/>
    <mergeCell ref="B22:B23"/>
    <mergeCell ref="A59:A60"/>
    <mergeCell ref="B7:B8"/>
    <mergeCell ref="B19:B21"/>
    <mergeCell ref="B59:B60"/>
    <mergeCell ref="B35:B36"/>
    <mergeCell ref="B37:B39"/>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X84"/>
  <sheetViews>
    <sheetView workbookViewId="0">
      <selection activeCell="A19" sqref="$A2:$XFD19"/>
    </sheetView>
  </sheetViews>
  <sheetFormatPr baseColWidth="8" defaultColWidth="8.888888888888889" defaultRowHeight="14.4"/>
  <cols>
    <col width="15.5555555555556" customWidth="1" style="16" min="3" max="3"/>
    <col width="65.1111111111111" customWidth="1" style="16" min="4" max="4"/>
  </cols>
  <sheetData>
    <row r="1" ht="17.1" customHeight="1" s="16">
      <c r="A1" s="1" t="inlineStr">
        <is>
          <t>高中物理力学实验室基础器材配置要求</t>
        </is>
      </c>
      <c r="B1" s="17" t="n"/>
      <c r="C1" s="17" t="n"/>
      <c r="D1" s="17" t="n"/>
      <c r="E1" s="17" t="n"/>
      <c r="F1" s="17" t="n"/>
      <c r="G1" s="18" t="n"/>
      <c r="H1" s="1" t="inlineStr">
        <is>
          <t>单价</t>
        </is>
      </c>
      <c r="I1" s="23" t="inlineStr">
        <is>
          <t>数量</t>
        </is>
      </c>
      <c r="J1" s="19" t="inlineStr">
        <is>
          <t>确认单价</t>
        </is>
      </c>
      <c r="K1" s="19" t="inlineStr">
        <is>
          <t>总价</t>
        </is>
      </c>
      <c r="L1" s="19" t="inlineStr">
        <is>
          <t>单位</t>
        </is>
      </c>
      <c r="M1" s="19" t="inlineStr">
        <is>
          <t>品牌</t>
        </is>
      </c>
      <c r="N1" s="19" t="inlineStr">
        <is>
          <t>制造商</t>
        </is>
      </c>
      <c r="O1" s="19" t="inlineStr">
        <is>
          <t>型号</t>
        </is>
      </c>
      <c r="P1" s="19" t="inlineStr">
        <is>
          <t>参数</t>
        </is>
      </c>
      <c r="Q1" s="19" t="inlineStr">
        <is>
          <t>报价2单价</t>
        </is>
      </c>
      <c r="R1" s="19" t="inlineStr">
        <is>
          <t>报价2制造商</t>
        </is>
      </c>
      <c r="S1" s="19" t="inlineStr">
        <is>
          <t>报价3单价</t>
        </is>
      </c>
      <c r="T1" s="19" t="inlineStr">
        <is>
          <t>报价3制造商</t>
        </is>
      </c>
      <c r="U1" s="19" t="inlineStr">
        <is>
          <t>匹配状态</t>
        </is>
      </c>
      <c r="V1" s="19" t="inlineStr">
        <is>
          <t>匹配分</t>
        </is>
      </c>
      <c r="W1" s="19" t="inlineStr">
        <is>
          <t>风险提示</t>
        </is>
      </c>
      <c r="X1" s="19" t="inlineStr">
        <is>
          <t>历史来源</t>
        </is>
      </c>
    </row>
    <row r="2" ht="20" customHeight="1" s="16">
      <c r="A2" s="1" t="n">
        <v>1</v>
      </c>
      <c r="B2" s="1" t="n"/>
      <c r="C2" s="2" t="inlineStr">
        <is>
          <t>数据采集器</t>
        </is>
      </c>
      <c r="D2" s="2" t="inlineStr">
        <is>
          <t>1、一体化金属结构设计
2、2、自带8个传感器接口，八通道并行采集，全数字通道，采样频率最大可达100KHz，可同时并行采集8组不同的数据。
3、采集器可以互相级联实验，可实现多个数据采集器和更多路传感器同步采集实验。
4、通过USB-B口与计算机或便携式实验终端连接，进行数据通讯，USB接口供电，无需外接电源；
5、通过USB2.0口与传感器连接，数字、模拟共用，即插即用，自动识别所有传感器；
6、采用低压设计保证用户安全，所有端口具备短路保护功能，PCB设置接地引到外壳；
7、设置DC5V电源接口，配有5V1A适配器，在电压不足或多传感器使用时保证供电电压稳定。</t>
        </is>
      </c>
      <c r="E2" s="1" t="inlineStr">
        <is>
          <t>台</t>
        </is>
      </c>
      <c r="F2" s="1" t="n">
        <v>1</v>
      </c>
      <c r="G2" s="3" t="inlineStr">
        <is>
          <t>群信</t>
        </is>
      </c>
      <c r="H2" s="1" t="n">
        <v>800</v>
      </c>
      <c r="I2" s="24" t="n">
        <v>1</v>
      </c>
      <c r="J2" s="20" t="n">
        <v>800</v>
      </c>
      <c r="K2" s="20" t="n">
        <v>800</v>
      </c>
      <c r="L2" s="20" t="inlineStr">
        <is>
          <t>台</t>
        </is>
      </c>
      <c r="M2" s="20" t="inlineStr"/>
      <c r="N2" s="20" t="inlineStr"/>
      <c r="O2" s="20" t="inlineStr"/>
      <c r="P2" s="20" t="inlineStr">
        <is>
          <t>与计算机 USB 接口通讯或无线通讯，支持有线连接的四通道并行数据采集</t>
        </is>
      </c>
      <c r="Q2" s="20" t="inlineStr"/>
      <c r="R2" s="20" t="inlineStr"/>
      <c r="S2" s="20" t="inlineStr"/>
      <c r="T2" s="20" t="inlineStr"/>
      <c r="U2" s="20" t="inlineStr">
        <is>
          <t>confirmed</t>
        </is>
      </c>
      <c r="V2" s="20" t="n">
        <v>0</v>
      </c>
      <c r="W2" s="20" t="inlineStr">
        <is>
          <t>没有找到可靠候选</t>
        </is>
      </c>
      <c r="X2" s="20" t="inlineStr">
        <is>
          <t>赛特尔25年.xls｜初中新课标化学｜第265行</t>
        </is>
      </c>
    </row>
    <row r="3" ht="20" customHeight="1" s="16">
      <c r="A3" s="1" t="n">
        <v>2</v>
      </c>
      <c r="B3" s="22" t="n"/>
      <c r="C3" s="2" t="inlineStr">
        <is>
          <t>实验数据采集处理软件</t>
        </is>
      </c>
      <c r="D3" s="2" t="inlineStr">
        <is>
          <t>中文简体界面，数据采集器接入计算机后能自动识别数据采集器及其状态，实时显示实验数据或曲线，具备多种对实验数据与图线的数据处理与分析工具，实验数据可以导出为表格或文本格式</t>
        </is>
      </c>
      <c r="E3" s="1" t="inlineStr">
        <is>
          <t>套</t>
        </is>
      </c>
      <c r="F3" s="1" t="n">
        <v>1</v>
      </c>
      <c r="G3" s="3" t="inlineStr">
        <is>
          <t>群信</t>
        </is>
      </c>
      <c r="H3" s="1" t="n">
        <v>200</v>
      </c>
      <c r="I3" s="24" t="n">
        <v>1</v>
      </c>
      <c r="J3" s="20" t="n">
        <v>300</v>
      </c>
      <c r="K3" s="20" t="n">
        <v>300</v>
      </c>
      <c r="L3" s="20" t="inlineStr">
        <is>
          <t>套</t>
        </is>
      </c>
      <c r="M3" s="20" t="inlineStr"/>
      <c r="N3" s="20" t="inlineStr"/>
      <c r="O3" s="20" t="inlineStr"/>
      <c r="P3" s="20" t="inlineStr">
        <is>
          <t>简体中文界面，数据采集器接入计算机后能自动识别数据采集器及其状态，实时显示实验数据或曲线，具备多种对实验数据与图线的数据处理与分析工具，实验数据可导出为表格或文本格式</t>
        </is>
      </c>
      <c r="Q3" s="20" t="n">
        <v>360</v>
      </c>
      <c r="R3" s="20" t="inlineStr"/>
      <c r="S3" s="20" t="inlineStr"/>
      <c r="T3" s="20" t="inlineStr"/>
      <c r="U3" s="20" t="inlineStr">
        <is>
          <t>confirmed</t>
        </is>
      </c>
      <c r="V3" s="20" t="n">
        <v>100</v>
      </c>
      <c r="W3" s="20" t="inlineStr">
        <is>
          <t>同分多价：最高分候选存在不同历史价格</t>
        </is>
      </c>
      <c r="X3" s="20" t="inlineStr">
        <is>
          <t>赛特尔25年.xls｜初中新课标化学｜第264行</t>
        </is>
      </c>
    </row>
    <row r="4" ht="20" customHeight="1" s="16">
      <c r="A4" s="1" t="n">
        <v>3</v>
      </c>
      <c r="B4" s="22" t="n"/>
      <c r="C4" s="2" t="inlineStr">
        <is>
          <t>力传感器</t>
        </is>
      </c>
      <c r="D4" s="2" t="inlineStr">
        <is>
          <t>量程：±50N，分辨率：0.01N。用于测拉力（显示正值）和压力（显示负值）。
自带硬件调零按钮，短按自动校零，长按可自动切换力的正负值，节约时间，无需软件内设置公式。
1、传感器数据传输接口为智能Type-C接口，支持正反盲插，即插即用，自动识别；
2、支持与智能数字实验终端或数据采集器的USB接口连接，多个传感器并行采集实验数据；
3、还支持与普通计算机USB口直接连接，传输数字化实验数据。</t>
        </is>
      </c>
      <c r="E4" s="1" t="inlineStr">
        <is>
          <t>只</t>
        </is>
      </c>
      <c r="F4" s="1" t="n">
        <v>2</v>
      </c>
      <c r="G4" s="3" t="inlineStr">
        <is>
          <t>群信</t>
        </is>
      </c>
      <c r="H4" s="1" t="n">
        <v>165</v>
      </c>
      <c r="I4" s="24" t="n">
        <v>2</v>
      </c>
      <c r="J4" s="20" t="n">
        <v>65</v>
      </c>
      <c r="K4" s="20" t="n">
        <v>130</v>
      </c>
      <c r="L4" s="20" t="inlineStr">
        <is>
          <t>只</t>
        </is>
      </c>
      <c r="M4" s="20" t="inlineStr">
        <is>
          <t>群信</t>
        </is>
      </c>
      <c r="N4" s="20" t="inlineStr"/>
      <c r="O4" s="20" t="inlineStr">
        <is>
          <t>80114</t>
        </is>
      </c>
      <c r="P4" s="20" t="inlineStr">
        <is>
          <t>80114</t>
        </is>
      </c>
      <c r="Q4" s="20" t="inlineStr"/>
      <c r="R4" s="20" t="inlineStr"/>
      <c r="S4" s="20" t="inlineStr"/>
      <c r="T4" s="20" t="inlineStr"/>
      <c r="U4" s="20" t="inlineStr">
        <is>
          <t>confirmed</t>
        </is>
      </c>
      <c r="V4" s="20" t="n">
        <v>0</v>
      </c>
      <c r="W4" s="20" t="inlineStr">
        <is>
          <t>匹配到商品档案但无历史价格记录</t>
        </is>
      </c>
      <c r="X4" s="20" t="inlineStr">
        <is>
          <t>高中理化生报价.xlsx｜凯迪｜第388行</t>
        </is>
      </c>
    </row>
    <row r="5" ht="20" customHeight="1" s="16">
      <c r="A5" s="1" t="n">
        <v>4</v>
      </c>
      <c r="B5" s="22" t="n"/>
      <c r="C5" s="2" t="inlineStr">
        <is>
          <t>微力传感器</t>
        </is>
      </c>
      <c r="D5" s="2" t="inlineStr">
        <is>
          <t>量程：-2N～+2N；分辨率：0.001N。用于测拉力（显示正值）和压力（显示负值）。
自带硬件调零按钮，短按自动校零，长按可自动切换力的正负值，节约时间，无需软件内设置公式。
1、传感器数据传输接口为智能Type-C接口，支持正反盲插，即插即用，自动识别；
2、支持与智能数字实验终端或数据采集器的USB接口连接，多个传感器并行采集实验数据；
3、还支持与普通计算机USB口直接连接，传输数字化实验数据。</t>
        </is>
      </c>
      <c r="E5" s="1" t="inlineStr">
        <is>
          <t>只</t>
        </is>
      </c>
      <c r="F5" s="1" t="n">
        <v>1</v>
      </c>
      <c r="G5" s="3" t="inlineStr">
        <is>
          <t>群信</t>
        </is>
      </c>
      <c r="H5" s="1" t="n">
        <v>207</v>
      </c>
      <c r="I5" s="24" t="n">
        <v>1</v>
      </c>
      <c r="J5" s="20" t="n">
        <v>65</v>
      </c>
      <c r="K5" s="20" t="n">
        <v>65</v>
      </c>
      <c r="L5" s="20" t="inlineStr">
        <is>
          <t>只</t>
        </is>
      </c>
      <c r="M5" s="20" t="inlineStr">
        <is>
          <t>群信</t>
        </is>
      </c>
      <c r="N5" s="20" t="inlineStr"/>
      <c r="O5" s="20" t="inlineStr">
        <is>
          <t>80114</t>
        </is>
      </c>
      <c r="P5" s="20" t="inlineStr">
        <is>
          <t>80114</t>
        </is>
      </c>
      <c r="Q5" s="20" t="inlineStr"/>
      <c r="R5" s="20" t="inlineStr"/>
      <c r="S5" s="20" t="inlineStr"/>
      <c r="T5" s="20" t="inlineStr"/>
      <c r="U5" s="20" t="inlineStr">
        <is>
          <t>confirmed</t>
        </is>
      </c>
      <c r="V5" s="20" t="n">
        <v>0</v>
      </c>
      <c r="W5" s="20" t="inlineStr">
        <is>
          <t>匹配到商品档案但无历史价格记录</t>
        </is>
      </c>
      <c r="X5" s="20" t="inlineStr">
        <is>
          <t>高中理化生报价.xlsx｜凯迪｜第388行</t>
        </is>
      </c>
    </row>
    <row r="6" ht="20" customHeight="1" s="16">
      <c r="A6" s="1" t="n">
        <v>5</v>
      </c>
      <c r="B6" s="22" t="n"/>
      <c r="C6" s="2" t="inlineStr">
        <is>
          <t>光电门传感器</t>
        </is>
      </c>
      <c r="D6" s="2" t="inlineStr">
        <is>
          <t>量程：0~∞s，分辨率：0.001ms。用于测量物体通过光电门的挡光时间以及速度、加速度、动量、动能等。
1、传感器数据传输接口为智能Type-C接口，支持正反盲插，即插即用，自动识别；
2、支持与智能数字实验终端或数据采集器的USB接口连接，多个传感器并行采集实验数据；
3、还支持与普通计算机USB口直接连接，传输数字化实验数据。</t>
        </is>
      </c>
      <c r="E6" s="1" t="inlineStr">
        <is>
          <t>只</t>
        </is>
      </c>
      <c r="F6" s="1" t="n">
        <v>2</v>
      </c>
      <c r="G6" s="3" t="inlineStr">
        <is>
          <t>群信</t>
        </is>
      </c>
      <c r="H6" s="1" t="n">
        <v>165</v>
      </c>
      <c r="I6" s="24" t="n">
        <v>2</v>
      </c>
      <c r="J6" s="20" t="n">
        <v>300</v>
      </c>
      <c r="K6" s="20" t="n">
        <v>600</v>
      </c>
      <c r="L6" s="20" t="inlineStr">
        <is>
          <t>只</t>
        </is>
      </c>
      <c r="M6" s="20" t="inlineStr"/>
      <c r="N6" s="20" t="inlineStr"/>
      <c r="O6" s="20" t="inlineStr"/>
      <c r="P6" s="20" t="inlineStr">
        <is>
          <t>里程0lx～6000lx，0lx～2000lx</t>
        </is>
      </c>
      <c r="Q6" s="20" t="n">
        <v>340</v>
      </c>
      <c r="R6" s="20" t="inlineStr"/>
      <c r="S6" s="20" t="inlineStr"/>
      <c r="T6" s="20" t="inlineStr"/>
      <c r="U6" s="20" t="inlineStr">
        <is>
          <t>confirmed</t>
        </is>
      </c>
      <c r="V6" s="20" t="n">
        <v>66.7</v>
      </c>
      <c r="W6" s="20" t="inlineStr"/>
      <c r="X6" s="20" t="inlineStr">
        <is>
          <t>赛特尔25年.xls｜小学新课标科学｜第46行</t>
        </is>
      </c>
    </row>
    <row r="7" ht="20" customHeight="1" s="16">
      <c r="A7" s="1" t="n">
        <v>6</v>
      </c>
      <c r="B7" s="22" t="n"/>
      <c r="C7" s="2" t="inlineStr">
        <is>
          <t>加速度传感器</t>
        </is>
      </c>
      <c r="D7" s="2" t="inlineStr">
        <is>
          <t>量程：±16g，分辨率：0.01g。可测量加速度值。
1、传感器数据传输接口为智能Type-C接口，支持正反盲插，即插即用，自动识别；
2、支持与智能数字实验终端的Type-C接口嵌合卡口连接，也可与其USB接口连接；
3、支持与数据采集器的USB接口连接，多个传感器并行采集实验数据；
4、还支持与普通计算机USB口直接连接，传输数字化实验数据。</t>
        </is>
      </c>
      <c r="E7" s="1" t="inlineStr">
        <is>
          <t>只</t>
        </is>
      </c>
      <c r="F7" s="1" t="n">
        <v>1</v>
      </c>
      <c r="G7" s="3" t="inlineStr">
        <is>
          <t>群信</t>
        </is>
      </c>
      <c r="H7" s="1" t="n">
        <v>243</v>
      </c>
      <c r="I7" s="24" t="n">
        <v>1</v>
      </c>
      <c r="J7" s="20" t="n">
        <v>200</v>
      </c>
      <c r="K7" s="20" t="n">
        <v>200</v>
      </c>
      <c r="L7" s="20" t="inlineStr">
        <is>
          <t>只</t>
        </is>
      </c>
      <c r="M7" s="20" t="inlineStr"/>
      <c r="N7" s="20" t="inlineStr"/>
      <c r="O7" s="20" t="inlineStr"/>
      <c r="P7" s="20" t="inlineStr">
        <is>
          <t>量程-25 ℃～125 ℃；分辨力 0.1 ℃；误差±0.5%</t>
        </is>
      </c>
      <c r="Q7" s="20" t="n">
        <v>245</v>
      </c>
      <c r="R7" s="20" t="inlineStr"/>
      <c r="S7" s="20" t="inlineStr"/>
      <c r="T7" s="20" t="inlineStr"/>
      <c r="U7" s="20" t="inlineStr">
        <is>
          <t>confirmed</t>
        </is>
      </c>
      <c r="V7" s="20" t="n">
        <v>72.7</v>
      </c>
      <c r="W7" s="20" t="inlineStr">
        <is>
          <t>同分多价：最高分候选存在不同历史价格</t>
        </is>
      </c>
      <c r="X7" s="20" t="inlineStr">
        <is>
          <t>赛特尔25年.xls｜初中新课标生物｜第197行</t>
        </is>
      </c>
    </row>
    <row r="8" ht="20" customHeight="1" s="16">
      <c r="A8" s="1" t="n">
        <v>7</v>
      </c>
      <c r="B8" s="22" t="n"/>
      <c r="C8" s="2" t="inlineStr">
        <is>
          <t>分体式位移传感器</t>
        </is>
      </c>
      <c r="D8" s="2" t="inlineStr">
        <is>
          <t>量程：0m～2m，分辨率：0.5mm。用于小车运动时速度的测量、用于测量物体间的位移或距离。
由发射端和接收端两个部分组成，无测量盲区，发射器带有拨动开关，内置锂电池，可充电，易与现有实验装置（运动小车、弹簧振子等）组合。实验时，发射端与实验器材组合，接收端与数据采集器或PC连接，通过发射端发射超声波，接收端接收超声波信号，计算转化成位移。
1、传感器数据传输接口为智能Type-C接口，支持正反盲插，即插即用，自动识别；
2、支持与智能数字实验终端的Type-C接口嵌合卡口连接，也可与其USB接口连接；
3、支持与数据采集器的USB接口连接，多个传感器并行采集实验数据；
4、还支持与普通计算机USB口直接连接，传输数字化实验数据。</t>
        </is>
      </c>
      <c r="E8" s="1" t="inlineStr">
        <is>
          <t>只</t>
        </is>
      </c>
      <c r="F8" s="1" t="n">
        <v>1</v>
      </c>
      <c r="G8" s="3" t="inlineStr">
        <is>
          <t>群信</t>
        </is>
      </c>
      <c r="H8" s="1" t="n">
        <v>279</v>
      </c>
      <c r="I8" s="24" t="n">
        <v>1</v>
      </c>
      <c r="J8" s="20" t="n">
        <v>300</v>
      </c>
      <c r="K8" s="20" t="n">
        <v>300</v>
      </c>
      <c r="L8" s="20" t="inlineStr">
        <is>
          <t>只</t>
        </is>
      </c>
      <c r="M8" s="20" t="inlineStr"/>
      <c r="N8" s="20" t="inlineStr"/>
      <c r="O8" s="20" t="inlineStr"/>
      <c r="P8" s="20" t="inlineStr">
        <is>
          <t>量程 0 kPa～200 kPa；分辨力 0.1 kPa；误差±4 kPa</t>
        </is>
      </c>
      <c r="Q8" s="20" t="inlineStr"/>
      <c r="R8" s="20" t="inlineStr"/>
      <c r="S8" s="20" t="inlineStr"/>
      <c r="T8" s="20" t="inlineStr"/>
      <c r="U8" s="20" t="inlineStr">
        <is>
          <t>confirmed</t>
        </is>
      </c>
      <c r="V8" s="20" t="n">
        <v>0</v>
      </c>
      <c r="W8" s="20" t="inlineStr">
        <is>
          <t>匹配到商品档案但无历史价格记录</t>
        </is>
      </c>
      <c r="X8" s="20" t="inlineStr">
        <is>
          <t>赛特尔25年.xls｜初中新课标化学｜第271行</t>
        </is>
      </c>
    </row>
    <row r="9" ht="20" customHeight="1" s="16">
      <c r="A9" s="1" t="n">
        <v>8</v>
      </c>
      <c r="B9" s="22" t="n"/>
      <c r="C9" s="2" t="inlineStr">
        <is>
          <t>一体式位移传感器</t>
        </is>
      </c>
      <c r="D9" s="2" t="inlineStr">
        <is>
          <t>量 程：0.2～4m，分辨率：1mm。一体式超声波探头，用于测量物体运动的位移或物体间的距离。
1、传感器数据传输接口为智能Type-C接口，支持正反盲插，即插即用，自动识别；
2、支持与智能数字实验终端的Type-C接口嵌合卡口连接，也可与其USB接口连接；
3、支持与数据采集器的USB接口连接，多个传感器并行采集实验数据；
4、还支持与普通计算机USB口直接连接，传输数字化实验数据。</t>
        </is>
      </c>
      <c r="E9" s="1" t="inlineStr">
        <is>
          <t>只</t>
        </is>
      </c>
      <c r="F9" s="1" t="n">
        <v>1</v>
      </c>
      <c r="G9" s="3" t="inlineStr">
        <is>
          <t>群信</t>
        </is>
      </c>
      <c r="H9" s="1" t="n">
        <v>347</v>
      </c>
      <c r="I9" s="24" t="n">
        <v>1</v>
      </c>
      <c r="J9" s="20" t="n">
        <v>300</v>
      </c>
      <c r="K9" s="20" t="n">
        <v>300</v>
      </c>
      <c r="L9" s="20" t="inlineStr">
        <is>
          <t>只</t>
        </is>
      </c>
      <c r="M9" s="20" t="inlineStr"/>
      <c r="N9" s="20" t="inlineStr"/>
      <c r="O9" s="20" t="inlineStr"/>
      <c r="P9" s="20" t="inlineStr">
        <is>
          <t>量程 0 kPa～200 kPa；分辨力 0.1 kPa；误差±4 kPa</t>
        </is>
      </c>
      <c r="Q9" s="20" t="inlineStr"/>
      <c r="R9" s="20" t="inlineStr"/>
      <c r="S9" s="20" t="inlineStr"/>
      <c r="T9" s="20" t="inlineStr"/>
      <c r="U9" s="20" t="inlineStr">
        <is>
          <t>confirmed</t>
        </is>
      </c>
      <c r="V9" s="20" t="n">
        <v>0</v>
      </c>
      <c r="W9" s="20" t="inlineStr">
        <is>
          <t>匹配到商品档案但无历史价格记录</t>
        </is>
      </c>
      <c r="X9" s="20" t="inlineStr">
        <is>
          <t>赛特尔25年.xls｜初中新课标化学｜第271行</t>
        </is>
      </c>
    </row>
    <row r="10" ht="20" customHeight="1" s="16">
      <c r="A10" s="1" t="n">
        <v>9</v>
      </c>
      <c r="B10" s="22" t="n"/>
      <c r="C10" s="2" t="inlineStr">
        <is>
          <t>静电传感器</t>
        </is>
      </c>
      <c r="D10" s="2" t="inlineStr">
        <is>
          <t>量程：±100nC，分辨率：1nC。用于测量电荷量。
1、传感器数据传输接口为智能Type-C接口，支持正反盲插，即插即用，自动识别；
2、支持与智能数字实验终端的Type-C接口嵌合卡口连接，也可与其USB接口连接；
3、支持与数据采集器的USB接口连接，多个传感器并行采集实验数据；
4、还支持与普通计算机USB口直接连接，传输数字化实验数据。</t>
        </is>
      </c>
      <c r="E10" s="1" t="inlineStr">
        <is>
          <t>只</t>
        </is>
      </c>
      <c r="F10" s="1" t="n">
        <v>1</v>
      </c>
      <c r="G10" s="3" t="inlineStr">
        <is>
          <t>群信</t>
        </is>
      </c>
      <c r="H10" s="1" t="n">
        <v>383</v>
      </c>
      <c r="I10" s="24" t="n">
        <v>1</v>
      </c>
      <c r="J10" s="20" t="n">
        <v>340</v>
      </c>
      <c r="K10" s="20" t="n">
        <v>340</v>
      </c>
      <c r="L10" s="20" t="inlineStr">
        <is>
          <t>只</t>
        </is>
      </c>
      <c r="M10" s="20" t="inlineStr"/>
      <c r="N10" s="20" t="inlineStr"/>
      <c r="O10" s="20" t="inlineStr"/>
      <c r="P10" s="20" t="inlineStr">
        <is>
          <t>低量程 0 μ S/cm～200 μ S/cm，中间量程0 μ S/cm～2000 μ S/cm，高量程 0 μ S/cm～20000 μ S/cm；分辨力：低量程 0.1 μ S/cm，中间量程 1 μ S/cm，高量程 10 μ S/cm；误差：低量程±8%，中间量程和高量程±5%</t>
        </is>
      </c>
      <c r="Q10" s="20" t="inlineStr"/>
      <c r="R10" s="20" t="inlineStr"/>
      <c r="S10" s="20" t="inlineStr"/>
      <c r="T10" s="20" t="inlineStr"/>
      <c r="U10" s="20" t="inlineStr">
        <is>
          <t>confirmed</t>
        </is>
      </c>
      <c r="V10" s="20" t="n">
        <v>72.7</v>
      </c>
      <c r="W10" s="20" t="inlineStr"/>
      <c r="X10" s="20" t="inlineStr">
        <is>
          <t>赛特尔25年.xls｜初中新课标化学｜第268行</t>
        </is>
      </c>
    </row>
    <row r="11" ht="20" customHeight="1" s="16">
      <c r="A11" s="1" t="n">
        <v>10</v>
      </c>
      <c r="B11" s="22" t="n"/>
      <c r="C11" s="2" t="inlineStr">
        <is>
          <t>三维磁感应强度传感器</t>
        </is>
      </c>
      <c r="D11" s="2" t="inlineStr">
        <is>
          <t>量程：-100mT～+100mT，分辨率：0.05mT。可同时监测X、Y、Z三个方向上磁感应强度的分量。
1、传感器数据传输接口为智能Type-C接口，支持正反盲插，即插即用，自动识别；
2、支持与智能数字实验终端的Type-C接口嵌合卡口连接，也可与其USB接口连接；
3、支持与数据采集器的USB接口连接，多个传感器并行采集实验数据；
4、还支持与普通计算机USB口直接连接，传输数字化实验数据。</t>
        </is>
      </c>
      <c r="E11" s="1" t="inlineStr">
        <is>
          <t>只</t>
        </is>
      </c>
      <c r="F11" s="1" t="n">
        <v>1</v>
      </c>
      <c r="G11" s="3" t="inlineStr">
        <is>
          <t>群信</t>
        </is>
      </c>
      <c r="H11" s="1" t="n">
        <v>252</v>
      </c>
      <c r="I11" s="24" t="n">
        <v>1</v>
      </c>
      <c r="J11" s="20" t="n">
        <v>240</v>
      </c>
      <c r="K11" s="20" t="n">
        <v>240</v>
      </c>
      <c r="L11" s="20" t="inlineStr">
        <is>
          <t>只</t>
        </is>
      </c>
      <c r="M11" s="20" t="inlineStr"/>
      <c r="N11" s="20" t="inlineStr"/>
      <c r="O11" s="20" t="inlineStr"/>
      <c r="P11" s="20" t="inlineStr">
        <is>
          <t>测量范围：-50mT～+50mT；分辨力：0.01mT</t>
        </is>
      </c>
      <c r="Q11" s="20" t="inlineStr"/>
      <c r="R11" s="20" t="inlineStr"/>
      <c r="S11" s="20" t="inlineStr"/>
      <c r="T11" s="20" t="inlineStr"/>
      <c r="U11" s="20" t="inlineStr">
        <is>
          <t>confirmed</t>
        </is>
      </c>
      <c r="V11" s="20" t="n">
        <v>0</v>
      </c>
      <c r="W11" s="20" t="inlineStr">
        <is>
          <t>没有找到可靠候选</t>
        </is>
      </c>
      <c r="X11" s="20" t="inlineStr">
        <is>
          <t>赛特尔25年.xls｜小学新课标科学｜第45行</t>
        </is>
      </c>
    </row>
    <row r="12" ht="20" customHeight="1" s="16">
      <c r="A12" s="1" t="n">
        <v>11</v>
      </c>
      <c r="B12" s="22" t="n"/>
      <c r="C12" s="2" t="inlineStr">
        <is>
          <t>压强传感器</t>
        </is>
      </c>
      <c r="D12" s="2" t="inlineStr">
        <is>
          <t>量程：0～700kPa，分辨率：0.1kPa。配有针筒，用于测量大气环境下或密闭空间内的气体的绝对压强。
1、传感器数据传输接口为智能Type-C接口，支持正反盲插，即插即用，自动识别；
2、支持与智能数字实验终端的Type-C接口嵌合卡口连接，也可与其USB接口连接；
3、支持与数据采集器的USB接口连接，多个传感器并行采集实验数据；
4、还支持与普通计算机USB口直接连接，传输数字化实验数据。</t>
        </is>
      </c>
      <c r="E12" s="1" t="inlineStr">
        <is>
          <t>只</t>
        </is>
      </c>
      <c r="F12" s="1" t="n">
        <v>1</v>
      </c>
      <c r="G12" s="3" t="inlineStr">
        <is>
          <t>群信</t>
        </is>
      </c>
      <c r="H12" s="1" t="n">
        <v>243</v>
      </c>
      <c r="I12" s="24" t="n">
        <v>1</v>
      </c>
      <c r="J12" s="20" t="n">
        <v>300</v>
      </c>
      <c r="K12" s="20" t="n">
        <v>300</v>
      </c>
      <c r="L12" s="20" t="inlineStr">
        <is>
          <t>只</t>
        </is>
      </c>
      <c r="M12" s="20" t="inlineStr"/>
      <c r="N12" s="20" t="inlineStr"/>
      <c r="O12" s="20" t="inlineStr"/>
      <c r="P12" s="20" t="inlineStr">
        <is>
          <t>量程 0 kPa～200 kPa；分辨力 0.1 kPa；误差±4 kPa</t>
        </is>
      </c>
      <c r="Q12" s="20" t="inlineStr"/>
      <c r="R12" s="20" t="inlineStr"/>
      <c r="S12" s="20" t="inlineStr"/>
      <c r="T12" s="20" t="inlineStr"/>
      <c r="U12" s="20" t="inlineStr">
        <is>
          <t>confirmed</t>
        </is>
      </c>
      <c r="V12" s="20" t="n">
        <v>100</v>
      </c>
      <c r="W12" s="20" t="inlineStr"/>
      <c r="X12" s="20" t="inlineStr">
        <is>
          <t>赛特尔25年.xls｜初中新课标化学｜第271行</t>
        </is>
      </c>
    </row>
    <row r="13" ht="20" customHeight="1" s="16">
      <c r="A13" s="1" t="n">
        <v>12</v>
      </c>
      <c r="B13" s="22" t="n"/>
      <c r="C13" s="2" t="inlineStr">
        <is>
          <t>电流传感器</t>
        </is>
      </c>
      <c r="D13" s="2" t="inlineStr">
        <is>
          <t>量程：±2A，分辨率：0.001A。用于测量电路中的电流。
1、传感器数据传输接口为智能Type-C接口，支持正反盲插，即插即用，自动识别；
2、支持与智能数字实验终端的Type-C接口嵌合卡口连接，也可与其USB接口连接；
3、支持与数据采集器的USB接口连接，多个传感器并行采集实验数据；
4、还支持与普通计算机USB口直接连接，传输数字化实验数据。</t>
        </is>
      </c>
      <c r="E13" s="1" t="inlineStr">
        <is>
          <t>只</t>
        </is>
      </c>
      <c r="F13" s="1" t="n">
        <v>2</v>
      </c>
      <c r="G13" s="3" t="inlineStr">
        <is>
          <t>群信</t>
        </is>
      </c>
      <c r="H13" s="1" t="n">
        <v>97</v>
      </c>
      <c r="I13" s="24" t="n">
        <v>2</v>
      </c>
      <c r="J13" s="20" t="n">
        <v>340</v>
      </c>
      <c r="K13" s="20" t="n">
        <v>680</v>
      </c>
      <c r="L13" s="20" t="inlineStr">
        <is>
          <t>只</t>
        </is>
      </c>
      <c r="M13" s="20" t="inlineStr"/>
      <c r="N13" s="20" t="inlineStr"/>
      <c r="O13" s="20" t="inlineStr"/>
      <c r="P13" s="20" t="inlineStr">
        <is>
          <t>低量程 0 μ S/cm～200 μ S/cm，中间量程0 μ S/cm～2000 μ S/cm，高量程 0 μ S/cm～20000 μ S/cm；分辨力：低量程 0.1 μ S/cm，中间量程 1 μ S/cm，高量程 10 μ S/cm；误差：低量程±8%，中间量程和高量程±5%</t>
        </is>
      </c>
      <c r="Q13" s="20" t="inlineStr"/>
      <c r="R13" s="20" t="inlineStr"/>
      <c r="S13" s="20" t="inlineStr"/>
      <c r="T13" s="20" t="inlineStr"/>
      <c r="U13" s="20" t="inlineStr">
        <is>
          <t>confirmed</t>
        </is>
      </c>
      <c r="V13" s="20" t="n">
        <v>72.7</v>
      </c>
      <c r="W13" s="20" t="inlineStr"/>
      <c r="X13" s="20" t="inlineStr">
        <is>
          <t>赛特尔25年.xls｜初中新课标化学｜第268行</t>
        </is>
      </c>
    </row>
    <row r="14" ht="20" customHeight="1" s="16">
      <c r="A14" s="1" t="n">
        <v>13</v>
      </c>
      <c r="B14" s="22" t="n"/>
      <c r="C14" s="2" t="inlineStr">
        <is>
          <t>多量程电流传感器</t>
        </is>
      </c>
      <c r="D14" s="2" t="inlineStr">
        <is>
          <t>量程1：-2A～+2A、分辨率：0.01A；
量程2：-200mA～+200mA、分辨率：0.1mA；
量程3：-20mA ～+20mA、分辨率：0.01mA ；用于测量电路中的电流。
自带硬件切换按钮，短按可在3种量程间循环切换。
1、传感器数据传输接口为智能Type-C接口，支持正反盲插，即插即用，自动识别；
2、支持与智能数字实验终端的Type-C接口嵌合卡口连接，也可与其USB接口连接；
3、支持与数据采集器的USB接口连接，多个传感器并行采集实验数据；
4、还支持与普通计算机USB口直接连接，传输数字化实验数据。</t>
        </is>
      </c>
      <c r="E14" s="1" t="inlineStr">
        <is>
          <t>只</t>
        </is>
      </c>
      <c r="F14" s="1" t="n">
        <v>2</v>
      </c>
      <c r="G14" s="3" t="inlineStr">
        <is>
          <t>群信</t>
        </is>
      </c>
      <c r="H14" s="1" t="n">
        <v>131</v>
      </c>
      <c r="I14" s="24" t="n">
        <v>2</v>
      </c>
      <c r="J14" s="20" t="n">
        <v>340</v>
      </c>
      <c r="K14" s="20" t="n">
        <v>680</v>
      </c>
      <c r="L14" s="20" t="inlineStr">
        <is>
          <t>只</t>
        </is>
      </c>
      <c r="M14" s="20" t="inlineStr"/>
      <c r="N14" s="20" t="inlineStr"/>
      <c r="O14" s="20" t="inlineStr"/>
      <c r="P14" s="20" t="inlineStr">
        <is>
          <t>低量程 0 μ S/cm～200 μ S/cm，中间量程0 μ S/cm～2000 μ S/cm，高量程 0 μ S/cm～20000 μ S/cm；分辨力：低量程 0.1 μ S/cm，中间量程 1 μ S/cm，高量程 10 μ S/cm；误差：低量程±8%，中间量程和高量程±5%</t>
        </is>
      </c>
      <c r="Q14" s="20" t="inlineStr"/>
      <c r="R14" s="20" t="inlineStr"/>
      <c r="S14" s="20" t="inlineStr"/>
      <c r="T14" s="20" t="inlineStr"/>
      <c r="U14" s="20" t="inlineStr">
        <is>
          <t>confirmed</t>
        </is>
      </c>
      <c r="V14" s="20" t="n">
        <v>57.1</v>
      </c>
      <c r="W14" s="20" t="inlineStr"/>
      <c r="X14" s="20" t="inlineStr">
        <is>
          <t>赛特尔25年.xls｜初中新课标化学｜第268行</t>
        </is>
      </c>
    </row>
    <row r="15" ht="20" customHeight="1" s="16">
      <c r="A15" s="1" t="n">
        <v>14</v>
      </c>
      <c r="B15" s="22" t="n"/>
      <c r="C15" s="2" t="inlineStr">
        <is>
          <t>微电流传感器</t>
        </is>
      </c>
      <c r="D15" s="2" t="inlineStr">
        <is>
          <t>量程：±50μA，分辨率：0.02μA。用于测量电路、电器两端的微安数量级的电流。
1、传感器数据传输接口为智能Type-C接口，支持正反盲插，即插即用，自动识别；
2、支持与智能数字实验终端的Type-C接口嵌合卡口连接，也可与其USB接口连接；
3、支持与数据采集器的USB接口连接，多个传感器并行采集实验数据；
4、还支持与普通计算机USB口直接连接，传输数字化实验数据。</t>
        </is>
      </c>
      <c r="E15" s="1" t="inlineStr">
        <is>
          <t>只</t>
        </is>
      </c>
      <c r="F15" s="1" t="n">
        <v>1</v>
      </c>
      <c r="G15" s="3" t="inlineStr">
        <is>
          <t>群信</t>
        </is>
      </c>
      <c r="H15" s="1" t="n">
        <v>97</v>
      </c>
      <c r="I15" s="24" t="n">
        <v>1</v>
      </c>
      <c r="J15" s="20" t="n">
        <v>80</v>
      </c>
      <c r="K15" s="20" t="n">
        <v>80</v>
      </c>
      <c r="L15" s="20" t="inlineStr">
        <is>
          <t>只</t>
        </is>
      </c>
      <c r="M15" s="20" t="inlineStr">
        <is>
          <t>群信</t>
        </is>
      </c>
      <c r="N15" s="20" t="inlineStr"/>
      <c r="O15" s="20" t="inlineStr">
        <is>
          <t>15032</t>
        </is>
      </c>
      <c r="P15" s="20" t="inlineStr">
        <is>
          <t>15032</t>
        </is>
      </c>
      <c r="Q15" s="20" t="inlineStr"/>
      <c r="R15" s="20" t="inlineStr"/>
      <c r="S15" s="20" t="inlineStr"/>
      <c r="T15" s="20" t="inlineStr"/>
      <c r="U15" s="20" t="inlineStr">
        <is>
          <t>confirmed</t>
        </is>
      </c>
      <c r="V15" s="20" t="n">
        <v>0</v>
      </c>
      <c r="W15" s="20" t="inlineStr">
        <is>
          <t>匹配到商品档案但无历史价格记录</t>
        </is>
      </c>
      <c r="X15" s="20" t="inlineStr">
        <is>
          <t>高中理化生报价.xlsx｜凯迪｜第108行</t>
        </is>
      </c>
    </row>
    <row r="16" ht="20" customHeight="1" s="16">
      <c r="A16" s="1" t="n">
        <v>15</v>
      </c>
      <c r="B16" s="22" t="n"/>
      <c r="C16" s="2" t="inlineStr">
        <is>
          <t>电压传感器</t>
        </is>
      </c>
      <c r="D16" s="2" t="inlineStr">
        <is>
          <t>量程：±20V，分辨率：0.01V。用于测量电路、电器两端的电压。
1、传感器数据传输接口为智能Type-C接口，支持正反盲插，即插即用，自动识别；
2、支持与智能数字实验终端的Type-C接口嵌合卡口连接，也可与其USB接口连接；
3、支持与数据采集器的USB接口连接，多个传感器并行采集实验数据；
4、还支持与普通计算机USB口直接连接，传输数字化实验数据。</t>
        </is>
      </c>
      <c r="E16" s="1" t="inlineStr">
        <is>
          <t>只</t>
        </is>
      </c>
      <c r="F16" s="1" t="n">
        <v>2</v>
      </c>
      <c r="G16" s="3" t="inlineStr">
        <is>
          <t>群信</t>
        </is>
      </c>
      <c r="H16" s="1" t="n">
        <v>97</v>
      </c>
      <c r="I16" s="24" t="n">
        <v>2</v>
      </c>
      <c r="J16" s="20" t="n">
        <v>340</v>
      </c>
      <c r="K16" s="20" t="n">
        <v>680</v>
      </c>
      <c r="L16" s="20" t="inlineStr">
        <is>
          <t>只</t>
        </is>
      </c>
      <c r="M16" s="20" t="inlineStr"/>
      <c r="N16" s="20" t="inlineStr"/>
      <c r="O16" s="20" t="inlineStr"/>
      <c r="P16" s="20" t="inlineStr">
        <is>
          <t>低量程 0 μ S/cm～200 μ S/cm，中间量程0 μ S/cm～2000 μ S/cm，高量程 0 μ S/cm～20000 μ S/cm；分辨力：低量程 0.1 μ S/cm，中间量程 1 μ S/cm，高量程 10 μ S/cm；误差：低量程±8%，中间量程和高量程±5%</t>
        </is>
      </c>
      <c r="Q16" s="20" t="n">
        <v>300</v>
      </c>
      <c r="R16" s="20" t="inlineStr"/>
      <c r="S16" s="20" t="inlineStr"/>
      <c r="T16" s="20" t="inlineStr"/>
      <c r="U16" s="20" t="inlineStr">
        <is>
          <t>confirmed</t>
        </is>
      </c>
      <c r="V16" s="20" t="n">
        <v>72.7</v>
      </c>
      <c r="W16" s="20" t="inlineStr"/>
      <c r="X16" s="20" t="inlineStr">
        <is>
          <t>赛特尔25年.xls｜初中新课标化学｜第268行</t>
        </is>
      </c>
    </row>
    <row r="17" ht="20" customHeight="1" s="16">
      <c r="A17" s="1" t="n">
        <v>16</v>
      </c>
      <c r="B17" s="22" t="n"/>
      <c r="C17" s="2" t="inlineStr">
        <is>
          <t>多量程电压传感器</t>
        </is>
      </c>
      <c r="D17" s="2" t="inlineStr">
        <is>
          <t>量程1：-20V～+20V、分辨率：0.01V；
量程2：-2V～+2V、分辨率：0.001V；
量程3：-0.2V～+0.2V、分辨率：0.0001V；用于测量电路、电器两端的电压。
自带硬件切换按钮，短按可在3种量程间循环切换。
1、传感器数据传输接口为智能Type-C接口，支持正反盲插，即插即用，自动识别；
2、支持与智能数字实验终端的Type-C接口嵌合卡口连接，也可与其USB接口连接；
3、支持与数据采集器的USB接口连接，多个传感器并行采集实验数据；
4、还支持与普通计算机USB口直接连接，传输数字化实验数据。</t>
        </is>
      </c>
      <c r="E17" s="1" t="inlineStr">
        <is>
          <t>只</t>
        </is>
      </c>
      <c r="F17" s="1" t="n">
        <v>2</v>
      </c>
      <c r="G17" s="3" t="inlineStr">
        <is>
          <t>群信</t>
        </is>
      </c>
      <c r="H17" s="1" t="n">
        <v>131</v>
      </c>
      <c r="I17" s="24" t="n">
        <v>2</v>
      </c>
      <c r="J17" s="20" t="n">
        <v>340</v>
      </c>
      <c r="K17" s="20" t="n">
        <v>680</v>
      </c>
      <c r="L17" s="20" t="inlineStr">
        <is>
          <t>只</t>
        </is>
      </c>
      <c r="M17" s="20" t="inlineStr"/>
      <c r="N17" s="20" t="inlineStr"/>
      <c r="O17" s="20" t="inlineStr"/>
      <c r="P17" s="20" t="inlineStr">
        <is>
          <t>低量程 0 μ S/cm～200 μ S/cm，中间量程0 μ S/cm～2000 μ S/cm，高量程 0 μ S/cm～20000 μ S/cm；分辨力：低量程 0.1 μ S/cm，中间量程 1 μ S/cm，高量程 10 μ S/cm；误差：低量程±8%，中间量程和高量程±5%</t>
        </is>
      </c>
      <c r="Q17" s="20" t="inlineStr"/>
      <c r="R17" s="20" t="inlineStr"/>
      <c r="S17" s="20" t="inlineStr"/>
      <c r="T17" s="20" t="inlineStr"/>
      <c r="U17" s="20" t="inlineStr">
        <is>
          <t>confirmed</t>
        </is>
      </c>
      <c r="V17" s="20" t="n">
        <v>57.1</v>
      </c>
      <c r="W17" s="20" t="inlineStr"/>
      <c r="X17" s="20" t="inlineStr">
        <is>
          <t>赛特尔25年.xls｜初中新课标化学｜第268行</t>
        </is>
      </c>
    </row>
    <row r="18" ht="20" customHeight="1" s="16">
      <c r="A18" s="1" t="n">
        <v>17</v>
      </c>
      <c r="B18" s="22" t="n"/>
      <c r="C18" s="2" t="inlineStr">
        <is>
          <t>交流电压传感器</t>
        </is>
      </c>
      <c r="D18" s="2" t="inlineStr">
        <is>
          <t>量程：0～36V；分辨率：0.1V。用于测量交流电压的有效值。
1、传感器数据传输接口为智能Type-C接口，支持正反盲插，即插即用，自动识别；
2、支持与智能数字实验终端的Type-C接口嵌合卡口连接，也可与其USB接口连接；
3、支持与数据采集器的USB接口连接，多个传感器并行采集实验数据；
4、还支持与普通计算机USB口直接连接，传输数字化实验数据。</t>
        </is>
      </c>
      <c r="E18" s="1" t="inlineStr">
        <is>
          <t>只</t>
        </is>
      </c>
      <c r="F18" s="1" t="n">
        <v>2</v>
      </c>
      <c r="G18" s="3" t="inlineStr">
        <is>
          <t>群信</t>
        </is>
      </c>
      <c r="H18" s="1" t="n">
        <v>131</v>
      </c>
      <c r="I18" s="24" t="n">
        <v>2</v>
      </c>
      <c r="J18" s="20" t="n">
        <v>340</v>
      </c>
      <c r="K18" s="20" t="n">
        <v>680</v>
      </c>
      <c r="L18" s="20" t="inlineStr">
        <is>
          <t>只</t>
        </is>
      </c>
      <c r="M18" s="20" t="inlineStr"/>
      <c r="N18" s="20" t="inlineStr"/>
      <c r="O18" s="20" t="inlineStr"/>
      <c r="P18" s="20" t="inlineStr">
        <is>
          <t>低量程 0 μ S/cm～200 μ S/cm，中间量程0 μ S/cm～2000 μ S/cm，高量程 0 μ S/cm～20000 μ S/cm；分辨力：低量程 0.1 μ S/cm，中间量程 1 μ S/cm，高量程 10 μ S/cm；误差：低量程±8%，中间量程和高量程±5%</t>
        </is>
      </c>
      <c r="Q18" s="20" t="n">
        <v>300</v>
      </c>
      <c r="R18" s="20" t="inlineStr"/>
      <c r="S18" s="20" t="inlineStr"/>
      <c r="T18" s="20" t="inlineStr"/>
      <c r="U18" s="20" t="inlineStr">
        <is>
          <t>confirmed</t>
        </is>
      </c>
      <c r="V18" s="20" t="n">
        <v>61.5</v>
      </c>
      <c r="W18" s="20" t="inlineStr"/>
      <c r="X18" s="20" t="inlineStr">
        <is>
          <t>赛特尔25年.xls｜初中新课标化学｜第268行</t>
        </is>
      </c>
    </row>
    <row r="19" ht="20" customHeight="1" s="16">
      <c r="A19" s="1" t="n">
        <v>18</v>
      </c>
      <c r="B19" s="21" t="n"/>
      <c r="C19" s="2" t="inlineStr">
        <is>
          <t>电磁定位系统</t>
        </is>
      </c>
      <c r="D19" s="2" t="inlineStr">
        <is>
          <t>硬件：
1、相机：高速120帧、USB2.0接口 
2、相机镜头：高清、无畸变、USB接口 
3、结构：型材支架、电磁定位面板、线、不同颜色小球组成                                                                  
软件：
1、通过实时定位，检测跟踪有色小球在定位板上的坐标，研究物体在平面内的运动规律；可直接与计算机或移动终端通信；选配器材包含单摆实验装置、平抛斜抛运动实验装置、自由落体实验装置。
2、定位准确、采集频率高，不受外部环境干扰。
3、数据拟合功能：软件自带数据拟合功能，可进行线性拟合、周期拟合，可直接分析出周期、速度、加速度等物理量。</t>
        </is>
      </c>
      <c r="E19" s="1" t="inlineStr">
        <is>
          <t>套</t>
        </is>
      </c>
      <c r="F19" s="1" t="n">
        <v>1</v>
      </c>
      <c r="G19" s="3" t="inlineStr">
        <is>
          <t>群信</t>
        </is>
      </c>
      <c r="H19" s="1" t="n">
        <v>1530</v>
      </c>
      <c r="I19" s="24" t="n">
        <v>1</v>
      </c>
      <c r="J19" s="20" t="n">
        <v>5000</v>
      </c>
      <c r="K19" s="20" t="n">
        <v>5000</v>
      </c>
      <c r="L19" s="20" t="inlineStr">
        <is>
          <t>套</t>
        </is>
      </c>
      <c r="M19" s="20" t="inlineStr"/>
      <c r="N19" s="20" t="inlineStr"/>
      <c r="O19" s="20" t="inlineStr"/>
      <c r="P19" s="20" t="inlineStr"/>
      <c r="Q19" s="20" t="inlineStr"/>
      <c r="R19" s="20" t="inlineStr"/>
      <c r="S19" s="20" t="inlineStr"/>
      <c r="T19" s="20" t="inlineStr"/>
      <c r="U19" s="20" t="inlineStr">
        <is>
          <t>confirmed</t>
        </is>
      </c>
      <c r="V19" s="20" t="n">
        <v>0</v>
      </c>
      <c r="W19" s="20" t="inlineStr">
        <is>
          <t>匹配到商品档案但无历史价格记录</t>
        </is>
      </c>
      <c r="X19" s="20" t="inlineStr">
        <is>
          <t>赛特尔25年.xls｜高中地理｜第61行</t>
        </is>
      </c>
    </row>
    <row r="20" ht="31.2" customHeight="1" s="16">
      <c r="A20" s="1" t="n">
        <v>19</v>
      </c>
      <c r="B20" s="1" t="inlineStr">
        <is>
          <t>力学</t>
        </is>
      </c>
      <c r="C20" s="2" t="inlineStr">
        <is>
          <t>电 火 花计时器</t>
        </is>
      </c>
      <c r="D20" s="5" t="inlineStr">
        <is>
          <t>交流电压：220 V，单频率：0.020s，火花距离≥10 mm，平均电流≤0.5 mA，附固定夹</t>
        </is>
      </c>
      <c r="E20" s="1" t="inlineStr">
        <is>
          <t>个</t>
        </is>
      </c>
      <c r="F20" s="1" t="n">
        <v>26</v>
      </c>
      <c r="G20" s="3" t="inlineStr">
        <is>
          <t>群信</t>
        </is>
      </c>
      <c r="H20" s="1" t="n"/>
      <c r="I20" s="24" t="n">
        <v>26</v>
      </c>
      <c r="J20" s="20" t="n">
        <v>38</v>
      </c>
      <c r="K20" s="20" t="n">
        <v>988</v>
      </c>
      <c r="L20" s="20" t="inlineStr">
        <is>
          <t>个</t>
        </is>
      </c>
      <c r="M20" s="20" t="inlineStr">
        <is>
          <t>群信</t>
        </is>
      </c>
      <c r="N20" s="20" t="inlineStr"/>
      <c r="O20" s="20" t="inlineStr">
        <is>
          <t>12005</t>
        </is>
      </c>
      <c r="P20" s="20" t="inlineStr">
        <is>
          <t>12005</t>
        </is>
      </c>
      <c r="Q20" s="20" t="inlineStr"/>
      <c r="R20" s="20" t="inlineStr"/>
      <c r="S20" s="20" t="inlineStr"/>
      <c r="T20" s="20" t="inlineStr"/>
      <c r="U20" s="20" t="inlineStr">
        <is>
          <t>confirmed</t>
        </is>
      </c>
      <c r="V20" s="20" t="n">
        <v>100</v>
      </c>
      <c r="W20" s="20" t="inlineStr"/>
      <c r="X20" s="20" t="inlineStr">
        <is>
          <t>高中理化生报价.xlsx｜凯迪｜第66行</t>
        </is>
      </c>
    </row>
    <row r="21" ht="46.8" customHeight="1" s="16">
      <c r="A21" s="1" t="n">
        <v>20</v>
      </c>
      <c r="B21" s="21" t="n"/>
      <c r="C21" s="2" t="inlineStr">
        <is>
          <t>电磁打点计时器</t>
        </is>
      </c>
      <c r="D21" s="5" t="inlineStr">
        <is>
          <t>电压 6 V～9 V、50 Hz 交流电，单频率： 0.020s，火花距离≥10 mm，平均电流≤0.5 mA，连续打 50 点应无漏点、重合点，点迹清晰，附固定夹</t>
        </is>
      </c>
      <c r="E21" s="1" t="inlineStr">
        <is>
          <t>个</t>
        </is>
      </c>
      <c r="F21" s="1" t="n">
        <v>26</v>
      </c>
      <c r="G21" s="3" t="inlineStr">
        <is>
          <t>群信群信</t>
        </is>
      </c>
      <c r="H21" s="1" t="n"/>
      <c r="I21" s="24" t="n">
        <v>26</v>
      </c>
      <c r="J21" s="20" t="n">
        <v>34</v>
      </c>
      <c r="K21" s="20" t="n">
        <v>884</v>
      </c>
      <c r="L21" s="20" t="inlineStr">
        <is>
          <t>个</t>
        </is>
      </c>
      <c r="M21" s="20" t="inlineStr">
        <is>
          <t>群信</t>
        </is>
      </c>
      <c r="N21" s="20" t="inlineStr"/>
      <c r="O21" s="20" t="inlineStr">
        <is>
          <t>12006</t>
        </is>
      </c>
      <c r="P21" s="20" t="inlineStr">
        <is>
          <t>12006</t>
        </is>
      </c>
      <c r="Q21" s="20" t="inlineStr"/>
      <c r="R21" s="20" t="inlineStr"/>
      <c r="S21" s="20" t="inlineStr"/>
      <c r="T21" s="20" t="inlineStr"/>
      <c r="U21" s="20" t="inlineStr">
        <is>
          <t>confirmed</t>
        </is>
      </c>
      <c r="V21" s="20" t="n">
        <v>100</v>
      </c>
      <c r="W21" s="20" t="inlineStr"/>
      <c r="X21" s="20" t="inlineStr">
        <is>
          <t>高中理化生报价.xlsx｜凯迪｜第67行</t>
        </is>
      </c>
    </row>
    <row r="22" ht="46.8" customHeight="1" s="16">
      <c r="A22" s="1" t="n">
        <v>21</v>
      </c>
      <c r="B22" s="1" t="inlineStr">
        <is>
          <t>力学</t>
        </is>
      </c>
      <c r="C22" s="2" t="inlineStr">
        <is>
          <t>演示斜面小车</t>
        </is>
      </c>
      <c r="D22" s="5" t="inlineStr">
        <is>
          <t>斜面板长≥1200 mm，一端应有滑轮、缓冲或捕获小车的装置；斜面板工作面平面度误差应小于 2 mm；附摩擦材料丁腈橡胶、砂纸、棉布等，有摩擦材料的固定夹</t>
        </is>
      </c>
      <c r="E22" s="1" t="inlineStr">
        <is>
          <t>套</t>
        </is>
      </c>
      <c r="F22" s="1" t="n">
        <v>1</v>
      </c>
      <c r="G22" s="3" t="inlineStr">
        <is>
          <t>群信</t>
        </is>
      </c>
      <c r="H22" s="1" t="n"/>
      <c r="I22" s="24" t="n">
        <v>1</v>
      </c>
      <c r="J22" s="20" t="n">
        <v>70</v>
      </c>
      <c r="K22" s="20" t="n">
        <v>70</v>
      </c>
      <c r="L22" s="20" t="inlineStr">
        <is>
          <t>套</t>
        </is>
      </c>
      <c r="M22" s="20" t="inlineStr">
        <is>
          <t>群信</t>
        </is>
      </c>
      <c r="N22" s="20" t="inlineStr"/>
      <c r="O22" s="20" t="inlineStr">
        <is>
          <t>21053</t>
        </is>
      </c>
      <c r="P22" s="20" t="inlineStr">
        <is>
          <t>21053</t>
        </is>
      </c>
      <c r="Q22" s="20" t="inlineStr"/>
      <c r="R22" s="20" t="inlineStr"/>
      <c r="S22" s="20" t="inlineStr"/>
      <c r="T22" s="20" t="inlineStr"/>
      <c r="U22" s="20" t="inlineStr">
        <is>
          <t>confirmed</t>
        </is>
      </c>
      <c r="V22" s="20" t="n">
        <v>100</v>
      </c>
      <c r="W22" s="20" t="inlineStr"/>
      <c r="X22" s="20" t="inlineStr">
        <is>
          <t>高中理化生报价.xlsx｜凯迪｜第138行</t>
        </is>
      </c>
    </row>
    <row r="23" ht="93.59999999999999" customHeight="1" s="16">
      <c r="A23" s="1" t="n">
        <v>22</v>
      </c>
      <c r="B23" s="21" t="n"/>
      <c r="C23" s="2" t="inlineStr">
        <is>
          <t>演示轨道小车</t>
        </is>
      </c>
      <c r="D23" s="5" t="inlineStr">
        <is>
          <t>由铝合金轨道、2 辆小车及配件组成，应有调节轨道倾斜度的装置，轨道始端应有固定及释放小车的装置，终端有捕捉小车的装置。轨道的有效运动长度≥900 mm，轨道轨面的直线度误差不大于有效长度的 0.03%；可进行打点计时法测量加速度、滑动摩擦与滚动摩擦、物质的惯性、弹性碰撞、非弹性碰撞等实验；测量加速度相对误差≤8%</t>
        </is>
      </c>
      <c r="E23" s="1" t="inlineStr">
        <is>
          <t>套</t>
        </is>
      </c>
      <c r="F23" s="1" t="n">
        <v>1</v>
      </c>
      <c r="G23" s="3" t="inlineStr">
        <is>
          <t>群信</t>
        </is>
      </c>
      <c r="H23" s="1" t="n"/>
      <c r="I23" s="24" t="n">
        <v>1</v>
      </c>
      <c r="J23" s="20" t="n">
        <v>55</v>
      </c>
      <c r="K23" s="20" t="n">
        <v>55</v>
      </c>
      <c r="L23" s="20" t="inlineStr">
        <is>
          <t>套</t>
        </is>
      </c>
      <c r="M23" s="20" t="inlineStr">
        <is>
          <t>群信</t>
        </is>
      </c>
      <c r="N23" s="20" t="inlineStr"/>
      <c r="O23" s="20" t="inlineStr">
        <is>
          <t>21051</t>
        </is>
      </c>
      <c r="P23" s="20" t="inlineStr">
        <is>
          <t>21051</t>
        </is>
      </c>
      <c r="Q23" s="20" t="inlineStr"/>
      <c r="R23" s="20" t="inlineStr"/>
      <c r="S23" s="20" t="inlineStr"/>
      <c r="T23" s="20" t="inlineStr"/>
      <c r="U23" s="20" t="inlineStr">
        <is>
          <t>confirmed</t>
        </is>
      </c>
      <c r="V23" s="20" t="n">
        <v>100</v>
      </c>
      <c r="W23" s="20" t="inlineStr"/>
      <c r="X23" s="20" t="inlineStr">
        <is>
          <t>高中理化生报价.xlsx｜凯迪｜第137行</t>
        </is>
      </c>
    </row>
    <row r="24" ht="62.4" customHeight="1" s="16">
      <c r="A24" s="1" t="n">
        <v>23</v>
      </c>
      <c r="B24" s="1" t="n"/>
      <c r="C24" s="2" t="inlineStr">
        <is>
          <t>斜面小车</t>
        </is>
      </c>
      <c r="D24" s="5" t="inlineStr">
        <is>
          <t>包括斜面、小车、摩擦块、支撑杆、砝码桶和摩擦材料等，与教学支架配套使用；斜面板≥915 mm×100 mm×20 mm，一端应有滑轮、缓冲或捕获小车的装置；斜面板工作面平面度误差应小于 2 mm；附摩擦材料丁腈橡胶、砂纸、棉布等，有摩擦材料的固定夹</t>
        </is>
      </c>
      <c r="E24" s="1" t="inlineStr">
        <is>
          <t>套</t>
        </is>
      </c>
      <c r="F24" s="1" t="n">
        <v>26</v>
      </c>
      <c r="G24" s="3" t="inlineStr">
        <is>
          <t>群信</t>
        </is>
      </c>
      <c r="H24" s="1" t="n"/>
      <c r="I24" s="24" t="n">
        <v>26</v>
      </c>
      <c r="J24" s="20" t="n">
        <v>46</v>
      </c>
      <c r="K24" s="20" t="n">
        <v>1196</v>
      </c>
      <c r="L24" s="20" t="inlineStr">
        <is>
          <t>套</t>
        </is>
      </c>
      <c r="M24" s="20" t="inlineStr">
        <is>
          <t>群信</t>
        </is>
      </c>
      <c r="N24" s="20" t="inlineStr"/>
      <c r="O24" s="20" t="inlineStr">
        <is>
          <t>21054</t>
        </is>
      </c>
      <c r="P24" s="20" t="inlineStr">
        <is>
          <t>21054</t>
        </is>
      </c>
      <c r="Q24" s="20" t="n">
        <v>60</v>
      </c>
      <c r="R24" s="20" t="inlineStr"/>
      <c r="S24" s="20" t="inlineStr"/>
      <c r="T24" s="20" t="inlineStr"/>
      <c r="U24" s="20" t="inlineStr">
        <is>
          <t>confirmed</t>
        </is>
      </c>
      <c r="V24" s="20" t="n">
        <v>100</v>
      </c>
      <c r="W24" s="20" t="inlineStr">
        <is>
          <t>同分多价：最高分候选存在不同历史价格</t>
        </is>
      </c>
      <c r="X24" s="20" t="inlineStr">
        <is>
          <t>高中理化生报价.xlsx｜凯迪｜第139行</t>
        </is>
      </c>
    </row>
    <row r="25" ht="93.59999999999999" customHeight="1" s="16">
      <c r="A25" s="1" t="n">
        <v>24</v>
      </c>
      <c r="B25" s="1" t="inlineStr">
        <is>
          <t>力学</t>
        </is>
      </c>
      <c r="C25" s="2" t="inlineStr">
        <is>
          <t>轨道小车</t>
        </is>
      </c>
      <c r="D25" s="5" t="inlineStr">
        <is>
          <t>车拖纸带打点式；由轨道、1 辆小车及配件组成，应配有打点纸带，应有调节轨道倾斜度的装置，轨道始端应有固定及释放小车的装置、固定计时器的平台，终端有捕捉小车的装置；轨道的有效运动长度≥600 mm，轨道轨面的直线度误差不大于有效长度的 0.03%；安装计时器后，记录纸带应能平行轨道运动；在倾斜度1:50 的轨道上小车应能从静止开始运动</t>
        </is>
      </c>
      <c r="E25" s="1" t="inlineStr">
        <is>
          <t>套</t>
        </is>
      </c>
      <c r="F25" s="1" t="n">
        <v>26</v>
      </c>
      <c r="G25" s="3" t="inlineStr">
        <is>
          <t>群信</t>
        </is>
      </c>
      <c r="H25" s="1" t="n"/>
      <c r="I25" s="24" t="n">
        <v>26</v>
      </c>
      <c r="J25" s="20" t="n">
        <v>55</v>
      </c>
      <c r="K25" s="20" t="n">
        <v>1430</v>
      </c>
      <c r="L25" s="20" t="inlineStr">
        <is>
          <t>套</t>
        </is>
      </c>
      <c r="M25" s="20" t="inlineStr">
        <is>
          <t>群信</t>
        </is>
      </c>
      <c r="N25" s="20" t="inlineStr"/>
      <c r="O25" s="20" t="inlineStr">
        <is>
          <t>21051</t>
        </is>
      </c>
      <c r="P25" s="20" t="inlineStr">
        <is>
          <t>21051</t>
        </is>
      </c>
      <c r="Q25" s="20" t="inlineStr"/>
      <c r="R25" s="20" t="inlineStr"/>
      <c r="S25" s="20" t="inlineStr"/>
      <c r="T25" s="20" t="inlineStr"/>
      <c r="U25" s="20" t="inlineStr">
        <is>
          <t>confirmed</t>
        </is>
      </c>
      <c r="V25" s="20" t="n">
        <v>100</v>
      </c>
      <c r="W25" s="20" t="inlineStr"/>
      <c r="X25" s="20" t="inlineStr">
        <is>
          <t>高中理化生报价.xlsx｜凯迪｜第137行</t>
        </is>
      </c>
    </row>
    <row r="26" ht="15.6" customHeight="1" s="16">
      <c r="A26" s="1" t="n">
        <v>25</v>
      </c>
      <c r="B26" s="1" t="inlineStr">
        <is>
          <t>力学</t>
        </is>
      </c>
      <c r="C26" s="2" t="inlineStr">
        <is>
          <t>坐标纸</t>
        </is>
      </c>
      <c r="D26" s="5" t="inlineStr">
        <is>
          <t>1 cm 大格，1 mm 小格，A3型</t>
        </is>
      </c>
      <c r="E26" s="6" t="inlineStr">
        <is>
          <t>张</t>
        </is>
      </c>
      <c r="F26" s="1" t="n">
        <v>400</v>
      </c>
      <c r="G26" s="3" t="inlineStr">
        <is>
          <t>群信</t>
        </is>
      </c>
      <c r="H26" s="1" t="n"/>
      <c r="I26" s="24" t="n">
        <v>400</v>
      </c>
      <c r="J26" s="20" t="n">
        <v>0.8</v>
      </c>
      <c r="K26" s="20" t="n">
        <v>320</v>
      </c>
      <c r="L26" s="20" t="inlineStr">
        <is>
          <t>张</t>
        </is>
      </c>
      <c r="M26" s="20" t="inlineStr"/>
      <c r="N26" s="20" t="inlineStr"/>
      <c r="O26" s="20" t="inlineStr"/>
      <c r="P26" s="20" t="inlineStr"/>
      <c r="Q26" s="20" t="inlineStr"/>
      <c r="R26" s="20" t="inlineStr"/>
      <c r="S26" s="20" t="inlineStr"/>
      <c r="T26" s="20" t="inlineStr"/>
      <c r="U26" s="20" t="inlineStr">
        <is>
          <t>confirmed</t>
        </is>
      </c>
      <c r="V26" s="20" t="n">
        <v>100</v>
      </c>
      <c r="W26" s="20" t="inlineStr"/>
      <c r="X26" s="20" t="inlineStr">
        <is>
          <t>赛特尔25年.xls｜初中新课标数学｜第5行</t>
        </is>
      </c>
    </row>
    <row r="27" ht="15.6" customHeight="1" s="16">
      <c r="A27" s="1" t="n">
        <v>26</v>
      </c>
      <c r="B27" s="22" t="n"/>
      <c r="C27" s="2" t="inlineStr">
        <is>
          <t>金属直尺（钢直尺）</t>
        </is>
      </c>
      <c r="D27" s="2" t="inlineStr">
        <is>
          <t>1000 mm</t>
        </is>
      </c>
      <c r="E27" s="1" t="inlineStr">
        <is>
          <t>把</t>
        </is>
      </c>
      <c r="F27" s="1" t="n">
        <v>26</v>
      </c>
      <c r="G27" s="3" t="inlineStr">
        <is>
          <t>曙光</t>
        </is>
      </c>
      <c r="H27" s="1" t="n"/>
      <c r="I27" s="24" t="n">
        <v>26</v>
      </c>
      <c r="J27" s="20" t="n">
        <v>5</v>
      </c>
      <c r="K27" s="20" t="n">
        <v>130</v>
      </c>
      <c r="L27" s="20" t="inlineStr">
        <is>
          <t>把</t>
        </is>
      </c>
      <c r="M27" s="20" t="inlineStr"/>
      <c r="N27" s="20" t="inlineStr"/>
      <c r="O27" s="20" t="inlineStr"/>
      <c r="P27" s="20" t="inlineStr"/>
      <c r="Q27" s="20" t="inlineStr"/>
      <c r="R27" s="20" t="inlineStr"/>
      <c r="S27" s="20" t="inlineStr"/>
      <c r="T27" s="20" t="inlineStr"/>
      <c r="U27" s="20" t="inlineStr">
        <is>
          <t>confirmed</t>
        </is>
      </c>
      <c r="V27" s="20" t="n">
        <v>100</v>
      </c>
      <c r="W27" s="20" t="inlineStr"/>
      <c r="X27" s="20" t="inlineStr">
        <is>
          <t>赛特尔25年.xls｜高中通用技术｜第155行</t>
        </is>
      </c>
    </row>
    <row r="28" ht="15.6" customHeight="1" s="16">
      <c r="A28" s="1" t="n">
        <v>27</v>
      </c>
      <c r="B28" s="21" t="n"/>
      <c r="C28" s="21" t="n"/>
      <c r="D28" s="2" t="inlineStr">
        <is>
          <t>300 mm</t>
        </is>
      </c>
      <c r="E28" s="1" t="inlineStr">
        <is>
          <t>把</t>
        </is>
      </c>
      <c r="F28" s="1" t="n">
        <v>26</v>
      </c>
      <c r="G28" s="3" t="inlineStr">
        <is>
          <t>曙光</t>
        </is>
      </c>
      <c r="H28" s="1" t="n"/>
      <c r="I28" s="24" t="n">
        <v>26</v>
      </c>
      <c r="J28" s="20" t="n">
        <v>5</v>
      </c>
      <c r="K28" s="20" t="n">
        <v>130</v>
      </c>
      <c r="L28" s="20" t="inlineStr">
        <is>
          <t>把</t>
        </is>
      </c>
      <c r="M28" s="20" t="inlineStr"/>
      <c r="N28" s="20" t="inlineStr"/>
      <c r="O28" s="20" t="inlineStr"/>
      <c r="P28" s="20" t="inlineStr"/>
      <c r="Q28" s="20" t="inlineStr"/>
      <c r="R28" s="20" t="inlineStr"/>
      <c r="S28" s="20" t="inlineStr"/>
      <c r="T28" s="20" t="inlineStr"/>
      <c r="U28" s="20" t="inlineStr">
        <is>
          <t>confirmed</t>
        </is>
      </c>
      <c r="V28" s="20" t="n">
        <v>100</v>
      </c>
      <c r="W28" s="20" t="inlineStr"/>
      <c r="X28" s="20" t="inlineStr">
        <is>
          <t>赛特尔25年.xls｜高中通用技术｜第155行</t>
        </is>
      </c>
    </row>
    <row r="29" ht="46.8" customHeight="1" s="16">
      <c r="A29" s="1" t="n">
        <v>28</v>
      </c>
      <c r="B29" s="1" t="inlineStr">
        <is>
          <t>力学</t>
        </is>
      </c>
      <c r="C29" s="2" t="inlineStr">
        <is>
          <t>钢卷尺</t>
        </is>
      </c>
      <c r="D29" s="5" t="inlineStr">
        <is>
          <t>0 mm～5000 mm，分度值 1 mm。B 型（自卷制动式），尺带宽不小于 12 mm，厚不低于 0.15 mm。尺带拉伸、收卷轻便灵活，无卡阻现象</t>
        </is>
      </c>
      <c r="E29" s="1" t="inlineStr">
        <is>
          <t>把</t>
        </is>
      </c>
      <c r="F29" s="1" t="n">
        <v>2</v>
      </c>
      <c r="G29" s="3" t="inlineStr">
        <is>
          <t>军舰</t>
        </is>
      </c>
      <c r="H29" s="1" t="n"/>
      <c r="I29" s="24" t="n">
        <v>2</v>
      </c>
      <c r="J29" s="20" t="n">
        <v>3</v>
      </c>
      <c r="K29" s="20" t="n">
        <v>6</v>
      </c>
      <c r="L29" s="20" t="inlineStr">
        <is>
          <t>把</t>
        </is>
      </c>
      <c r="M29" s="20" t="inlineStr"/>
      <c r="N29" s="20" t="inlineStr"/>
      <c r="O29" s="20" t="inlineStr"/>
      <c r="P29" s="20" t="inlineStr"/>
      <c r="Q29" s="20" t="inlineStr"/>
      <c r="R29" s="20" t="inlineStr"/>
      <c r="S29" s="20" t="inlineStr"/>
      <c r="T29" s="20" t="inlineStr"/>
      <c r="U29" s="20" t="inlineStr">
        <is>
          <t>confirmed</t>
        </is>
      </c>
      <c r="V29" s="20" t="n">
        <v>0</v>
      </c>
      <c r="W29" s="20" t="inlineStr">
        <is>
          <t>没有找到可靠候选</t>
        </is>
      </c>
      <c r="X29" s="20" t="inlineStr">
        <is>
          <t>赛特尔25年.xls｜初中地理｜第10行</t>
        </is>
      </c>
    </row>
    <row r="30" ht="46.8" customHeight="1" s="16">
      <c r="A30" s="1" t="n">
        <v>29</v>
      </c>
      <c r="B30" s="21" t="n"/>
      <c r="C30" s="2" t="inlineStr">
        <is>
          <t>游标卡尺</t>
        </is>
      </c>
      <c r="D30" s="5" t="inlineStr">
        <is>
          <t>测量范围 0 mm～150 mm，分度值 0.05 mm，尺框微动装置沿尺身移动平稳、无卡滞和松动现象，用制动螺钉能准确、可靠的固定在尺身上，带深度尺</t>
        </is>
      </c>
      <c r="E30" s="1" t="inlineStr">
        <is>
          <t>把</t>
        </is>
      </c>
      <c r="F30" s="1" t="n">
        <v>26</v>
      </c>
      <c r="G30" s="3" t="inlineStr">
        <is>
          <t>卡工量</t>
        </is>
      </c>
      <c r="H30" s="1" t="n"/>
      <c r="I30" s="24" t="n">
        <v>26</v>
      </c>
      <c r="J30" s="20" t="n">
        <v>30</v>
      </c>
      <c r="K30" s="20" t="n">
        <v>780</v>
      </c>
      <c r="L30" s="20" t="inlineStr">
        <is>
          <t>把</t>
        </is>
      </c>
      <c r="M30" s="20" t="inlineStr"/>
      <c r="N30" s="20" t="inlineStr"/>
      <c r="O30" s="20" t="inlineStr"/>
      <c r="P30" s="20" t="inlineStr"/>
      <c r="Q30" s="20" t="n">
        <v>30</v>
      </c>
      <c r="R30" s="20" t="inlineStr"/>
      <c r="S30" s="20" t="inlineStr"/>
      <c r="T30" s="20" t="inlineStr"/>
      <c r="U30" s="20" t="inlineStr">
        <is>
          <t>confirmed</t>
        </is>
      </c>
      <c r="V30" s="20" t="n">
        <v>100</v>
      </c>
      <c r="W30" s="20" t="inlineStr"/>
      <c r="X30" s="20" t="inlineStr">
        <is>
          <t>赛特尔25年.xls｜初中新课标物理｜第163行</t>
        </is>
      </c>
    </row>
    <row r="31" ht="46.8" customHeight="1" s="16">
      <c r="A31" s="1" t="n">
        <v>30</v>
      </c>
      <c r="B31" s="1" t="inlineStr">
        <is>
          <t>力学</t>
        </is>
      </c>
      <c r="C31" s="2" t="inlineStr">
        <is>
          <t>演示外径千分尺（演示螺旋测微器）</t>
        </is>
      </c>
      <c r="D31" s="5" t="inlineStr">
        <is>
          <t>木质或铝合金材质，刻度清晰，刻度放大比例 1:20，锁紧装置能有效锁紧测微装置</t>
        </is>
      </c>
      <c r="E31" s="1" t="inlineStr">
        <is>
          <t>台</t>
        </is>
      </c>
      <c r="F31" s="1" t="n">
        <v>2</v>
      </c>
      <c r="G31" s="3" t="inlineStr">
        <is>
          <t>神宏桥</t>
        </is>
      </c>
      <c r="H31" s="1" t="n"/>
      <c r="I31" s="24" t="n">
        <v>2</v>
      </c>
      <c r="J31" s="20" t="n">
        <v>30</v>
      </c>
      <c r="K31" s="20" t="n">
        <v>60</v>
      </c>
      <c r="L31" s="20" t="inlineStr">
        <is>
          <t>台</t>
        </is>
      </c>
      <c r="M31" s="20" t="inlineStr">
        <is>
          <t>卡工量</t>
        </is>
      </c>
      <c r="N31" s="20" t="inlineStr"/>
      <c r="O31" s="20" t="inlineStr">
        <is>
          <t>10011</t>
        </is>
      </c>
      <c r="P31" s="20" t="inlineStr">
        <is>
          <t>10011</t>
        </is>
      </c>
      <c r="Q31" s="20" t="inlineStr"/>
      <c r="R31" s="20" t="inlineStr"/>
      <c r="S31" s="20" t="inlineStr"/>
      <c r="T31" s="20" t="inlineStr"/>
      <c r="U31" s="20" t="inlineStr">
        <is>
          <t>confirmed</t>
        </is>
      </c>
      <c r="V31" s="20" t="n">
        <v>0</v>
      </c>
      <c r="W31" s="20" t="inlineStr">
        <is>
          <t>匹配到商品档案但无历史价格记录</t>
        </is>
      </c>
      <c r="X31" s="20" t="inlineStr">
        <is>
          <t>高中理化生报价.xlsx｜凯迪｜第50行</t>
        </is>
      </c>
    </row>
    <row r="32" ht="46.8" customHeight="1" s="16">
      <c r="A32" s="1" t="n">
        <v>31</v>
      </c>
      <c r="B32" s="21" t="n"/>
      <c r="C32" s="2" t="inlineStr">
        <is>
          <t>外径千分尺（螺旋测微器）</t>
        </is>
      </c>
      <c r="D32" s="5" t="inlineStr">
        <is>
          <t>测量范围 0 mm～25 mm，分度值 0.01 mm。螺杆和螺母全量程范围内充分啮合，配合良好，无明显卡滞和轴向窜动，螺杆与轴套配合良好无明显径向摆动，锁紧装置能有效锁紧测微装置</t>
        </is>
      </c>
      <c r="E32" s="1" t="inlineStr">
        <is>
          <t>把</t>
        </is>
      </c>
      <c r="F32" s="1" t="n">
        <v>26</v>
      </c>
      <c r="G32" s="3" t="inlineStr">
        <is>
          <t>卡工量</t>
        </is>
      </c>
      <c r="H32" s="1" t="n"/>
      <c r="I32" s="24" t="n">
        <v>26</v>
      </c>
      <c r="J32" s="20" t="n">
        <v>30</v>
      </c>
      <c r="K32" s="20" t="n">
        <v>780</v>
      </c>
      <c r="L32" s="20" t="inlineStr">
        <is>
          <t>把</t>
        </is>
      </c>
      <c r="M32" s="20" t="inlineStr">
        <is>
          <t>卡工量</t>
        </is>
      </c>
      <c r="N32" s="20" t="inlineStr"/>
      <c r="O32" s="20" t="inlineStr">
        <is>
          <t>10011</t>
        </is>
      </c>
      <c r="P32" s="20" t="inlineStr">
        <is>
          <t>10011</t>
        </is>
      </c>
      <c r="Q32" s="20" t="inlineStr"/>
      <c r="R32" s="20" t="inlineStr"/>
      <c r="S32" s="20" t="inlineStr"/>
      <c r="T32" s="20" t="inlineStr"/>
      <c r="U32" s="20" t="inlineStr">
        <is>
          <t>confirmed</t>
        </is>
      </c>
      <c r="V32" s="20" t="n">
        <v>0</v>
      </c>
      <c r="W32" s="20" t="inlineStr">
        <is>
          <t>匹配到商品档案但无历史价格记录</t>
        </is>
      </c>
      <c r="X32" s="20" t="inlineStr">
        <is>
          <t>高中理化生报价.xlsx｜凯迪｜第50行</t>
        </is>
      </c>
    </row>
    <row r="33" ht="46.8" customHeight="1" s="16">
      <c r="A33" s="1" t="n">
        <v>32</v>
      </c>
      <c r="B33" s="1" t="n"/>
      <c r="C33" s="2" t="inlineStr">
        <is>
          <t>金属钩码</t>
        </is>
      </c>
      <c r="D33" s="5" t="inlineStr">
        <is>
          <t>50 g±0.5 g，每盒 10 个，可叠放；材料采用纯度 99.6%、粒度不小于 80#的铁基粉或其它钢材，钩码表面应有防腐镀层；硬度不小于 HB70；上下勾的连线应通过钩码主体的轴线</t>
        </is>
      </c>
      <c r="E33" s="1" t="inlineStr">
        <is>
          <t>套</t>
        </is>
      </c>
      <c r="F33" s="1" t="n">
        <v>26</v>
      </c>
      <c r="G33" s="3" t="inlineStr">
        <is>
          <t>群信</t>
        </is>
      </c>
      <c r="H33" s="1" t="n"/>
      <c r="I33" s="24" t="n">
        <v>26</v>
      </c>
      <c r="J33" s="20" t="n">
        <v>14</v>
      </c>
      <c r="K33" s="20" t="n">
        <v>364</v>
      </c>
      <c r="L33" s="20" t="inlineStr">
        <is>
          <t>套</t>
        </is>
      </c>
      <c r="M33" s="20" t="inlineStr"/>
      <c r="N33" s="20" t="inlineStr"/>
      <c r="O33" s="20" t="inlineStr"/>
      <c r="P33" s="20" t="inlineStr">
        <is>
          <t>10 g（ Φ 22 mm）×l，20 g（ Φ 26 mm）×2，50 g（ Φ 30 mm）×2，200 g（ Φ 48 mm）×1，允许误差：10 g±0.1 g，20 g±0.2 g，50 g±0.5 g，200 g±2.0 g</t>
        </is>
      </c>
      <c r="Q33" s="20" t="n">
        <v>15</v>
      </c>
      <c r="R33" s="20" t="inlineStr"/>
      <c r="S33" s="20" t="inlineStr"/>
      <c r="T33" s="20" t="inlineStr"/>
      <c r="U33" s="20" t="inlineStr">
        <is>
          <t>confirmed</t>
        </is>
      </c>
      <c r="V33" s="20" t="n">
        <v>100</v>
      </c>
      <c r="W33" s="20" t="inlineStr">
        <is>
          <t>同分多价：最高分候选存在不同历史价格</t>
        </is>
      </c>
      <c r="X33" s="20" t="inlineStr">
        <is>
          <t>赛特尔25年.xls｜初中新课标物理｜第197行</t>
        </is>
      </c>
    </row>
    <row r="34" ht="46.8" customHeight="1" s="16">
      <c r="A34" s="1" t="n">
        <v>33</v>
      </c>
      <c r="B34" s="1" t="inlineStr">
        <is>
          <t>力学</t>
        </is>
      </c>
      <c r="C34" s="2" t="inlineStr">
        <is>
          <t>频闪光源</t>
        </is>
      </c>
      <c r="D34" s="5" t="inlineStr">
        <is>
          <t>分档：0.5 Hz、1 Hz、2 Hz、5 Hz、10 Hz、20 Hz、25 Hz、40 Hz、50 Hz。允许误差：＜5 Hz，不大于 0.1 Hz；≥5 Hz，不大于 1 Hz</t>
        </is>
      </c>
      <c r="E34" s="1" t="inlineStr">
        <is>
          <t>台</t>
        </is>
      </c>
      <c r="F34" s="1" t="n">
        <v>1</v>
      </c>
      <c r="G34" s="3" t="inlineStr">
        <is>
          <t>群信</t>
        </is>
      </c>
      <c r="H34" s="1" t="n"/>
      <c r="I34" s="24" t="n">
        <v>1</v>
      </c>
      <c r="J34" s="20" t="n">
        <v>110</v>
      </c>
      <c r="K34" s="20" t="n">
        <v>110</v>
      </c>
      <c r="L34" s="20" t="inlineStr">
        <is>
          <t>台</t>
        </is>
      </c>
      <c r="M34" s="20" t="inlineStr">
        <is>
          <t>群信</t>
        </is>
      </c>
      <c r="N34" s="20" t="inlineStr"/>
      <c r="O34" s="20" t="inlineStr">
        <is>
          <t>12008</t>
        </is>
      </c>
      <c r="P34" s="20" t="inlineStr">
        <is>
          <t>12008</t>
        </is>
      </c>
      <c r="Q34" s="20" t="inlineStr"/>
      <c r="R34" s="20" t="inlineStr"/>
      <c r="S34" s="20" t="inlineStr"/>
      <c r="T34" s="20" t="inlineStr"/>
      <c r="U34" s="20" t="inlineStr">
        <is>
          <t>confirmed</t>
        </is>
      </c>
      <c r="V34" s="20" t="n">
        <v>100</v>
      </c>
      <c r="W34" s="20" t="inlineStr"/>
      <c r="X34" s="20" t="inlineStr">
        <is>
          <t>高中理化生报价.xlsx｜凯迪｜第70行</t>
        </is>
      </c>
    </row>
    <row r="35" ht="31.2" customHeight="1" s="16">
      <c r="A35" s="1" t="n">
        <v>34</v>
      </c>
      <c r="B35" s="22" t="n"/>
      <c r="C35" s="2" t="inlineStr">
        <is>
          <t>直角坐标书写板</t>
        </is>
      </c>
      <c r="D35" s="2" t="inlineStr">
        <is>
          <t>做背景板用，印有方格。尺寸 800 mm×600 mm，分格 50 mm×50 mm</t>
        </is>
      </c>
      <c r="E35" s="1" t="inlineStr">
        <is>
          <t>个</t>
        </is>
      </c>
      <c r="F35" s="1" t="n">
        <v>1</v>
      </c>
      <c r="G35" s="3" t="inlineStr">
        <is>
          <t>群信</t>
        </is>
      </c>
      <c r="H35" s="1" t="n"/>
      <c r="I35" s="24" t="n">
        <v>1</v>
      </c>
      <c r="J35" s="20" t="n">
        <v>65</v>
      </c>
      <c r="K35" s="20" t="n">
        <v>65</v>
      </c>
      <c r="L35" s="20" t="inlineStr">
        <is>
          <t>个</t>
        </is>
      </c>
      <c r="M35" s="20" t="inlineStr"/>
      <c r="N35" s="20" t="inlineStr"/>
      <c r="O35" s="20" t="inlineStr"/>
      <c r="P35" s="20" t="inlineStr">
        <is>
          <t>900mm×600mm</t>
        </is>
      </c>
      <c r="Q35" s="20" t="inlineStr"/>
      <c r="R35" s="20" t="inlineStr"/>
      <c r="S35" s="20" t="inlineStr"/>
      <c r="T35" s="20" t="inlineStr"/>
      <c r="U35" s="20" t="inlineStr">
        <is>
          <t>confirmed</t>
        </is>
      </c>
      <c r="V35" s="20" t="n">
        <v>0</v>
      </c>
      <c r="W35" s="20" t="inlineStr">
        <is>
          <t>匹配到商品档案但无历史价格记录</t>
        </is>
      </c>
      <c r="X35" s="20" t="inlineStr">
        <is>
          <t>赛特尔25年.xls｜高中数学｜第10行</t>
        </is>
      </c>
    </row>
    <row r="36" ht="31.2" customHeight="1" s="16">
      <c r="A36" s="1" t="n">
        <v>35</v>
      </c>
      <c r="B36" s="21" t="n"/>
      <c r="C36" s="2" t="inlineStr">
        <is>
          <t>直联泵（真空泵）</t>
        </is>
      </c>
      <c r="D36" s="5" t="inlineStr">
        <is>
          <t>I 型，单相，有防回油功能</t>
        </is>
      </c>
      <c r="E36" s="6" t="inlineStr">
        <is>
          <t>台</t>
        </is>
      </c>
      <c r="F36" s="1" t="n">
        <v>1</v>
      </c>
      <c r="G36" s="3" t="inlineStr">
        <is>
          <t>红宝石</t>
        </is>
      </c>
      <c r="H36" s="1" t="n"/>
      <c r="I36" s="24" t="n">
        <v>1</v>
      </c>
      <c r="J36" s="20" t="n">
        <v>220</v>
      </c>
      <c r="K36" s="20" t="n">
        <v>220</v>
      </c>
      <c r="L36" s="20" t="inlineStr">
        <is>
          <t>台</t>
        </is>
      </c>
      <c r="M36" s="20" t="inlineStr"/>
      <c r="N36" s="20" t="inlineStr"/>
      <c r="O36" s="20" t="inlineStr"/>
      <c r="P36" s="20" t="inlineStr"/>
      <c r="Q36" s="20" t="n">
        <v>220</v>
      </c>
      <c r="R36" s="20" t="inlineStr"/>
      <c r="S36" s="20" t="n">
        <v>320</v>
      </c>
      <c r="T36" s="20" t="inlineStr"/>
      <c r="U36" s="20" t="inlineStr">
        <is>
          <t>confirmed</t>
        </is>
      </c>
      <c r="V36" s="20" t="n">
        <v>100</v>
      </c>
      <c r="W36" s="20" t="inlineStr">
        <is>
          <t>价格分歧&gt;30%：历史报价分歧较大，需人工核对</t>
        </is>
      </c>
      <c r="X36" s="20" t="inlineStr">
        <is>
          <t>赛特尔25年.xls｜初中物理｜第7行</t>
        </is>
      </c>
    </row>
    <row r="37" ht="62.4" customHeight="1" s="16">
      <c r="A37" s="1" t="n">
        <v>36</v>
      </c>
      <c r="B37" s="1" t="inlineStr">
        <is>
          <t>力学</t>
        </is>
      </c>
      <c r="C37" s="2" t="inlineStr">
        <is>
          <t>两用气筒</t>
        </is>
      </c>
      <c r="D37" s="5" t="inlineStr">
        <is>
          <t>活塞胶垫，气嘴外径 8 mm±0.1 mm，长度 15 mm，台阶口；抽气压强达到 6.7 kPa时，放置 30 s，漏气引起的压强变化应不大于 2.6 kPa；充气压强达到 290 kPa时，放置 30 s，漏气引起的压强变化应不大于 9.8 kPa</t>
        </is>
      </c>
      <c r="E37" s="1" t="inlineStr">
        <is>
          <t>个</t>
        </is>
      </c>
      <c r="F37" s="1" t="n">
        <v>1</v>
      </c>
      <c r="G37" s="3" t="inlineStr">
        <is>
          <t>群信</t>
        </is>
      </c>
      <c r="H37" s="1" t="n"/>
      <c r="I37" s="24" t="n">
        <v>1</v>
      </c>
      <c r="J37" s="20" t="n">
        <v>16</v>
      </c>
      <c r="K37" s="20" t="n">
        <v>16</v>
      </c>
      <c r="L37" s="20" t="inlineStr">
        <is>
          <t>个</t>
        </is>
      </c>
      <c r="M37" s="20" t="inlineStr"/>
      <c r="N37" s="20" t="inlineStr"/>
      <c r="O37" s="20" t="inlineStr"/>
      <c r="P37" s="20" t="inlineStr"/>
      <c r="Q37" s="20" t="n">
        <v>16</v>
      </c>
      <c r="R37" s="20" t="inlineStr"/>
      <c r="S37" s="20" t="inlineStr"/>
      <c r="T37" s="20" t="inlineStr"/>
      <c r="U37" s="20" t="inlineStr">
        <is>
          <t>confirmed</t>
        </is>
      </c>
      <c r="V37" s="20" t="n">
        <v>100</v>
      </c>
      <c r="W37" s="20" t="inlineStr"/>
      <c r="X37" s="20" t="inlineStr">
        <is>
          <t>赛特尔25年.xls｜初中新课标物理｜第102行</t>
        </is>
      </c>
    </row>
    <row r="38" ht="62.4" customHeight="1" s="16">
      <c r="A38" s="1" t="n">
        <v>37</v>
      </c>
      <c r="B38" s="21" t="n"/>
      <c r="C38" s="2" t="inlineStr">
        <is>
          <t>毛钱管 (牛顿管)</t>
        </is>
      </c>
      <c r="D38" s="5" t="inlineStr">
        <is>
          <t>配和真空泵；金属片和羽毛片有明显的颜色区分；有机玻璃材质；抽气使管内压强降至－0.095MPa，停止抽气，静置 1min，管内压强应保持－0.095MPa 不变;金属片和羽毛片同时到达时间相差不超过 0.02S。</t>
        </is>
      </c>
      <c r="E38" s="1" t="inlineStr">
        <is>
          <t>套</t>
        </is>
      </c>
      <c r="F38" s="1" t="n">
        <v>1</v>
      </c>
      <c r="G38" s="3" t="inlineStr">
        <is>
          <t>群信</t>
        </is>
      </c>
      <c r="H38" s="1" t="n"/>
      <c r="I38" s="24" t="n">
        <v>1</v>
      </c>
      <c r="J38" s="20" t="n">
        <v>60</v>
      </c>
      <c r="K38" s="20" t="n">
        <v>60</v>
      </c>
      <c r="L38" s="20" t="inlineStr">
        <is>
          <t>套</t>
        </is>
      </c>
      <c r="M38" s="20" t="inlineStr">
        <is>
          <t>群信</t>
        </is>
      </c>
      <c r="N38" s="20" t="inlineStr"/>
      <c r="O38" s="20" t="inlineStr">
        <is>
          <t>21046</t>
        </is>
      </c>
      <c r="P38" s="20" t="inlineStr">
        <is>
          <t>21046</t>
        </is>
      </c>
      <c r="Q38" s="20" t="inlineStr"/>
      <c r="R38" s="20" t="inlineStr"/>
      <c r="S38" s="20" t="inlineStr"/>
      <c r="T38" s="20" t="inlineStr"/>
      <c r="U38" s="20" t="inlineStr">
        <is>
          <t>confirmed</t>
        </is>
      </c>
      <c r="V38" s="20" t="n">
        <v>100</v>
      </c>
      <c r="W38" s="20" t="inlineStr"/>
      <c r="X38" s="20" t="inlineStr">
        <is>
          <t>高中理化生报价.xlsx｜凯迪｜第132行</t>
        </is>
      </c>
    </row>
    <row r="39" ht="31.2" customHeight="1" s="16">
      <c r="A39" s="1" t="n">
        <v>38</v>
      </c>
      <c r="B39" s="1" t="n"/>
      <c r="C39" s="2" t="inlineStr">
        <is>
          <t>双锥体上滚演示器</t>
        </is>
      </c>
      <c r="D39" s="5" t="inlineStr">
        <is>
          <t>含双椎体、圆柱体、支架等，支架导轨夹角可调</t>
        </is>
      </c>
      <c r="E39" s="1" t="inlineStr">
        <is>
          <t>套</t>
        </is>
      </c>
      <c r="F39" s="1" t="n">
        <v>1</v>
      </c>
      <c r="G39" s="3" t="inlineStr">
        <is>
          <t>群信</t>
        </is>
      </c>
      <c r="H39" s="1" t="n"/>
      <c r="I39" s="24" t="n">
        <v>1</v>
      </c>
      <c r="J39" s="20" t="n">
        <v>150</v>
      </c>
      <c r="K39" s="20" t="n">
        <v>150</v>
      </c>
      <c r="L39" s="20" t="inlineStr">
        <is>
          <t>套</t>
        </is>
      </c>
      <c r="M39" s="20" t="inlineStr"/>
      <c r="N39" s="20" t="inlineStr"/>
      <c r="O39" s="20" t="inlineStr"/>
      <c r="P39" s="20" t="inlineStr">
        <is>
          <t>含双椎体、圆柱体、支架等，支架导轨夹角可调</t>
        </is>
      </c>
      <c r="Q39" s="20" t="inlineStr"/>
      <c r="R39" s="20" t="inlineStr"/>
      <c r="S39" s="20" t="inlineStr"/>
      <c r="T39" s="20" t="inlineStr"/>
      <c r="U39" s="20" t="inlineStr">
        <is>
          <t>confirmed</t>
        </is>
      </c>
      <c r="V39" s="20" t="n">
        <v>100</v>
      </c>
      <c r="W39" s="20" t="inlineStr"/>
      <c r="X39" s="20" t="inlineStr">
        <is>
          <t>赛特尔25年.xls｜初中新课标物理｜第199行</t>
        </is>
      </c>
    </row>
    <row r="40" ht="93.59999999999999" customHeight="1" s="16">
      <c r="A40" s="1" t="n">
        <v>39</v>
      </c>
      <c r="B40" s="22" t="n"/>
      <c r="C40" s="2" t="inlineStr">
        <is>
          <t>重心和稳度演示仪</t>
        </is>
      </c>
      <c r="D40" s="5" t="inlineStr">
        <is>
          <t>250*200*216mm，长方体框架由上下两块长方形平行板和四根支柱组成。用中空的长方体框架来模拟一个物体。底板贴有防滑垫，中间立柱上有重心块，用来表示模拟物体的重心。立柱上的重心块可以在立柱滑动，并用紧固螺钉固定在立柱上，调整重块的上下位置可以改变物体重心的高低。重垂线挂在重心块的紧固螺钉上，垂线下端挂有重锤，可用于观察重力作用线。</t>
        </is>
      </c>
      <c r="E40" s="6" t="inlineStr">
        <is>
          <t>套</t>
        </is>
      </c>
      <c r="F40" s="1" t="n">
        <v>1</v>
      </c>
      <c r="G40" s="3" t="inlineStr">
        <is>
          <t>群信</t>
        </is>
      </c>
      <c r="H40" s="1" t="n"/>
      <c r="I40" s="24" t="n">
        <v>1</v>
      </c>
      <c r="J40" s="20" t="n">
        <v>100</v>
      </c>
      <c r="K40" s="20" t="n">
        <v>100</v>
      </c>
      <c r="L40" s="20" t="inlineStr">
        <is>
          <t>套</t>
        </is>
      </c>
      <c r="M40" s="20" t="inlineStr"/>
      <c r="N40" s="20" t="inlineStr"/>
      <c r="O40" s="20" t="inlineStr"/>
      <c r="P40" s="20" t="inlineStr"/>
      <c r="Q40" s="20" t="inlineStr"/>
      <c r="R40" s="20" t="inlineStr"/>
      <c r="S40" s="20" t="inlineStr"/>
      <c r="T40" s="20" t="inlineStr"/>
      <c r="U40" s="20" t="inlineStr">
        <is>
          <t>confirmed</t>
        </is>
      </c>
      <c r="V40" s="20" t="n">
        <v>0</v>
      </c>
      <c r="W40" s="20" t="inlineStr">
        <is>
          <t>匹配到商品档案但无历史价格记录</t>
        </is>
      </c>
      <c r="X40" s="20" t="inlineStr">
        <is>
          <t>赛特尔25年.xls｜高中物理｜第242行</t>
        </is>
      </c>
    </row>
    <row r="41" ht="31.2" customHeight="1" s="16">
      <c r="A41" s="1" t="n">
        <v>40</v>
      </c>
      <c r="B41" s="22" t="n"/>
      <c r="C41" s="2" t="inlineStr">
        <is>
          <t>薄板重心测定演示器</t>
        </is>
      </c>
      <c r="D41" s="5" t="inlineStr">
        <is>
          <t>含有形状不规则的木板、重垂线、金属底座及立杆等组成。</t>
        </is>
      </c>
      <c r="E41" s="6" t="inlineStr">
        <is>
          <t>套</t>
        </is>
      </c>
      <c r="F41" s="1" t="n">
        <v>26</v>
      </c>
      <c r="G41" s="3" t="inlineStr">
        <is>
          <t>群信</t>
        </is>
      </c>
      <c r="H41" s="1" t="n"/>
      <c r="I41" s="24" t="n">
        <v>26</v>
      </c>
      <c r="J41" s="20" t="n">
        <v>220</v>
      </c>
      <c r="K41" s="20" t="n">
        <v>5720</v>
      </c>
      <c r="L41" s="20" t="inlineStr">
        <is>
          <t>套</t>
        </is>
      </c>
      <c r="M41" s="20" t="inlineStr">
        <is>
          <t>群信</t>
        </is>
      </c>
      <c r="N41" s="20" t="inlineStr"/>
      <c r="O41" s="20" t="inlineStr">
        <is>
          <t>21072</t>
        </is>
      </c>
      <c r="P41" s="20" t="inlineStr">
        <is>
          <t>21072</t>
        </is>
      </c>
      <c r="Q41" s="20" t="inlineStr"/>
      <c r="R41" s="20" t="inlineStr"/>
      <c r="S41" s="20" t="inlineStr"/>
      <c r="T41" s="20" t="inlineStr"/>
      <c r="U41" s="20" t="inlineStr">
        <is>
          <t>confirmed</t>
        </is>
      </c>
      <c r="V41" s="20" t="n">
        <v>0</v>
      </c>
      <c r="W41" s="20" t="inlineStr">
        <is>
          <t>匹配到商品档案但无历史价格记录</t>
        </is>
      </c>
      <c r="X41" s="20" t="inlineStr">
        <is>
          <t>高中理化生报价.xlsx｜凯迪｜第157行</t>
        </is>
      </c>
    </row>
    <row r="42" ht="31.2" customHeight="1" s="16">
      <c r="A42" s="1" t="n">
        <v>41</v>
      </c>
      <c r="B42" s="21" t="n"/>
      <c r="C42" s="2" t="inlineStr">
        <is>
          <t>微小形变演示器</t>
        </is>
      </c>
      <c r="D42" s="5" t="inlineStr">
        <is>
          <t>利用光杠杆原理</t>
        </is>
      </c>
      <c r="E42" s="6" t="inlineStr">
        <is>
          <t>套</t>
        </is>
      </c>
      <c r="F42" s="1" t="n">
        <v>1</v>
      </c>
      <c r="G42" s="3" t="inlineStr">
        <is>
          <t>群信</t>
        </is>
      </c>
      <c r="H42" s="1" t="n"/>
      <c r="I42" s="24" t="n">
        <v>1</v>
      </c>
      <c r="J42" s="20" t="n">
        <v>20</v>
      </c>
      <c r="K42" s="20" t="n">
        <v>20</v>
      </c>
      <c r="L42" s="20" t="inlineStr">
        <is>
          <t>套</t>
        </is>
      </c>
      <c r="M42" s="20" t="inlineStr"/>
      <c r="N42" s="20" t="inlineStr"/>
      <c r="O42" s="20" t="inlineStr"/>
      <c r="P42" s="20" t="inlineStr"/>
      <c r="Q42" s="20" t="n">
        <v>25</v>
      </c>
      <c r="R42" s="20" t="inlineStr"/>
      <c r="S42" s="20" t="n">
        <v>130</v>
      </c>
      <c r="T42" s="20" t="inlineStr"/>
      <c r="U42" s="20" t="inlineStr">
        <is>
          <t>confirmed</t>
        </is>
      </c>
      <c r="V42" s="20" t="n">
        <v>57.1</v>
      </c>
      <c r="W42" s="20" t="inlineStr">
        <is>
          <t>同分多价：最高分候选存在不同历史价格</t>
        </is>
      </c>
      <c r="X42" s="20" t="inlineStr">
        <is>
          <t>高中理化生报价.xlsx｜凯迪｜第145行</t>
        </is>
      </c>
    </row>
    <row r="43" ht="46.8" customHeight="1" s="16">
      <c r="A43" s="1" t="n">
        <v>42</v>
      </c>
      <c r="B43" s="1" t="inlineStr">
        <is>
          <t>力学</t>
        </is>
      </c>
      <c r="C43" s="2" t="inlineStr">
        <is>
          <t>螺旋弹簧组</t>
        </is>
      </c>
      <c r="D43" s="5" t="inlineStr">
        <is>
          <t>由拉力极限分别为 4.9 N、2.94 N、1.96N、0.98 N 和 0.49 N 的 5 种弹簧构成；各弹簧带长 50 mm 挂钩（有指针），两端应为圆拉环，附标度板</t>
        </is>
      </c>
      <c r="E43" s="6" t="inlineStr">
        <is>
          <t>组</t>
        </is>
      </c>
      <c r="F43" s="1" t="n">
        <v>26</v>
      </c>
      <c r="G43" s="3" t="inlineStr">
        <is>
          <t>群信</t>
        </is>
      </c>
      <c r="H43" s="1" t="n"/>
      <c r="I43" s="24" t="n">
        <v>26</v>
      </c>
      <c r="J43" s="20" t="n">
        <v>6</v>
      </c>
      <c r="K43" s="20" t="n">
        <v>156</v>
      </c>
      <c r="L43" s="20" t="inlineStr">
        <is>
          <t>组</t>
        </is>
      </c>
      <c r="M43" s="20" t="inlineStr"/>
      <c r="N43" s="20" t="inlineStr"/>
      <c r="O43" s="20" t="inlineStr"/>
      <c r="P43" s="20" t="inlineStr"/>
      <c r="Q43" s="20" t="n">
        <v>12</v>
      </c>
      <c r="R43" s="20" t="inlineStr"/>
      <c r="S43" s="20" t="n">
        <v>40</v>
      </c>
      <c r="T43" s="20" t="inlineStr"/>
      <c r="U43" s="20" t="inlineStr">
        <is>
          <t>confirmed</t>
        </is>
      </c>
      <c r="V43" s="20" t="n">
        <v>100</v>
      </c>
      <c r="W43" s="20" t="inlineStr">
        <is>
          <t>价格分歧&gt;30%：历史报价分歧较大，需人工核对；同分多价：最高分候选存在不同历史价格</t>
        </is>
      </c>
      <c r="X43" s="20" t="inlineStr">
        <is>
          <t>高中理化生报价.xlsx｜凯迪｜第588行</t>
        </is>
      </c>
    </row>
    <row r="44" ht="109.2" customHeight="1" s="16">
      <c r="A44" s="1" t="n">
        <v>43</v>
      </c>
      <c r="B44" s="22" t="n"/>
      <c r="C44" s="2" t="inlineStr">
        <is>
          <t>摩擦力演示器</t>
        </is>
      </c>
      <c r="D44" s="5" t="inlineStr">
        <is>
          <t>由摩擦板、摩擦块、摩擦材料、匀速电机、定滑轮、测力计、测力计支架、细绳、钩码等组成。提供 3 种不同摩擦系统的摩擦面。摩擦板不小于 800 mm×100mm×10 mm，平面度误差不大于 0.6 mm，质地坚硬，表面均匀。摩擦块尺寸不小于 110 mm×50 mm×35 mm，两摩擦面平
面度误差应不大于 0.1 mm，侧面有挂钩。
电机拉动速度 0 cm/s～5 cm/s，可调节。匀速运动速度误差±5%</t>
        </is>
      </c>
      <c r="E44" s="1" t="inlineStr">
        <is>
          <t>套</t>
        </is>
      </c>
      <c r="F44" s="1" t="n">
        <v>1</v>
      </c>
      <c r="G44" s="3" t="inlineStr">
        <is>
          <t>群信</t>
        </is>
      </c>
      <c r="H44" s="1" t="n"/>
      <c r="I44" s="24" t="n">
        <v>1</v>
      </c>
      <c r="J44" s="20" t="n">
        <v>16</v>
      </c>
      <c r="K44" s="20" t="n">
        <v>16</v>
      </c>
      <c r="L44" s="20" t="inlineStr">
        <is>
          <t>套</t>
        </is>
      </c>
      <c r="M44" s="20" t="inlineStr"/>
      <c r="N44" s="20" t="inlineStr"/>
      <c r="O44" s="20" t="inlineStr"/>
      <c r="P44" s="20" t="inlineStr"/>
      <c r="Q44" s="20" t="n">
        <v>22</v>
      </c>
      <c r="R44" s="20" t="inlineStr"/>
      <c r="S44" s="20" t="n">
        <v>25</v>
      </c>
      <c r="T44" s="20" t="inlineStr"/>
      <c r="U44" s="20" t="inlineStr">
        <is>
          <t>confirmed</t>
        </is>
      </c>
      <c r="V44" s="20" t="n">
        <v>66.7</v>
      </c>
      <c r="W44" s="20" t="inlineStr">
        <is>
          <t>价格分歧&gt;30%：历史报价分歧较大，需人工核对；同分多价：最高分候选存在不同历史价格</t>
        </is>
      </c>
      <c r="X44" s="20" t="inlineStr">
        <is>
          <t>赛特尔25年.xls｜初中物理｜第145行</t>
        </is>
      </c>
    </row>
    <row r="45" ht="405.6" customHeight="1" s="16">
      <c r="A45" s="1" t="n">
        <v>44</v>
      </c>
      <c r="B45" s="22" t="n"/>
      <c r="C45" s="2" t="inlineStr">
        <is>
          <t>力的合成与分解演示器</t>
        </is>
      </c>
      <c r="D45" s="5" t="inlineStr">
        <is>
          <t>1、产品外框尺寸:长585*高420mm*宽54mm±3mm；框架为铝塑结构。
2、演示面板尺寸:≥540mm*360mm,采用≥4.5mm厚木板UV彩色印制技术制作,色彩鲜艳持久，版面清晰，标识明确与框架完美契合，安装无偏差。后背板采用厚度≥4.5mm密度板制作，平整度高，确保整体结构稳固不形变。
3、产品上下铝合金横梁采用几何力学设计，壁厚度≥1.1mm，型材两侧设有凹槽，可配套底脚的固定，横梁内侧的双凹槽兼容面板与背板嵌入式安装，有效连接框架结构；中心螺孔可实现铝塑框架异面无缝对接，提升整体稳固性，能解决传统横梁易变形问题。铝合金应选用国标6063 AL-Mg-Si铝合金棒通过热熔、挤压、时效强化、前处理、氧化电白等工艺处理，精制而成高强度铝合金型材。
4、产品左右立柱采用ABS塑料，一次性注塑成型，表面光洁无毛刺。立柱宽54mm士1mm，长422mm士1mm。左右立柱上下两端设有U型槽，与上下横梁连接可完成框架中异面对接成体。左右立柱框架两端U型槽完美对接上下横梁两侧凹槽，实现框架多向受力提升强度，螺丝采用嵌入式连接。
5、产品由5N 测力计及组件构成。验证原理：
（1)等效法：一个力F是两个力F1和F2的合力。
（2)根据平行四边形定则作出力F1和F2的合力F的图示。
（3)验证在共点力作用下物体平衡的条件是合力为零。6、产品底脚宽45mm士1mm，脚长136mm士1mm，底脚采用ABS塑料，一次性注塑成型，表面光洁无毛刺，色泽纯正。底脚设有固定卡扣，与横梁两侧的凹槽配套安装，底脚安装后，并支持在横梁上左右滑动调节。</t>
        </is>
      </c>
      <c r="E45" s="6" t="inlineStr">
        <is>
          <t>套</t>
        </is>
      </c>
      <c r="F45" s="1" t="n">
        <v>1</v>
      </c>
      <c r="G45" s="3" t="inlineStr">
        <is>
          <t>群信</t>
        </is>
      </c>
      <c r="H45" s="1" t="n"/>
      <c r="I45" s="24" t="n">
        <v>1</v>
      </c>
      <c r="J45" s="20" t="n">
        <v>160</v>
      </c>
      <c r="K45" s="20" t="n">
        <v>160</v>
      </c>
      <c r="L45" s="20" t="inlineStr">
        <is>
          <t>套</t>
        </is>
      </c>
      <c r="M45" s="20" t="inlineStr">
        <is>
          <t>群信</t>
        </is>
      </c>
      <c r="N45" s="20" t="inlineStr"/>
      <c r="O45" s="20" t="inlineStr">
        <is>
          <t>21049</t>
        </is>
      </c>
      <c r="P45" s="20" t="inlineStr">
        <is>
          <t>21049</t>
        </is>
      </c>
      <c r="Q45" s="20" t="n">
        <v>35</v>
      </c>
      <c r="R45" s="20" t="inlineStr"/>
      <c r="S45" s="20" t="n">
        <v>35</v>
      </c>
      <c r="T45" s="20" t="inlineStr"/>
      <c r="U45" s="20" t="inlineStr">
        <is>
          <t>confirmed</t>
        </is>
      </c>
      <c r="V45" s="20" t="n">
        <v>73.7</v>
      </c>
      <c r="W45" s="20" t="inlineStr"/>
      <c r="X45" s="20" t="inlineStr">
        <is>
          <t>高中理化生报价.xlsx｜凯迪｜第134行</t>
        </is>
      </c>
    </row>
    <row r="46" ht="156" customHeight="1" s="16">
      <c r="A46" s="1" t="n">
        <v>45</v>
      </c>
      <c r="B46" s="21" t="n"/>
      <c r="C46" s="2" t="inlineStr">
        <is>
          <t>演示定滑轮</t>
        </is>
      </c>
      <c r="D46" s="5" t="inlineStr">
        <is>
          <t>有磁性，配合磁吸黑板使用，滑轮转盘尺寸不小于 50 mm1、外形尺寸：130*65*31mm   材质：ABS外壳                                                 2、工作电压：DC 4.5V 三节7号电池                                                   3、技术指标：                                                              1)、拉力峰值模式                                                          2）、量程20N，分辨率0.001N，误差≤0.2％，满量程±1／2字，有调零，内置校准、记忆功能，数字尺寸≥25*40cm                                               3）、内置校零                                                             4）、具有记忆存贮功能                                                      4、工作环境-10℃—40℃   5、拉钩可以拆卸</t>
        </is>
      </c>
      <c r="E46" s="6" t="inlineStr">
        <is>
          <t>块</t>
        </is>
      </c>
      <c r="F46" s="1" t="n">
        <v>8</v>
      </c>
      <c r="G46" s="3" t="inlineStr">
        <is>
          <t>群信</t>
        </is>
      </c>
      <c r="H46" s="1" t="n"/>
      <c r="I46" s="24" t="n">
        <v>8</v>
      </c>
      <c r="J46" s="20" t="n">
        <v>40</v>
      </c>
      <c r="K46" s="20" t="n">
        <v>320</v>
      </c>
      <c r="L46" s="20" t="inlineStr">
        <is>
          <t>块</t>
        </is>
      </c>
      <c r="M46" s="20" t="inlineStr"/>
      <c r="N46" s="20" t="inlineStr"/>
      <c r="O46" s="20" t="inlineStr"/>
      <c r="P46" s="20" t="inlineStr"/>
      <c r="Q46" s="20" t="inlineStr"/>
      <c r="R46" s="20" t="inlineStr"/>
      <c r="S46" s="20" t="inlineStr"/>
      <c r="T46" s="20" t="inlineStr"/>
      <c r="U46" s="20" t="inlineStr">
        <is>
          <t>confirmed</t>
        </is>
      </c>
      <c r="V46" s="20" t="n">
        <v>0</v>
      </c>
      <c r="W46" s="20" t="inlineStr">
        <is>
          <t>匹配到商品档案但无历史价格记录</t>
        </is>
      </c>
      <c r="X46" s="20" t="inlineStr">
        <is>
          <t>赛特尔25年.xls｜初中新课标物理｜第247行</t>
        </is>
      </c>
    </row>
    <row r="47" ht="32.4" customHeight="1" s="16">
      <c r="A47" s="1" t="n">
        <v>47</v>
      </c>
      <c r="B47" s="1" t="n"/>
      <c r="C47" s="2" t="inlineStr">
        <is>
          <t>条形盒测力计</t>
        </is>
      </c>
      <c r="D47" s="5" t="inlineStr">
        <is>
          <t>测量范围 0 N〜1 N，分度值 0.01 N；示值误差≤1/2 分度，升降示差≤1/2 分度，重复性偏差≤1/4 分度</t>
        </is>
      </c>
      <c r="E47" s="6" t="inlineStr">
        <is>
          <t>个</t>
        </is>
      </c>
      <c r="F47" s="1" t="n">
        <v>26</v>
      </c>
      <c r="G47" s="3" t="inlineStr">
        <is>
          <t>群信</t>
        </is>
      </c>
      <c r="H47" s="1" t="n"/>
      <c r="I47" s="24" t="n">
        <v>26</v>
      </c>
      <c r="J47" s="20" t="n">
        <v>5</v>
      </c>
      <c r="K47" s="20" t="n">
        <v>130</v>
      </c>
      <c r="L47" s="20" t="inlineStr">
        <is>
          <t>个</t>
        </is>
      </c>
      <c r="M47" s="20" t="inlineStr"/>
      <c r="N47" s="20" t="inlineStr"/>
      <c r="O47" s="20" t="inlineStr"/>
      <c r="P47" s="20" t="inlineStr"/>
      <c r="Q47" s="20" t="n">
        <v>6</v>
      </c>
      <c r="R47" s="20" t="inlineStr"/>
      <c r="S47" s="20" t="n">
        <v>6.6</v>
      </c>
      <c r="T47" s="20" t="inlineStr"/>
      <c r="U47" s="20" t="inlineStr">
        <is>
          <t>confirmed</t>
        </is>
      </c>
      <c r="V47" s="20" t="n">
        <v>100</v>
      </c>
      <c r="W47" s="20" t="inlineStr">
        <is>
          <t>同分多价：最高分候选存在不同历史价格</t>
        </is>
      </c>
      <c r="X47" s="20" t="inlineStr">
        <is>
          <t>高中理化生报价.xlsx｜凯迪｜第551行</t>
        </is>
      </c>
    </row>
    <row r="48" ht="32.4" customHeight="1" s="16">
      <c r="A48" s="1" t="n">
        <v>48</v>
      </c>
      <c r="B48" s="22" t="n"/>
      <c r="C48" s="22" t="n"/>
      <c r="D48" s="5" t="inlineStr">
        <is>
          <t>测量范围 0 N〜2.5 N，分度值 0.05 N；示值误差≤1/4 分度，升降示差≤1/2 分度，重复性偏差≤1/4 分度</t>
        </is>
      </c>
      <c r="E48" s="6" t="inlineStr">
        <is>
          <t>个</t>
        </is>
      </c>
      <c r="F48" s="1" t="n">
        <v>26</v>
      </c>
      <c r="G48" s="6" t="n"/>
      <c r="H48" s="1" t="n"/>
      <c r="I48" s="24" t="n">
        <v>26</v>
      </c>
      <c r="J48" s="20" t="n">
        <v>5</v>
      </c>
      <c r="K48" s="20" t="n">
        <v>130</v>
      </c>
      <c r="L48" s="20" t="inlineStr">
        <is>
          <t>个</t>
        </is>
      </c>
      <c r="M48" s="20" t="inlineStr"/>
      <c r="N48" s="20" t="inlineStr"/>
      <c r="O48" s="20" t="inlineStr"/>
      <c r="P48" s="20" t="inlineStr"/>
      <c r="Q48" s="20" t="n">
        <v>6</v>
      </c>
      <c r="R48" s="20" t="inlineStr"/>
      <c r="S48" s="20" t="n">
        <v>6.6</v>
      </c>
      <c r="T48" s="20" t="inlineStr"/>
      <c r="U48" s="20" t="inlineStr">
        <is>
          <t>confirmed</t>
        </is>
      </c>
      <c r="V48" s="20" t="n">
        <v>100</v>
      </c>
      <c r="W48" s="20" t="inlineStr">
        <is>
          <t>同分多价：最高分候选存在不同历史价格</t>
        </is>
      </c>
      <c r="X48" s="20" t="inlineStr">
        <is>
          <t>高中理化生报价.xlsx｜凯迪｜第551行</t>
        </is>
      </c>
    </row>
    <row r="49" ht="32.4" customHeight="1" s="16">
      <c r="A49" s="1" t="n">
        <v>49</v>
      </c>
      <c r="B49" s="21" t="n"/>
      <c r="C49" s="21" t="n"/>
      <c r="D49" s="5" t="inlineStr">
        <is>
          <t>测量范围 0 N〜5 N，分度值 0.1 N；示值误差≤1/4 分度，升降示差≤1/2 分度，重复性偏差≤1/4 分度</t>
        </is>
      </c>
      <c r="E49" s="6" t="inlineStr">
        <is>
          <t>个</t>
        </is>
      </c>
      <c r="F49" s="1" t="n">
        <v>26</v>
      </c>
      <c r="G49" s="4" t="n"/>
      <c r="H49" s="1" t="n"/>
      <c r="I49" s="24" t="n">
        <v>26</v>
      </c>
      <c r="J49" s="20" t="n">
        <v>5</v>
      </c>
      <c r="K49" s="20" t="n">
        <v>130</v>
      </c>
      <c r="L49" s="20" t="inlineStr">
        <is>
          <t>个</t>
        </is>
      </c>
      <c r="M49" s="20" t="inlineStr"/>
      <c r="N49" s="20" t="inlineStr"/>
      <c r="O49" s="20" t="inlineStr"/>
      <c r="P49" s="20" t="inlineStr"/>
      <c r="Q49" s="20" t="n">
        <v>6</v>
      </c>
      <c r="R49" s="20" t="inlineStr"/>
      <c r="S49" s="20" t="n">
        <v>6.6</v>
      </c>
      <c r="T49" s="20" t="inlineStr"/>
      <c r="U49" s="20" t="inlineStr">
        <is>
          <t>confirmed</t>
        </is>
      </c>
      <c r="V49" s="20" t="n">
        <v>100</v>
      </c>
      <c r="W49" s="20" t="inlineStr">
        <is>
          <t>同分多价：最高分候选存在不同历史价格</t>
        </is>
      </c>
      <c r="X49" s="20" t="inlineStr">
        <is>
          <t>高中理化生报价.xlsx｜凯迪｜第551行</t>
        </is>
      </c>
    </row>
    <row r="50" ht="358.8" customHeight="1" s="16">
      <c r="A50" s="1" t="n">
        <v>50</v>
      </c>
      <c r="B50" s="1" t="n"/>
      <c r="C50" s="2" t="inlineStr">
        <is>
          <t>力的平行四边形定则演示仪</t>
        </is>
      </c>
      <c r="D50" s="2" t="inlineStr">
        <is>
          <t>420mm*宽54mm±3mm；框架为铝塑结构。
2、演示面板尺寸:≥540mm*360mm,采用≥4.5mm厚木板UV彩色印制技术制作,色彩鲜艳持久，版面清晰，标识明确与框架完美契合，安装无偏差。后背板采用厚度≥4.5mm密度板制作，平整度高，确保整体结构稳固不形变。
3、产品上下铝合金横梁采用几何力学设计，壁厚度≥1.1mm，型材两侧设有凹槽，可配套底脚的固定，横梁内侧的双凹槽兼容面板与背板嵌入式安装，有效连接框架结构；中心螺孔可实现铝塑框架异面无缝对接，提升整体稳固性，能解决传统横梁易变形问题。铝合金应选用国标6063 AL-Mg-Si铝合金棒通过热熔、挤压、时效强化、前处理、氧化电白等工艺处理，精制而成高强度铝合金型材。
4、产品左右立柱采用ABS塑料，一次性注塑成型，表面光洁无毛刺，色泽纯正。立柱宽54mm士1mm，长422mm士1mm。左右立柱上下两端设有U型槽，与上下横梁连接可完成框架中异面对接成体。左右立柱框架两端U型槽完美对接上下横梁两侧凹槽，线条美观，实现框架多向受力提升强度，螺丝采用嵌入式连接。
5、产品由演示板、角度盘、弹簧测力计、框架等构成。
6、产品底脚宽45mm士1mm，脚长136mm士1mm，底脚采用天蓝色ABS塑料，一次性注塑成型，表面光洁无毛刺，色泽纯正。底脚设有固定卡扣，与横梁两侧的凹槽配套安装，底脚安装后，并支持在横梁上左右滑动调节，使产品摆放在台面上更加平稳，方便教学使用。</t>
        </is>
      </c>
      <c r="E50" s="1" t="inlineStr">
        <is>
          <t>套</t>
        </is>
      </c>
      <c r="F50" s="1" t="n">
        <v>1</v>
      </c>
      <c r="G50" s="3" t="inlineStr">
        <is>
          <t>群信</t>
        </is>
      </c>
      <c r="H50" s="1" t="n"/>
      <c r="I50" s="24" t="n">
        <v>1</v>
      </c>
      <c r="J50" s="20" t="n">
        <v>20</v>
      </c>
      <c r="K50" s="20" t="n">
        <v>20</v>
      </c>
      <c r="L50" s="20" t="inlineStr">
        <is>
          <t>套</t>
        </is>
      </c>
      <c r="M50" s="20" t="inlineStr"/>
      <c r="N50" s="20" t="inlineStr"/>
      <c r="O50" s="20" t="inlineStr"/>
      <c r="P50" s="20" t="inlineStr"/>
      <c r="Q50" s="20" t="inlineStr"/>
      <c r="R50" s="20" t="inlineStr"/>
      <c r="S50" s="20" t="inlineStr"/>
      <c r="T50" s="20" t="inlineStr"/>
      <c r="U50" s="20" t="inlineStr">
        <is>
          <t>confirmed</t>
        </is>
      </c>
      <c r="V50" s="20" t="n">
        <v>0</v>
      </c>
      <c r="W50" s="20" t="inlineStr">
        <is>
          <t>匹配到商品档案但无历史价格记录</t>
        </is>
      </c>
      <c r="X50" s="20" t="inlineStr">
        <is>
          <t>赛特尔25年.xls｜初中物理｜第203行</t>
        </is>
      </c>
    </row>
    <row r="51" ht="31.2" customHeight="1" s="16">
      <c r="A51" s="1" t="n">
        <v>51</v>
      </c>
      <c r="B51" s="22" t="n"/>
      <c r="C51" s="2" t="inlineStr">
        <is>
          <t>力的平行四边形定则实验仪</t>
        </is>
      </c>
      <c r="D51" s="5" t="inlineStr">
        <is>
          <t>含橡皮筋、白纸（26 cm×36.8 cm）、图钉（不少于 4 个）、大头针（不少于 4个）、方木板（长×宽：400 mm×600 mm）等</t>
        </is>
      </c>
      <c r="E51" s="1" t="inlineStr">
        <is>
          <t>套</t>
        </is>
      </c>
      <c r="F51" s="1" t="n">
        <v>26</v>
      </c>
      <c r="G51" s="3" t="inlineStr">
        <is>
          <t>群信</t>
        </is>
      </c>
      <c r="H51" s="1" t="n"/>
      <c r="I51" s="24" t="n">
        <v>26</v>
      </c>
      <c r="J51" s="20" t="n">
        <v>350</v>
      </c>
      <c r="K51" s="20" t="n">
        <v>9100</v>
      </c>
      <c r="L51" s="20" t="inlineStr">
        <is>
          <t>套</t>
        </is>
      </c>
      <c r="M51" s="20" t="inlineStr"/>
      <c r="N51" s="20" t="inlineStr"/>
      <c r="O51" s="20" t="inlineStr"/>
      <c r="P51" s="20" t="inlineStr">
        <is>
          <t>由水雾发生器、双色激光光源（分别提供光源和法线）、入射光调节装置、反射面、入射角和反射角测量装置组成；入射角可在三维空间调节，入射光线和法线构成的平面可改变、转动</t>
        </is>
      </c>
      <c r="Q51" s="20" t="inlineStr"/>
      <c r="R51" s="20" t="inlineStr"/>
      <c r="S51" s="20" t="inlineStr"/>
      <c r="T51" s="20" t="inlineStr"/>
      <c r="U51" s="20" t="inlineStr">
        <is>
          <t>confirmed</t>
        </is>
      </c>
      <c r="V51" s="20" t="n">
        <v>0</v>
      </c>
      <c r="W51" s="20" t="inlineStr">
        <is>
          <t>匹配到商品档案但无历史价格记录</t>
        </is>
      </c>
      <c r="X51" s="20" t="inlineStr">
        <is>
          <t>赛特尔25年.xls｜初中新课标物理｜第287行</t>
        </is>
      </c>
    </row>
    <row r="52" ht="46.8" customHeight="1" s="16">
      <c r="A52" s="1" t="n">
        <v>52</v>
      </c>
      <c r="B52" s="22" t="n"/>
      <c r="C52" s="2" t="inlineStr">
        <is>
          <t>量角器 (圆等分器)</t>
        </is>
      </c>
      <c r="D52" s="5" t="inlineStr">
        <is>
          <t>最小分度值应为 1°，分度线应为 0º～180 º和 180 º～0 º双向标度，双向角度标度中间有划线槽。半圆直径应为500 mm～510 mm，尺面厚不小于 6 mm</t>
        </is>
      </c>
      <c r="E52" s="1" t="inlineStr">
        <is>
          <t>个</t>
        </is>
      </c>
      <c r="F52" s="1" t="n">
        <v>26</v>
      </c>
      <c r="G52" s="3" t="inlineStr">
        <is>
          <t>群信</t>
        </is>
      </c>
      <c r="H52" s="1" t="n"/>
      <c r="I52" s="24" t="n">
        <v>26</v>
      </c>
      <c r="J52" s="20" t="n">
        <v>6</v>
      </c>
      <c r="K52" s="20" t="n">
        <v>156</v>
      </c>
      <c r="L52" s="20" t="inlineStr">
        <is>
          <t>个</t>
        </is>
      </c>
      <c r="M52" s="20" t="inlineStr">
        <is>
          <t>群信</t>
        </is>
      </c>
      <c r="N52" s="20" t="inlineStr"/>
      <c r="O52" s="20" t="inlineStr">
        <is>
          <t>16030</t>
        </is>
      </c>
      <c r="P52" s="20" t="inlineStr">
        <is>
          <t>16030</t>
        </is>
      </c>
      <c r="Q52" s="20" t="n">
        <v>11</v>
      </c>
      <c r="R52" s="20" t="inlineStr"/>
      <c r="S52" s="20" t="n">
        <v>12</v>
      </c>
      <c r="T52" s="20" t="inlineStr"/>
      <c r="U52" s="20" t="inlineStr">
        <is>
          <t>confirmed</t>
        </is>
      </c>
      <c r="V52" s="20" t="n">
        <v>100</v>
      </c>
      <c r="W52" s="20" t="inlineStr">
        <is>
          <t>价格分歧&gt;30%：历史报价分歧较大，需人工核对；同分多价：最高分候选存在不同历史价格</t>
        </is>
      </c>
      <c r="X52" s="20" t="inlineStr">
        <is>
          <t>高中理化生报价.xlsx｜凯迪｜第114行</t>
        </is>
      </c>
    </row>
    <row r="53" ht="15.6" customHeight="1" s="16">
      <c r="A53" s="1" t="n">
        <v>53</v>
      </c>
      <c r="B53" s="21" t="n"/>
      <c r="C53" s="2" t="inlineStr">
        <is>
          <t>三角板</t>
        </is>
      </c>
      <c r="D53" s="5" t="inlineStr">
        <is>
          <t>等腰直角，中间带量角器，斜边不小于300 mm</t>
        </is>
      </c>
      <c r="E53" s="1" t="inlineStr">
        <is>
          <t>个</t>
        </is>
      </c>
      <c r="F53" s="1" t="n">
        <v>26</v>
      </c>
      <c r="G53" s="3" t="inlineStr">
        <is>
          <t>群信</t>
        </is>
      </c>
      <c r="H53" s="1" t="n"/>
      <c r="I53" s="24" t="n">
        <v>26</v>
      </c>
      <c r="J53" s="20" t="n">
        <v>22</v>
      </c>
      <c r="K53" s="20" t="n">
        <v>572</v>
      </c>
      <c r="L53" s="20" t="inlineStr">
        <is>
          <t>个</t>
        </is>
      </c>
      <c r="M53" s="20" t="inlineStr"/>
      <c r="N53" s="20" t="inlineStr"/>
      <c r="O53" s="20" t="inlineStr"/>
      <c r="P53" s="20" t="inlineStr">
        <is>
          <t>演示用，60°、45°各1块。木材制，应无裂纹不变形、并经脱脂干燥处理。三角板边宽不小于40mm，板厚不小于5mm，表面浅色漆，漆层均匀，在等腰直角三角板的斜边上和直角三角板的长直角边上印有刻线及数字，有效示值全长为50cm，最小刻度为1mm，每1cm的刻度线上标有刻度数字。</t>
        </is>
      </c>
      <c r="Q53" s="20" t="inlineStr"/>
      <c r="R53" s="20" t="inlineStr"/>
      <c r="S53" s="20" t="inlineStr"/>
      <c r="T53" s="20" t="inlineStr"/>
      <c r="U53" s="20" t="inlineStr">
        <is>
          <t>confirmed</t>
        </is>
      </c>
      <c r="V53" s="20" t="n">
        <v>0</v>
      </c>
      <c r="W53" s="20" t="inlineStr">
        <is>
          <t>没有找到可靠候选</t>
        </is>
      </c>
      <c r="X53" s="20" t="inlineStr">
        <is>
          <t>赛特尔25年.xls｜小学数学｜第11行</t>
        </is>
      </c>
    </row>
    <row r="54" ht="171.6" customHeight="1" s="16">
      <c r="A54" s="1" t="n">
        <v>54</v>
      </c>
      <c r="B54" s="1" t="inlineStr">
        <is>
          <t>力学</t>
        </is>
      </c>
      <c r="C54" s="2" t="inlineStr">
        <is>
          <t>伽利略理想斜面演示器</t>
        </is>
      </c>
      <c r="D54" s="5" t="inlineStr">
        <is>
          <t>1、外形尺寸：≥1260*72*285mm                                                                  2、技术指标：                                                               
材料采用钢板喷塑成型                                                        两端附有刻度尺、一次成型塑钢 标尺一端可连续调节轨道由双轨道、刹车装置、滑轮、2 辆小车、拉力挂钩等组成。轨道有效运动长度不小于 600mm，轨面直线度误差不大于有效运动长度的 0.03%，两轨面平行度误差不大于有效运动长度的 0.1%；小车质量应为 200 g+n50 g(n=0、1、2……)，误差不大于小车标称质量的 2%；小车放在斜度 1：50 的轨道上应能从静止开始运动；刹车装置应能调节，使两辆小车同时静止或者同时开始运动；滑轮倾斜角度应可调节且固定可靠.</t>
        </is>
      </c>
      <c r="E54" s="1" t="inlineStr">
        <is>
          <t>套</t>
        </is>
      </c>
      <c r="F54" s="1" t="n">
        <v>2</v>
      </c>
      <c r="G54" s="3" t="inlineStr">
        <is>
          <t>群信</t>
        </is>
      </c>
      <c r="H54" s="1" t="n"/>
      <c r="I54" s="24" t="n">
        <v>2</v>
      </c>
      <c r="J54" s="20" t="n">
        <v>160</v>
      </c>
      <c r="K54" s="20" t="n">
        <v>320</v>
      </c>
      <c r="L54" s="20" t="inlineStr">
        <is>
          <t>套</t>
        </is>
      </c>
      <c r="M54" s="20" t="inlineStr">
        <is>
          <t>群信</t>
        </is>
      </c>
      <c r="N54" s="20" t="inlineStr"/>
      <c r="O54" s="20" t="inlineStr">
        <is>
          <t>21047</t>
        </is>
      </c>
      <c r="P54" s="20" t="inlineStr">
        <is>
          <t>21047</t>
        </is>
      </c>
      <c r="Q54" s="20" t="inlineStr"/>
      <c r="R54" s="20" t="inlineStr"/>
      <c r="S54" s="20" t="inlineStr"/>
      <c r="T54" s="20" t="inlineStr"/>
      <c r="U54" s="20" t="inlineStr">
        <is>
          <t>confirmed</t>
        </is>
      </c>
      <c r="V54" s="20" t="n">
        <v>100</v>
      </c>
      <c r="W54" s="20" t="inlineStr"/>
      <c r="X54" s="20" t="inlineStr">
        <is>
          <t>赛特尔25年.xls｜初中新课标物理｜第205行</t>
        </is>
      </c>
    </row>
    <row r="55" ht="16.8" customHeight="1" s="16">
      <c r="A55" s="1" t="n">
        <v>56</v>
      </c>
      <c r="B55" s="1" t="n"/>
      <c r="C55" s="1" t="inlineStr">
        <is>
          <t>电子天平</t>
        </is>
      </c>
      <c r="D55" s="2" t="inlineStr">
        <is>
          <t>测量范围 0 g〜500 g，分度值 0.5 g</t>
        </is>
      </c>
      <c r="E55" s="1" t="inlineStr">
        <is>
          <t>台</t>
        </is>
      </c>
      <c r="F55" s="1" t="n">
        <v>13</v>
      </c>
      <c r="G55" s="3" t="inlineStr">
        <is>
          <t>群信</t>
        </is>
      </c>
      <c r="H55" s="1" t="n"/>
      <c r="I55" s="24" t="n">
        <v>13</v>
      </c>
      <c r="J55" s="20" t="n">
        <v>185</v>
      </c>
      <c r="K55" s="20" t="n">
        <v>2405</v>
      </c>
      <c r="L55" s="20" t="inlineStr">
        <is>
          <t>台</t>
        </is>
      </c>
      <c r="M55" s="20" t="inlineStr">
        <is>
          <t>华驰</t>
        </is>
      </c>
      <c r="N55" s="20" t="inlineStr"/>
      <c r="O55" s="20" t="inlineStr">
        <is>
          <t>11010</t>
        </is>
      </c>
      <c r="P55" s="20" t="inlineStr">
        <is>
          <t>11010</t>
        </is>
      </c>
      <c r="Q55" s="20" t="n">
        <v>220</v>
      </c>
      <c r="R55" s="20" t="inlineStr"/>
      <c r="S55" s="20" t="n">
        <v>280</v>
      </c>
      <c r="T55" s="20" t="inlineStr"/>
      <c r="U55" s="20" t="inlineStr">
        <is>
          <t>confirmed</t>
        </is>
      </c>
      <c r="V55" s="20" t="n">
        <v>100</v>
      </c>
      <c r="W55" s="20" t="inlineStr">
        <is>
          <t>价格分歧&gt;30%：历史报价分歧较大，需人工核对；同分多价：最高分候选存在不同历史价格</t>
        </is>
      </c>
      <c r="X55" s="20" t="inlineStr">
        <is>
          <t>赛特尔25年.xls｜初中新课标生物｜第55行</t>
        </is>
      </c>
    </row>
    <row r="56" ht="16.8" customHeight="1" s="16">
      <c r="A56" s="1" t="n">
        <v>57</v>
      </c>
      <c r="B56" s="22" t="n"/>
      <c r="C56" s="22" t="n"/>
      <c r="D56" s="5" t="inlineStr">
        <is>
          <t>测量范围 0 g〜100 g，分辨力 0.001 g</t>
        </is>
      </c>
      <c r="E56" s="6" t="inlineStr">
        <is>
          <t>台</t>
        </is>
      </c>
      <c r="F56" s="1" t="n">
        <v>1</v>
      </c>
      <c r="G56" s="3" t="inlineStr">
        <is>
          <t>华驰</t>
        </is>
      </c>
      <c r="H56" s="1" t="n"/>
      <c r="I56" s="24" t="n">
        <v>1</v>
      </c>
      <c r="J56" s="20" t="n">
        <v>185</v>
      </c>
      <c r="K56" s="20" t="n">
        <v>185</v>
      </c>
      <c r="L56" s="20" t="inlineStr">
        <is>
          <t>台</t>
        </is>
      </c>
      <c r="M56" s="20" t="inlineStr">
        <is>
          <t>华驰</t>
        </is>
      </c>
      <c r="N56" s="20" t="inlineStr"/>
      <c r="O56" s="20" t="inlineStr">
        <is>
          <t>11010</t>
        </is>
      </c>
      <c r="P56" s="20" t="inlineStr">
        <is>
          <t>11010</t>
        </is>
      </c>
      <c r="Q56" s="20" t="n">
        <v>220</v>
      </c>
      <c r="R56" s="20" t="inlineStr"/>
      <c r="S56" s="20" t="n">
        <v>280</v>
      </c>
      <c r="T56" s="20" t="inlineStr"/>
      <c r="U56" s="20" t="inlineStr">
        <is>
          <t>confirmed</t>
        </is>
      </c>
      <c r="V56" s="20" t="n">
        <v>100</v>
      </c>
      <c r="W56" s="20" t="inlineStr">
        <is>
          <t>价格分歧&gt;30%：历史报价分歧较大，需人工核对；同分多价：最高分候选存在不同历史价格</t>
        </is>
      </c>
      <c r="X56" s="20" t="inlineStr">
        <is>
          <t>赛特尔25年.xls｜初中新课标生物｜第55行</t>
        </is>
      </c>
    </row>
    <row r="57" ht="16.8" customHeight="1" s="16">
      <c r="A57" s="1" t="n">
        <v>58</v>
      </c>
      <c r="B57" s="21" t="n"/>
      <c r="C57" s="21" t="n"/>
      <c r="D57" s="2" t="inlineStr">
        <is>
          <t>测量范围 0 g〜200 g，分辨力 0.01 g</t>
        </is>
      </c>
      <c r="E57" s="1" t="inlineStr">
        <is>
          <t>台</t>
        </is>
      </c>
      <c r="F57" s="1" t="n">
        <v>13</v>
      </c>
      <c r="G57" s="3" t="inlineStr">
        <is>
          <t>华驰</t>
        </is>
      </c>
      <c r="H57" s="1" t="n"/>
      <c r="I57" s="24" t="n">
        <v>13</v>
      </c>
      <c r="J57" s="20" t="n">
        <v>185</v>
      </c>
      <c r="K57" s="20" t="n">
        <v>2405</v>
      </c>
      <c r="L57" s="20" t="inlineStr">
        <is>
          <t>台</t>
        </is>
      </c>
      <c r="M57" s="20" t="inlineStr">
        <is>
          <t>华驰</t>
        </is>
      </c>
      <c r="N57" s="20" t="inlineStr"/>
      <c r="O57" s="20" t="inlineStr">
        <is>
          <t>11010</t>
        </is>
      </c>
      <c r="P57" s="20" t="inlineStr">
        <is>
          <t>11010</t>
        </is>
      </c>
      <c r="Q57" s="20" t="n">
        <v>220</v>
      </c>
      <c r="R57" s="20" t="inlineStr"/>
      <c r="S57" s="20" t="n">
        <v>280</v>
      </c>
      <c r="T57" s="20" t="inlineStr"/>
      <c r="U57" s="20" t="inlineStr">
        <is>
          <t>confirmed</t>
        </is>
      </c>
      <c r="V57" s="20" t="n">
        <v>100</v>
      </c>
      <c r="W57" s="20" t="inlineStr">
        <is>
          <t>价格分歧&gt;30%：历史报价分歧较大，需人工核对；同分多价：最高分候选存在不同历史价格</t>
        </is>
      </c>
      <c r="X57" s="20" t="inlineStr">
        <is>
          <t>赛特尔25年.xls｜初中新课标生物｜第55行</t>
        </is>
      </c>
    </row>
    <row r="58" ht="16.8" customHeight="1" s="16">
      <c r="A58" s="1" t="n">
        <v>59</v>
      </c>
      <c r="B58" s="1" t="inlineStr">
        <is>
          <t>力学</t>
        </is>
      </c>
      <c r="C58" s="2" t="inlineStr">
        <is>
          <t>电子台秤</t>
        </is>
      </c>
      <c r="D58" s="2" t="inlineStr">
        <is>
          <t>测量范围 0 g〜5 kg，分辨力 0.1 g</t>
        </is>
      </c>
      <c r="E58" s="1" t="inlineStr">
        <is>
          <t>套</t>
        </is>
      </c>
      <c r="F58" s="1" t="n">
        <v>1</v>
      </c>
      <c r="G58" s="3" t="inlineStr">
        <is>
          <t>华驰</t>
        </is>
      </c>
      <c r="H58" s="1" t="n"/>
      <c r="I58" s="24" t="n">
        <v>1</v>
      </c>
      <c r="J58" s="20" t="n">
        <v>205</v>
      </c>
      <c r="K58" s="20" t="n">
        <v>205</v>
      </c>
      <c r="L58" s="20" t="inlineStr">
        <is>
          <t>套</t>
        </is>
      </c>
      <c r="M58" s="20" t="inlineStr"/>
      <c r="N58" s="20" t="inlineStr"/>
      <c r="O58" s="20" t="inlineStr"/>
      <c r="P58" s="20" t="inlineStr">
        <is>
          <t>量程500g,分度值0.01g</t>
        </is>
      </c>
      <c r="Q58" s="20" t="inlineStr"/>
      <c r="R58" s="20" t="inlineStr"/>
      <c r="S58" s="20" t="inlineStr"/>
      <c r="T58" s="20" t="inlineStr"/>
      <c r="U58" s="20" t="inlineStr">
        <is>
          <t>confirmed</t>
        </is>
      </c>
      <c r="V58" s="20" t="n">
        <v>0</v>
      </c>
      <c r="W58" s="20" t="inlineStr">
        <is>
          <t>匹配到商品档案但无历史价格记录</t>
        </is>
      </c>
      <c r="X58" s="20" t="inlineStr">
        <is>
          <t>赛特尔25年.xls｜小学新课标科学｜第40行</t>
        </is>
      </c>
    </row>
    <row r="59" ht="15.6" customHeight="1" s="16">
      <c r="A59" s="1" t="n">
        <v>60</v>
      </c>
      <c r="B59" s="21" t="n"/>
      <c r="C59" s="2" t="inlineStr">
        <is>
          <t>重锤</t>
        </is>
      </c>
      <c r="D59" s="2" t="inlineStr">
        <is>
          <t>300 g</t>
        </is>
      </c>
      <c r="E59" s="1" t="inlineStr">
        <is>
          <t>套</t>
        </is>
      </c>
      <c r="F59" s="1" t="n">
        <v>1</v>
      </c>
      <c r="G59" s="3" t="inlineStr">
        <is>
          <t>群信</t>
        </is>
      </c>
      <c r="H59" s="1" t="n"/>
      <c r="I59" s="24" t="n">
        <v>1</v>
      </c>
      <c r="J59" s="20" t="n">
        <v>10</v>
      </c>
      <c r="K59" s="20" t="n">
        <v>10</v>
      </c>
      <c r="L59" s="20" t="inlineStr">
        <is>
          <t>套</t>
        </is>
      </c>
      <c r="M59" s="20" t="inlineStr"/>
      <c r="N59" s="20" t="inlineStr"/>
      <c r="O59" s="20" t="inlineStr"/>
      <c r="P59" s="20" t="inlineStr">
        <is>
          <t>300 g</t>
        </is>
      </c>
      <c r="Q59" s="20" t="inlineStr"/>
      <c r="R59" s="20" t="inlineStr"/>
      <c r="S59" s="20" t="inlineStr"/>
      <c r="T59" s="20" t="inlineStr"/>
      <c r="U59" s="20" t="inlineStr">
        <is>
          <t>confirmed</t>
        </is>
      </c>
      <c r="V59" s="20" t="n">
        <v>0</v>
      </c>
      <c r="W59" s="20" t="inlineStr">
        <is>
          <t>没有找到可靠候选</t>
        </is>
      </c>
      <c r="X59" s="20" t="inlineStr">
        <is>
          <t>赛特尔25年.xls｜初中新课标物理｜第195行</t>
        </is>
      </c>
    </row>
    <row r="60" ht="62.4" customHeight="1" s="16">
      <c r="A60" s="1" t="n">
        <v>61</v>
      </c>
      <c r="B60" s="1" t="inlineStr">
        <is>
          <t>力学</t>
        </is>
      </c>
      <c r="C60" s="2" t="inlineStr">
        <is>
          <t>滚摆</t>
        </is>
      </c>
      <c r="D60" s="5" t="inlineStr">
        <is>
          <t>包括摆体（摆轮和摆轴）、悬线和支架等。摆轮采用金属材质，直径 125 mm；摆轴采用钢材制作，直径8 mm，长160 mm；支架高 460 mm，横梁长 300 mm；摆体质量为 0.6 kg～0.8 kg。摆体前 10 次的回升累计递减量应≤65 mm。</t>
        </is>
      </c>
      <c r="E60" s="1" t="inlineStr">
        <is>
          <t>个</t>
        </is>
      </c>
      <c r="F60" s="1" t="n">
        <v>1</v>
      </c>
      <c r="G60" s="3" t="inlineStr">
        <is>
          <t>群信</t>
        </is>
      </c>
      <c r="H60" s="1" t="n"/>
      <c r="I60" s="24" t="n">
        <v>1</v>
      </c>
      <c r="J60" s="20" t="n">
        <v>45</v>
      </c>
      <c r="K60" s="20" t="n">
        <v>45</v>
      </c>
      <c r="L60" s="20" t="inlineStr">
        <is>
          <t>个</t>
        </is>
      </c>
      <c r="M60" s="20" t="inlineStr"/>
      <c r="N60" s="20" t="inlineStr"/>
      <c r="O60" s="20" t="inlineStr"/>
      <c r="P60" s="20" t="inlineStr"/>
      <c r="Q60" s="20" t="n">
        <v>45</v>
      </c>
      <c r="R60" s="20" t="inlineStr"/>
      <c r="S60" s="20" t="n">
        <v>49.5</v>
      </c>
      <c r="T60" s="20" t="inlineStr"/>
      <c r="U60" s="20" t="inlineStr">
        <is>
          <t>confirmed</t>
        </is>
      </c>
      <c r="V60" s="20" t="n">
        <v>100</v>
      </c>
      <c r="W60" s="20" t="inlineStr"/>
      <c r="X60" s="20" t="inlineStr">
        <is>
          <t>赛特尔25年.xls｜初中新课标物理｜第369行</t>
        </is>
      </c>
    </row>
    <row r="61" ht="46.8" customHeight="1" s="16">
      <c r="A61" s="1" t="n">
        <v>62</v>
      </c>
      <c r="B61" s="22" t="n"/>
      <c r="C61" s="2" t="inlineStr">
        <is>
          <t>气垫导轨</t>
        </is>
      </c>
      <c r="D61" s="5" t="inlineStr">
        <is>
          <t>导轨长 1200 mm，配气源，含滑行器、配备块、挡光片、挡光条、弹性碰撞器、非弹性碰撞器、滑轮、垫脚、定高垫块、砝码盘、弹簧振子、光电门架等附件</t>
        </is>
      </c>
      <c r="E61" s="1" t="inlineStr">
        <is>
          <t>台</t>
        </is>
      </c>
      <c r="F61" s="1" t="n">
        <v>26</v>
      </c>
      <c r="G61" s="3" t="inlineStr">
        <is>
          <t>群信</t>
        </is>
      </c>
      <c r="H61" s="1" t="n"/>
      <c r="I61" s="24" t="n">
        <v>26</v>
      </c>
      <c r="J61" s="20" t="n">
        <v>240</v>
      </c>
      <c r="K61" s="20" t="n">
        <v>6240</v>
      </c>
      <c r="L61" s="20" t="inlineStr">
        <is>
          <t>台</t>
        </is>
      </c>
      <c r="M61" s="20" t="inlineStr">
        <is>
          <t>群信</t>
        </is>
      </c>
      <c r="N61" s="20" t="inlineStr"/>
      <c r="O61" s="20" t="inlineStr">
        <is>
          <t>21055</t>
        </is>
      </c>
      <c r="P61" s="20" t="inlineStr">
        <is>
          <t>21055</t>
        </is>
      </c>
      <c r="Q61" s="20" t="inlineStr"/>
      <c r="R61" s="20" t="inlineStr"/>
      <c r="S61" s="20" t="inlineStr"/>
      <c r="T61" s="20" t="inlineStr"/>
      <c r="U61" s="20" t="inlineStr">
        <is>
          <t>confirmed</t>
        </is>
      </c>
      <c r="V61" s="20" t="n">
        <v>100</v>
      </c>
      <c r="W61" s="20" t="inlineStr"/>
      <c r="X61" s="20" t="inlineStr">
        <is>
          <t>高中理化生报价.xlsx｜凯迪｜第140行</t>
        </is>
      </c>
    </row>
    <row r="62" ht="31.2" customHeight="1" s="16">
      <c r="A62" s="1" t="n">
        <v>63</v>
      </c>
      <c r="B62" s="21" t="n"/>
      <c r="C62" s="2" t="inlineStr">
        <is>
          <t>小型气源</t>
        </is>
      </c>
      <c r="D62" s="2" t="inlineStr">
        <is>
          <t>气压不小于 5 kPa，静音气源，噪音不大于 55 dB，有配合弹簧振子和气垫导轨使用的接口或过渡接口</t>
        </is>
      </c>
      <c r="E62" s="1" t="inlineStr">
        <is>
          <t>台</t>
        </is>
      </c>
      <c r="F62" s="1" t="n">
        <v>26</v>
      </c>
      <c r="G62" s="7" t="inlineStr">
        <is>
          <t>群信</t>
        </is>
      </c>
      <c r="H62" s="1" t="n"/>
      <c r="I62" s="24" t="n">
        <v>26</v>
      </c>
      <c r="J62" s="20" t="n">
        <v>160</v>
      </c>
      <c r="K62" s="20" t="n">
        <v>4160</v>
      </c>
      <c r="L62" s="20" t="inlineStr">
        <is>
          <t>台</t>
        </is>
      </c>
      <c r="M62" s="20" t="inlineStr">
        <is>
          <t>群信</t>
        </is>
      </c>
      <c r="N62" s="20" t="inlineStr"/>
      <c r="O62" s="20" t="inlineStr">
        <is>
          <t>21056</t>
        </is>
      </c>
      <c r="P62" s="20" t="inlineStr">
        <is>
          <t>21056</t>
        </is>
      </c>
      <c r="Q62" s="20" t="inlineStr"/>
      <c r="R62" s="20" t="inlineStr"/>
      <c r="S62" s="20" t="inlineStr"/>
      <c r="T62" s="20" t="inlineStr"/>
      <c r="U62" s="20" t="inlineStr">
        <is>
          <t>confirmed</t>
        </is>
      </c>
      <c r="V62" s="20" t="n">
        <v>100</v>
      </c>
      <c r="W62" s="20" t="inlineStr"/>
      <c r="X62" s="20" t="inlineStr">
        <is>
          <t>高中理化生报价.xlsx｜凯迪｜第141行</t>
        </is>
      </c>
    </row>
    <row r="63" ht="202.8" customHeight="1" s="16">
      <c r="A63" s="1" t="n">
        <v>64</v>
      </c>
      <c r="B63" s="1" t="inlineStr">
        <is>
          <t>力学</t>
        </is>
      </c>
      <c r="C63" s="2" t="inlineStr">
        <is>
          <t>数字计时器</t>
        </is>
      </c>
      <c r="D63" s="5" t="inlineStr">
        <is>
          <t>四位及以上，数据存储。可通过数码显示选择控制菜单，可设定多种计时模式，包括通过时间、挡光时间、速度、周期、平均周期、平均频率、计数、单摆周期、平均单摆周期、平均单摆频率、周期数等，能显示 10 个挡光间隔时间、10 周振动、n 次振动时间总和、加速度计时 3个时间、自由落体时间不少于 2 个2路光电门分别计 2 个挡光时间(对碰、追碰)，对应间隔时间的平均速度、加速度、碰撞计时四个平均速度；电磁铁可调释放延时补偿。具有 2 路光电门接口、2 路独立计时触发按钮，有电磁铁接口，统一通用接口，1 个电磁释放按钮，能够存储不少于 20 组数据。可用于匀加速运动、自由落体、圆周运动、牛顿第二定律、摆、碰撞、声速测量等实验。时间测量精度：0.01 ms；可计时范围：0.02 ms～100 h。配备无线传输模块，可与显示屏配套使用。</t>
        </is>
      </c>
      <c r="E63" s="1" t="inlineStr">
        <is>
          <t>台</t>
        </is>
      </c>
      <c r="F63" s="1" t="n">
        <v>26</v>
      </c>
      <c r="G63" s="3" t="inlineStr">
        <is>
          <t>群信</t>
        </is>
      </c>
      <c r="H63" s="1" t="n"/>
      <c r="I63" s="24" t="n">
        <v>26</v>
      </c>
      <c r="J63" s="20" t="n">
        <v>130</v>
      </c>
      <c r="K63" s="20" t="n">
        <v>3380</v>
      </c>
      <c r="L63" s="20" t="inlineStr">
        <is>
          <t>台</t>
        </is>
      </c>
      <c r="M63" s="20" t="inlineStr">
        <is>
          <t>群信</t>
        </is>
      </c>
      <c r="N63" s="20" t="inlineStr"/>
      <c r="O63" s="20" t="inlineStr">
        <is>
          <t>12007</t>
        </is>
      </c>
      <c r="P63" s="20" t="inlineStr">
        <is>
          <t>12007</t>
        </is>
      </c>
      <c r="Q63" s="20" t="inlineStr"/>
      <c r="R63" s="20" t="inlineStr"/>
      <c r="S63" s="20" t="inlineStr"/>
      <c r="T63" s="20" t="inlineStr"/>
      <c r="U63" s="20" t="inlineStr">
        <is>
          <t>confirmed</t>
        </is>
      </c>
      <c r="V63" s="20" t="n">
        <v>100</v>
      </c>
      <c r="W63" s="20" t="inlineStr"/>
      <c r="X63" s="20" t="inlineStr">
        <is>
          <t>赛特尔25年.xls｜初中新课标物理｜第372行</t>
        </is>
      </c>
    </row>
    <row r="64" ht="109.2" customHeight="1" s="16">
      <c r="A64" s="1" t="n">
        <v>65</v>
      </c>
      <c r="B64" s="1" t="n"/>
      <c r="C64" s="2" t="inlineStr">
        <is>
          <t>曲线运动方向实验器</t>
        </is>
      </c>
      <c r="D64" s="2" t="inlineStr">
        <is>
          <t>产品规格：≥515*405mm；外框采用铝合金型材，由可拼接的塑料“S”形轨道、钢球、钢球释放装置等组成。小钢球能够在轨道内自由滚动。小钢球能够以一定的初速度从同一入口滚入轨道，滚出轨道时的速度方向(沿轨道该点切线)即为此时瞬时速度的方向，在加、减轨道时，小球滚出的速度方向不同。钢球在滚出轨道时会在版面上留下一条运动的轨迹，观察钢球在离开轨道时的速度方向。</t>
        </is>
      </c>
      <c r="E64" s="1" t="inlineStr">
        <is>
          <t>套</t>
        </is>
      </c>
      <c r="F64" s="1" t="n">
        <v>1</v>
      </c>
      <c r="G64" s="3" t="inlineStr">
        <is>
          <t>群信</t>
        </is>
      </c>
      <c r="H64" s="1" t="n"/>
      <c r="I64" s="24" t="n">
        <v>1</v>
      </c>
      <c r="J64" s="20" t="n">
        <v>45</v>
      </c>
      <c r="K64" s="20" t="n">
        <v>45</v>
      </c>
      <c r="L64" s="20" t="inlineStr">
        <is>
          <t>套</t>
        </is>
      </c>
      <c r="M64" s="20" t="inlineStr"/>
      <c r="N64" s="20" t="inlineStr"/>
      <c r="O64" s="20" t="inlineStr"/>
      <c r="P64" s="20" t="inlineStr"/>
      <c r="Q64" s="20" t="n">
        <v>62</v>
      </c>
      <c r="R64" s="20" t="inlineStr"/>
      <c r="S64" s="20" t="n">
        <v>190</v>
      </c>
      <c r="T64" s="20" t="inlineStr"/>
      <c r="U64" s="20" t="inlineStr">
        <is>
          <t>confirmed</t>
        </is>
      </c>
      <c r="V64" s="20" t="n">
        <v>62.5</v>
      </c>
      <c r="W64" s="20" t="inlineStr">
        <is>
          <t>价格分歧&gt;30%：历史报价分歧较大，需人工核对；同分多价：最高分候选存在不同历史价格</t>
        </is>
      </c>
      <c r="X64" s="20" t="inlineStr">
        <is>
          <t>赛特尔25年.xls｜初中物理｜第107行</t>
        </is>
      </c>
    </row>
    <row r="65" ht="93.59999999999999" customHeight="1" s="16">
      <c r="A65" s="1" t="n">
        <v>66</v>
      </c>
      <c r="B65" s="1" t="inlineStr">
        <is>
          <t>力学</t>
        </is>
      </c>
      <c r="C65" s="2" t="inlineStr">
        <is>
          <t>曲线运动条件实验器</t>
        </is>
      </c>
      <c r="D65" s="2" t="inlineStr">
        <is>
          <t>产品规格：≥540*410mm；外框采用铝合金型材，由倾角高度可调的铝合金轨道(斜面倾角30°左右,轨道长200 mm)、小钢球、磁铁、小球释放装置等组成。小钢球能够在轨道内自由滚动。将轨道放在水平面上并调好倾角高度后，能够保证小球从顶端释放后，在水平面内做同-直线运动。用磁铁在水平面内对运动的小球施加力，使小球运动方向改变。</t>
        </is>
      </c>
      <c r="E65" s="1" t="inlineStr">
        <is>
          <t>台</t>
        </is>
      </c>
      <c r="F65" s="1" t="n">
        <v>13</v>
      </c>
      <c r="G65" s="3" t="inlineStr">
        <is>
          <t>群信</t>
        </is>
      </c>
      <c r="H65" s="1" t="n"/>
      <c r="I65" s="24" t="n">
        <v>13</v>
      </c>
      <c r="J65" s="20" t="n">
        <v>62</v>
      </c>
      <c r="K65" s="20" t="n">
        <v>806</v>
      </c>
      <c r="L65" s="20" t="inlineStr">
        <is>
          <t>台</t>
        </is>
      </c>
      <c r="M65" s="20" t="inlineStr"/>
      <c r="N65" s="20" t="inlineStr"/>
      <c r="O65" s="20" t="inlineStr"/>
      <c r="P65" s="20" t="inlineStr"/>
      <c r="Q65" s="20" t="inlineStr"/>
      <c r="R65" s="20" t="inlineStr"/>
      <c r="S65" s="20" t="inlineStr"/>
      <c r="T65" s="20" t="inlineStr"/>
      <c r="U65" s="20" t="inlineStr">
        <is>
          <t>confirmed</t>
        </is>
      </c>
      <c r="V65" s="20" t="n">
        <v>0</v>
      </c>
      <c r="W65" s="20" t="inlineStr">
        <is>
          <t>匹配到商品档案但无历史价格记录</t>
        </is>
      </c>
      <c r="X65" s="20" t="inlineStr">
        <is>
          <t>赛特尔25年.xls｜初中新课标物理｜第204行</t>
        </is>
      </c>
    </row>
    <row r="66" ht="31.2" customHeight="1" s="16">
      <c r="A66" s="1" t="n">
        <v>67</v>
      </c>
      <c r="B66" s="21" t="n"/>
      <c r="C66" s="2" t="inlineStr">
        <is>
          <t>运动合成分解演示器</t>
        </is>
      </c>
      <c r="D66" s="2" t="inlineStr">
        <is>
          <t>两个分运动互成任何角，可做匀速-匀速、匀速-匀加速运动合成</t>
        </is>
      </c>
      <c r="E66" s="1" t="inlineStr">
        <is>
          <t>套</t>
        </is>
      </c>
      <c r="F66" s="1" t="n">
        <v>1</v>
      </c>
      <c r="G66" s="3" t="inlineStr">
        <is>
          <t>群信</t>
        </is>
      </c>
      <c r="H66" s="1" t="n"/>
      <c r="I66" s="24" t="n">
        <v>1</v>
      </c>
      <c r="J66" s="20" t="n">
        <v>160</v>
      </c>
      <c r="K66" s="20" t="n">
        <v>160</v>
      </c>
      <c r="L66" s="20" t="inlineStr">
        <is>
          <t>套</t>
        </is>
      </c>
      <c r="M66" s="20" t="inlineStr">
        <is>
          <t>群信</t>
        </is>
      </c>
      <c r="N66" s="20" t="inlineStr"/>
      <c r="O66" s="20" t="inlineStr">
        <is>
          <t>21049</t>
        </is>
      </c>
      <c r="P66" s="20" t="inlineStr">
        <is>
          <t>21049</t>
        </is>
      </c>
      <c r="Q66" s="20" t="inlineStr"/>
      <c r="R66" s="20" t="inlineStr"/>
      <c r="S66" s="20" t="inlineStr"/>
      <c r="T66" s="20" t="inlineStr"/>
      <c r="U66" s="20" t="inlineStr">
        <is>
          <t>confirmed</t>
        </is>
      </c>
      <c r="V66" s="20" t="n">
        <v>100</v>
      </c>
      <c r="W66" s="20" t="inlineStr"/>
      <c r="X66" s="20" t="inlineStr">
        <is>
          <t>高中理化生报价.xlsx｜凯迪｜第134行</t>
        </is>
      </c>
    </row>
    <row r="67" ht="15.6" customHeight="1" s="16">
      <c r="A67" s="1" t="n">
        <v>68</v>
      </c>
      <c r="B67" s="1" t="n"/>
      <c r="C67" s="2" t="inlineStr">
        <is>
          <t>平抛竖落仪</t>
        </is>
      </c>
      <c r="D67" s="2" t="inlineStr">
        <is>
          <t>重锤击打式，两球应同时落地</t>
        </is>
      </c>
      <c r="E67" s="1" t="inlineStr">
        <is>
          <t>台</t>
        </is>
      </c>
      <c r="F67" s="1" t="n">
        <v>1</v>
      </c>
      <c r="G67" s="3" t="inlineStr">
        <is>
          <t>群信</t>
        </is>
      </c>
      <c r="H67" s="1" t="n"/>
      <c r="I67" s="24" t="n">
        <v>1</v>
      </c>
      <c r="J67" s="20" t="n">
        <v>32</v>
      </c>
      <c r="K67" s="20" t="n">
        <v>32</v>
      </c>
      <c r="L67" s="20" t="inlineStr">
        <is>
          <t>台</t>
        </is>
      </c>
      <c r="M67" s="20" t="inlineStr"/>
      <c r="N67" s="20" t="inlineStr"/>
      <c r="O67" s="20" t="inlineStr"/>
      <c r="P67" s="20" t="inlineStr">
        <is>
          <t>用于高中物理教学中有关平抛物体和自由落体，同时落地的演示实验；结构：由底板、轴、角铁、圆窝、弹簧、扳机、转门、钢球、方孔、挡柱组成。</t>
        </is>
      </c>
      <c r="Q67" s="20" t="inlineStr"/>
      <c r="R67" s="20" t="inlineStr"/>
      <c r="S67" s="20" t="inlineStr"/>
      <c r="T67" s="20" t="inlineStr"/>
      <c r="U67" s="20" t="inlineStr">
        <is>
          <t>confirmed</t>
        </is>
      </c>
      <c r="V67" s="20" t="n">
        <v>0</v>
      </c>
      <c r="W67" s="20" t="inlineStr">
        <is>
          <t>没有找到可靠候选</t>
        </is>
      </c>
      <c r="X67" s="20" t="inlineStr">
        <is>
          <t>赛特尔25年.xls｜高中物理｜第149行</t>
        </is>
      </c>
    </row>
    <row r="68" ht="46.8" customHeight="1" s="16">
      <c r="A68" s="1" t="n">
        <v>69</v>
      </c>
      <c r="B68" s="21" t="n"/>
      <c r="C68" s="2" t="inlineStr">
        <is>
          <t>平抛和碰撞实验器</t>
        </is>
      </c>
      <c r="D68" s="5" t="inlineStr">
        <is>
          <t>包含演示板、钢球、铝合金钢球轨道、水平挡板、重锤等。小球从斜轨轨道末端飞出后做平抛运动，落到挡板上，挤压复写纸，留下痕迹，挡板上下位置可调，实验误差≤5%</t>
        </is>
      </c>
      <c r="E68" s="1" t="inlineStr">
        <is>
          <t>台</t>
        </is>
      </c>
      <c r="F68" s="1" t="n">
        <v>26</v>
      </c>
      <c r="G68" s="3" t="inlineStr">
        <is>
          <t>群信</t>
        </is>
      </c>
      <c r="H68" s="1" t="n"/>
      <c r="I68" s="24" t="n">
        <v>26</v>
      </c>
      <c r="J68" s="20" t="n">
        <v>20</v>
      </c>
      <c r="K68" s="20" t="n">
        <v>520</v>
      </c>
      <c r="L68" s="20" t="inlineStr">
        <is>
          <t>台</t>
        </is>
      </c>
      <c r="M68" s="20" t="inlineStr">
        <is>
          <t>群信</t>
        </is>
      </c>
      <c r="N68" s="20" t="inlineStr"/>
      <c r="O68" s="20" t="inlineStr">
        <is>
          <t>21068</t>
        </is>
      </c>
      <c r="P68" s="20" t="inlineStr">
        <is>
          <t>21068</t>
        </is>
      </c>
      <c r="Q68" s="20" t="inlineStr"/>
      <c r="R68" s="20" t="inlineStr"/>
      <c r="S68" s="20" t="inlineStr"/>
      <c r="T68" s="20" t="inlineStr"/>
      <c r="U68" s="20" t="inlineStr">
        <is>
          <t>confirmed</t>
        </is>
      </c>
      <c r="V68" s="20" t="n">
        <v>100</v>
      </c>
      <c r="W68" s="20" t="inlineStr"/>
      <c r="X68" s="20" t="inlineStr">
        <is>
          <t>高中理化生报价.xlsx｜凯迪｜第152行</t>
        </is>
      </c>
    </row>
    <row r="69" ht="78" customHeight="1" s="16">
      <c r="A69" s="1" t="n">
        <v>70</v>
      </c>
      <c r="B69" s="1" t="inlineStr">
        <is>
          <t>力学</t>
        </is>
      </c>
      <c r="C69" s="2" t="inlineStr">
        <is>
          <t>平抛运动演示仪</t>
        </is>
      </c>
      <c r="D69" s="5" t="inlineStr">
        <is>
          <t>由三个电磁铁钢球释放装置、水平并列固定相同弧形的两条轨道、钢球捕捉装置、铅垂线等组成。一个电磁铁释放的钢球做平抛运动，一个电磁铁释放的钢球做匀速直线运动，一个电磁铁释放的钢球做自由落体运动。相同高度、同时释放的三个钢球应同时被捕捉装置捕获。</t>
        </is>
      </c>
      <c r="E69" s="1" t="inlineStr">
        <is>
          <t>台</t>
        </is>
      </c>
      <c r="F69" s="1" t="n">
        <v>1</v>
      </c>
      <c r="G69" s="3" t="inlineStr">
        <is>
          <t>群信</t>
        </is>
      </c>
      <c r="H69" s="1" t="n"/>
      <c r="I69" s="24" t="n">
        <v>1</v>
      </c>
      <c r="J69" s="20" t="n">
        <v>20</v>
      </c>
      <c r="K69" s="20" t="n">
        <v>20</v>
      </c>
      <c r="L69" s="20" t="inlineStr">
        <is>
          <t>台</t>
        </is>
      </c>
      <c r="M69" s="20" t="inlineStr"/>
      <c r="N69" s="20" t="inlineStr"/>
      <c r="O69" s="20" t="inlineStr"/>
      <c r="P69" s="20" t="inlineStr"/>
      <c r="Q69" s="20" t="inlineStr"/>
      <c r="R69" s="20" t="inlineStr"/>
      <c r="S69" s="20" t="inlineStr"/>
      <c r="T69" s="20" t="inlineStr"/>
      <c r="U69" s="20" t="inlineStr">
        <is>
          <t>confirmed</t>
        </is>
      </c>
      <c r="V69" s="20" t="n">
        <v>0</v>
      </c>
      <c r="W69" s="20" t="inlineStr">
        <is>
          <t>匹配到商品档案但无历史价格记录</t>
        </is>
      </c>
      <c r="X69" s="20" t="inlineStr">
        <is>
          <t>赛特尔25年.xls｜高中物理｜第145行</t>
        </is>
      </c>
    </row>
    <row r="70" ht="31.2" customHeight="1" s="16">
      <c r="A70" s="1" t="n">
        <v>71</v>
      </c>
      <c r="B70" s="1" t="inlineStr">
        <is>
          <t>力学</t>
        </is>
      </c>
      <c r="C70" s="2" t="inlineStr">
        <is>
          <t>向心力演示器</t>
        </is>
      </c>
      <c r="D70" s="2" t="inlineStr">
        <is>
          <t>质量、半径和角速度均可调，向心力综合实验相对误差平均值不大于 5%</t>
        </is>
      </c>
      <c r="E70" s="1" t="inlineStr">
        <is>
          <t>台</t>
        </is>
      </c>
      <c r="F70" s="1" t="n">
        <v>13</v>
      </c>
      <c r="G70" s="3" t="inlineStr">
        <is>
          <t>群信</t>
        </is>
      </c>
      <c r="H70" s="1" t="n"/>
      <c r="I70" s="24" t="n">
        <v>13</v>
      </c>
      <c r="J70" s="20" t="n">
        <v>220</v>
      </c>
      <c r="K70" s="20" t="n">
        <v>2860</v>
      </c>
      <c r="L70" s="20" t="inlineStr">
        <is>
          <t>台</t>
        </is>
      </c>
      <c r="M70" s="20" t="inlineStr">
        <is>
          <t>群信</t>
        </is>
      </c>
      <c r="N70" s="20" t="inlineStr"/>
      <c r="O70" s="20" t="inlineStr">
        <is>
          <t>21072</t>
        </is>
      </c>
      <c r="P70" s="20" t="inlineStr">
        <is>
          <t>21072</t>
        </is>
      </c>
      <c r="Q70" s="20" t="inlineStr"/>
      <c r="R70" s="20" t="inlineStr"/>
      <c r="S70" s="20" t="inlineStr"/>
      <c r="T70" s="20" t="inlineStr"/>
      <c r="U70" s="20" t="inlineStr">
        <is>
          <t>confirmed</t>
        </is>
      </c>
      <c r="V70" s="20" t="n">
        <v>100</v>
      </c>
      <c r="W70" s="20" t="inlineStr"/>
      <c r="X70" s="20" t="inlineStr">
        <is>
          <t>高中理化生报价.xlsx｜凯迪｜第157行</t>
        </is>
      </c>
    </row>
    <row r="71" ht="62.4" customHeight="1" s="16">
      <c r="A71" s="1" t="n">
        <v>72</v>
      </c>
      <c r="B71" s="1" t="inlineStr">
        <is>
          <t>力学</t>
        </is>
      </c>
      <c r="C71" s="2" t="inlineStr">
        <is>
          <t>碰撞实验器</t>
        </is>
      </c>
      <c r="D71" s="5" t="inlineStr">
        <is>
          <t>由轨道、小球、、重锤、支架和台夹等组成。小球应不少于 4 个，玻璃球和钢球各 2 个。轨道由金属材料制成，分为倾斜和水平两段，连接处应以圆弧过渡，圆弧的曲率半径为 70 mm±10 mm，两段之间的夹角α应为 150°±5°。实验误差≤5%</t>
        </is>
      </c>
      <c r="E71" s="1" t="inlineStr">
        <is>
          <t>套</t>
        </is>
      </c>
      <c r="F71" s="1" t="n">
        <v>26</v>
      </c>
      <c r="G71" s="3" t="inlineStr">
        <is>
          <t>群信</t>
        </is>
      </c>
      <c r="H71" s="1" t="n"/>
      <c r="I71" s="24" t="n">
        <v>26</v>
      </c>
      <c r="J71" s="20" t="n">
        <v>45</v>
      </c>
      <c r="K71" s="20" t="n">
        <v>1170</v>
      </c>
      <c r="L71" s="20" t="inlineStr">
        <is>
          <t>套</t>
        </is>
      </c>
      <c r="M71" s="20" t="inlineStr">
        <is>
          <t>群信</t>
        </is>
      </c>
      <c r="N71" s="20" t="inlineStr"/>
      <c r="O71" s="20" t="inlineStr">
        <is>
          <t>21067</t>
        </is>
      </c>
      <c r="P71" s="20" t="inlineStr">
        <is>
          <t>21067</t>
        </is>
      </c>
      <c r="Q71" s="20" t="inlineStr"/>
      <c r="R71" s="20" t="inlineStr"/>
      <c r="S71" s="20" t="inlineStr"/>
      <c r="T71" s="20" t="inlineStr"/>
      <c r="U71" s="20" t="inlineStr">
        <is>
          <t>confirmed</t>
        </is>
      </c>
      <c r="V71" s="20" t="n">
        <v>100</v>
      </c>
      <c r="W71" s="20" t="inlineStr"/>
      <c r="X71" s="20" t="inlineStr">
        <is>
          <t>高中理化生报价.xlsx｜凯迪｜第151行</t>
        </is>
      </c>
    </row>
    <row r="72" ht="15.6" customHeight="1" s="16">
      <c r="A72" s="1" t="n">
        <v>73</v>
      </c>
      <c r="B72" s="1" t="n"/>
      <c r="C72" s="2" t="inlineStr">
        <is>
          <t>反冲运动小车</t>
        </is>
      </c>
      <c r="D72" s="2" t="inlineStr">
        <is>
          <t>带风扇，有透明挡板</t>
        </is>
      </c>
      <c r="E72" s="1" t="inlineStr">
        <is>
          <t>套</t>
        </is>
      </c>
      <c r="F72" s="1" t="n">
        <v>1</v>
      </c>
      <c r="G72" s="3" t="inlineStr">
        <is>
          <t>群信</t>
        </is>
      </c>
      <c r="H72" s="1" t="n"/>
      <c r="I72" s="24" t="n">
        <v>1</v>
      </c>
      <c r="J72" s="20" t="n">
        <v>20</v>
      </c>
      <c r="K72" s="20" t="n">
        <v>20</v>
      </c>
      <c r="L72" s="20" t="inlineStr">
        <is>
          <t>套</t>
        </is>
      </c>
      <c r="M72" s="20" t="inlineStr"/>
      <c r="N72" s="20" t="inlineStr"/>
      <c r="O72" s="20" t="inlineStr"/>
      <c r="P72" s="20" t="inlineStr"/>
      <c r="Q72" s="20" t="inlineStr"/>
      <c r="R72" s="20" t="inlineStr"/>
      <c r="S72" s="20" t="inlineStr"/>
      <c r="T72" s="20" t="inlineStr"/>
      <c r="U72" s="20" t="inlineStr">
        <is>
          <t>confirmed</t>
        </is>
      </c>
      <c r="V72" s="20" t="n">
        <v>61.5</v>
      </c>
      <c r="W72" s="20" t="inlineStr"/>
      <c r="X72" s="20" t="inlineStr">
        <is>
          <t>赛特尔25年.xls｜高中物理｜第145行</t>
        </is>
      </c>
    </row>
    <row r="73" ht="15.6" customHeight="1" s="16">
      <c r="A73" s="1" t="n">
        <v>74</v>
      </c>
      <c r="B73" s="1" t="inlineStr">
        <is>
          <t>力学</t>
        </is>
      </c>
      <c r="C73" s="1" t="inlineStr">
        <is>
          <t>弹簧振子</t>
        </is>
      </c>
      <c r="D73" s="2" t="inlineStr">
        <is>
          <t>气垫式</t>
        </is>
      </c>
      <c r="E73" s="1" t="inlineStr">
        <is>
          <t>套</t>
        </is>
      </c>
      <c r="F73" s="1" t="n">
        <v>1</v>
      </c>
      <c r="G73" s="3" t="inlineStr">
        <is>
          <t>群信</t>
        </is>
      </c>
      <c r="H73" s="1" t="n"/>
      <c r="I73" s="24" t="n">
        <v>1</v>
      </c>
      <c r="J73" s="20" t="n">
        <v>2</v>
      </c>
      <c r="K73" s="20" t="n">
        <v>2</v>
      </c>
      <c r="L73" s="20" t="inlineStr">
        <is>
          <t>套</t>
        </is>
      </c>
      <c r="M73" s="20" t="inlineStr">
        <is>
          <t>群信</t>
        </is>
      </c>
      <c r="N73" s="20" t="inlineStr"/>
      <c r="O73" s="20" t="inlineStr">
        <is>
          <t>22018</t>
        </is>
      </c>
      <c r="P73" s="20" t="inlineStr">
        <is>
          <t>22018</t>
        </is>
      </c>
      <c r="Q73" s="20" t="inlineStr"/>
      <c r="R73" s="20" t="inlineStr"/>
      <c r="S73" s="20" t="inlineStr"/>
      <c r="T73" s="20" t="inlineStr"/>
      <c r="U73" s="20" t="inlineStr">
        <is>
          <t>confirmed</t>
        </is>
      </c>
      <c r="V73" s="20" t="n">
        <v>0</v>
      </c>
      <c r="W73" s="20" t="inlineStr">
        <is>
          <t>匹配到商品档案但无历史价格记录</t>
        </is>
      </c>
      <c r="X73" s="20" t="inlineStr">
        <is>
          <t>赛特尔25年.xls｜小学科学｜第61行</t>
        </is>
      </c>
    </row>
    <row r="74" ht="15.6" customHeight="1" s="16">
      <c r="A74" s="1" t="n">
        <v>75</v>
      </c>
      <c r="B74" s="21" t="n"/>
      <c r="C74" s="21" t="n"/>
      <c r="D74" s="5" t="inlineStr">
        <is>
          <t>纸带式，自动稳定走纸</t>
        </is>
      </c>
      <c r="E74" s="1" t="inlineStr">
        <is>
          <t>套</t>
        </is>
      </c>
      <c r="F74" s="1" t="n">
        <v>1</v>
      </c>
      <c r="G74" s="3" t="inlineStr">
        <is>
          <t>群信</t>
        </is>
      </c>
      <c r="H74" s="1" t="n"/>
      <c r="I74" s="24" t="n">
        <v>1</v>
      </c>
      <c r="J74" s="20" t="n">
        <v>2</v>
      </c>
      <c r="K74" s="20" t="n">
        <v>2</v>
      </c>
      <c r="L74" s="20" t="inlineStr">
        <is>
          <t>套</t>
        </is>
      </c>
      <c r="M74" s="20" t="inlineStr">
        <is>
          <t>群信</t>
        </is>
      </c>
      <c r="N74" s="20" t="inlineStr"/>
      <c r="O74" s="20" t="inlineStr">
        <is>
          <t>22018</t>
        </is>
      </c>
      <c r="P74" s="20" t="inlineStr">
        <is>
          <t>22018</t>
        </is>
      </c>
      <c r="Q74" s="20" t="inlineStr"/>
      <c r="R74" s="20" t="inlineStr"/>
      <c r="S74" s="20" t="inlineStr"/>
      <c r="T74" s="20" t="inlineStr"/>
      <c r="U74" s="20" t="inlineStr">
        <is>
          <t>confirmed</t>
        </is>
      </c>
      <c r="V74" s="20" t="n">
        <v>0</v>
      </c>
      <c r="W74" s="20" t="inlineStr">
        <is>
          <t>没有找到可靠候选</t>
        </is>
      </c>
      <c r="X74" s="20" t="inlineStr">
        <is>
          <t>赛特尔25年.xls｜小学科学｜第61行</t>
        </is>
      </c>
    </row>
    <row r="75" ht="31.2" customHeight="1" s="16">
      <c r="A75" s="1" t="n">
        <v>76</v>
      </c>
      <c r="B75" s="1" t="inlineStr">
        <is>
          <t>力学</t>
        </is>
      </c>
      <c r="C75" s="2" t="inlineStr">
        <is>
          <t>单摆振动图像演示器</t>
        </is>
      </c>
      <c r="D75" s="5" t="inlineStr">
        <is>
          <t>由金属吊坠、金属支架、组成。金属吊坠或者球带有笔头固定装置。</t>
        </is>
      </c>
      <c r="E75" s="1" t="inlineStr">
        <is>
          <t>套</t>
        </is>
      </c>
      <c r="F75" s="1" t="n">
        <v>2</v>
      </c>
      <c r="G75" s="3" t="inlineStr">
        <is>
          <t>群信</t>
        </is>
      </c>
      <c r="H75" s="1" t="n"/>
      <c r="I75" s="24" t="n">
        <v>2</v>
      </c>
      <c r="J75" s="20" t="n">
        <v>90</v>
      </c>
      <c r="K75" s="20" t="n">
        <v>180</v>
      </c>
      <c r="L75" s="20" t="inlineStr">
        <is>
          <t>套</t>
        </is>
      </c>
      <c r="M75" s="20" t="inlineStr">
        <is>
          <t>群信</t>
        </is>
      </c>
      <c r="N75" s="20" t="inlineStr"/>
      <c r="O75" s="20" t="inlineStr">
        <is>
          <t>22025</t>
        </is>
      </c>
      <c r="P75" s="20" t="inlineStr">
        <is>
          <t>22025</t>
        </is>
      </c>
      <c r="Q75" s="20" t="inlineStr"/>
      <c r="R75" s="20" t="inlineStr"/>
      <c r="S75" s="20" t="inlineStr"/>
      <c r="T75" s="20" t="inlineStr"/>
      <c r="U75" s="20" t="inlineStr">
        <is>
          <t>confirmed</t>
        </is>
      </c>
      <c r="V75" s="20" t="n">
        <v>66.7</v>
      </c>
      <c r="W75" s="20" t="inlineStr"/>
      <c r="X75" s="20" t="inlineStr">
        <is>
          <t>高中理化生报价.xlsx｜凯迪｜第182行</t>
        </is>
      </c>
    </row>
    <row r="76" ht="46.8" customHeight="1" s="16">
      <c r="A76" s="1" t="n">
        <v>77</v>
      </c>
      <c r="B76" s="1" t="inlineStr">
        <is>
          <t>力学</t>
        </is>
      </c>
      <c r="C76" s="2" t="inlineStr">
        <is>
          <t>单摆组</t>
        </is>
      </c>
      <c r="D76" s="5" t="inlineStr">
        <is>
          <t>5 个摆球，含 3 个直径不同的钢球，1 个木球，一个塑料球。单摆夹应由金属材料制成，夹口应为 V 形，单摆在摆动过程中摆线上的固定点应不变</t>
        </is>
      </c>
      <c r="E76" s="1" t="inlineStr">
        <is>
          <t>套</t>
        </is>
      </c>
      <c r="F76" s="1" t="n">
        <v>26</v>
      </c>
      <c r="G76" s="3" t="inlineStr">
        <is>
          <t>群信</t>
        </is>
      </c>
      <c r="H76" s="1" t="n"/>
      <c r="I76" s="24" t="n">
        <v>26</v>
      </c>
      <c r="J76" s="20" t="n">
        <v>6</v>
      </c>
      <c r="K76" s="20" t="n">
        <v>156</v>
      </c>
      <c r="L76" s="20" t="inlineStr">
        <is>
          <t>套</t>
        </is>
      </c>
      <c r="M76" s="20" t="inlineStr">
        <is>
          <t>群信</t>
        </is>
      </c>
      <c r="N76" s="20" t="inlineStr"/>
      <c r="O76" s="20" t="inlineStr">
        <is>
          <t>22023</t>
        </is>
      </c>
      <c r="P76" s="20" t="inlineStr">
        <is>
          <t>22023</t>
        </is>
      </c>
      <c r="Q76" s="20" t="inlineStr"/>
      <c r="R76" s="20" t="inlineStr"/>
      <c r="S76" s="20" t="inlineStr"/>
      <c r="T76" s="20" t="inlineStr"/>
      <c r="U76" s="20" t="inlineStr">
        <is>
          <t>confirmed</t>
        </is>
      </c>
      <c r="V76" s="20" t="n">
        <v>0</v>
      </c>
      <c r="W76" s="20" t="inlineStr">
        <is>
          <t>没有找到可靠候选</t>
        </is>
      </c>
      <c r="X76" s="20" t="inlineStr">
        <is>
          <t>高中理化生报价.xlsx｜凯迪｜第180行</t>
        </is>
      </c>
    </row>
    <row r="77" ht="31.2" customHeight="1" s="16">
      <c r="A77" s="1" t="n">
        <v>78</v>
      </c>
      <c r="B77" s="22" t="n"/>
      <c r="C77" s="2" t="inlineStr">
        <is>
          <t>电子秒表</t>
        </is>
      </c>
      <c r="D77" s="5" t="inlineStr">
        <is>
          <t>专用型，全时段分辨力 0.01s；有防震、防水功能，电池更换周期不小于 1.5 年</t>
        </is>
      </c>
      <c r="E77" s="6" t="inlineStr">
        <is>
          <t>套</t>
        </is>
      </c>
      <c r="F77" s="1" t="n">
        <v>26</v>
      </c>
      <c r="G77" s="3" t="inlineStr">
        <is>
          <t>群信</t>
        </is>
      </c>
      <c r="H77" s="1" t="n"/>
      <c r="I77" s="24" t="n">
        <v>26</v>
      </c>
      <c r="J77" s="20" t="n">
        <v>14</v>
      </c>
      <c r="K77" s="20" t="n">
        <v>364</v>
      </c>
      <c r="L77" s="20" t="inlineStr">
        <is>
          <t>套</t>
        </is>
      </c>
      <c r="M77" s="20" t="inlineStr"/>
      <c r="N77" s="20" t="inlineStr"/>
      <c r="O77" s="20" t="inlineStr"/>
      <c r="P77" s="20" t="inlineStr">
        <is>
          <t>专用型，全时段分辨力 0.01 s；有防震、防水功能，电池更换周期≥1.5 年</t>
        </is>
      </c>
      <c r="Q77" s="20" t="inlineStr"/>
      <c r="R77" s="20" t="inlineStr"/>
      <c r="S77" s="20" t="inlineStr"/>
      <c r="T77" s="20" t="inlineStr"/>
      <c r="U77" s="20" t="inlineStr">
        <is>
          <t>confirmed</t>
        </is>
      </c>
      <c r="V77" s="20" t="n">
        <v>0</v>
      </c>
      <c r="W77" s="20" t="inlineStr">
        <is>
          <t>没有找到可靠候选</t>
        </is>
      </c>
      <c r="X77" s="20" t="inlineStr">
        <is>
          <t>赛特尔25年.xls｜初中新课标生物｜第58行</t>
        </is>
      </c>
    </row>
    <row r="78" ht="15.6" customHeight="1" s="16">
      <c r="A78" s="1" t="n">
        <v>79</v>
      </c>
      <c r="B78" s="21" t="n"/>
      <c r="C78" s="2" t="inlineStr">
        <is>
          <t>演示游标卡尺</t>
        </is>
      </c>
      <c r="D78" s="5" t="inlineStr">
        <is>
          <t>木质或铝合金材质，刻度清晰，刻度放大比例 1:20</t>
        </is>
      </c>
      <c r="E78" s="1" t="inlineStr">
        <is>
          <t>台</t>
        </is>
      </c>
      <c r="F78" s="1" t="n">
        <v>1</v>
      </c>
      <c r="G78" s="3" t="inlineStr">
        <is>
          <t>神宏桥</t>
        </is>
      </c>
      <c r="H78" s="1" t="n"/>
      <c r="I78" s="24" t="n">
        <v>1</v>
      </c>
      <c r="J78" s="20" t="n">
        <v>30</v>
      </c>
      <c r="K78" s="20" t="n">
        <v>30</v>
      </c>
      <c r="L78" s="20" t="inlineStr">
        <is>
          <t>台</t>
        </is>
      </c>
      <c r="M78" s="20" t="inlineStr"/>
      <c r="N78" s="20" t="inlineStr"/>
      <c r="O78" s="20" t="inlineStr"/>
      <c r="P78" s="20" t="inlineStr"/>
      <c r="Q78" s="20" t="inlineStr"/>
      <c r="R78" s="20" t="inlineStr"/>
      <c r="S78" s="20" t="inlineStr"/>
      <c r="T78" s="20" t="inlineStr"/>
      <c r="U78" s="20" t="inlineStr">
        <is>
          <t>confirmed</t>
        </is>
      </c>
      <c r="V78" s="20" t="n">
        <v>0</v>
      </c>
      <c r="W78" s="20" t="inlineStr">
        <is>
          <t>匹配到商品档案但无历史价格记录</t>
        </is>
      </c>
      <c r="X78" s="20" t="inlineStr">
        <is>
          <t>赛特尔25年.xls｜初中物理｜第46行</t>
        </is>
      </c>
    </row>
    <row r="79" ht="46.8" customHeight="1" s="16">
      <c r="A79" s="1" t="n">
        <v>80</v>
      </c>
      <c r="B79" s="1" t="n"/>
      <c r="C79" s="2" t="inlineStr">
        <is>
          <t>受迫振动和共振演示器</t>
        </is>
      </c>
      <c r="D79" s="5" t="inlineStr">
        <is>
          <t xml:space="preserve">改变策动摆摆长可分别使 5 个摆长不同的单摆共振器由底座、铝合金立杆、钢球等组成                             外形尺寸：380*140*430mm     铝合金立杆尺寸：20*20*400   </t>
        </is>
      </c>
      <c r="E79" s="1" t="inlineStr">
        <is>
          <t>台</t>
        </is>
      </c>
      <c r="F79" s="1" t="n">
        <v>1</v>
      </c>
      <c r="G79" s="3" t="inlineStr">
        <is>
          <t>群信</t>
        </is>
      </c>
      <c r="H79" s="1" t="n"/>
      <c r="I79" s="24" t="n">
        <v>1</v>
      </c>
      <c r="J79" s="20" t="n">
        <v>90</v>
      </c>
      <c r="K79" s="20" t="n">
        <v>90</v>
      </c>
      <c r="L79" s="20" t="inlineStr">
        <is>
          <t>台</t>
        </is>
      </c>
      <c r="M79" s="20" t="inlineStr">
        <is>
          <t>群信</t>
        </is>
      </c>
      <c r="N79" s="20" t="inlineStr"/>
      <c r="O79" s="20" t="inlineStr">
        <is>
          <t>22026</t>
        </is>
      </c>
      <c r="P79" s="20" t="inlineStr">
        <is>
          <t>22026</t>
        </is>
      </c>
      <c r="Q79" s="20" t="inlineStr"/>
      <c r="R79" s="20" t="inlineStr"/>
      <c r="S79" s="20" t="inlineStr"/>
      <c r="T79" s="20" t="inlineStr"/>
      <c r="U79" s="20" t="inlineStr">
        <is>
          <t>confirmed</t>
        </is>
      </c>
      <c r="V79" s="20" t="n">
        <v>100</v>
      </c>
      <c r="W79" s="20" t="inlineStr"/>
      <c r="X79" s="20" t="inlineStr">
        <is>
          <t>高中理化生报价.xlsx｜凯迪｜第183行</t>
        </is>
      </c>
    </row>
    <row r="80" ht="78" customHeight="1" s="16">
      <c r="A80" s="1" t="n">
        <v>81</v>
      </c>
      <c r="B80" s="21" t="n"/>
      <c r="C80" s="2" t="inlineStr">
        <is>
          <t>共振演示器</t>
        </is>
      </c>
      <c r="D80" s="5" t="inlineStr">
        <is>
          <t>仪器由金属底座、减速电机、凸轮、铝合金立杆、砝码等组成                 
1、外形尺寸：336*152*528mm    铝合金立杆尺寸：≥20*20*400            
工作电压：DC6-12V
3、工作环境：-10℃—40℃
4、外壳为金属喷塑成型</t>
        </is>
      </c>
      <c r="E80" s="1" t="inlineStr">
        <is>
          <t>台</t>
        </is>
      </c>
      <c r="F80" s="1" t="n">
        <v>1</v>
      </c>
      <c r="G80" s="3" t="inlineStr">
        <is>
          <t>群信</t>
        </is>
      </c>
      <c r="H80" s="1" t="n"/>
      <c r="I80" s="24" t="n">
        <v>1</v>
      </c>
      <c r="J80" s="20" t="n">
        <v>185</v>
      </c>
      <c r="K80" s="20" t="n">
        <v>185</v>
      </c>
      <c r="L80" s="20" t="inlineStr">
        <is>
          <t>台</t>
        </is>
      </c>
      <c r="M80" s="20" t="inlineStr">
        <is>
          <t>群信</t>
        </is>
      </c>
      <c r="N80" s="20" t="inlineStr"/>
      <c r="O80" s="20" t="inlineStr">
        <is>
          <t>22027</t>
        </is>
      </c>
      <c r="P80" s="20" t="inlineStr">
        <is>
          <t>22027</t>
        </is>
      </c>
      <c r="Q80" s="20" t="inlineStr"/>
      <c r="R80" s="20" t="inlineStr"/>
      <c r="S80" s="20" t="inlineStr"/>
      <c r="T80" s="20" t="inlineStr"/>
      <c r="U80" s="20" t="inlineStr">
        <is>
          <t>confirmed</t>
        </is>
      </c>
      <c r="V80" s="20" t="n">
        <v>100</v>
      </c>
      <c r="W80" s="20" t="inlineStr"/>
      <c r="X80" s="20" t="inlineStr">
        <is>
          <t>高中理化生报价.xlsx｜凯迪｜第184行</t>
        </is>
      </c>
    </row>
    <row r="81" ht="15.6" customHeight="1" s="16">
      <c r="A81" s="1" t="n">
        <v>82</v>
      </c>
      <c r="B81" s="1" t="n"/>
      <c r="C81" s="2" t="inlineStr">
        <is>
          <t>纵横波演示器</t>
        </is>
      </c>
      <c r="D81" s="5" t="inlineStr">
        <is>
          <t>演示波传播的过程中质点不随波迁移，一个周期波传播一个波长</t>
        </is>
      </c>
      <c r="E81" s="1" t="inlineStr">
        <is>
          <t>套</t>
        </is>
      </c>
      <c r="F81" s="1" t="n">
        <v>1</v>
      </c>
      <c r="G81" s="3" t="inlineStr">
        <is>
          <t>群信</t>
        </is>
      </c>
      <c r="H81" s="1" t="n"/>
      <c r="I81" s="24" t="n">
        <v>1</v>
      </c>
      <c r="J81" s="20" t="n">
        <v>95</v>
      </c>
      <c r="K81" s="20" t="n">
        <v>95</v>
      </c>
      <c r="L81" s="20" t="inlineStr">
        <is>
          <t>套</t>
        </is>
      </c>
      <c r="M81" s="20" t="inlineStr"/>
      <c r="N81" s="20" t="inlineStr"/>
      <c r="O81" s="20" t="inlineStr"/>
      <c r="P81" s="20" t="inlineStr"/>
      <c r="Q81" s="20" t="n">
        <v>110</v>
      </c>
      <c r="R81" s="20" t="inlineStr"/>
      <c r="S81" s="20" t="n">
        <v>150</v>
      </c>
      <c r="T81" s="20" t="inlineStr"/>
      <c r="U81" s="20" t="inlineStr">
        <is>
          <t>confirmed</t>
        </is>
      </c>
      <c r="V81" s="20" t="n">
        <v>90.90000000000001</v>
      </c>
      <c r="W81" s="20" t="inlineStr">
        <is>
          <t>价格分歧&gt;30%：历史报价分歧较大，需人工核对；同分多价：最高分候选存在不同历史价格</t>
        </is>
      </c>
      <c r="X81" s="20" t="inlineStr">
        <is>
          <t>高中理化生报价.xlsx｜凯迪｜第619行</t>
        </is>
      </c>
    </row>
    <row r="82" ht="48.6" customHeight="1" s="16">
      <c r="A82" s="1" t="n">
        <v>83</v>
      </c>
      <c r="B82" s="21" t="n"/>
      <c r="C82" s="2" t="inlineStr">
        <is>
          <t>波动弹簧</t>
        </is>
      </c>
      <c r="D82" s="5" t="inlineStr">
        <is>
          <t>扁钢丝弹簧密绕；弹簧钢丝宽 2.5 mm～2.8 mm，厚 0.6 mm～0.8 mm；弹簧刚度 2.0×10－3  N/mm～5.0×10－3 N/mm；圈数不小于 130，弹簧旋绕比为 25 倍～35 倍</t>
        </is>
      </c>
      <c r="E82" s="1" t="inlineStr">
        <is>
          <t>个</t>
        </is>
      </c>
      <c r="F82" s="1" t="n">
        <v>2</v>
      </c>
      <c r="G82" s="3" t="inlineStr">
        <is>
          <t>群信</t>
        </is>
      </c>
      <c r="H82" s="1" t="n"/>
      <c r="I82" s="24" t="n">
        <v>2</v>
      </c>
      <c r="J82" s="20" t="n">
        <v>6</v>
      </c>
      <c r="K82" s="20" t="n">
        <v>12</v>
      </c>
      <c r="L82" s="20" t="inlineStr">
        <is>
          <t>个</t>
        </is>
      </c>
      <c r="M82" s="20" t="inlineStr">
        <is>
          <t>群信</t>
        </is>
      </c>
      <c r="N82" s="20" t="inlineStr"/>
      <c r="O82" s="20" t="inlineStr">
        <is>
          <t>22014</t>
        </is>
      </c>
      <c r="P82" s="20" t="inlineStr">
        <is>
          <t>22014</t>
        </is>
      </c>
      <c r="Q82" s="20" t="n">
        <v>45</v>
      </c>
      <c r="R82" s="20" t="inlineStr"/>
      <c r="S82" s="20" t="inlineStr"/>
      <c r="T82" s="20" t="inlineStr"/>
      <c r="U82" s="20" t="inlineStr">
        <is>
          <t>confirmed</t>
        </is>
      </c>
      <c r="V82" s="20" t="n">
        <v>100</v>
      </c>
      <c r="W82" s="20" t="inlineStr">
        <is>
          <t>价格分歧&gt;30%：历史报价分歧较大，需人工核对；同分多价：最高分候选存在不同历史价格</t>
        </is>
      </c>
      <c r="X82" s="20" t="inlineStr">
        <is>
          <t>赛特尔25年.xls｜小学数学｜第9行</t>
        </is>
      </c>
    </row>
    <row r="83" ht="78" customHeight="1" s="16">
      <c r="A83" s="1" t="n">
        <v>84</v>
      </c>
      <c r="B83" s="1" t="n"/>
      <c r="C83" s="2" t="inlineStr">
        <is>
          <t>发波水槽</t>
        </is>
      </c>
      <c r="D83" s="5" t="inlineStr">
        <is>
          <t>由水波槽、振动器、频闪光源和投影设备等组成，振动器的振幅应能调节， 水槽尺寸不小于 30 cm×30 cm×35 cm,屏幕尺寸不小于 26 cm×24 cm。性能要求：能消除边缘产生的反射波；能够演示小孔的口径不变，调整频率衍射由不明显到明显；能够演示频率不变，改变小孔的口径衍射由不明显到明显；</t>
        </is>
      </c>
      <c r="E83" s="1" t="inlineStr">
        <is>
          <t>台</t>
        </is>
      </c>
      <c r="F83" s="1" t="n">
        <v>1</v>
      </c>
      <c r="G83" s="3" t="inlineStr">
        <is>
          <t>群信</t>
        </is>
      </c>
      <c r="H83" s="1" t="n"/>
      <c r="I83" s="24" t="n">
        <v>1</v>
      </c>
      <c r="J83" s="20" t="n">
        <v>120</v>
      </c>
      <c r="K83" s="20" t="n">
        <v>120</v>
      </c>
      <c r="L83" s="20" t="inlineStr">
        <is>
          <t>台</t>
        </is>
      </c>
      <c r="M83" s="20" t="inlineStr">
        <is>
          <t>学友</t>
        </is>
      </c>
      <c r="N83" s="20" t="inlineStr"/>
      <c r="O83" s="20" t="inlineStr">
        <is>
          <t>22016</t>
        </is>
      </c>
      <c r="P83" s="20" t="inlineStr">
        <is>
          <t>22017</t>
        </is>
      </c>
      <c r="Q83" s="20" t="inlineStr"/>
      <c r="R83" s="20" t="inlineStr"/>
      <c r="S83" s="20" t="inlineStr"/>
      <c r="T83" s="20" t="inlineStr"/>
      <c r="U83" s="20" t="inlineStr">
        <is>
          <t>confirmed</t>
        </is>
      </c>
      <c r="V83" s="20" t="n">
        <v>0</v>
      </c>
      <c r="W83" s="20" t="inlineStr">
        <is>
          <t>没有找到可靠候选</t>
        </is>
      </c>
      <c r="X83" s="20" t="inlineStr">
        <is>
          <t>高中理化生报价.xlsx｜凯迪｜第175行</t>
        </is>
      </c>
    </row>
    <row r="84" ht="46.8" customHeight="1" s="16">
      <c r="A84" s="1" t="n">
        <v>85</v>
      </c>
      <c r="B84" s="1" t="n"/>
      <c r="C84" s="2" t="inlineStr">
        <is>
          <t>多普勒效应演示器</t>
        </is>
      </c>
      <c r="D84" s="5" t="inlineStr">
        <is>
          <t>由频率计、蜂鸣器盒、开关、转杆、转轴、平衡铁、底座、速调盒、测声音响度的装置等组成；性能研究：声源在身旁疾驶而过时，听到的音调明显变化</t>
        </is>
      </c>
      <c r="E84" s="1" t="inlineStr">
        <is>
          <t>台</t>
        </is>
      </c>
      <c r="F84" s="1" t="n">
        <v>1</v>
      </c>
      <c r="G84" s="3" t="inlineStr">
        <is>
          <t>群信</t>
        </is>
      </c>
      <c r="H84" s="1" t="n"/>
      <c r="I84" s="24" t="n">
        <v>1</v>
      </c>
      <c r="J84" s="20" t="n">
        <v>200</v>
      </c>
      <c r="K84" s="20" t="n">
        <v>200</v>
      </c>
      <c r="L84" s="20" t="inlineStr">
        <is>
          <t>台</t>
        </is>
      </c>
      <c r="M84" s="20" t="inlineStr"/>
      <c r="N84" s="20" t="inlineStr"/>
      <c r="O84" s="20" t="inlineStr"/>
      <c r="P84" s="20" t="inlineStr"/>
      <c r="Q84" s="20" t="inlineStr"/>
      <c r="R84" s="20" t="inlineStr"/>
      <c r="S84" s="20" t="inlineStr"/>
      <c r="T84" s="20" t="inlineStr"/>
      <c r="U84" s="20" t="inlineStr">
        <is>
          <t>confirmed</t>
        </is>
      </c>
      <c r="V84" s="20" t="n">
        <v>0</v>
      </c>
      <c r="W84" s="20" t="inlineStr">
        <is>
          <t>匹配到商品档案但无历史价格记录</t>
        </is>
      </c>
      <c r="X84" s="20" t="inlineStr">
        <is>
          <t>赛特尔25年.xls｜初中新课标物理｜第274行</t>
        </is>
      </c>
    </row>
  </sheetData>
  <mergeCells count="26">
    <mergeCell ref="C73:C74"/>
    <mergeCell ref="B34:B36"/>
    <mergeCell ref="B50:B53"/>
    <mergeCell ref="B55:B57"/>
    <mergeCell ref="B73:B74"/>
    <mergeCell ref="B58:B59"/>
    <mergeCell ref="B29:B30"/>
    <mergeCell ref="B67:B68"/>
    <mergeCell ref="B43:B46"/>
    <mergeCell ref="B39:B42"/>
    <mergeCell ref="B26:B28"/>
    <mergeCell ref="B76:B78"/>
    <mergeCell ref="B47:B49"/>
    <mergeCell ref="B37:B38"/>
    <mergeCell ref="A1:G1"/>
    <mergeCell ref="B65:B66"/>
    <mergeCell ref="C27:C28"/>
    <mergeCell ref="B20:B21"/>
    <mergeCell ref="B79:B80"/>
    <mergeCell ref="B22:B23"/>
    <mergeCell ref="C47:C49"/>
    <mergeCell ref="B60:B62"/>
    <mergeCell ref="B2:B19"/>
    <mergeCell ref="C55:C57"/>
    <mergeCell ref="B81:B82"/>
    <mergeCell ref="B31:B32"/>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W109"/>
  <sheetViews>
    <sheetView topLeftCell="A104" workbookViewId="0">
      <selection activeCell="F14" sqref="F14"/>
    </sheetView>
  </sheetViews>
  <sheetFormatPr baseColWidth="8" defaultColWidth="8.888888888888889" defaultRowHeight="14.4"/>
  <cols>
    <col width="14.5555555555556" customWidth="1" style="16" min="3" max="3"/>
    <col width="52.1111111111111" customWidth="1" style="16" min="4" max="4"/>
  </cols>
  <sheetData>
    <row r="1" ht="17.1" customHeight="1" s="16">
      <c r="A1" s="1" t="inlineStr">
        <is>
          <t>高中生物学实验室基础器材配置要求</t>
        </is>
      </c>
      <c r="B1" s="17" t="n"/>
      <c r="C1" s="17" t="n"/>
      <c r="D1" s="17" t="n"/>
      <c r="E1" s="17" t="n"/>
      <c r="F1" s="17" t="n"/>
      <c r="G1" s="18" t="n"/>
    </row>
    <row r="2" ht="15.6" customHeight="1" s="16">
      <c r="A2" s="1" t="inlineStr">
        <is>
          <t>器材类型</t>
        </is>
      </c>
      <c r="B2" s="18" t="n"/>
      <c r="C2" s="1" t="inlineStr">
        <is>
          <t>器材名称</t>
        </is>
      </c>
      <c r="D2" s="1" t="inlineStr">
        <is>
          <t>规格、品名、教学性能要求</t>
        </is>
      </c>
      <c r="E2" s="1" t="inlineStr">
        <is>
          <t>单位</t>
        </is>
      </c>
      <c r="F2" s="1" t="inlineStr">
        <is>
          <t>数量</t>
        </is>
      </c>
      <c r="G2" s="1" t="inlineStr">
        <is>
          <t>备注</t>
        </is>
      </c>
      <c r="H2" s="19" t="inlineStr">
        <is>
          <t>数量</t>
        </is>
      </c>
      <c r="I2" s="19" t="inlineStr">
        <is>
          <t>确认单价</t>
        </is>
      </c>
      <c r="J2" s="19" t="inlineStr">
        <is>
          <t>总价</t>
        </is>
      </c>
      <c r="K2" s="19" t="inlineStr">
        <is>
          <t>单位</t>
        </is>
      </c>
      <c r="L2" s="19" t="inlineStr">
        <is>
          <t>品牌</t>
        </is>
      </c>
      <c r="M2" s="19" t="inlineStr">
        <is>
          <t>制造商</t>
        </is>
      </c>
      <c r="N2" s="19" t="inlineStr">
        <is>
          <t>型号</t>
        </is>
      </c>
      <c r="O2" s="19" t="inlineStr">
        <is>
          <t>参数</t>
        </is>
      </c>
      <c r="P2" s="19" t="inlineStr">
        <is>
          <t>报价2单价</t>
        </is>
      </c>
      <c r="Q2" s="19" t="inlineStr">
        <is>
          <t>报价2制造商</t>
        </is>
      </c>
      <c r="R2" s="19" t="inlineStr">
        <is>
          <t>报价3单价</t>
        </is>
      </c>
      <c r="S2" s="19" t="inlineStr">
        <is>
          <t>报价3制造商</t>
        </is>
      </c>
      <c r="T2" s="19" t="inlineStr">
        <is>
          <t>匹配状态</t>
        </is>
      </c>
      <c r="U2" s="19" t="inlineStr">
        <is>
          <t>匹配分</t>
        </is>
      </c>
      <c r="V2" s="19" t="inlineStr">
        <is>
          <t>风险提示</t>
        </is>
      </c>
      <c r="W2" s="19" t="inlineStr">
        <is>
          <t>历史来源</t>
        </is>
      </c>
    </row>
    <row r="3" ht="78" customHeight="1" s="16">
      <c r="A3" s="1" t="n">
        <v>1</v>
      </c>
      <c r="B3" s="1" t="inlineStr">
        <is>
          <t>数字</t>
        </is>
      </c>
      <c r="C3" s="2" t="inlineStr">
        <is>
          <t>实验数据采集处理软件</t>
        </is>
      </c>
      <c r="D3" s="2" t="inlineStr">
        <is>
          <t>简体中文界面，数据采集器接入计算机后能自动识别数据采集器及其状态，实时显示实验数据或曲线，具备多种对实验数据与图线的数据处理与分析工具，支持实验报告输出、上传与评价，实验数据可以导出为表格或文本格式</t>
        </is>
      </c>
      <c r="E3" s="2" t="inlineStr">
        <is>
          <t>套</t>
        </is>
      </c>
      <c r="F3" s="1" t="n">
        <v>1</v>
      </c>
      <c r="G3" s="3" t="inlineStr">
        <is>
          <t>群信</t>
        </is>
      </c>
      <c r="H3" s="20" t="n">
        <v>1</v>
      </c>
      <c r="I3" s="20" t="n">
        <v>300</v>
      </c>
      <c r="J3" s="20" t="n">
        <v>300</v>
      </c>
      <c r="K3" s="20" t="inlineStr">
        <is>
          <t>套</t>
        </is>
      </c>
      <c r="L3" s="20" t="inlineStr"/>
      <c r="M3" s="20" t="inlineStr"/>
      <c r="N3" s="20" t="inlineStr"/>
      <c r="O3" s="20" t="inlineStr">
        <is>
          <t>简体中文界面，数据采集器接入计算机后能自动识别数据采集器及其状态，实时显示实验数据或曲线，具备多种对实验数据与图线的数据处理与分析工具，实验数据可导出为表格或文本格式</t>
        </is>
      </c>
      <c r="P3" s="20" t="n">
        <v>360</v>
      </c>
      <c r="Q3" s="20" t="inlineStr"/>
      <c r="R3" s="20" t="inlineStr"/>
      <c r="S3" s="20" t="inlineStr"/>
      <c r="T3" s="20" t="inlineStr">
        <is>
          <t>confirmed</t>
        </is>
      </c>
      <c r="U3" s="20" t="n">
        <v>100</v>
      </c>
      <c r="V3" s="20" t="inlineStr">
        <is>
          <t>同分多价：最高分候选存在不同历史价格</t>
        </is>
      </c>
      <c r="W3" s="20" t="inlineStr">
        <is>
          <t>赛特尔25年.xls｜初中新课标化学｜第264行</t>
        </is>
      </c>
    </row>
    <row r="4" ht="249.6" customHeight="1" s="16">
      <c r="A4" s="1" t="n">
        <v>2</v>
      </c>
      <c r="B4" s="1" t="inlineStr">
        <is>
          <t>化实</t>
        </is>
      </c>
      <c r="C4" s="2" t="inlineStr">
        <is>
          <t>数据采集器</t>
        </is>
      </c>
      <c r="D4" s="2" t="inlineStr">
        <is>
          <t>1、一体化金属结构设计，内含电源指示灯，丝印产品型号、名称、传感器通道、接计算机通道，便于用户识别。
2、自带8个传感器接口，八通道并行采集，全数字通道，采样频率最大可达100KHz，可同时并行采集8组不同的数据。
3、采集器可以互相级联实验，可实现多个数据采集器和更多路传感器同步采集实验。
4、通过USB-B口与计算机或便携式实验终端连接，进行数据通讯，USB接口供电，无需外接电源；
5、通过USB2.0口与传感器连接，数字、模拟共用，即插即用，自动识别所有传感器；
6、采用低压设计保证用户安全，所有端口具备短路保护功能，PCB设置接地引到外壳；
7、设置DC5V电源接口，配有5V1A适配器，在电压不足或多传感器使用时保证供电电压稳定。</t>
        </is>
      </c>
      <c r="E4" s="2" t="inlineStr">
        <is>
          <t>套</t>
        </is>
      </c>
      <c r="F4" s="1" t="n">
        <v>1</v>
      </c>
      <c r="G4" s="3" t="inlineStr">
        <is>
          <t>群信</t>
        </is>
      </c>
      <c r="H4" s="20" t="n">
        <v>1</v>
      </c>
      <c r="I4" s="20" t="n">
        <v>800</v>
      </c>
      <c r="J4" s="20" t="n">
        <v>800</v>
      </c>
      <c r="K4" s="20" t="inlineStr">
        <is>
          <t>套</t>
        </is>
      </c>
      <c r="L4" s="20" t="inlineStr"/>
      <c r="M4" s="20" t="inlineStr"/>
      <c r="N4" s="20" t="inlineStr"/>
      <c r="O4" s="20" t="inlineStr">
        <is>
          <t>与计算机 USB 接口通讯或无线通讯，支持有线连接的四通道并行数据采集</t>
        </is>
      </c>
      <c r="P4" s="20" t="inlineStr"/>
      <c r="Q4" s="20" t="inlineStr"/>
      <c r="R4" s="20" t="inlineStr"/>
      <c r="S4" s="20" t="inlineStr"/>
      <c r="T4" s="20" t="inlineStr">
        <is>
          <t>confirmed</t>
        </is>
      </c>
      <c r="U4" s="20" t="n">
        <v>0</v>
      </c>
      <c r="V4" s="20" t="inlineStr">
        <is>
          <t>没有找到可靠候选</t>
        </is>
      </c>
      <c r="W4" s="20" t="inlineStr">
        <is>
          <t>赛特尔25年.xls｜初中新课标化学｜第265行</t>
        </is>
      </c>
    </row>
    <row r="5" ht="156" customHeight="1" s="16">
      <c r="A5" s="1" t="n">
        <v>4</v>
      </c>
      <c r="B5" s="4" t="n"/>
      <c r="C5" s="2" t="inlineStr">
        <is>
          <t>温度传感器</t>
        </is>
      </c>
      <c r="D5" s="2" t="inlineStr">
        <is>
          <t>量程：-50℃～250℃，分辨率：0.1℃。不锈钢探针，用于测各种物体或溶液的温度。
1、传感器数据传输接口为智能Type-C接口，支持正反盲插，即插即用，自动识别；
2、支持与智能数字实验终端的Type-C接口嵌合卡口连接，也可与其USB接口连接；
3、支持与数据采集器的USB接口连接，多个传感器并行采集实验数据；
4、还支持与普通计算机USB口直接连接，传输数字化实验数据。</t>
        </is>
      </c>
      <c r="E5" s="2" t="inlineStr">
        <is>
          <t>只</t>
        </is>
      </c>
      <c r="F5" s="1" t="n">
        <v>1</v>
      </c>
      <c r="G5" s="3" t="inlineStr">
        <is>
          <t>群信</t>
        </is>
      </c>
      <c r="H5" s="20" t="n">
        <v>1</v>
      </c>
      <c r="I5" s="20" t="n">
        <v>200</v>
      </c>
      <c r="J5" s="20" t="n">
        <v>200</v>
      </c>
      <c r="K5" s="20" t="inlineStr">
        <is>
          <t>只</t>
        </is>
      </c>
      <c r="L5" s="20" t="inlineStr"/>
      <c r="M5" s="20" t="inlineStr"/>
      <c r="N5" s="20" t="inlineStr"/>
      <c r="O5" s="20" t="inlineStr">
        <is>
          <t>量程-25 ℃～125 ℃；分辨力 0.1 ℃；误差±0.5%</t>
        </is>
      </c>
      <c r="P5" s="20" t="n">
        <v>245</v>
      </c>
      <c r="Q5" s="20" t="inlineStr"/>
      <c r="R5" s="20" t="inlineStr"/>
      <c r="S5" s="20" t="inlineStr"/>
      <c r="T5" s="20" t="inlineStr">
        <is>
          <t>confirmed</t>
        </is>
      </c>
      <c r="U5" s="20" t="n">
        <v>100</v>
      </c>
      <c r="V5" s="20" t="inlineStr">
        <is>
          <t>同分多价：最高分候选存在不同历史价格</t>
        </is>
      </c>
      <c r="W5" s="20" t="inlineStr">
        <is>
          <t>赛特尔25年.xls｜初中新课标生物｜第197行</t>
        </is>
      </c>
    </row>
    <row r="6" ht="156" customHeight="1" s="16">
      <c r="A6" s="1" t="n">
        <v>5</v>
      </c>
      <c r="B6" s="4" t="n"/>
      <c r="C6" s="5" t="inlineStr">
        <is>
          <t>溶解氧传感器</t>
        </is>
      </c>
      <c r="D6" s="2" t="inlineStr">
        <is>
          <t>量程：0～20mg/L，分辨率：0.01mg/L。用于测量溶液中溶解氧含量变化。
1、传感器数据传输接口为智能Type-C接口，支持正反盲插，即插即用，自动识别；
2、支持与智能数字实验终端的Type-C接口嵌合卡口连接，也可与其USB接口连接；
3、支持与数据采集器的USB接口连接，多个传感器并行采集实验数据；
4、还支持与普通计算机USB口直接连接，传输数字化实验数据。</t>
        </is>
      </c>
      <c r="E6" s="2" t="inlineStr">
        <is>
          <t>只</t>
        </is>
      </c>
      <c r="F6" s="1" t="n">
        <v>1</v>
      </c>
      <c r="G6" s="3" t="inlineStr">
        <is>
          <t>群信</t>
        </is>
      </c>
      <c r="H6" s="20" t="n">
        <v>1</v>
      </c>
      <c r="I6" s="20" t="n">
        <v>1150</v>
      </c>
      <c r="J6" s="20" t="n">
        <v>1150</v>
      </c>
      <c r="K6" s="20" t="inlineStr">
        <is>
          <t>只</t>
        </is>
      </c>
      <c r="L6" s="20" t="inlineStr"/>
      <c r="M6" s="20" t="inlineStr"/>
      <c r="N6" s="20" t="inlineStr"/>
      <c r="O6" s="20" t="inlineStr">
        <is>
          <t>量程 0 mg/L～15 mg/L；分辨力 0.01 mg/L；误差±0.2 mg/L</t>
        </is>
      </c>
      <c r="P6" s="20" t="n">
        <v>1200</v>
      </c>
      <c r="Q6" s="20" t="inlineStr"/>
      <c r="R6" s="20" t="inlineStr"/>
      <c r="S6" s="20" t="inlineStr"/>
      <c r="T6" s="20" t="inlineStr">
        <is>
          <t>confirmed</t>
        </is>
      </c>
      <c r="U6" s="20" t="n">
        <v>100</v>
      </c>
      <c r="V6" s="20" t="inlineStr">
        <is>
          <t>同分多价：最高分候选存在不同历史价格</t>
        </is>
      </c>
      <c r="W6" s="20" t="inlineStr">
        <is>
          <t>赛特尔25年.xls｜初中新课标化学｜第274行</t>
        </is>
      </c>
    </row>
    <row r="7" ht="171.6" customHeight="1" s="16">
      <c r="A7" s="1" t="n">
        <v>7</v>
      </c>
      <c r="B7" s="4" t="n"/>
      <c r="C7" s="2" t="inlineStr">
        <is>
          <t>光照度传感器</t>
        </is>
      </c>
      <c r="D7" s="2" t="inlineStr">
        <is>
          <t>量程：0～50,000 Lux，分辨率：10 Lux。光强探头可灵敏感应光线强弱的变化，用于测量被测环境的光强值。
1、传感器数据传输接口为智能Type-C接口，支持正反盲插，即插即用，自动识别；
2、支持与智能数字实验终端的Type-C接口嵌合卡口连接，也可与其USB接口连接；
3、支持与数据采集器的USB接口连接，多个传感器并行采集实验数据；
4、还支持与普通计算机USB口直接连接，传输数字化实验数据。</t>
        </is>
      </c>
      <c r="E7" s="2" t="inlineStr">
        <is>
          <t>只</t>
        </is>
      </c>
      <c r="F7" s="1" t="n">
        <v>1</v>
      </c>
      <c r="G7" s="3" t="inlineStr">
        <is>
          <t>群信</t>
        </is>
      </c>
      <c r="H7" s="20" t="n">
        <v>1</v>
      </c>
      <c r="I7" s="20" t="n">
        <v>300</v>
      </c>
      <c r="J7" s="20" t="n">
        <v>300</v>
      </c>
      <c r="K7" s="20" t="inlineStr">
        <is>
          <t>只</t>
        </is>
      </c>
      <c r="L7" s="20" t="inlineStr"/>
      <c r="M7" s="20" t="inlineStr"/>
      <c r="N7" s="20" t="inlineStr"/>
      <c r="O7" s="20" t="inlineStr">
        <is>
          <t>量程 0 lx～6000 lx， 0 lx～20000 lx</t>
        </is>
      </c>
      <c r="P7" s="20" t="inlineStr"/>
      <c r="Q7" s="20" t="inlineStr"/>
      <c r="R7" s="20" t="inlineStr"/>
      <c r="S7" s="20" t="inlineStr"/>
      <c r="T7" s="20" t="inlineStr">
        <is>
          <t>confirmed</t>
        </is>
      </c>
      <c r="U7" s="20" t="n">
        <v>100</v>
      </c>
      <c r="V7" s="20" t="inlineStr"/>
      <c r="W7" s="20" t="inlineStr">
        <is>
          <t>赛特尔25年.xls｜初中新课标生物｜第199行</t>
        </is>
      </c>
    </row>
    <row r="8" ht="156" customHeight="1" s="16">
      <c r="A8" s="1" t="n">
        <v>10</v>
      </c>
      <c r="B8" s="4" t="n"/>
      <c r="C8" s="5" t="inlineStr">
        <is>
          <t>相对湿度传感器</t>
        </is>
      </c>
      <c r="D8" s="2" t="inlineStr">
        <is>
          <t>量程：0～100%RH，分辨率：0.05%。用于测量空气的相对湿度。
1、传感器数据传输接口为智能Type-C接口，支持正反盲插，即插即用，自动识别；
2、支持与智能数字实验终端的Type-C接口嵌合卡口连接，也可与其USB接口连接；
3、支持与数据采集器的USB接口连接，多个传感器并行采集实验数据；
4、还支持与普通计算机USB口直接连接，传输数字化实验数据。</t>
        </is>
      </c>
      <c r="E8" s="2" t="inlineStr">
        <is>
          <t>只</t>
        </is>
      </c>
      <c r="F8" s="1" t="n">
        <v>1</v>
      </c>
      <c r="G8" s="3" t="inlineStr">
        <is>
          <t>群信</t>
        </is>
      </c>
      <c r="H8" s="20" t="n">
        <v>1</v>
      </c>
      <c r="I8" s="20" t="n">
        <v>240</v>
      </c>
      <c r="J8" s="20" t="n">
        <v>240</v>
      </c>
      <c r="K8" s="20" t="inlineStr">
        <is>
          <t>只</t>
        </is>
      </c>
      <c r="L8" s="20" t="inlineStr"/>
      <c r="M8" s="20" t="inlineStr"/>
      <c r="N8" s="20" t="inlineStr"/>
      <c r="O8" s="20" t="inlineStr">
        <is>
          <t>量程 0%～95%；分辨力 0.1%；误差±2%</t>
        </is>
      </c>
      <c r="P8" s="20" t="inlineStr"/>
      <c r="Q8" s="20" t="inlineStr"/>
      <c r="R8" s="20" t="inlineStr"/>
      <c r="S8" s="20" t="inlineStr"/>
      <c r="T8" s="20" t="inlineStr">
        <is>
          <t>confirmed</t>
        </is>
      </c>
      <c r="U8" s="20" t="n">
        <v>100</v>
      </c>
      <c r="V8" s="20" t="inlineStr"/>
      <c r="W8" s="20" t="inlineStr">
        <is>
          <t>赛特尔25年.xls｜初中新课标生物｜第202行</t>
        </is>
      </c>
    </row>
    <row r="9" ht="156" customHeight="1" s="16">
      <c r="A9" s="1" t="n">
        <v>11</v>
      </c>
      <c r="B9" s="4" t="n"/>
      <c r="C9" s="2" t="inlineStr">
        <is>
          <t>pH传感器</t>
        </is>
      </c>
      <c r="D9" s="2" t="inlineStr">
        <is>
          <t>量程：0～14 pH，分辨率：0.01 PH。用于精确测量溶液的酸碱值。
1、传感器数据传输接口为智能Type-C接口，支持正反盲插，即插即用，自动识别；
2、支持与智能数字实验终端的Type-C接口嵌合卡口连接，也可与其USB接口连接；
3、支持与数据采集器的USB接口连接，多个传感器并行采集实验数据；
4、支持与普通计算机USB口直接连接，传输数字化实验数据。</t>
        </is>
      </c>
      <c r="E9" s="2" t="inlineStr">
        <is>
          <t>只</t>
        </is>
      </c>
      <c r="F9" s="1" t="n">
        <v>1</v>
      </c>
      <c r="G9" s="3" t="inlineStr">
        <is>
          <t>群信</t>
        </is>
      </c>
      <c r="H9" s="20" t="n">
        <v>1</v>
      </c>
      <c r="I9" s="20" t="n">
        <v>260</v>
      </c>
      <c r="J9" s="20" t="n">
        <v>260</v>
      </c>
      <c r="K9" s="20" t="inlineStr">
        <is>
          <t>只</t>
        </is>
      </c>
      <c r="L9" s="20" t="inlineStr"/>
      <c r="M9" s="20" t="inlineStr"/>
      <c r="N9" s="20" t="inlineStr"/>
      <c r="O9" s="20" t="inlineStr">
        <is>
          <t>量程 0～14；分辨力 0.01；误差±0.2</t>
        </is>
      </c>
      <c r="P9" s="20" t="n">
        <v>280</v>
      </c>
      <c r="Q9" s="20" t="inlineStr"/>
      <c r="R9" s="20" t="inlineStr"/>
      <c r="S9" s="20" t="inlineStr"/>
      <c r="T9" s="20" t="inlineStr">
        <is>
          <t>confirmed</t>
        </is>
      </c>
      <c r="U9" s="20" t="n">
        <v>100</v>
      </c>
      <c r="V9" s="20" t="inlineStr">
        <is>
          <t>同分多价：最高分候选存在不同历史价格</t>
        </is>
      </c>
      <c r="W9" s="20" t="inlineStr">
        <is>
          <t>赛特尔25年.xls｜初中新课标化学｜第276行</t>
        </is>
      </c>
    </row>
    <row r="10" ht="46.8" customHeight="1" s="16">
      <c r="A10" s="1" t="n">
        <v>17</v>
      </c>
      <c r="B10" s="4" t="n"/>
      <c r="C10" s="2" t="inlineStr">
        <is>
          <t>气液相密封实验器</t>
        </is>
      </c>
      <c r="D10" s="2" t="inlineStr">
        <is>
          <t>由实验盒、实验盖、不同规格的硅胶塞等组成。实验盖开孔，分别为氧气探头孔、二氧化碳探头孔和温度探头孔。</t>
        </is>
      </c>
      <c r="E10" s="2" t="inlineStr">
        <is>
          <t>套</t>
        </is>
      </c>
      <c r="F10" s="1" t="n">
        <v>1</v>
      </c>
      <c r="G10" s="3" t="inlineStr">
        <is>
          <t>群信</t>
        </is>
      </c>
      <c r="H10" s="20" t="n">
        <v>1</v>
      </c>
      <c r="I10" s="20" t="n">
        <v>160</v>
      </c>
      <c r="J10" s="20" t="n">
        <v>160</v>
      </c>
      <c r="K10" s="20" t="inlineStr">
        <is>
          <t>套</t>
        </is>
      </c>
      <c r="L10" s="20" t="inlineStr"/>
      <c r="M10" s="20" t="inlineStr"/>
      <c r="N10" s="20" t="inlineStr"/>
      <c r="O10" s="20" t="inlineStr">
        <is>
          <t>应能通过模拟实验装置演示大气环流形成过程</t>
        </is>
      </c>
      <c r="P10" s="20" t="inlineStr"/>
      <c r="Q10" s="20" t="inlineStr"/>
      <c r="R10" s="20" t="inlineStr"/>
      <c r="S10" s="20" t="inlineStr"/>
      <c r="T10" s="20" t="inlineStr">
        <is>
          <t>confirmed</t>
        </is>
      </c>
      <c r="U10" s="20" t="n">
        <v>0</v>
      </c>
      <c r="V10" s="20" t="inlineStr">
        <is>
          <t>匹配到商品档案但无历史价格记录</t>
        </is>
      </c>
      <c r="W10" s="20" t="inlineStr">
        <is>
          <t>赛特尔25年.xls｜高中地理｜第56行</t>
        </is>
      </c>
    </row>
    <row r="11" ht="109.2" customHeight="1" s="16">
      <c r="A11" s="1" t="n">
        <v>18</v>
      </c>
      <c r="B11" s="4" t="n"/>
      <c r="C11" s="2" t="inlineStr">
        <is>
          <t>密封实验套件</t>
        </is>
      </c>
      <c r="D11" s="2" t="inlineStr">
        <is>
          <t>密封实验套件由5只7号橡胶塞（配5种孔径：单孔φ3mm、φ4mm、φ15mm、φ18mm；双孔φ8mm+φ15mm；孔径与传感器探头适配性，密封性好，可对应接入温度传感器、气压传感器、二氧化碳传感器、氧气传感器和玻璃导管、长颈漏斗等）、1只150mL反应瓶、2只等径气管快速接头、2只鲁尔气管快速接头、3条外径φ6mm软管组成。</t>
        </is>
      </c>
      <c r="E11" s="2" t="inlineStr">
        <is>
          <t>套</t>
        </is>
      </c>
      <c r="F11" s="1" t="n">
        <v>1</v>
      </c>
      <c r="G11" s="3" t="inlineStr">
        <is>
          <t>群信</t>
        </is>
      </c>
      <c r="H11" s="20" t="n">
        <v>1</v>
      </c>
      <c r="I11" s="20" t="n">
        <v>12</v>
      </c>
      <c r="J11" s="20" t="n">
        <v>12</v>
      </c>
      <c r="K11" s="20" t="inlineStr">
        <is>
          <t>套</t>
        </is>
      </c>
      <c r="L11" s="20" t="inlineStr">
        <is>
          <t>群信</t>
        </is>
      </c>
      <c r="M11" s="20" t="inlineStr"/>
      <c r="N11" s="20" t="inlineStr">
        <is>
          <t>80120</t>
        </is>
      </c>
      <c r="O11" s="20" t="inlineStr">
        <is>
          <t>80120</t>
        </is>
      </c>
      <c r="P11" s="20" t="inlineStr"/>
      <c r="Q11" s="20" t="inlineStr"/>
      <c r="R11" s="20" t="inlineStr"/>
      <c r="S11" s="20" t="inlineStr"/>
      <c r="T11" s="20" t="inlineStr">
        <is>
          <t>confirmed</t>
        </is>
      </c>
      <c r="U11" s="20" t="n">
        <v>0</v>
      </c>
      <c r="V11" s="20" t="inlineStr">
        <is>
          <t>匹配到商品档案但无历史价格记录</t>
        </is>
      </c>
      <c r="W11" s="20" t="inlineStr">
        <is>
          <t>高中理化生报价.xlsx｜凯迪｜第393行</t>
        </is>
      </c>
    </row>
    <row r="12" ht="31.2" customHeight="1" s="16">
      <c r="A12" s="1" t="n">
        <v>21</v>
      </c>
      <c r="B12" s="1" t="inlineStr">
        <is>
          <t>安全防护用品</t>
        </is>
      </c>
      <c r="C12" s="5" t="inlineStr">
        <is>
          <t>危险化学品储存柜</t>
        </is>
      </c>
      <c r="D12" s="5" t="inlineStr">
        <is>
          <t>≥1100mm×865 mm×1650 mm，防爆、防盗、阻燃、耐腐蚀，带双锁，提供第三方检测报告</t>
        </is>
      </c>
      <c r="E12" s="2" t="inlineStr">
        <is>
          <t>个</t>
        </is>
      </c>
      <c r="F12" s="1" t="n">
        <v>1</v>
      </c>
      <c r="G12" s="3" t="inlineStr">
        <is>
          <t>欧利雅</t>
        </is>
      </c>
      <c r="H12" s="20" t="n">
        <v>1</v>
      </c>
      <c r="I12" s="20" t="n">
        <v>2600</v>
      </c>
      <c r="J12" s="20" t="n">
        <v>2600</v>
      </c>
      <c r="K12" s="20" t="inlineStr">
        <is>
          <t>个</t>
        </is>
      </c>
      <c r="L12" s="20" t="inlineStr"/>
      <c r="M12" s="20" t="inlineStr"/>
      <c r="N12" s="20" t="inlineStr"/>
      <c r="O12" s="20" t="inlineStr">
        <is>
          <t>≥900 mm×510 mm×1200 mm，防爆、防盗、阻燃、耐腐蚀，带双锁</t>
        </is>
      </c>
      <c r="P12" s="20" t="inlineStr"/>
      <c r="Q12" s="20" t="inlineStr"/>
      <c r="R12" s="20" t="inlineStr"/>
      <c r="S12" s="20" t="inlineStr"/>
      <c r="T12" s="20" t="inlineStr">
        <is>
          <t>confirmed</t>
        </is>
      </c>
      <c r="U12" s="20" t="n">
        <v>100</v>
      </c>
      <c r="V12" s="20" t="inlineStr"/>
      <c r="W12" s="20" t="inlineStr">
        <is>
          <t>赛特尔25年.xls｜初中新课标化学｜第4行</t>
        </is>
      </c>
    </row>
    <row r="13" ht="15.6" customHeight="1" s="16">
      <c r="A13" s="1" t="n">
        <v>25</v>
      </c>
      <c r="B13" s="1" t="inlineStr">
        <is>
          <t>安全防护用品</t>
        </is>
      </c>
      <c r="C13" s="5" t="inlineStr">
        <is>
          <t>灭火毯</t>
        </is>
      </c>
      <c r="D13" s="5" t="inlineStr">
        <is>
          <t>玻璃纤维材质，≥1200 mm×1800 mm</t>
        </is>
      </c>
      <c r="E13" s="2" t="inlineStr">
        <is>
          <t>件</t>
        </is>
      </c>
      <c r="F13" s="1" t="n">
        <v>1</v>
      </c>
      <c r="G13" s="3" t="inlineStr">
        <is>
          <t>云渡</t>
        </is>
      </c>
      <c r="H13" s="20" t="n">
        <v>1</v>
      </c>
      <c r="I13" s="20" t="n">
        <v>48</v>
      </c>
      <c r="J13" s="20" t="n">
        <v>48</v>
      </c>
      <c r="K13" s="20" t="inlineStr">
        <is>
          <t>件</t>
        </is>
      </c>
      <c r="L13" s="20" t="inlineStr"/>
      <c r="M13" s="20" t="inlineStr"/>
      <c r="N13" s="20" t="inlineStr"/>
      <c r="O13" s="20" t="inlineStr">
        <is>
          <t>玻璃纤维材质， 1200 mm×1800 mm</t>
        </is>
      </c>
      <c r="P13" s="20" t="inlineStr"/>
      <c r="Q13" s="20" t="inlineStr"/>
      <c r="R13" s="20" t="inlineStr"/>
      <c r="S13" s="20" t="inlineStr"/>
      <c r="T13" s="20" t="inlineStr">
        <is>
          <t>confirmed</t>
        </is>
      </c>
      <c r="U13" s="20" t="n">
        <v>100</v>
      </c>
      <c r="V13" s="20" t="inlineStr"/>
      <c r="W13" s="20" t="inlineStr">
        <is>
          <t>赛特尔25年.xls｜初中新课标生物｜第6行</t>
        </is>
      </c>
    </row>
    <row r="14" ht="62.4" customHeight="1" s="16">
      <c r="A14" s="1" t="n">
        <v>26</v>
      </c>
      <c r="B14" s="22" t="n"/>
      <c r="C14" s="2" t="inlineStr">
        <is>
          <t>简易急救箱</t>
        </is>
      </c>
      <c r="D14" s="5" t="inlineStr">
        <is>
          <t>箱内包括：烧伤药膏 1 瓶，医用酒精 50 mL，碘伏 50 mL，创可贴 10 条，胶布 1 卷，绷带5 卷，卫生棉签 1 包，剪刀 1 把，镊子 1 把，止血带 1 根（长度≥30 cm）等尺寸≥25cm*15cm*16cm</t>
        </is>
      </c>
      <c r="E14" s="2" t="inlineStr">
        <is>
          <t>个</t>
        </is>
      </c>
      <c r="F14" s="1" t="n">
        <v>1</v>
      </c>
      <c r="G14" s="3" t="inlineStr">
        <is>
          <t>和美</t>
        </is>
      </c>
      <c r="H14" s="20" t="n">
        <v>1</v>
      </c>
      <c r="I14" s="20" t="n">
        <v>80</v>
      </c>
      <c r="J14" s="20" t="n">
        <v>80</v>
      </c>
      <c r="K14" s="20" t="inlineStr">
        <is>
          <t>个</t>
        </is>
      </c>
      <c r="L14" s="20" t="inlineStr"/>
      <c r="M14" s="20" t="inlineStr"/>
      <c r="N14" s="20" t="inlineStr"/>
      <c r="O14" s="20" t="inlineStr"/>
      <c r="P14" s="20" t="inlineStr"/>
      <c r="Q14" s="20" t="inlineStr"/>
      <c r="R14" s="20" t="inlineStr"/>
      <c r="S14" s="20" t="inlineStr"/>
      <c r="T14" s="20" t="inlineStr">
        <is>
          <t>confirmed</t>
        </is>
      </c>
      <c r="U14" s="20" t="n">
        <v>0</v>
      </c>
      <c r="V14" s="20" t="inlineStr">
        <is>
          <t>没有找到可靠候选</t>
        </is>
      </c>
      <c r="W14" s="20" t="inlineStr">
        <is>
          <t>赛特尔25年.xls｜初中化学｜第278行</t>
        </is>
      </c>
    </row>
    <row r="15" ht="15.6" customHeight="1" s="16">
      <c r="A15" s="1" t="n">
        <v>27</v>
      </c>
      <c r="B15" s="22" t="n"/>
      <c r="C15" s="5" t="inlineStr">
        <is>
          <t>实验服</t>
        </is>
      </c>
      <c r="D15" s="5" t="inlineStr">
        <is>
          <t>耐酸碱，可分为大中小号</t>
        </is>
      </c>
      <c r="E15" s="2" t="inlineStr">
        <is>
          <t>件</t>
        </is>
      </c>
      <c r="F15" s="1" t="n">
        <v>52</v>
      </c>
      <c r="G15" s="3" t="inlineStr">
        <is>
          <t>群信</t>
        </is>
      </c>
      <c r="H15" s="20" t="n">
        <v>52</v>
      </c>
      <c r="I15" s="20" t="n">
        <v>29</v>
      </c>
      <c r="J15" s="20" t="n">
        <v>1508</v>
      </c>
      <c r="K15" s="20" t="inlineStr">
        <is>
          <t>件</t>
        </is>
      </c>
      <c r="L15" s="20" t="inlineStr"/>
      <c r="M15" s="20" t="inlineStr"/>
      <c r="N15" s="20" t="inlineStr"/>
      <c r="O15" s="20" t="inlineStr">
        <is>
          <t>可分为大中小号</t>
        </is>
      </c>
      <c r="P15" s="20" t="inlineStr"/>
      <c r="Q15" s="20" t="inlineStr"/>
      <c r="R15" s="20" t="inlineStr"/>
      <c r="S15" s="20" t="inlineStr"/>
      <c r="T15" s="20" t="inlineStr">
        <is>
          <t>confirmed</t>
        </is>
      </c>
      <c r="U15" s="20" t="n">
        <v>100</v>
      </c>
      <c r="V15" s="20" t="inlineStr"/>
      <c r="W15" s="20" t="inlineStr">
        <is>
          <t>赛特尔25年.xls｜初中新课标生物｜第8行</t>
        </is>
      </c>
    </row>
    <row r="16" ht="15.6" customHeight="1" s="16">
      <c r="A16" s="1" t="n">
        <v>28</v>
      </c>
      <c r="B16" s="22" t="n"/>
      <c r="C16" s="2" t="inlineStr">
        <is>
          <t>护目镜</t>
        </is>
      </c>
      <c r="D16" s="5" t="inlineStr">
        <is>
          <t>侧面完全遮挡，耐酸碱，抗冲击，耐磨</t>
        </is>
      </c>
      <c r="E16" s="2" t="inlineStr">
        <is>
          <t>个</t>
        </is>
      </c>
      <c r="F16" s="1" t="n">
        <v>52</v>
      </c>
      <c r="G16" s="3" t="inlineStr">
        <is>
          <t>群信</t>
        </is>
      </c>
      <c r="H16" s="20" t="n">
        <v>52</v>
      </c>
      <c r="I16" s="20" t="n">
        <v>6</v>
      </c>
      <c r="J16" s="20" t="n">
        <v>312</v>
      </c>
      <c r="K16" s="20" t="inlineStr">
        <is>
          <t>个</t>
        </is>
      </c>
      <c r="L16" s="20" t="inlineStr"/>
      <c r="M16" s="20" t="inlineStr"/>
      <c r="N16" s="20" t="inlineStr"/>
      <c r="O16" s="20" t="inlineStr"/>
      <c r="P16" s="20" t="n">
        <v>6</v>
      </c>
      <c r="Q16" s="20" t="inlineStr"/>
      <c r="R16" s="20" t="n">
        <v>6.5</v>
      </c>
      <c r="S16" s="20" t="inlineStr"/>
      <c r="T16" s="20" t="inlineStr">
        <is>
          <t>confirmed</t>
        </is>
      </c>
      <c r="U16" s="20" t="n">
        <v>100</v>
      </c>
      <c r="V16" s="20" t="inlineStr"/>
      <c r="W16" s="20" t="inlineStr">
        <is>
          <t>高中理化生报价.xlsx｜凯迪｜第1342行</t>
        </is>
      </c>
    </row>
    <row r="17" ht="31.2" customHeight="1" s="16">
      <c r="A17" s="1" t="n">
        <v>29</v>
      </c>
      <c r="B17" s="22" t="n"/>
      <c r="C17" s="2" t="inlineStr">
        <is>
          <t>防护面罩</t>
        </is>
      </c>
      <c r="D17" s="5" t="inlineStr">
        <is>
          <t>防冲击面屏，聚碳酸酯材质，耐高速粒子冲击，通过弹簧箍与安全帽相连，面屏可更换</t>
        </is>
      </c>
      <c r="E17" s="2" t="inlineStr">
        <is>
          <t>个</t>
        </is>
      </c>
      <c r="F17" s="1" t="n">
        <v>52</v>
      </c>
      <c r="G17" s="3" t="inlineStr">
        <is>
          <t>群信</t>
        </is>
      </c>
      <c r="H17" s="20" t="n">
        <v>52</v>
      </c>
      <c r="I17" s="20" t="n">
        <v>24</v>
      </c>
      <c r="J17" s="20" t="n">
        <v>1248</v>
      </c>
      <c r="K17" s="20" t="inlineStr">
        <is>
          <t>个</t>
        </is>
      </c>
      <c r="L17" s="20" t="inlineStr"/>
      <c r="M17" s="20" t="inlineStr"/>
      <c r="N17" s="20" t="inlineStr"/>
      <c r="O17" s="20" t="inlineStr"/>
      <c r="P17" s="20" t="n">
        <v>24</v>
      </c>
      <c r="Q17" s="20" t="inlineStr"/>
      <c r="R17" s="20" t="n">
        <v>26.4</v>
      </c>
      <c r="S17" s="20" t="inlineStr"/>
      <c r="T17" s="20" t="inlineStr">
        <is>
          <t>confirmed</t>
        </is>
      </c>
      <c r="U17" s="20" t="n">
        <v>100</v>
      </c>
      <c r="V17" s="20" t="inlineStr"/>
      <c r="W17" s="20" t="inlineStr">
        <is>
          <t>赛特尔25年.xls｜初中新课标生物｜第10行</t>
        </is>
      </c>
    </row>
    <row r="18" ht="15.6" customHeight="1" s="16">
      <c r="A18" s="1" t="n">
        <v>30</v>
      </c>
      <c r="B18" s="22" t="n"/>
      <c r="C18" s="2" t="inlineStr">
        <is>
          <t>乳胶手套</t>
        </is>
      </c>
      <c r="D18" s="2" t="inlineStr">
        <is>
          <t>耐酸碱</t>
        </is>
      </c>
      <c r="E18" s="2" t="inlineStr">
        <is>
          <t>副</t>
        </is>
      </c>
      <c r="F18" s="1" t="n">
        <v>52</v>
      </c>
      <c r="G18" s="3" t="inlineStr">
        <is>
          <t>贵岭</t>
        </is>
      </c>
      <c r="H18" s="20" t="n">
        <v>52</v>
      </c>
      <c r="I18" s="20" t="n">
        <v>8</v>
      </c>
      <c r="J18" s="20" t="n">
        <v>416</v>
      </c>
      <c r="K18" s="20" t="inlineStr">
        <is>
          <t>副</t>
        </is>
      </c>
      <c r="L18" s="20" t="inlineStr">
        <is>
          <t>贵岭</t>
        </is>
      </c>
      <c r="M18" s="20" t="inlineStr"/>
      <c r="N18" s="20" t="inlineStr"/>
      <c r="O18" s="20" t="inlineStr">
        <is>
          <t>82008</t>
        </is>
      </c>
      <c r="P18" s="20" t="inlineStr"/>
      <c r="Q18" s="20" t="inlineStr"/>
      <c r="R18" s="20" t="inlineStr"/>
      <c r="S18" s="20" t="inlineStr"/>
      <c r="T18" s="20" t="inlineStr">
        <is>
          <t>confirmed</t>
        </is>
      </c>
      <c r="U18" s="20" t="n">
        <v>0</v>
      </c>
      <c r="V18" s="20" t="inlineStr">
        <is>
          <t>没有找到可靠候选</t>
        </is>
      </c>
      <c r="W18" s="20" t="inlineStr">
        <is>
          <t>赛特尔25年.xls｜初中生物｜第304行</t>
        </is>
      </c>
    </row>
    <row r="19" ht="31.2" customHeight="1" s="16">
      <c r="A19" s="1" t="n">
        <v>31</v>
      </c>
      <c r="B19" s="21" t="n"/>
      <c r="C19" s="5" t="inlineStr">
        <is>
          <t>一次性 PE手套</t>
        </is>
      </c>
      <c r="D19" s="2" t="inlineStr">
        <is>
          <t>塑料材质</t>
        </is>
      </c>
      <c r="E19" s="2" t="inlineStr">
        <is>
          <t>包</t>
        </is>
      </c>
      <c r="F19" s="1" t="n">
        <v>16</v>
      </c>
      <c r="G19" s="3" t="inlineStr">
        <is>
          <t>群信</t>
        </is>
      </c>
      <c r="H19" s="20" t="n">
        <v>16</v>
      </c>
      <c r="I19" s="20" t="n">
        <v>18</v>
      </c>
      <c r="J19" s="20" t="n">
        <v>288</v>
      </c>
      <c r="K19" s="20" t="inlineStr">
        <is>
          <t>包</t>
        </is>
      </c>
      <c r="L19" s="20" t="inlineStr"/>
      <c r="M19" s="20" t="inlineStr"/>
      <c r="N19" s="20" t="inlineStr"/>
      <c r="O19" s="20" t="inlineStr">
        <is>
          <t>塑料材质</t>
        </is>
      </c>
      <c r="P19" s="20" t="inlineStr"/>
      <c r="Q19" s="20" t="inlineStr"/>
      <c r="R19" s="20" t="inlineStr"/>
      <c r="S19" s="20" t="inlineStr"/>
      <c r="T19" s="20" t="inlineStr">
        <is>
          <t>confirmed</t>
        </is>
      </c>
      <c r="U19" s="20" t="n">
        <v>100</v>
      </c>
      <c r="V19" s="20" t="inlineStr"/>
      <c r="W19" s="20" t="inlineStr">
        <is>
          <t>赛特尔25年.xls｜初中新课标生物｜第12行</t>
        </is>
      </c>
    </row>
    <row r="20" ht="46.8" customHeight="1" s="16">
      <c r="A20" s="1" t="n">
        <v>34</v>
      </c>
      <c r="B20" s="1" t="inlineStr">
        <is>
          <t>专用仪器</t>
        </is>
      </c>
      <c r="C20" s="2" t="inlineStr">
        <is>
          <t>光学显微镜</t>
        </is>
      </c>
      <c r="D20" s="5" t="inlineStr">
        <is>
          <t>双目，消色差物镜：4×、10×、40×、100×；广视场目镜：WF10×；带照明光源和聚光镜，亮度连续可调；移动式载物台</t>
        </is>
      </c>
      <c r="E20" s="2" t="inlineStr">
        <is>
          <t>台</t>
        </is>
      </c>
      <c r="F20" s="1" t="n">
        <v>26</v>
      </c>
      <c r="G20" s="3" t="inlineStr">
        <is>
          <t>凤凰</t>
        </is>
      </c>
      <c r="H20" s="20" t="n">
        <v>26</v>
      </c>
      <c r="I20" s="20" t="n">
        <v>280</v>
      </c>
      <c r="J20" s="20" t="n">
        <v>7280</v>
      </c>
      <c r="K20" s="20" t="inlineStr">
        <is>
          <t>台</t>
        </is>
      </c>
      <c r="L20" s="20" t="inlineStr"/>
      <c r="M20" s="20" t="inlineStr"/>
      <c r="N20" s="20" t="inlineStr"/>
      <c r="O20" s="20" t="inlineStr"/>
      <c r="P20" s="20" t="n">
        <v>480</v>
      </c>
      <c r="Q20" s="20" t="inlineStr"/>
      <c r="R20" s="20" t="n">
        <v>820</v>
      </c>
      <c r="S20" s="20" t="inlineStr"/>
      <c r="T20" s="20" t="inlineStr">
        <is>
          <t>confirmed</t>
        </is>
      </c>
      <c r="U20" s="20" t="n">
        <v>80</v>
      </c>
      <c r="V20" s="20" t="inlineStr">
        <is>
          <t>价格分歧&gt;30%：历史报价分歧较大，需人工核对；同分多价：最高分候选存在不同历史价格</t>
        </is>
      </c>
      <c r="W20" s="20" t="inlineStr">
        <is>
          <t>赛特尔25年.xls｜初中新课标物理｜第146行</t>
        </is>
      </c>
    </row>
    <row r="21" ht="109.2" customHeight="1" s="16">
      <c r="A21" s="1" t="n">
        <v>37</v>
      </c>
      <c r="B21" s="21" t="n"/>
      <c r="C21" s="2" t="inlineStr">
        <is>
          <t>教师用数码显微镜</t>
        </is>
      </c>
      <c r="D21" s="5" t="inlineStr">
        <is>
          <t>1．目镜：显微镜目镜放大率准确度≤±0.6%，视度可调，可实现明场、暗场、简易相衬、简易偏光等多种观察；2.物镜：物镜放大率准确率≤±0.86；3.载物台：支持双切片（载玻片）夹，无突出的棱角和齿轮，避免意外误触和伤害手指；4.成像系统：≥ 630 万像素，具有自动曝光、自动白平衡功能；纯数码输出；5.摄影摄像视场清晰范围不小于 90%</t>
        </is>
      </c>
      <c r="E21" s="2" t="inlineStr">
        <is>
          <t>台</t>
        </is>
      </c>
      <c r="F21" s="1" t="n">
        <v>1</v>
      </c>
      <c r="G21" s="3" t="inlineStr">
        <is>
          <t>凤凰</t>
        </is>
      </c>
      <c r="H21" s="20" t="n">
        <v>1</v>
      </c>
      <c r="I21" s="20" t="n">
        <v>1680</v>
      </c>
      <c r="J21" s="20" t="n">
        <v>1680</v>
      </c>
      <c r="K21" s="20" t="inlineStr">
        <is>
          <t>台</t>
        </is>
      </c>
      <c r="L21" s="20" t="inlineStr"/>
      <c r="M21" s="20" t="inlineStr"/>
      <c r="N21" s="20" t="inlineStr"/>
      <c r="O21" s="20" t="inlineStr"/>
      <c r="P21" s="20" t="n">
        <v>1800</v>
      </c>
      <c r="Q21" s="20" t="inlineStr"/>
      <c r="R21" s="20" t="n">
        <v>2150</v>
      </c>
      <c r="S21" s="20" t="inlineStr"/>
      <c r="T21" s="20" t="inlineStr">
        <is>
          <t>confirmed</t>
        </is>
      </c>
      <c r="U21" s="20" t="n">
        <v>100</v>
      </c>
      <c r="V21" s="20" t="inlineStr">
        <is>
          <t>价格分歧&gt;30%：历史报价分歧较大，需人工核对；同分多价：最高分候选存在不同历史价格</t>
        </is>
      </c>
      <c r="W21" s="20" t="inlineStr">
        <is>
          <t>赛特尔25年.xls｜初中新课标生物｜第187行</t>
        </is>
      </c>
    </row>
    <row r="22" ht="31.2" customHeight="1" s="16">
      <c r="A22" s="1" t="n">
        <v>42</v>
      </c>
      <c r="B22" s="1" t="n"/>
      <c r="C22" s="2" t="inlineStr">
        <is>
          <t>放大镜</t>
        </is>
      </c>
      <c r="D22" s="2" t="inlineStr">
        <is>
          <t>手持式，有效通光孔径 50 mm，5 倍，提供具有第三方质量检测机构检测报告复印件</t>
        </is>
      </c>
      <c r="E22" s="2" t="inlineStr">
        <is>
          <t>个</t>
        </is>
      </c>
      <c r="F22" s="1" t="n">
        <v>26</v>
      </c>
      <c r="G22" s="3" t="inlineStr">
        <is>
          <t>群信</t>
        </is>
      </c>
      <c r="H22" s="20" t="n">
        <v>26</v>
      </c>
      <c r="I22" s="20" t="n">
        <v>2</v>
      </c>
      <c r="J22" s="20" t="n">
        <v>52</v>
      </c>
      <c r="K22" s="20" t="inlineStr">
        <is>
          <t>个</t>
        </is>
      </c>
      <c r="L22" s="20" t="inlineStr"/>
      <c r="M22" s="20" t="inlineStr"/>
      <c r="N22" s="20" t="inlineStr"/>
      <c r="O22" s="20" t="inlineStr"/>
      <c r="P22" s="20" t="n">
        <v>2</v>
      </c>
      <c r="Q22" s="20" t="inlineStr"/>
      <c r="R22" s="20" t="n">
        <v>2.2</v>
      </c>
      <c r="S22" s="20" t="inlineStr"/>
      <c r="T22" s="20" t="inlineStr">
        <is>
          <t>confirmed</t>
        </is>
      </c>
      <c r="U22" s="20" t="n">
        <v>100</v>
      </c>
      <c r="V22" s="20" t="inlineStr"/>
      <c r="W22" s="20" t="inlineStr">
        <is>
          <t>赛特尔25年.xls｜初中新课标生物｜第192行</t>
        </is>
      </c>
    </row>
    <row r="23" ht="15.6" customHeight="1" s="16">
      <c r="A23" s="1" t="n">
        <v>46</v>
      </c>
      <c r="B23" s="1" t="n"/>
      <c r="C23" s="2" t="inlineStr">
        <is>
          <t>DNA 结构模型</t>
        </is>
      </c>
      <c r="D23" s="2" t="inlineStr">
        <is>
          <t>≥高度65cm</t>
        </is>
      </c>
      <c r="E23" s="2" t="inlineStr">
        <is>
          <t>个</t>
        </is>
      </c>
      <c r="F23" s="1" t="n">
        <v>1</v>
      </c>
      <c r="G23" s="3" t="inlineStr">
        <is>
          <t>群信</t>
        </is>
      </c>
      <c r="H23" s="20" t="n">
        <v>1</v>
      </c>
      <c r="I23" s="20" t="n">
        <v>35</v>
      </c>
      <c r="J23" s="20" t="n">
        <v>35</v>
      </c>
      <c r="K23" s="20" t="inlineStr">
        <is>
          <t>个</t>
        </is>
      </c>
      <c r="L23" s="20" t="inlineStr"/>
      <c r="M23" s="20" t="inlineStr"/>
      <c r="N23" s="20" t="inlineStr">
        <is>
          <t>3</t>
        </is>
      </c>
      <c r="O23" s="20" t="inlineStr"/>
      <c r="P23" s="20" t="inlineStr"/>
      <c r="Q23" s="20" t="inlineStr"/>
      <c r="R23" s="20" t="inlineStr"/>
      <c r="S23" s="20" t="inlineStr"/>
      <c r="T23" s="20" t="inlineStr">
        <is>
          <t>confirmed</t>
        </is>
      </c>
      <c r="U23" s="20" t="n">
        <v>0</v>
      </c>
      <c r="V23" s="20" t="inlineStr">
        <is>
          <t>没有找到可靠候选</t>
        </is>
      </c>
      <c r="W23" s="20" t="inlineStr">
        <is>
          <t>赛特尔25年.xls｜初中物理｜第328行</t>
        </is>
      </c>
    </row>
    <row r="24" ht="31.2" customHeight="1" s="16">
      <c r="A24" s="1" t="n">
        <v>47</v>
      </c>
      <c r="B24" s="22" t="n"/>
      <c r="C24" s="2" t="inlineStr">
        <is>
          <t>DNA 双螺旋结构模型组件</t>
        </is>
      </c>
      <c r="D24" s="2" t="inlineStr">
        <is>
          <t>四种碱基、脱氧核糖、磷酸彼此分离</t>
        </is>
      </c>
      <c r="E24" s="2" t="inlineStr">
        <is>
          <t>套</t>
        </is>
      </c>
      <c r="F24" s="1" t="n">
        <v>26</v>
      </c>
      <c r="G24" s="3" t="inlineStr">
        <is>
          <t>群信</t>
        </is>
      </c>
      <c r="H24" s="20" t="n">
        <v>26</v>
      </c>
      <c r="I24" s="20" t="n">
        <v>4</v>
      </c>
      <c r="J24" s="20" t="n">
        <v>104</v>
      </c>
      <c r="K24" s="20" t="inlineStr">
        <is>
          <t>套</t>
        </is>
      </c>
      <c r="L24" s="20" t="inlineStr"/>
      <c r="M24" s="20" t="inlineStr"/>
      <c r="N24" s="20" t="inlineStr">
        <is>
          <t>3</t>
        </is>
      </c>
      <c r="O24" s="20" t="inlineStr"/>
      <c r="P24" s="20" t="n">
        <v>35</v>
      </c>
      <c r="Q24" s="20" t="inlineStr"/>
      <c r="R24" s="20" t="n">
        <v>760</v>
      </c>
      <c r="S24" s="20" t="inlineStr"/>
      <c r="T24" s="20" t="inlineStr">
        <is>
          <t>confirmed</t>
        </is>
      </c>
      <c r="U24" s="20" t="n">
        <v>90</v>
      </c>
      <c r="V24" s="20" t="inlineStr">
        <is>
          <t>价格分歧&gt;30%：历史报价分歧较大，需人工核对；同分多价：最高分候选存在不同历史价格</t>
        </is>
      </c>
      <c r="W24" s="20" t="inlineStr">
        <is>
          <t>赛特尔25年.xls｜小学新课标科学｜第130行</t>
        </is>
      </c>
    </row>
    <row r="25" ht="31.2" customHeight="1" s="16">
      <c r="A25" s="1" t="n">
        <v>49</v>
      </c>
      <c r="B25" s="21" t="n"/>
      <c r="C25" s="5" t="inlineStr">
        <is>
          <t>转录和翻译磁片模型</t>
        </is>
      </c>
      <c r="D25" s="5" t="inlineStr">
        <is>
          <t>具有单独构件，可以分步演示</t>
        </is>
      </c>
      <c r="E25" s="2" t="inlineStr">
        <is>
          <t>套</t>
        </is>
      </c>
      <c r="F25" s="1" t="n">
        <v>1</v>
      </c>
      <c r="G25" s="3" t="inlineStr">
        <is>
          <t>群信</t>
        </is>
      </c>
      <c r="H25" s="20" t="n">
        <v>1</v>
      </c>
      <c r="I25" s="20" t="n">
        <v>4</v>
      </c>
      <c r="J25" s="20" t="n">
        <v>4</v>
      </c>
      <c r="K25" s="20" t="inlineStr">
        <is>
          <t>套</t>
        </is>
      </c>
      <c r="L25" s="20" t="inlineStr"/>
      <c r="M25" s="20" t="inlineStr"/>
      <c r="N25" s="20" t="inlineStr">
        <is>
          <t>3</t>
        </is>
      </c>
      <c r="O25" s="20" t="inlineStr"/>
      <c r="P25" s="20" t="n">
        <v>35</v>
      </c>
      <c r="Q25" s="20" t="inlineStr"/>
      <c r="R25" s="20" t="n">
        <v>760</v>
      </c>
      <c r="S25" s="20" t="inlineStr"/>
      <c r="T25" s="20" t="inlineStr">
        <is>
          <t>confirmed</t>
        </is>
      </c>
      <c r="U25" s="20" t="n">
        <v>90</v>
      </c>
      <c r="V25" s="20" t="inlineStr">
        <is>
          <t>价格分歧&gt;30%：历史报价分歧较大，需人工核对；同分多价：最高分候选存在不同历史价格</t>
        </is>
      </c>
      <c r="W25" s="20" t="inlineStr">
        <is>
          <t>赛特尔25年.xls｜小学新课标科学｜第130行</t>
        </is>
      </c>
    </row>
    <row r="26" ht="15.6" customHeight="1" s="16">
      <c r="A26" s="1" t="n">
        <v>58</v>
      </c>
      <c r="B26" s="1" t="n"/>
      <c r="C26" s="5" t="inlineStr">
        <is>
          <t>离心机</t>
        </is>
      </c>
      <c r="D26" s="5" t="inlineStr">
        <is>
          <t>0 r/min～4000r/min，10 mL×8，无刷电机</t>
        </is>
      </c>
      <c r="E26" s="2" t="inlineStr">
        <is>
          <t>台</t>
        </is>
      </c>
      <c r="F26" s="1" t="n">
        <v>1</v>
      </c>
      <c r="G26" s="3" t="inlineStr">
        <is>
          <t>群信</t>
        </is>
      </c>
      <c r="H26" s="20" t="n">
        <v>1</v>
      </c>
      <c r="I26" s="20" t="n">
        <v>280</v>
      </c>
      <c r="J26" s="20" t="n">
        <v>280</v>
      </c>
      <c r="K26" s="20" t="inlineStr">
        <is>
          <t>台</t>
        </is>
      </c>
      <c r="L26" s="20" t="inlineStr"/>
      <c r="M26" s="20" t="inlineStr"/>
      <c r="N26" s="20" t="inlineStr"/>
      <c r="O26" s="20" t="inlineStr"/>
      <c r="P26" s="20" t="n">
        <v>280</v>
      </c>
      <c r="Q26" s="20" t="inlineStr"/>
      <c r="R26" s="20" t="n">
        <v>300</v>
      </c>
      <c r="S26" s="20" t="inlineStr"/>
      <c r="T26" s="20" t="inlineStr">
        <is>
          <t>confirmed</t>
        </is>
      </c>
      <c r="U26" s="20" t="n">
        <v>100</v>
      </c>
      <c r="V26" s="20" t="inlineStr">
        <is>
          <t>价格分歧&gt;30%：历史报价分歧较大，需人工核对</t>
        </is>
      </c>
      <c r="W26" s="20" t="inlineStr">
        <is>
          <t>赛特尔25年.xls｜初中生物｜第12行</t>
        </is>
      </c>
    </row>
    <row r="27" ht="46.8" customHeight="1" s="16">
      <c r="A27" s="1" t="n">
        <v>59</v>
      </c>
      <c r="B27" s="21" t="n"/>
      <c r="C27" s="2" t="inlineStr">
        <is>
          <t>高速离心机</t>
        </is>
      </c>
      <c r="D27" s="5" t="inlineStr">
        <is>
          <t>3000 r/min～16000 r/min；1.5 mL×12+0.5 mL×12；无刷电机，有条件的宜进行低温离心，温度达到 4℃</t>
        </is>
      </c>
      <c r="E27" s="2" t="inlineStr">
        <is>
          <t>台</t>
        </is>
      </c>
      <c r="F27" s="1" t="n">
        <v>1</v>
      </c>
      <c r="G27" s="3" t="inlineStr">
        <is>
          <t>群信</t>
        </is>
      </c>
      <c r="H27" s="20" t="n">
        <v>1</v>
      </c>
      <c r="I27" s="20" t="n">
        <v>280</v>
      </c>
      <c r="J27" s="20" t="n">
        <v>280</v>
      </c>
      <c r="K27" s="20" t="inlineStr">
        <is>
          <t>台</t>
        </is>
      </c>
      <c r="L27" s="20" t="inlineStr"/>
      <c r="M27" s="20" t="inlineStr"/>
      <c r="N27" s="20" t="inlineStr"/>
      <c r="O27" s="20" t="inlineStr"/>
      <c r="P27" s="20" t="n">
        <v>280</v>
      </c>
      <c r="Q27" s="20" t="inlineStr"/>
      <c r="R27" s="20" t="n">
        <v>300</v>
      </c>
      <c r="S27" s="20" t="inlineStr"/>
      <c r="T27" s="20" t="inlineStr">
        <is>
          <t>confirmed</t>
        </is>
      </c>
      <c r="U27" s="20" t="n">
        <v>60</v>
      </c>
      <c r="V27" s="20" t="inlineStr">
        <is>
          <t>价格分歧&gt;30%：历史报价分歧较大，需人工核对</t>
        </is>
      </c>
      <c r="W27" s="20" t="inlineStr">
        <is>
          <t>赛特尔25年.xls｜初中生物｜第12行</t>
        </is>
      </c>
    </row>
    <row r="28" ht="46.8" customHeight="1" s="16">
      <c r="A28" s="1" t="n">
        <v>61</v>
      </c>
      <c r="B28" s="1" t="inlineStr">
        <is>
          <t>电器</t>
        </is>
      </c>
      <c r="C28" s="5" t="inlineStr">
        <is>
          <t>烘干箱</t>
        </is>
      </c>
      <c r="D28" s="5" t="inlineStr">
        <is>
          <t>电热鼓风型，最高工作温度为 250 ℃，温度波动度限值为±1.0 ℃，箱体内有隔板，内部容积≥350 mm×350 mm×350 mm</t>
        </is>
      </c>
      <c r="E28" s="2" t="inlineStr">
        <is>
          <t>台</t>
        </is>
      </c>
      <c r="F28" s="1" t="n">
        <v>1</v>
      </c>
      <c r="G28" s="3" t="inlineStr">
        <is>
          <t>群信</t>
        </is>
      </c>
      <c r="H28" s="20" t="n">
        <v>1</v>
      </c>
      <c r="I28" s="20" t="n">
        <v>750</v>
      </c>
      <c r="J28" s="20" t="n">
        <v>750</v>
      </c>
      <c r="K28" s="20" t="inlineStr">
        <is>
          <t>台</t>
        </is>
      </c>
      <c r="L28" s="20" t="inlineStr"/>
      <c r="M28" s="20" t="inlineStr"/>
      <c r="N28" s="20" t="inlineStr"/>
      <c r="O28" s="20" t="inlineStr"/>
      <c r="P28" s="20" t="n">
        <v>750</v>
      </c>
      <c r="Q28" s="20" t="inlineStr"/>
      <c r="R28" s="20" t="n">
        <v>825</v>
      </c>
      <c r="S28" s="20" t="inlineStr"/>
      <c r="T28" s="20" t="inlineStr">
        <is>
          <t>confirmed</t>
        </is>
      </c>
      <c r="U28" s="20" t="n">
        <v>100</v>
      </c>
      <c r="V28" s="20" t="inlineStr"/>
      <c r="W28" s="20" t="inlineStr">
        <is>
          <t>赛特尔25年.xls｜初中新课标生物｜第21行</t>
        </is>
      </c>
    </row>
    <row r="29" ht="31.2" customHeight="1" s="16">
      <c r="A29" s="1" t="n">
        <v>62</v>
      </c>
      <c r="B29" s="22" t="n"/>
      <c r="C29" s="2" t="inlineStr">
        <is>
          <t>高压灭菌器</t>
        </is>
      </c>
      <c r="D29" s="5" t="inlineStr">
        <is>
          <t>≥30 L，立式，全自动，有超高温、超高压自动保护设置</t>
        </is>
      </c>
      <c r="E29" s="2" t="inlineStr">
        <is>
          <t>个</t>
        </is>
      </c>
      <c r="F29" s="1" t="n">
        <v>1</v>
      </c>
      <c r="G29" s="3" t="inlineStr">
        <is>
          <t>久兴</t>
        </is>
      </c>
      <c r="H29" s="20" t="n">
        <v>1</v>
      </c>
      <c r="I29" s="20" t="n">
        <v>260</v>
      </c>
      <c r="J29" s="20" t="n">
        <v>260</v>
      </c>
      <c r="K29" s="20" t="inlineStr">
        <is>
          <t>个</t>
        </is>
      </c>
      <c r="L29" s="20" t="inlineStr"/>
      <c r="M29" s="20" t="inlineStr"/>
      <c r="N29" s="20" t="inlineStr"/>
      <c r="O29" s="20" t="inlineStr"/>
      <c r="P29" s="20" t="n">
        <v>260</v>
      </c>
      <c r="Q29" s="20" t="inlineStr"/>
      <c r="R29" s="20" t="n">
        <v>286</v>
      </c>
      <c r="S29" s="20" t="inlineStr"/>
      <c r="T29" s="20" t="inlineStr">
        <is>
          <t>confirmed</t>
        </is>
      </c>
      <c r="U29" s="20" t="n">
        <v>80</v>
      </c>
      <c r="V29" s="20" t="inlineStr"/>
      <c r="W29" s="20" t="inlineStr">
        <is>
          <t>高中理化生报价.xlsx｜凯迪｜第1570行</t>
        </is>
      </c>
    </row>
    <row r="30" ht="202.8" customHeight="1" s="16">
      <c r="A30" s="1" t="n">
        <v>63</v>
      </c>
      <c r="B30" s="22" t="n"/>
      <c r="C30" s="5" t="inlineStr">
        <is>
          <t>超净工作台</t>
        </is>
      </c>
      <c r="D30" s="5" t="inlineStr">
        <is>
          <t>不锈钢，可调风机系统，双侧电源插座，有紫外照射和照明；
1、过滤效果≥0.3～0.5微米的尘埃粒子每升小于三个
2、震动：工作台面不大于5微米。
3、风速：工作区域风速不小于0.25米/秒。
4、噪音：一档噪音≤65分贝。
5、启动紫外线光管30分钟后，工作区域可达到无菌。
6、工作电压：AC220V±10%  50HZ
7、电机功率：80W
8、外形尺寸：120cm×50cm×147cm
9、重量：约55kg</t>
        </is>
      </c>
      <c r="E30" s="2" t="inlineStr">
        <is>
          <t>台</t>
        </is>
      </c>
      <c r="F30" s="1" t="n">
        <v>1</v>
      </c>
      <c r="G30" s="3" t="inlineStr">
        <is>
          <t>群信</t>
        </is>
      </c>
      <c r="H30" s="20" t="n">
        <v>1</v>
      </c>
      <c r="I30" s="20" t="n">
        <v>600</v>
      </c>
      <c r="J30" s="20" t="n">
        <v>600</v>
      </c>
      <c r="K30" s="20" t="inlineStr">
        <is>
          <t>台</t>
        </is>
      </c>
      <c r="L30" s="20" t="inlineStr"/>
      <c r="M30" s="20" t="inlineStr"/>
      <c r="N30" s="20" t="inlineStr"/>
      <c r="O30" s="20" t="inlineStr"/>
      <c r="P30" s="20" t="n">
        <v>1900</v>
      </c>
      <c r="Q30" s="20" t="inlineStr"/>
      <c r="R30" s="20" t="n">
        <v>2200</v>
      </c>
      <c r="S30" s="20" t="inlineStr"/>
      <c r="T30" s="20" t="inlineStr">
        <is>
          <t>confirmed</t>
        </is>
      </c>
      <c r="U30" s="20" t="n">
        <v>60</v>
      </c>
      <c r="V30" s="20" t="inlineStr">
        <is>
          <t>价格分歧&gt;30%：历史报价分歧较大，需人工核对；同分多价：最高分候选存在不同历史价格</t>
        </is>
      </c>
      <c r="W30" s="20" t="inlineStr">
        <is>
          <t>赛特尔25年.xls｜初中物理｜第376行</t>
        </is>
      </c>
    </row>
    <row r="31" ht="15.6" customHeight="1" s="16">
      <c r="A31" s="1" t="n">
        <v>64</v>
      </c>
      <c r="B31" s="21" t="n"/>
      <c r="C31" s="2" t="inlineStr">
        <is>
          <t>恒温培养箱</t>
        </is>
      </c>
      <c r="D31" s="5" t="inlineStr">
        <is>
          <t>控温范围：室温 5 ℃～65 ℃，±1 ℃，20L</t>
        </is>
      </c>
      <c r="E31" s="2" t="inlineStr">
        <is>
          <t>台</t>
        </is>
      </c>
      <c r="F31" s="1" t="n">
        <v>1</v>
      </c>
      <c r="G31" s="3" t="inlineStr">
        <is>
          <t>群信</t>
        </is>
      </c>
      <c r="H31" s="20" t="n">
        <v>1</v>
      </c>
      <c r="I31" s="20" t="n">
        <v>850</v>
      </c>
      <c r="J31" s="20" t="n">
        <v>850</v>
      </c>
      <c r="K31" s="20" t="inlineStr">
        <is>
          <t>台</t>
        </is>
      </c>
      <c r="L31" s="20" t="inlineStr"/>
      <c r="M31" s="20" t="inlineStr"/>
      <c r="N31" s="20" t="inlineStr"/>
      <c r="O31" s="20" t="inlineStr"/>
      <c r="P31" s="20" t="n">
        <v>2400</v>
      </c>
      <c r="Q31" s="20" t="inlineStr"/>
      <c r="R31" s="20" t="n">
        <v>3300</v>
      </c>
      <c r="S31" s="20" t="inlineStr"/>
      <c r="T31" s="20" t="inlineStr">
        <is>
          <t>confirmed</t>
        </is>
      </c>
      <c r="U31" s="20" t="n">
        <v>60</v>
      </c>
      <c r="V31" s="20" t="inlineStr">
        <is>
          <t>价格分歧&gt;30%：历史报价分歧较大，需人工核对；同分多价：最高分候选存在不同历史价格</t>
        </is>
      </c>
      <c r="W31" s="20" t="inlineStr">
        <is>
          <t>赛特尔25年.xls｜初中新课标生物｜第26行</t>
        </is>
      </c>
    </row>
    <row r="32" ht="31.2" customHeight="1" s="16">
      <c r="A32" s="1" t="n">
        <v>70</v>
      </c>
      <c r="B32" s="1" t="inlineStr">
        <is>
          <t>电器</t>
        </is>
      </c>
      <c r="C32" s="5" t="inlineStr">
        <is>
          <t>磁力加热搅拌器</t>
        </is>
      </c>
      <c r="D32" s="5" t="inlineStr">
        <is>
          <t>最大搅拌量 1L，转速：0 r/min～1200 r/min，加热盘温度 50 ℃～200 ℃</t>
        </is>
      </c>
      <c r="E32" s="2" t="inlineStr">
        <is>
          <t>台</t>
        </is>
      </c>
      <c r="F32" s="1" t="n">
        <v>9</v>
      </c>
      <c r="G32" s="3" t="inlineStr">
        <is>
          <t>群信</t>
        </is>
      </c>
      <c r="H32" s="20" t="n">
        <v>9</v>
      </c>
      <c r="I32" s="20" t="n">
        <v>140</v>
      </c>
      <c r="J32" s="20" t="n">
        <v>1260</v>
      </c>
      <c r="K32" s="20" t="inlineStr">
        <is>
          <t>台</t>
        </is>
      </c>
      <c r="L32" s="20" t="inlineStr"/>
      <c r="M32" s="20" t="inlineStr"/>
      <c r="N32" s="20" t="inlineStr"/>
      <c r="O32" s="20" t="inlineStr"/>
      <c r="P32" s="20" t="n">
        <v>150</v>
      </c>
      <c r="Q32" s="20" t="inlineStr"/>
      <c r="R32" s="20" t="n">
        <v>150</v>
      </c>
      <c r="S32" s="20" t="inlineStr"/>
      <c r="T32" s="20" t="inlineStr">
        <is>
          <t>confirmed</t>
        </is>
      </c>
      <c r="U32" s="20" t="n">
        <v>100</v>
      </c>
      <c r="V32" s="20" t="inlineStr">
        <is>
          <t>同分多价：最高分候选存在不同历史价格</t>
        </is>
      </c>
      <c r="W32" s="20" t="inlineStr">
        <is>
          <t>赛特尔25年.xls｜初中新课标生物｜第30行</t>
        </is>
      </c>
    </row>
    <row r="33" ht="31.2" customHeight="1" s="16">
      <c r="A33" s="1" t="n">
        <v>72</v>
      </c>
      <c r="B33" s="22" t="n"/>
      <c r="C33" s="2" t="inlineStr">
        <is>
          <t>酸度计</t>
        </is>
      </c>
      <c r="D33" s="5" t="inlineStr">
        <is>
          <t>笔式，pH 测量范围 0～14，分辨率0.1，读数清晰，有自动关机节电模式，配校准试剂</t>
        </is>
      </c>
      <c r="E33" s="2" t="inlineStr">
        <is>
          <t>台</t>
        </is>
      </c>
      <c r="F33" s="1" t="n">
        <v>13</v>
      </c>
      <c r="G33" s="3" t="inlineStr">
        <is>
          <t>群信</t>
        </is>
      </c>
      <c r="H33" s="20" t="n">
        <v>13</v>
      </c>
      <c r="I33" s="20" t="n">
        <v>20</v>
      </c>
      <c r="J33" s="20" t="n">
        <v>260</v>
      </c>
      <c r="K33" s="20" t="inlineStr">
        <is>
          <t>台</t>
        </is>
      </c>
      <c r="L33" s="20" t="inlineStr"/>
      <c r="M33" s="20" t="inlineStr"/>
      <c r="N33" s="20" t="inlineStr"/>
      <c r="O33" s="20" t="inlineStr"/>
      <c r="P33" s="20" t="n">
        <v>65</v>
      </c>
      <c r="Q33" s="20" t="inlineStr"/>
      <c r="R33" s="20" t="n">
        <v>65</v>
      </c>
      <c r="S33" s="20" t="inlineStr"/>
      <c r="T33" s="20" t="inlineStr">
        <is>
          <t>confirmed</t>
        </is>
      </c>
      <c r="U33" s="20" t="n">
        <v>100</v>
      </c>
      <c r="V33" s="20" t="inlineStr">
        <is>
          <t>价格分歧&gt;30%：历史报价分歧较大，需人工核对；同分多价：最高分候选存在不同历史价格</t>
        </is>
      </c>
      <c r="W33" s="20" t="inlineStr">
        <is>
          <t>赛特尔25年.xls｜初中新课标化学｜第49行</t>
        </is>
      </c>
    </row>
    <row r="34" ht="31.2" customHeight="1" s="16">
      <c r="A34" s="1" t="n">
        <v>78</v>
      </c>
      <c r="B34" s="22" t="n"/>
      <c r="C34" s="5" t="inlineStr">
        <is>
          <t>电泳仪</t>
        </is>
      </c>
      <c r="D34" s="5" t="inlineStr">
        <is>
          <t>四组输出，输出电压：2 V～200 V、输出电流：2 mA～200 mA，具有 36 V 电压限制、稳压和稳流功能</t>
        </is>
      </c>
      <c r="E34" s="2" t="inlineStr">
        <is>
          <t>台</t>
        </is>
      </c>
      <c r="F34" s="1" t="n">
        <v>1</v>
      </c>
      <c r="G34" s="3" t="inlineStr">
        <is>
          <t>群信</t>
        </is>
      </c>
      <c r="H34" s="20" t="n">
        <v>1</v>
      </c>
      <c r="I34" s="20" t="n">
        <v>880</v>
      </c>
      <c r="J34" s="20" t="n">
        <v>880</v>
      </c>
      <c r="K34" s="20" t="inlineStr">
        <is>
          <t>台</t>
        </is>
      </c>
      <c r="L34" s="20" t="inlineStr">
        <is>
          <t>群信</t>
        </is>
      </c>
      <c r="M34" s="20" t="inlineStr"/>
      <c r="N34" s="20" t="inlineStr"/>
      <c r="O34" s="20" t="inlineStr">
        <is>
          <t>27020</t>
        </is>
      </c>
      <c r="P34" s="20" t="inlineStr"/>
      <c r="Q34" s="20" t="inlineStr"/>
      <c r="R34" s="20" t="inlineStr"/>
      <c r="S34" s="20" t="inlineStr"/>
      <c r="T34" s="20" t="inlineStr">
        <is>
          <t>confirmed</t>
        </is>
      </c>
      <c r="U34" s="20" t="n">
        <v>100</v>
      </c>
      <c r="V34" s="20" t="inlineStr"/>
      <c r="W34" s="20" t="inlineStr">
        <is>
          <t>高中理化生报价.xlsx｜凯迪｜第1426行</t>
        </is>
      </c>
    </row>
    <row r="35" ht="31.2" customHeight="1" s="16">
      <c r="A35" s="1" t="n">
        <v>79</v>
      </c>
      <c r="B35" s="21" t="n"/>
      <c r="C35" s="5" t="inlineStr">
        <is>
          <t>水平电泳槽</t>
        </is>
      </c>
      <c r="D35" s="5" t="inlineStr">
        <is>
          <t>聚碳酸脂注塑成型，凝胶托盘带有荧光标尺，具有开盖断电功能，凝胶板规格：60 mm×60 mm</t>
        </is>
      </c>
      <c r="E35" s="2" t="inlineStr">
        <is>
          <t>个</t>
        </is>
      </c>
      <c r="F35" s="1" t="n">
        <v>1</v>
      </c>
      <c r="G35" s="3" t="inlineStr">
        <is>
          <t>群信</t>
        </is>
      </c>
      <c r="H35" s="20" t="n">
        <v>1</v>
      </c>
      <c r="I35" s="20" t="n">
        <v>135</v>
      </c>
      <c r="J35" s="20" t="n">
        <v>135</v>
      </c>
      <c r="K35" s="20" t="inlineStr">
        <is>
          <t>个</t>
        </is>
      </c>
      <c r="L35" s="20" t="inlineStr">
        <is>
          <t>群信</t>
        </is>
      </c>
      <c r="M35" s="20" t="inlineStr"/>
      <c r="N35" s="20" t="inlineStr"/>
      <c r="O35" s="20" t="inlineStr">
        <is>
          <t>27022</t>
        </is>
      </c>
      <c r="P35" s="20" t="inlineStr"/>
      <c r="Q35" s="20" t="inlineStr"/>
      <c r="R35" s="20" t="inlineStr"/>
      <c r="S35" s="20" t="inlineStr"/>
      <c r="T35" s="20" t="inlineStr">
        <is>
          <t>confirmed</t>
        </is>
      </c>
      <c r="U35" s="20" t="n">
        <v>100</v>
      </c>
      <c r="V35" s="20" t="inlineStr"/>
      <c r="W35" s="20" t="inlineStr">
        <is>
          <t>高中理化生报价.xlsx｜凯迪｜第1428行</t>
        </is>
      </c>
    </row>
    <row r="36" ht="31.2" customHeight="1" s="16">
      <c r="A36" s="1" t="n">
        <v>80</v>
      </c>
      <c r="B36" s="1" t="inlineStr">
        <is>
          <t>电器</t>
        </is>
      </c>
      <c r="C36" s="2" t="inlineStr">
        <is>
          <t>垂直电泳槽</t>
        </is>
      </c>
      <c r="D36" s="5" t="inlineStr">
        <is>
          <t>聚碳酸脂注塑成型槽体，可实现原位制胶功能，凝胶板规格：75×83mm，同时可以两块凝胶电泳</t>
        </is>
      </c>
      <c r="E36" s="2" t="inlineStr">
        <is>
          <t>个</t>
        </is>
      </c>
      <c r="F36" s="1" t="n">
        <v>1</v>
      </c>
      <c r="G36" s="3" t="inlineStr">
        <is>
          <t>群信</t>
        </is>
      </c>
      <c r="H36" s="20" t="n">
        <v>1</v>
      </c>
      <c r="I36" s="20" t="n">
        <v>140</v>
      </c>
      <c r="J36" s="20" t="n">
        <v>140</v>
      </c>
      <c r="K36" s="20" t="inlineStr">
        <is>
          <t>个</t>
        </is>
      </c>
      <c r="L36" s="20" t="inlineStr">
        <is>
          <t>群信</t>
        </is>
      </c>
      <c r="M36" s="20" t="inlineStr"/>
      <c r="N36" s="20" t="inlineStr"/>
      <c r="O36" s="20" t="inlineStr">
        <is>
          <t>27023</t>
        </is>
      </c>
      <c r="P36" s="20" t="inlineStr"/>
      <c r="Q36" s="20" t="inlineStr"/>
      <c r="R36" s="20" t="inlineStr"/>
      <c r="S36" s="20" t="inlineStr"/>
      <c r="T36" s="20" t="inlineStr">
        <is>
          <t>confirmed</t>
        </is>
      </c>
      <c r="U36" s="20" t="n">
        <v>100</v>
      </c>
      <c r="V36" s="20" t="inlineStr"/>
      <c r="W36" s="20" t="inlineStr">
        <is>
          <t>高中理化生报价.xlsx｜凯迪｜第1429行</t>
        </is>
      </c>
    </row>
    <row r="37" ht="31.2" customHeight="1" s="16">
      <c r="A37" s="1" t="n">
        <v>82</v>
      </c>
      <c r="B37" s="21" t="n"/>
      <c r="C37" s="5" t="inlineStr">
        <is>
          <t>DNA 电泳图谱观察仪</t>
        </is>
      </c>
      <c r="D37" s="5" t="inlineStr">
        <is>
          <t>非紫外光源，观察凝胶面积＞100mm×100mm</t>
        </is>
      </c>
      <c r="E37" s="2" t="inlineStr">
        <is>
          <t>台</t>
        </is>
      </c>
      <c r="F37" s="1" t="n">
        <v>1</v>
      </c>
      <c r="G37" s="3" t="inlineStr">
        <is>
          <t>群信</t>
        </is>
      </c>
      <c r="H37" s="20" t="n">
        <v>1</v>
      </c>
      <c r="I37" s="20" t="n">
        <v>500</v>
      </c>
      <c r="J37" s="20" t="n">
        <v>500</v>
      </c>
      <c r="K37" s="20" t="inlineStr">
        <is>
          <t>台</t>
        </is>
      </c>
      <c r="L37" s="20" t="inlineStr">
        <is>
          <t>群信</t>
        </is>
      </c>
      <c r="M37" s="20" t="inlineStr"/>
      <c r="N37" s="20" t="inlineStr"/>
      <c r="O37" s="20" t="inlineStr">
        <is>
          <t>27028</t>
        </is>
      </c>
      <c r="P37" s="20" t="inlineStr"/>
      <c r="Q37" s="20" t="inlineStr"/>
      <c r="R37" s="20" t="inlineStr"/>
      <c r="S37" s="20" t="inlineStr"/>
      <c r="T37" s="20" t="inlineStr">
        <is>
          <t>confirmed</t>
        </is>
      </c>
      <c r="U37" s="20" t="n">
        <v>100</v>
      </c>
      <c r="V37" s="20" t="inlineStr"/>
      <c r="W37" s="20" t="inlineStr">
        <is>
          <t>高中理化生报价.xlsx｜凯迪｜第1437行</t>
        </is>
      </c>
    </row>
    <row r="38" ht="15.6" customHeight="1" s="16">
      <c r="A38" s="1" t="n">
        <v>85</v>
      </c>
      <c r="B38" s="1" t="inlineStr">
        <is>
          <t>专用器械和支架</t>
        </is>
      </c>
      <c r="C38" s="5" t="inlineStr">
        <is>
          <t>解剖盘</t>
        </is>
      </c>
      <c r="D38" s="5" t="inlineStr">
        <is>
          <t>260 mm×200 mm×30 mm，蜡盘</t>
        </is>
      </c>
      <c r="E38" s="2" t="inlineStr">
        <is>
          <t>个</t>
        </is>
      </c>
      <c r="F38" s="1" t="n">
        <v>26</v>
      </c>
      <c r="G38" s="3" t="inlineStr">
        <is>
          <t>群信</t>
        </is>
      </c>
      <c r="H38" s="20" t="n">
        <v>26</v>
      </c>
      <c r="I38" s="20" t="n">
        <v>12</v>
      </c>
      <c r="J38" s="20" t="n">
        <v>312</v>
      </c>
      <c r="K38" s="20" t="inlineStr">
        <is>
          <t>个</t>
        </is>
      </c>
      <c r="L38" s="20" t="inlineStr"/>
      <c r="M38" s="20" t="inlineStr"/>
      <c r="N38" s="20" t="inlineStr"/>
      <c r="O38" s="20" t="inlineStr"/>
      <c r="P38" s="20" t="n">
        <v>12</v>
      </c>
      <c r="Q38" s="20" t="inlineStr"/>
      <c r="R38" s="20" t="inlineStr"/>
      <c r="S38" s="20" t="inlineStr"/>
      <c r="T38" s="20" t="inlineStr">
        <is>
          <t>confirmed</t>
        </is>
      </c>
      <c r="U38" s="20" t="n">
        <v>100</v>
      </c>
      <c r="V38" s="20" t="inlineStr"/>
      <c r="W38" s="20" t="inlineStr">
        <is>
          <t>赛特尔25年.xls｜初中新课标生物｜第64行</t>
        </is>
      </c>
    </row>
    <row r="39" ht="46.8" customHeight="1" s="16">
      <c r="A39" s="1" t="n">
        <v>86</v>
      </c>
      <c r="B39" s="22" t="n"/>
      <c r="C39" s="5" t="inlineStr">
        <is>
          <t>解剖器</t>
        </is>
      </c>
      <c r="D39" s="5" t="inlineStr">
        <is>
          <t>不锈钢材料，7 件，包括：2 把解剖剪（直剪、弯剪各 1）、2 个镊子（直头、弯头各 1）、 2 个解剖刀（圆头、尖头各 1）、1 个解剖针</t>
        </is>
      </c>
      <c r="E39" s="2" t="inlineStr">
        <is>
          <t>套</t>
        </is>
      </c>
      <c r="F39" s="1" t="n">
        <v>26</v>
      </c>
      <c r="G39" s="3" t="inlineStr">
        <is>
          <t>群信</t>
        </is>
      </c>
      <c r="H39" s="20" t="n">
        <v>26</v>
      </c>
      <c r="I39" s="20" t="n">
        <v>14</v>
      </c>
      <c r="J39" s="20" t="n">
        <v>364</v>
      </c>
      <c r="K39" s="20" t="inlineStr">
        <is>
          <t>套</t>
        </is>
      </c>
      <c r="L39" s="20" t="inlineStr"/>
      <c r="M39" s="20" t="inlineStr"/>
      <c r="N39" s="20" t="inlineStr"/>
      <c r="O39" s="20" t="inlineStr"/>
      <c r="P39" s="20" t="n">
        <v>21</v>
      </c>
      <c r="Q39" s="20" t="inlineStr"/>
      <c r="R39" s="20" t="n">
        <v>22</v>
      </c>
      <c r="S39" s="20" t="inlineStr"/>
      <c r="T39" s="20" t="inlineStr">
        <is>
          <t>confirmed</t>
        </is>
      </c>
      <c r="U39" s="20" t="n">
        <v>100</v>
      </c>
      <c r="V39" s="20" t="inlineStr">
        <is>
          <t>价格分歧&gt;30%：历史报价分歧较大，需人工核对；同分多价：最高分候选存在不同历史价格</t>
        </is>
      </c>
      <c r="W39" s="20" t="inlineStr">
        <is>
          <t>赛特尔25年.xls｜初中生物｜第45行</t>
        </is>
      </c>
    </row>
    <row r="40" ht="15.6" customHeight="1" s="16">
      <c r="A40" s="1" t="n">
        <v>87</v>
      </c>
      <c r="B40" s="22" t="n"/>
      <c r="C40" s="2" t="inlineStr">
        <is>
          <t>普通手术剪</t>
        </is>
      </c>
      <c r="D40" s="5" t="inlineStr">
        <is>
          <t>尖头，140 mm</t>
        </is>
      </c>
      <c r="E40" s="2" t="n"/>
      <c r="F40" s="1" t="n">
        <v>26</v>
      </c>
      <c r="G40" s="3" t="inlineStr">
        <is>
          <t>和美</t>
        </is>
      </c>
      <c r="H40" s="20" t="n">
        <v>26</v>
      </c>
      <c r="I40" s="20" t="n">
        <v>8</v>
      </c>
      <c r="J40" s="20" t="n">
        <v>208</v>
      </c>
      <c r="K40" s="20" t="inlineStr">
        <is>
          <t>把</t>
        </is>
      </c>
      <c r="L40" s="20" t="inlineStr"/>
      <c r="M40" s="20" t="inlineStr"/>
      <c r="N40" s="20" t="inlineStr"/>
      <c r="O40" s="20" t="inlineStr"/>
      <c r="P40" s="20" t="n">
        <v>8</v>
      </c>
      <c r="Q40" s="20" t="inlineStr"/>
      <c r="R40" s="20" t="n">
        <v>65</v>
      </c>
      <c r="S40" s="20" t="inlineStr"/>
      <c r="T40" s="20" t="inlineStr">
        <is>
          <t>confirmed</t>
        </is>
      </c>
      <c r="U40" s="20" t="n">
        <v>57.1</v>
      </c>
      <c r="V40" s="20" t="inlineStr"/>
      <c r="W40" s="20" t="inlineStr">
        <is>
          <t>赛特尔25年.xls｜初中新课标生物｜第67行</t>
        </is>
      </c>
    </row>
    <row r="41" ht="15.6" customHeight="1" s="16">
      <c r="A41" s="1" t="n">
        <v>88</v>
      </c>
      <c r="B41" s="22" t="n"/>
      <c r="C41" s="2" t="inlineStr">
        <is>
          <t>眼用手术剪</t>
        </is>
      </c>
      <c r="D41" s="2" t="inlineStr">
        <is>
          <t>尖头，100 mm</t>
        </is>
      </c>
      <c r="E41" s="2" t="inlineStr">
        <is>
          <t>把</t>
        </is>
      </c>
      <c r="F41" s="1" t="n">
        <v>26</v>
      </c>
      <c r="G41" s="3" t="inlineStr">
        <is>
          <t>和美</t>
        </is>
      </c>
      <c r="H41" s="20" t="n">
        <v>26</v>
      </c>
      <c r="I41" s="20" t="n">
        <v>8</v>
      </c>
      <c r="J41" s="20" t="n">
        <v>208</v>
      </c>
      <c r="K41" s="20" t="inlineStr">
        <is>
          <t>把</t>
        </is>
      </c>
      <c r="L41" s="20" t="inlineStr"/>
      <c r="M41" s="20" t="inlineStr"/>
      <c r="N41" s="20" t="inlineStr"/>
      <c r="O41" s="20" t="inlineStr"/>
      <c r="P41" s="20" t="n">
        <v>8</v>
      </c>
      <c r="Q41" s="20" t="inlineStr"/>
      <c r="R41" s="20" t="n">
        <v>65</v>
      </c>
      <c r="S41" s="20" t="inlineStr"/>
      <c r="T41" s="20" t="inlineStr">
        <is>
          <t>confirmed</t>
        </is>
      </c>
      <c r="U41" s="20" t="n">
        <v>57.1</v>
      </c>
      <c r="V41" s="20" t="inlineStr"/>
      <c r="W41" s="20" t="inlineStr">
        <is>
          <t>赛特尔25年.xls｜初中新课标生物｜第67行</t>
        </is>
      </c>
    </row>
    <row r="42" ht="31.2" customHeight="1" s="16">
      <c r="A42" s="1" t="n">
        <v>89</v>
      </c>
      <c r="B42" s="21" t="n"/>
      <c r="C42" s="2" t="inlineStr">
        <is>
          <t>手术刀柄</t>
        </is>
      </c>
      <c r="D42" s="5" t="inlineStr">
        <is>
          <t>刀柄外形轮廓应清晰，刀柄与手术刀片配合时，插卸应轻松</t>
        </is>
      </c>
      <c r="E42" s="2" t="n"/>
      <c r="F42" s="1" t="n">
        <v>26</v>
      </c>
      <c r="G42" s="3" t="inlineStr">
        <is>
          <t>和美</t>
        </is>
      </c>
      <c r="H42" s="20" t="n">
        <v>26</v>
      </c>
      <c r="I42" s="20" t="n">
        <v>3</v>
      </c>
      <c r="J42" s="20" t="n">
        <v>78</v>
      </c>
      <c r="K42" s="20" t="inlineStr">
        <is>
          <t>把</t>
        </is>
      </c>
      <c r="L42" s="20" t="inlineStr">
        <is>
          <t>群信</t>
        </is>
      </c>
      <c r="M42" s="20" t="inlineStr"/>
      <c r="N42" s="20" t="inlineStr"/>
      <c r="O42" s="20" t="inlineStr">
        <is>
          <t>27015</t>
        </is>
      </c>
      <c r="P42" s="20" t="inlineStr"/>
      <c r="Q42" s="20" t="inlineStr"/>
      <c r="R42" s="20" t="inlineStr"/>
      <c r="S42" s="20" t="inlineStr"/>
      <c r="T42" s="20" t="inlineStr">
        <is>
          <t>confirmed</t>
        </is>
      </c>
      <c r="U42" s="20" t="n">
        <v>100</v>
      </c>
      <c r="V42" s="20" t="inlineStr"/>
      <c r="W42" s="20" t="inlineStr">
        <is>
          <t>赛特尔25年.xls｜初中新课标生物｜第68行</t>
        </is>
      </c>
    </row>
    <row r="43" ht="15.6" customHeight="1" s="16">
      <c r="A43" s="1" t="n">
        <v>90</v>
      </c>
      <c r="B43" s="1" t="inlineStr">
        <is>
          <t>专用器械和支架</t>
        </is>
      </c>
      <c r="C43" s="5" t="inlineStr">
        <is>
          <t>手术刀片</t>
        </is>
      </c>
      <c r="D43" s="5" t="inlineStr">
        <is>
          <t>刀片应平整，刃口应锋利</t>
        </is>
      </c>
      <c r="E43" s="2" t="n"/>
      <c r="F43" s="1" t="n">
        <v>26</v>
      </c>
      <c r="G43" s="3" t="inlineStr">
        <is>
          <t>锐角</t>
        </is>
      </c>
      <c r="H43" s="20" t="n">
        <v>26</v>
      </c>
      <c r="I43" s="20" t="n">
        <v>5</v>
      </c>
      <c r="J43" s="20" t="n">
        <v>130</v>
      </c>
      <c r="K43" s="20" t="inlineStr">
        <is>
          <t>包</t>
        </is>
      </c>
      <c r="L43" s="20" t="inlineStr">
        <is>
          <t>锐角</t>
        </is>
      </c>
      <c r="M43" s="20" t="inlineStr"/>
      <c r="N43" s="20" t="inlineStr"/>
      <c r="O43" s="20" t="inlineStr">
        <is>
          <t>27016</t>
        </is>
      </c>
      <c r="P43" s="20" t="inlineStr"/>
      <c r="Q43" s="20" t="inlineStr"/>
      <c r="R43" s="20" t="inlineStr"/>
      <c r="S43" s="20" t="inlineStr"/>
      <c r="T43" s="20" t="inlineStr">
        <is>
          <t>confirmed</t>
        </is>
      </c>
      <c r="U43" s="20" t="n">
        <v>100</v>
      </c>
      <c r="V43" s="20" t="inlineStr"/>
      <c r="W43" s="20" t="inlineStr">
        <is>
          <t>赛特尔25年.xls｜初中新课标生物｜第69行</t>
        </is>
      </c>
    </row>
    <row r="44" ht="15.6" customHeight="1" s="16">
      <c r="A44" s="1" t="n">
        <v>91</v>
      </c>
      <c r="B44" s="22" t="n"/>
      <c r="C44" s="5" t="inlineStr">
        <is>
          <t>双面刀片</t>
        </is>
      </c>
      <c r="D44" s="5" t="inlineStr">
        <is>
          <t>43 mm×22 mm</t>
        </is>
      </c>
      <c r="E44" s="2" t="n"/>
      <c r="F44" s="1" t="n">
        <v>26</v>
      </c>
      <c r="G44" s="3" t="inlineStr">
        <is>
          <t>飞鹰牌</t>
        </is>
      </c>
      <c r="H44" s="20" t="n">
        <v>26</v>
      </c>
      <c r="I44" s="20" t="n">
        <v>3.5</v>
      </c>
      <c r="J44" s="20" t="n">
        <v>91</v>
      </c>
      <c r="K44" s="20" t="inlineStr">
        <is>
          <t>包</t>
        </is>
      </c>
      <c r="L44" s="20" t="inlineStr"/>
      <c r="M44" s="20" t="inlineStr"/>
      <c r="N44" s="20" t="inlineStr"/>
      <c r="O44" s="20" t="inlineStr">
        <is>
          <t>43 mm×22 mm</t>
        </is>
      </c>
      <c r="P44" s="20" t="inlineStr"/>
      <c r="Q44" s="20" t="inlineStr"/>
      <c r="R44" s="20" t="inlineStr"/>
      <c r="S44" s="20" t="inlineStr"/>
      <c r="T44" s="20" t="inlineStr">
        <is>
          <t>confirmed</t>
        </is>
      </c>
      <c r="U44" s="20" t="n">
        <v>100</v>
      </c>
      <c r="V44" s="20" t="inlineStr"/>
      <c r="W44" s="20" t="inlineStr">
        <is>
          <t>赛特尔25年.xls｜初中新课标生物｜第70行</t>
        </is>
      </c>
    </row>
    <row r="45" ht="15.6" customHeight="1" s="16">
      <c r="A45" s="1" t="n">
        <v>92</v>
      </c>
      <c r="B45" s="22" t="n"/>
      <c r="C45" s="2" t="inlineStr">
        <is>
          <t>镊子</t>
        </is>
      </c>
      <c r="D45" s="2" t="inlineStr">
        <is>
          <t>尖头，140 mm</t>
        </is>
      </c>
      <c r="E45" s="2" t="inlineStr">
        <is>
          <t>把</t>
        </is>
      </c>
      <c r="F45" s="1" t="n">
        <v>26</v>
      </c>
      <c r="G45" s="3" t="inlineStr">
        <is>
          <t>和美</t>
        </is>
      </c>
      <c r="H45" s="20" t="n">
        <v>26</v>
      </c>
      <c r="I45" s="20" t="n">
        <v>2.5</v>
      </c>
      <c r="J45" s="20" t="n">
        <v>65</v>
      </c>
      <c r="K45" s="20" t="inlineStr">
        <is>
          <t>把</t>
        </is>
      </c>
      <c r="L45" s="20" t="inlineStr"/>
      <c r="M45" s="20" t="inlineStr"/>
      <c r="N45" s="20" t="inlineStr"/>
      <c r="O45" s="20" t="inlineStr"/>
      <c r="P45" s="20" t="inlineStr"/>
      <c r="Q45" s="20" t="inlineStr"/>
      <c r="R45" s="20" t="inlineStr"/>
      <c r="S45" s="20" t="inlineStr"/>
      <c r="T45" s="20" t="inlineStr">
        <is>
          <t>confirmed</t>
        </is>
      </c>
      <c r="U45" s="20" t="n">
        <v>0</v>
      </c>
      <c r="V45" s="20" t="inlineStr">
        <is>
          <t>没有找到可靠候选</t>
        </is>
      </c>
      <c r="W45" s="20" t="inlineStr">
        <is>
          <t>赛特尔25年.xls｜初中新课标化学｜第138行</t>
        </is>
      </c>
    </row>
    <row r="46" ht="15.6" customHeight="1" s="16">
      <c r="A46" s="1" t="n">
        <v>93</v>
      </c>
      <c r="B46" s="22" t="n"/>
      <c r="C46" s="5" t="inlineStr">
        <is>
          <t>镊子</t>
        </is>
      </c>
      <c r="D46" s="5" t="inlineStr">
        <is>
          <t>弯头，140 mm</t>
        </is>
      </c>
      <c r="E46" s="2" t="inlineStr">
        <is>
          <t>把</t>
        </is>
      </c>
      <c r="F46" s="1" t="n">
        <v>26</v>
      </c>
      <c r="G46" s="3" t="inlineStr">
        <is>
          <t>和美</t>
        </is>
      </c>
      <c r="H46" s="20" t="n">
        <v>26</v>
      </c>
      <c r="I46" s="20" t="n">
        <v>2.5</v>
      </c>
      <c r="J46" s="20" t="n">
        <v>65</v>
      </c>
      <c r="K46" s="20" t="inlineStr">
        <is>
          <t>把</t>
        </is>
      </c>
      <c r="L46" s="20" t="inlineStr"/>
      <c r="M46" s="20" t="inlineStr"/>
      <c r="N46" s="20" t="inlineStr"/>
      <c r="O46" s="20" t="inlineStr"/>
      <c r="P46" s="20" t="inlineStr"/>
      <c r="Q46" s="20" t="inlineStr"/>
      <c r="R46" s="20" t="inlineStr"/>
      <c r="S46" s="20" t="inlineStr"/>
      <c r="T46" s="20" t="inlineStr">
        <is>
          <t>confirmed</t>
        </is>
      </c>
      <c r="U46" s="20" t="n">
        <v>0</v>
      </c>
      <c r="V46" s="20" t="inlineStr">
        <is>
          <t>没有找到可靠候选</t>
        </is>
      </c>
      <c r="W46" s="20" t="inlineStr">
        <is>
          <t>赛特尔25年.xls｜初中新课标化学｜第138行</t>
        </is>
      </c>
    </row>
    <row r="47" ht="15.6" customHeight="1" s="16">
      <c r="A47" s="1" t="n">
        <v>94</v>
      </c>
      <c r="B47" s="22" t="n"/>
      <c r="C47" s="2" t="inlineStr">
        <is>
          <t>眼科镊</t>
        </is>
      </c>
      <c r="D47" s="2" t="inlineStr">
        <is>
          <t>直，100 mm</t>
        </is>
      </c>
      <c r="E47" s="2" t="inlineStr">
        <is>
          <t>把</t>
        </is>
      </c>
      <c r="F47" s="1" t="n">
        <v>26</v>
      </c>
      <c r="G47" s="3" t="inlineStr">
        <is>
          <t>和美</t>
        </is>
      </c>
      <c r="H47" s="20" t="n">
        <v>26</v>
      </c>
      <c r="I47" s="20" t="n">
        <v>5</v>
      </c>
      <c r="J47" s="20" t="n">
        <v>130</v>
      </c>
      <c r="K47" s="20" t="inlineStr">
        <is>
          <t>把</t>
        </is>
      </c>
      <c r="L47" s="20" t="inlineStr">
        <is>
          <t>群信</t>
        </is>
      </c>
      <c r="M47" s="20" t="inlineStr"/>
      <c r="N47" s="20" t="inlineStr"/>
      <c r="O47" s="20" t="inlineStr">
        <is>
          <t>27019</t>
        </is>
      </c>
      <c r="P47" s="20" t="n">
        <v>7</v>
      </c>
      <c r="Q47" s="20" t="inlineStr"/>
      <c r="R47" s="20" t="inlineStr"/>
      <c r="S47" s="20" t="inlineStr"/>
      <c r="T47" s="20" t="inlineStr">
        <is>
          <t>confirmed</t>
        </is>
      </c>
      <c r="U47" s="20" t="n">
        <v>66.7</v>
      </c>
      <c r="V47" s="20" t="inlineStr">
        <is>
          <t>价格分歧&gt;30%：历史报价分歧较大，需人工核对；同分多价：最高分候选存在不同历史价格</t>
        </is>
      </c>
      <c r="W47" s="20" t="inlineStr">
        <is>
          <t>高中理化生报价.xlsx｜凯迪｜第1425行</t>
        </is>
      </c>
    </row>
    <row r="48" ht="15.6" customHeight="1" s="16">
      <c r="A48" s="1" t="n">
        <v>95</v>
      </c>
      <c r="B48" s="22" t="n"/>
      <c r="C48" s="5" t="inlineStr">
        <is>
          <t>解剖针</t>
        </is>
      </c>
      <c r="D48" s="5" t="inlineStr">
        <is>
          <t>六菱全钢</t>
        </is>
      </c>
      <c r="E48" s="2" t="inlineStr">
        <is>
          <t>把</t>
        </is>
      </c>
      <c r="F48" s="1" t="n">
        <v>26</v>
      </c>
      <c r="G48" s="3" t="inlineStr">
        <is>
          <t>和美</t>
        </is>
      </c>
      <c r="H48" s="20" t="n">
        <v>26</v>
      </c>
      <c r="I48" s="20" t="n">
        <v>2.5</v>
      </c>
      <c r="J48" s="20" t="n">
        <v>65</v>
      </c>
      <c r="K48" s="20" t="inlineStr">
        <is>
          <t>把</t>
        </is>
      </c>
      <c r="L48" s="20" t="inlineStr">
        <is>
          <t>群信</t>
        </is>
      </c>
      <c r="M48" s="20" t="inlineStr"/>
      <c r="N48" s="20" t="inlineStr"/>
      <c r="O48" s="20" t="inlineStr">
        <is>
          <t>27017</t>
        </is>
      </c>
      <c r="P48" s="20" t="n">
        <v>12</v>
      </c>
      <c r="Q48" s="20" t="inlineStr"/>
      <c r="R48" s="20" t="inlineStr"/>
      <c r="S48" s="20" t="inlineStr"/>
      <c r="T48" s="20" t="inlineStr">
        <is>
          <t>confirmed</t>
        </is>
      </c>
      <c r="U48" s="20" t="n">
        <v>66.7</v>
      </c>
      <c r="V48" s="20" t="inlineStr">
        <is>
          <t>价格分歧&gt;30%：历史报价分歧较大，需人工核对；同分多价：最高分候选存在不同历史价格</t>
        </is>
      </c>
      <c r="W48" s="20" t="inlineStr">
        <is>
          <t>高中理化生报价.xlsx｜凯迪｜第1423行</t>
        </is>
      </c>
    </row>
    <row r="49" ht="15.6" customHeight="1" s="16">
      <c r="A49" s="1" t="n">
        <v>96</v>
      </c>
      <c r="B49" s="22" t="n"/>
      <c r="C49" s="2" t="inlineStr">
        <is>
          <t>研磨过滤器</t>
        </is>
      </c>
      <c r="D49" s="2" t="inlineStr">
        <is>
          <t>容量 20 mL</t>
        </is>
      </c>
      <c r="E49" s="2" t="inlineStr">
        <is>
          <t>个</t>
        </is>
      </c>
      <c r="F49" s="1" t="n">
        <v>26</v>
      </c>
      <c r="G49" s="3" t="inlineStr">
        <is>
          <t>群信</t>
        </is>
      </c>
      <c r="H49" s="20" t="n">
        <v>26</v>
      </c>
      <c r="I49" s="20" t="n">
        <v>18</v>
      </c>
      <c r="J49" s="20" t="n">
        <v>468</v>
      </c>
      <c r="K49" s="20" t="inlineStr">
        <is>
          <t>个</t>
        </is>
      </c>
      <c r="L49" s="20" t="inlineStr"/>
      <c r="M49" s="20" t="inlineStr"/>
      <c r="N49" s="20" t="inlineStr"/>
      <c r="O49" s="20" t="inlineStr"/>
      <c r="P49" s="20" t="n">
        <v>18</v>
      </c>
      <c r="Q49" s="20" t="inlineStr"/>
      <c r="R49" s="20" t="n">
        <v>19.8</v>
      </c>
      <c r="S49" s="20" t="inlineStr"/>
      <c r="T49" s="20" t="inlineStr">
        <is>
          <t>confirmed</t>
        </is>
      </c>
      <c r="U49" s="20" t="n">
        <v>100</v>
      </c>
      <c r="V49" s="20" t="inlineStr"/>
      <c r="W49" s="20" t="inlineStr">
        <is>
          <t>赛特尔25年.xls｜初中新课标生物｜第75行</t>
        </is>
      </c>
    </row>
    <row r="50" ht="15.6" customHeight="1" s="16">
      <c r="A50" s="1" t="n">
        <v>97</v>
      </c>
      <c r="B50" s="22" t="n"/>
      <c r="C50" s="2" t="inlineStr">
        <is>
          <t>移液器</t>
        </is>
      </c>
      <c r="D50" s="5" t="inlineStr">
        <is>
          <t>0.1 µL～2.5 µL</t>
        </is>
      </c>
      <c r="E50" s="2" t="inlineStr">
        <is>
          <t>支</t>
        </is>
      </c>
      <c r="F50" s="1" t="n">
        <v>26</v>
      </c>
      <c r="G50" s="3" t="inlineStr">
        <is>
          <t>群信</t>
        </is>
      </c>
      <c r="H50" s="20" t="n">
        <v>26</v>
      </c>
      <c r="I50" s="20" t="n">
        <v>85</v>
      </c>
      <c r="J50" s="20" t="n">
        <v>2210</v>
      </c>
      <c r="K50" s="20" t="inlineStr">
        <is>
          <t>支</t>
        </is>
      </c>
      <c r="L50" s="20" t="inlineStr"/>
      <c r="M50" s="20" t="inlineStr"/>
      <c r="N50" s="20" t="inlineStr"/>
      <c r="O50" s="20" t="inlineStr"/>
      <c r="P50" s="20" t="inlineStr"/>
      <c r="Q50" s="20" t="inlineStr"/>
      <c r="R50" s="20" t="inlineStr"/>
      <c r="S50" s="20" t="inlineStr"/>
      <c r="T50" s="20" t="inlineStr">
        <is>
          <t>confirmed</t>
        </is>
      </c>
      <c r="U50" s="20" t="n">
        <v>100</v>
      </c>
      <c r="V50" s="20" t="inlineStr"/>
      <c r="W50" s="20" t="inlineStr">
        <is>
          <t>高中理化生报价.xlsx｜凯迪｜第1579行</t>
        </is>
      </c>
    </row>
    <row r="51" ht="15.6" customHeight="1" s="16">
      <c r="A51" s="1" t="n">
        <v>98</v>
      </c>
      <c r="B51" s="22" t="n"/>
      <c r="C51" s="22" t="n"/>
      <c r="D51" s="5" t="inlineStr">
        <is>
          <t>0.5 µL～10 µL</t>
        </is>
      </c>
      <c r="E51" s="2" t="inlineStr">
        <is>
          <t>支</t>
        </is>
      </c>
      <c r="F51" s="1" t="n">
        <v>26</v>
      </c>
      <c r="G51" s="3" t="inlineStr">
        <is>
          <t>群信</t>
        </is>
      </c>
      <c r="H51" s="20" t="n">
        <v>26</v>
      </c>
      <c r="I51" s="20" t="n">
        <v>85</v>
      </c>
      <c r="J51" s="20" t="n">
        <v>2210</v>
      </c>
      <c r="K51" s="20" t="inlineStr">
        <is>
          <t>支</t>
        </is>
      </c>
      <c r="L51" s="20" t="inlineStr"/>
      <c r="M51" s="20" t="inlineStr"/>
      <c r="N51" s="20" t="inlineStr"/>
      <c r="O51" s="20" t="inlineStr"/>
      <c r="P51" s="20" t="inlineStr"/>
      <c r="Q51" s="20" t="inlineStr"/>
      <c r="R51" s="20" t="inlineStr"/>
      <c r="S51" s="20" t="inlineStr"/>
      <c r="T51" s="20" t="inlineStr">
        <is>
          <t>confirmed</t>
        </is>
      </c>
      <c r="U51" s="20" t="n">
        <v>100</v>
      </c>
      <c r="V51" s="20" t="inlineStr"/>
      <c r="W51" s="20" t="inlineStr">
        <is>
          <t>高中理化生报价.xlsx｜凯迪｜第1579行</t>
        </is>
      </c>
    </row>
    <row r="52" ht="15.6" customHeight="1" s="16">
      <c r="A52" s="1" t="n">
        <v>99</v>
      </c>
      <c r="B52" s="22" t="n"/>
      <c r="C52" s="22" t="n"/>
      <c r="D52" s="5" t="inlineStr">
        <is>
          <t>10 µL～100 µL</t>
        </is>
      </c>
      <c r="E52" s="2" t="inlineStr">
        <is>
          <t>支</t>
        </is>
      </c>
      <c r="F52" s="1" t="n">
        <v>26</v>
      </c>
      <c r="G52" s="3" t="inlineStr">
        <is>
          <t>群信</t>
        </is>
      </c>
      <c r="H52" s="20" t="n">
        <v>26</v>
      </c>
      <c r="I52" s="20" t="n">
        <v>85</v>
      </c>
      <c r="J52" s="20" t="n">
        <v>2210</v>
      </c>
      <c r="K52" s="20" t="inlineStr">
        <is>
          <t>支</t>
        </is>
      </c>
      <c r="L52" s="20" t="inlineStr"/>
      <c r="M52" s="20" t="inlineStr"/>
      <c r="N52" s="20" t="inlineStr"/>
      <c r="O52" s="20" t="inlineStr"/>
      <c r="P52" s="20" t="inlineStr"/>
      <c r="Q52" s="20" t="inlineStr"/>
      <c r="R52" s="20" t="inlineStr"/>
      <c r="S52" s="20" t="inlineStr"/>
      <c r="T52" s="20" t="inlineStr">
        <is>
          <t>confirmed</t>
        </is>
      </c>
      <c r="U52" s="20" t="n">
        <v>100</v>
      </c>
      <c r="V52" s="20" t="inlineStr"/>
      <c r="W52" s="20" t="inlineStr">
        <is>
          <t>高中理化生报价.xlsx｜凯迪｜第1579行</t>
        </is>
      </c>
    </row>
    <row r="53" ht="15.6" customHeight="1" s="16">
      <c r="A53" s="1" t="n">
        <v>100</v>
      </c>
      <c r="B53" s="22" t="n"/>
      <c r="C53" s="22" t="n"/>
      <c r="D53" s="5" t="inlineStr">
        <is>
          <t>100 µL～1000 µL</t>
        </is>
      </c>
      <c r="E53" s="2" t="inlineStr">
        <is>
          <t>支</t>
        </is>
      </c>
      <c r="F53" s="1" t="n">
        <v>26</v>
      </c>
      <c r="G53" s="3" t="inlineStr">
        <is>
          <t>群信</t>
        </is>
      </c>
      <c r="H53" s="20" t="n">
        <v>26</v>
      </c>
      <c r="I53" s="20" t="n">
        <v>85</v>
      </c>
      <c r="J53" s="20" t="n">
        <v>2210</v>
      </c>
      <c r="K53" s="20" t="inlineStr">
        <is>
          <t>支</t>
        </is>
      </c>
      <c r="L53" s="20" t="inlineStr"/>
      <c r="M53" s="20" t="inlineStr"/>
      <c r="N53" s="20" t="inlineStr"/>
      <c r="O53" s="20" t="inlineStr"/>
      <c r="P53" s="20" t="inlineStr"/>
      <c r="Q53" s="20" t="inlineStr"/>
      <c r="R53" s="20" t="inlineStr"/>
      <c r="S53" s="20" t="inlineStr"/>
      <c r="T53" s="20" t="inlineStr">
        <is>
          <t>confirmed</t>
        </is>
      </c>
      <c r="U53" s="20" t="n">
        <v>100</v>
      </c>
      <c r="V53" s="20" t="inlineStr"/>
      <c r="W53" s="20" t="inlineStr">
        <is>
          <t>高中理化生报价.xlsx｜凯迪｜第1579行</t>
        </is>
      </c>
    </row>
    <row r="54" ht="15.6" customHeight="1" s="16">
      <c r="A54" s="1" t="n">
        <v>101</v>
      </c>
      <c r="B54" s="22" t="n"/>
      <c r="C54" s="21" t="n"/>
      <c r="D54" s="5" t="inlineStr">
        <is>
          <t>1 mL～5 mL</t>
        </is>
      </c>
      <c r="E54" s="2" t="inlineStr">
        <is>
          <t>支</t>
        </is>
      </c>
      <c r="F54" s="1" t="n">
        <v>26</v>
      </c>
      <c r="G54" s="3" t="inlineStr">
        <is>
          <t>群信</t>
        </is>
      </c>
      <c r="H54" s="20" t="n">
        <v>26</v>
      </c>
      <c r="I54" s="20" t="n">
        <v>85</v>
      </c>
      <c r="J54" s="20" t="n">
        <v>2210</v>
      </c>
      <c r="K54" s="20" t="inlineStr">
        <is>
          <t>支</t>
        </is>
      </c>
      <c r="L54" s="20" t="inlineStr"/>
      <c r="M54" s="20" t="inlineStr"/>
      <c r="N54" s="20" t="inlineStr"/>
      <c r="O54" s="20" t="inlineStr"/>
      <c r="P54" s="20" t="inlineStr"/>
      <c r="Q54" s="20" t="inlineStr"/>
      <c r="R54" s="20" t="inlineStr"/>
      <c r="S54" s="20" t="inlineStr"/>
      <c r="T54" s="20" t="inlineStr">
        <is>
          <t>confirmed</t>
        </is>
      </c>
      <c r="U54" s="20" t="n">
        <v>100</v>
      </c>
      <c r="V54" s="20" t="inlineStr"/>
      <c r="W54" s="20" t="inlineStr">
        <is>
          <t>高中理化生报价.xlsx｜凯迪｜第1579行</t>
        </is>
      </c>
    </row>
    <row r="55" ht="31.2" customHeight="1" s="16">
      <c r="A55" s="1" t="n">
        <v>102</v>
      </c>
      <c r="B55" s="22" t="n"/>
      <c r="C55" s="2" t="inlineStr">
        <is>
          <t>接种环</t>
        </is>
      </c>
      <c r="D55" s="5" t="inlineStr">
        <is>
          <t>接种棒为铜或不锈钢材质，接种丝为耐热合金，环内径 2 mm～3 mm</t>
        </is>
      </c>
      <c r="E55" s="2" t="inlineStr">
        <is>
          <t>把</t>
        </is>
      </c>
      <c r="F55" s="1" t="n">
        <v>26</v>
      </c>
      <c r="G55" s="3" t="inlineStr">
        <is>
          <t>群信</t>
        </is>
      </c>
      <c r="H55" s="20" t="n">
        <v>26</v>
      </c>
      <c r="I55" s="20" t="n">
        <v>8</v>
      </c>
      <c r="J55" s="20" t="n">
        <v>208</v>
      </c>
      <c r="K55" s="20" t="inlineStr">
        <is>
          <t>把</t>
        </is>
      </c>
      <c r="L55" s="20" t="inlineStr"/>
      <c r="M55" s="20" t="inlineStr"/>
      <c r="N55" s="20" t="inlineStr"/>
      <c r="O55" s="20" t="inlineStr"/>
      <c r="P55" s="20" t="n">
        <v>8</v>
      </c>
      <c r="Q55" s="20" t="inlineStr"/>
      <c r="R55" s="20" t="n">
        <v>8.800000000000001</v>
      </c>
      <c r="S55" s="20" t="inlineStr"/>
      <c r="T55" s="20" t="inlineStr">
        <is>
          <t>confirmed</t>
        </is>
      </c>
      <c r="U55" s="20" t="n">
        <v>100</v>
      </c>
      <c r="V55" s="20" t="inlineStr"/>
      <c r="W55" s="20" t="inlineStr">
        <is>
          <t>赛特尔25年.xls｜初中新课标生物｜第76行</t>
        </is>
      </c>
    </row>
    <row r="56" ht="31.2" customHeight="1" s="16">
      <c r="A56" s="1" t="n">
        <v>103</v>
      </c>
      <c r="B56" s="22" t="n"/>
      <c r="C56" s="2" t="inlineStr">
        <is>
          <t>铁架台</t>
        </is>
      </c>
      <c r="D56" s="5" t="inlineStr">
        <is>
          <t>方形座，含铁夹、复夹、铁圈，重心稳定不晃动，夹持器内侧应有石棉垫或橡胶垫衬</t>
        </is>
      </c>
      <c r="E56" s="2" t="inlineStr">
        <is>
          <t>套</t>
        </is>
      </c>
      <c r="F56" s="1" t="n">
        <v>26</v>
      </c>
      <c r="G56" s="3" t="inlineStr">
        <is>
          <t>群信</t>
        </is>
      </c>
      <c r="H56" s="20" t="n">
        <v>26</v>
      </c>
      <c r="I56" s="20" t="n">
        <v>0.03</v>
      </c>
      <c r="J56" s="20" t="n">
        <v>0.78</v>
      </c>
      <c r="K56" s="20" t="inlineStr">
        <is>
          <t>套</t>
        </is>
      </c>
      <c r="L56" s="20" t="inlineStr"/>
      <c r="M56" s="20" t="inlineStr"/>
      <c r="N56" s="20" t="inlineStr"/>
      <c r="O56" s="20" t="inlineStr"/>
      <c r="P56" s="20" t="inlineStr"/>
      <c r="Q56" s="20" t="inlineStr"/>
      <c r="R56" s="20" t="inlineStr"/>
      <c r="S56" s="20" t="inlineStr"/>
      <c r="T56" s="20" t="inlineStr">
        <is>
          <t>confirmed</t>
        </is>
      </c>
      <c r="U56" s="20" t="n">
        <v>0</v>
      </c>
      <c r="V56" s="20" t="inlineStr">
        <is>
          <t>没有找到可靠候选</t>
        </is>
      </c>
      <c r="W56" s="20" t="inlineStr">
        <is>
          <t>赛特尔25年.xls｜高中化学｜第314行</t>
        </is>
      </c>
    </row>
    <row r="57" ht="15.6" customHeight="1" s="16">
      <c r="A57" s="1" t="n">
        <v>104</v>
      </c>
      <c r="B57" s="21" t="n"/>
      <c r="C57" s="5" t="inlineStr">
        <is>
          <t>三脚架</t>
        </is>
      </c>
      <c r="D57" s="5" t="inlineStr">
        <is>
          <t>铁质，环内径 75 mm，高 150 mm</t>
        </is>
      </c>
      <c r="E57" s="2" t="inlineStr">
        <is>
          <t>个</t>
        </is>
      </c>
      <c r="F57" s="1" t="n">
        <v>26</v>
      </c>
      <c r="G57" s="3" t="inlineStr">
        <is>
          <t>群信</t>
        </is>
      </c>
      <c r="H57" s="20" t="n">
        <v>26</v>
      </c>
      <c r="I57" s="20" t="n">
        <v>5</v>
      </c>
      <c r="J57" s="20" t="n">
        <v>130</v>
      </c>
      <c r="K57" s="20" t="inlineStr">
        <is>
          <t>个</t>
        </is>
      </c>
      <c r="L57" s="20" t="inlineStr"/>
      <c r="M57" s="20" t="inlineStr"/>
      <c r="N57" s="20" t="inlineStr"/>
      <c r="O57" s="20" t="inlineStr"/>
      <c r="P57" s="20" t="n">
        <v>5</v>
      </c>
      <c r="Q57" s="20" t="inlineStr"/>
      <c r="R57" s="20" t="n">
        <v>5.5</v>
      </c>
      <c r="S57" s="20" t="inlineStr"/>
      <c r="T57" s="20" t="inlineStr">
        <is>
          <t>confirmed</t>
        </is>
      </c>
      <c r="U57" s="20" t="n">
        <v>100</v>
      </c>
      <c r="V57" s="20" t="inlineStr"/>
      <c r="W57" s="20" t="inlineStr">
        <is>
          <t>赛特尔25年.xls｜初中新课标生物｜第78行</t>
        </is>
      </c>
    </row>
    <row r="58" ht="31.2" customHeight="1" s="16">
      <c r="A58" s="1" t="n">
        <v>105</v>
      </c>
      <c r="B58" s="6" t="inlineStr">
        <is>
          <t>专用器械和支架</t>
        </is>
      </c>
      <c r="C58" s="2" t="inlineStr">
        <is>
          <t>试管架</t>
        </is>
      </c>
      <c r="D58" s="5" t="inlineStr">
        <is>
          <t>木质或塑料质，8 孔，孔径 21 mm，立柱黏结牢固，提供具第三方质量检测机构检测报告复印件</t>
        </is>
      </c>
      <c r="E58" s="2" t="inlineStr">
        <is>
          <t>个</t>
        </is>
      </c>
      <c r="F58" s="1" t="n">
        <v>26</v>
      </c>
      <c r="G58" s="3" t="inlineStr">
        <is>
          <t>群信</t>
        </is>
      </c>
      <c r="H58" s="20" t="n">
        <v>26</v>
      </c>
      <c r="I58" s="20" t="n">
        <v>0.5</v>
      </c>
      <c r="J58" s="20" t="n">
        <v>13</v>
      </c>
      <c r="K58" s="20" t="inlineStr">
        <is>
          <t>个</t>
        </is>
      </c>
      <c r="L58" s="20" t="inlineStr"/>
      <c r="M58" s="20" t="inlineStr"/>
      <c r="N58" s="20" t="inlineStr"/>
      <c r="O58" s="20" t="inlineStr"/>
      <c r="P58" s="20" t="n">
        <v>0.7</v>
      </c>
      <c r="Q58" s="20" t="inlineStr"/>
      <c r="R58" s="20" t="n">
        <v>6</v>
      </c>
      <c r="S58" s="20" t="inlineStr"/>
      <c r="T58" s="20" t="inlineStr">
        <is>
          <t>confirmed</t>
        </is>
      </c>
      <c r="U58" s="20" t="n">
        <v>100</v>
      </c>
      <c r="V58" s="20" t="inlineStr">
        <is>
          <t>价格分歧&gt;30%：历史报价分歧较大，需人工核对；同分多价：最高分候选存在不同历史价格</t>
        </is>
      </c>
      <c r="W58" s="20" t="inlineStr">
        <is>
          <t>高中理化生报价.xlsx｜凯迪｜第1803行</t>
        </is>
      </c>
    </row>
    <row r="59" ht="15.6" customHeight="1" s="16">
      <c r="A59" s="1" t="n">
        <v>106</v>
      </c>
      <c r="B59" s="22" t="n"/>
      <c r="C59" s="5" t="inlineStr">
        <is>
          <t>注射器架</t>
        </is>
      </c>
      <c r="D59" s="5" t="inlineStr">
        <is>
          <t>有机玻璃，高度 25 cm，孔径 35 mm</t>
        </is>
      </c>
      <c r="E59" s="2" t="inlineStr">
        <is>
          <t>个</t>
        </is>
      </c>
      <c r="F59" s="1" t="n">
        <v>26</v>
      </c>
      <c r="G59" s="3" t="inlineStr">
        <is>
          <t>群信</t>
        </is>
      </c>
      <c r="H59" s="20" t="n">
        <v>26</v>
      </c>
      <c r="I59" s="20" t="n">
        <v>8</v>
      </c>
      <c r="J59" s="20" t="n">
        <v>208</v>
      </c>
      <c r="K59" s="20" t="inlineStr">
        <is>
          <t>个</t>
        </is>
      </c>
      <c r="L59" s="20" t="inlineStr"/>
      <c r="M59" s="20" t="inlineStr"/>
      <c r="N59" s="20" t="inlineStr"/>
      <c r="O59" s="20" t="inlineStr"/>
      <c r="P59" s="20" t="inlineStr"/>
      <c r="Q59" s="20" t="inlineStr"/>
      <c r="R59" s="20" t="inlineStr"/>
      <c r="S59" s="20" t="inlineStr"/>
      <c r="T59" s="20" t="inlineStr">
        <is>
          <t>confirmed</t>
        </is>
      </c>
      <c r="U59" s="20" t="n">
        <v>100</v>
      </c>
      <c r="V59" s="20" t="inlineStr"/>
      <c r="W59" s="20" t="inlineStr">
        <is>
          <t>赛特尔25年.xls｜初中新课标物理｜第97行</t>
        </is>
      </c>
    </row>
    <row r="60" ht="15.6" customHeight="1" s="16">
      <c r="A60" s="1" t="n">
        <v>107</v>
      </c>
      <c r="B60" s="22" t="n"/>
      <c r="C60" s="5" t="inlineStr">
        <is>
          <t>移液器架</t>
        </is>
      </c>
      <c r="D60" s="5" t="inlineStr">
        <is>
          <t>塑料或亚克力材质，可放置 5 支移液器</t>
        </is>
      </c>
      <c r="E60" s="2" t="inlineStr">
        <is>
          <t>个</t>
        </is>
      </c>
      <c r="F60" s="1" t="n">
        <v>26</v>
      </c>
      <c r="G60" s="3" t="inlineStr">
        <is>
          <t>群信</t>
        </is>
      </c>
      <c r="H60" s="20" t="n">
        <v>26</v>
      </c>
      <c r="I60" s="20" t="n">
        <v>45</v>
      </c>
      <c r="J60" s="20" t="n">
        <v>1170</v>
      </c>
      <c r="K60" s="20" t="inlineStr">
        <is>
          <t>个</t>
        </is>
      </c>
      <c r="L60" s="20" t="inlineStr">
        <is>
          <t>群信</t>
        </is>
      </c>
      <c r="M60" s="20" t="inlineStr"/>
      <c r="N60" s="20" t="inlineStr"/>
      <c r="O60" s="20" t="inlineStr">
        <is>
          <t>27027</t>
        </is>
      </c>
      <c r="P60" s="20" t="inlineStr"/>
      <c r="Q60" s="20" t="inlineStr"/>
      <c r="R60" s="20" t="inlineStr"/>
      <c r="S60" s="20" t="inlineStr"/>
      <c r="T60" s="20" t="inlineStr">
        <is>
          <t>confirmed</t>
        </is>
      </c>
      <c r="U60" s="20" t="n">
        <v>100</v>
      </c>
      <c r="V60" s="20" t="inlineStr"/>
      <c r="W60" s="20" t="inlineStr">
        <is>
          <t>高中理化生报价.xlsx｜凯迪｜第1436行</t>
        </is>
      </c>
    </row>
    <row r="61" ht="15.6" customHeight="1" s="16">
      <c r="A61" s="1" t="n">
        <v>108</v>
      </c>
      <c r="B61" s="21" t="n"/>
      <c r="C61" s="5" t="inlineStr">
        <is>
          <t>移液管架</t>
        </is>
      </c>
      <c r="D61" s="5" t="inlineStr">
        <is>
          <t>塑料或亚克力材质</t>
        </is>
      </c>
      <c r="E61" s="2" t="inlineStr">
        <is>
          <t>个</t>
        </is>
      </c>
      <c r="F61" s="1" t="n">
        <v>26</v>
      </c>
      <c r="G61" s="3" t="inlineStr">
        <is>
          <t>群信</t>
        </is>
      </c>
      <c r="H61" s="20" t="n">
        <v>26</v>
      </c>
      <c r="I61" s="20" t="n">
        <v>45</v>
      </c>
      <c r="J61" s="20" t="n">
        <v>1170</v>
      </c>
      <c r="K61" s="20" t="inlineStr">
        <is>
          <t>个</t>
        </is>
      </c>
      <c r="L61" s="20" t="inlineStr">
        <is>
          <t>群信</t>
        </is>
      </c>
      <c r="M61" s="20" t="inlineStr"/>
      <c r="N61" s="20" t="inlineStr"/>
      <c r="O61" s="20" t="inlineStr">
        <is>
          <t>27027</t>
        </is>
      </c>
      <c r="P61" s="20" t="n">
        <v>0.5</v>
      </c>
      <c r="Q61" s="20" t="inlineStr"/>
      <c r="R61" s="20" t="n">
        <v>6</v>
      </c>
      <c r="S61" s="20" t="inlineStr"/>
      <c r="T61" s="20" t="inlineStr">
        <is>
          <t>confirmed</t>
        </is>
      </c>
      <c r="U61" s="20" t="n">
        <v>75</v>
      </c>
      <c r="V61" s="20" t="inlineStr"/>
      <c r="W61" s="20" t="inlineStr">
        <is>
          <t>高中理化生报价.xlsx｜凯迪｜第1436行</t>
        </is>
      </c>
    </row>
    <row r="62" ht="15.6" customHeight="1" s="16">
      <c r="A62" s="1" t="n">
        <v>109</v>
      </c>
      <c r="B62" s="1" t="inlineStr">
        <is>
          <t>测量仪器</t>
        </is>
      </c>
      <c r="C62" s="5" t="inlineStr">
        <is>
          <t>测微尺</t>
        </is>
      </c>
      <c r="D62" s="5" t="inlineStr">
        <is>
          <t>显微镜用，台式</t>
        </is>
      </c>
      <c r="E62" s="2" t="inlineStr">
        <is>
          <t>个</t>
        </is>
      </c>
      <c r="F62" s="1" t="n">
        <v>26</v>
      </c>
      <c r="G62" s="3" t="inlineStr">
        <is>
          <t>群信</t>
        </is>
      </c>
      <c r="H62" s="20" t="n">
        <v>26</v>
      </c>
      <c r="I62" s="20" t="n">
        <v>20</v>
      </c>
      <c r="J62" s="20" t="n">
        <v>520</v>
      </c>
      <c r="K62" s="20" t="inlineStr">
        <is>
          <t>个</t>
        </is>
      </c>
      <c r="L62" s="20" t="inlineStr">
        <is>
          <t>群信</t>
        </is>
      </c>
      <c r="M62" s="20" t="inlineStr"/>
      <c r="N62" s="20" t="inlineStr"/>
      <c r="O62" s="20" t="inlineStr">
        <is>
          <t>10015</t>
        </is>
      </c>
      <c r="P62" s="20" t="inlineStr"/>
      <c r="Q62" s="20" t="inlineStr"/>
      <c r="R62" s="20" t="inlineStr"/>
      <c r="S62" s="20" t="inlineStr"/>
      <c r="T62" s="20" t="inlineStr">
        <is>
          <t>confirmed</t>
        </is>
      </c>
      <c r="U62" s="20" t="n">
        <v>100</v>
      </c>
      <c r="V62" s="20" t="inlineStr"/>
      <c r="W62" s="20" t="inlineStr">
        <is>
          <t>赛特尔25年.xls｜初中新课标生物｜第51行</t>
        </is>
      </c>
    </row>
    <row r="63" ht="15.6" customHeight="1" s="16">
      <c r="A63" s="1" t="n">
        <v>110</v>
      </c>
      <c r="B63" s="22" t="n"/>
      <c r="C63" s="5" t="inlineStr">
        <is>
          <t>直尺</t>
        </is>
      </c>
      <c r="D63" s="5" t="inlineStr">
        <is>
          <t>500 mm，有机玻璃</t>
        </is>
      </c>
      <c r="E63" s="2" t="inlineStr">
        <is>
          <t>把</t>
        </is>
      </c>
      <c r="F63" s="1" t="n">
        <v>26</v>
      </c>
      <c r="G63" s="3" t="inlineStr">
        <is>
          <t>群信</t>
        </is>
      </c>
      <c r="H63" s="20" t="n">
        <v>26</v>
      </c>
      <c r="I63" s="20" t="n">
        <v>5</v>
      </c>
      <c r="J63" s="20" t="n">
        <v>130</v>
      </c>
      <c r="K63" s="20" t="inlineStr">
        <is>
          <t>把</t>
        </is>
      </c>
      <c r="L63" s="20" t="inlineStr"/>
      <c r="M63" s="20" t="inlineStr"/>
      <c r="N63" s="20" t="inlineStr"/>
      <c r="O63" s="20" t="inlineStr"/>
      <c r="P63" s="20" t="inlineStr"/>
      <c r="Q63" s="20" t="inlineStr"/>
      <c r="R63" s="20" t="inlineStr"/>
      <c r="S63" s="20" t="inlineStr"/>
      <c r="T63" s="20" t="inlineStr">
        <is>
          <t>confirmed</t>
        </is>
      </c>
      <c r="U63" s="20" t="n">
        <v>100</v>
      </c>
      <c r="V63" s="20" t="inlineStr"/>
      <c r="W63" s="20" t="inlineStr">
        <is>
          <t>赛特尔25年.xls｜高中通用技术｜第155行</t>
        </is>
      </c>
    </row>
    <row r="64" ht="15.6" customHeight="1" s="16">
      <c r="A64" s="1" t="n">
        <v>114</v>
      </c>
      <c r="B64" s="22" t="n"/>
      <c r="C64" s="5" t="inlineStr">
        <is>
          <t>托盘天平</t>
        </is>
      </c>
      <c r="D64" s="5" t="inlineStr">
        <is>
          <t>200 g，0.2 g</t>
        </is>
      </c>
      <c r="E64" s="2" t="inlineStr">
        <is>
          <t>台</t>
        </is>
      </c>
      <c r="F64" s="1" t="n">
        <v>26</v>
      </c>
      <c r="G64" s="3" t="inlineStr">
        <is>
          <t>群信</t>
        </is>
      </c>
      <c r="H64" s="20" t="n">
        <v>26</v>
      </c>
      <c r="I64" s="20" t="n">
        <v>30</v>
      </c>
      <c r="J64" s="20" t="n">
        <v>780</v>
      </c>
      <c r="K64" s="20" t="inlineStr">
        <is>
          <t>台</t>
        </is>
      </c>
      <c r="L64" s="20" t="inlineStr">
        <is>
          <t>群信</t>
        </is>
      </c>
      <c r="M64" s="20" t="inlineStr"/>
      <c r="N64" s="20" t="inlineStr">
        <is>
          <t>11003</t>
        </is>
      </c>
      <c r="O64" s="20" t="inlineStr">
        <is>
          <t>11004</t>
        </is>
      </c>
      <c r="P64" s="20" t="n">
        <v>55</v>
      </c>
      <c r="Q64" s="20" t="inlineStr"/>
      <c r="R64" s="20" t="inlineStr"/>
      <c r="S64" s="20" t="inlineStr"/>
      <c r="T64" s="20" t="inlineStr">
        <is>
          <t>confirmed</t>
        </is>
      </c>
      <c r="U64" s="20" t="n">
        <v>100</v>
      </c>
      <c r="V64" s="20" t="inlineStr">
        <is>
          <t>价格分歧&gt;30%：历史报价分歧较大，需人工核对；同分多价：最高分候选存在不同历史价格</t>
        </is>
      </c>
      <c r="W64" s="20" t="inlineStr">
        <is>
          <t>赛特尔25年.xls｜初中新课标生物｜第54行</t>
        </is>
      </c>
    </row>
    <row r="65" ht="15.6" customHeight="1" s="16">
      <c r="A65" s="1" t="n">
        <v>115</v>
      </c>
      <c r="B65" s="22" t="n"/>
      <c r="C65" s="5" t="inlineStr">
        <is>
          <t>电子天平</t>
        </is>
      </c>
      <c r="D65" s="5" t="inlineStr">
        <is>
          <t>200 g，0.1 g</t>
        </is>
      </c>
      <c r="E65" s="21" t="n"/>
      <c r="F65" s="1" t="n">
        <v>26</v>
      </c>
      <c r="G65" s="3" t="inlineStr">
        <is>
          <t>华驰</t>
        </is>
      </c>
      <c r="H65" s="20" t="n">
        <v>26</v>
      </c>
      <c r="I65" s="20" t="n">
        <v>185</v>
      </c>
      <c r="J65" s="20" t="n">
        <v>4810</v>
      </c>
      <c r="K65" s="20" t="inlineStr">
        <is>
          <t>台</t>
        </is>
      </c>
      <c r="L65" s="20" t="inlineStr">
        <is>
          <t>华驰</t>
        </is>
      </c>
      <c r="M65" s="20" t="inlineStr"/>
      <c r="N65" s="20" t="inlineStr">
        <is>
          <t>11010</t>
        </is>
      </c>
      <c r="O65" s="20" t="inlineStr">
        <is>
          <t>11010</t>
        </is>
      </c>
      <c r="P65" s="20" t="n">
        <v>220</v>
      </c>
      <c r="Q65" s="20" t="inlineStr"/>
      <c r="R65" s="20" t="n">
        <v>280</v>
      </c>
      <c r="S65" s="20" t="inlineStr"/>
      <c r="T65" s="20" t="inlineStr">
        <is>
          <t>confirmed</t>
        </is>
      </c>
      <c r="U65" s="20" t="n">
        <v>100</v>
      </c>
      <c r="V65" s="20" t="inlineStr">
        <is>
          <t>价格分歧&gt;30%：历史报价分歧较大，需人工核对；同分多价：最高分候选存在不同历史价格</t>
        </is>
      </c>
      <c r="W65" s="20" t="inlineStr">
        <is>
          <t>赛特尔25年.xls｜初中新课标生物｜第55行</t>
        </is>
      </c>
    </row>
    <row r="66" ht="15.6" customHeight="1" s="16">
      <c r="A66" s="1" t="n">
        <v>116</v>
      </c>
      <c r="B66" s="22" t="n"/>
      <c r="C66" s="5" t="inlineStr">
        <is>
          <t>电子天平</t>
        </is>
      </c>
      <c r="D66" s="5" t="inlineStr">
        <is>
          <t>100 g，0.001 g</t>
        </is>
      </c>
      <c r="E66" s="2" t="inlineStr">
        <is>
          <t>台</t>
        </is>
      </c>
      <c r="F66" s="1" t="n">
        <v>1</v>
      </c>
      <c r="G66" s="3" t="inlineStr">
        <is>
          <t>华驰</t>
        </is>
      </c>
      <c r="H66" s="20" t="n">
        <v>1</v>
      </c>
      <c r="I66" s="20" t="n">
        <v>185</v>
      </c>
      <c r="J66" s="20" t="n">
        <v>185</v>
      </c>
      <c r="K66" s="20" t="inlineStr">
        <is>
          <t>台</t>
        </is>
      </c>
      <c r="L66" s="20" t="inlineStr">
        <is>
          <t>华驰</t>
        </is>
      </c>
      <c r="M66" s="20" t="inlineStr"/>
      <c r="N66" s="20" t="inlineStr">
        <is>
          <t>11010</t>
        </is>
      </c>
      <c r="O66" s="20" t="inlineStr">
        <is>
          <t>11010</t>
        </is>
      </c>
      <c r="P66" s="20" t="n">
        <v>220</v>
      </c>
      <c r="Q66" s="20" t="inlineStr"/>
      <c r="R66" s="20" t="n">
        <v>280</v>
      </c>
      <c r="S66" s="20" t="inlineStr"/>
      <c r="T66" s="20" t="inlineStr">
        <is>
          <t>confirmed</t>
        </is>
      </c>
      <c r="U66" s="20" t="n">
        <v>100</v>
      </c>
      <c r="V66" s="20" t="inlineStr">
        <is>
          <t>价格分歧&gt;30%：历史报价分歧较大，需人工核对；同分多价：最高分候选存在不同历史价格</t>
        </is>
      </c>
      <c r="W66" s="20" t="inlineStr">
        <is>
          <t>赛特尔25年.xls｜初中新课标生物｜第55行</t>
        </is>
      </c>
    </row>
    <row r="67" ht="31.2" customHeight="1" s="16">
      <c r="A67" s="1" t="n">
        <v>117</v>
      </c>
      <c r="B67" s="22" t="n"/>
      <c r="C67" s="2" t="inlineStr">
        <is>
          <t>电子秒表</t>
        </is>
      </c>
      <c r="D67" s="5" t="inlineStr">
        <is>
          <t>专用型，全时段分辨力 0.01 s；有防震、防水功能，电池更换周期≥1.5 年</t>
        </is>
      </c>
      <c r="E67" s="2" t="inlineStr">
        <is>
          <t>个</t>
        </is>
      </c>
      <c r="F67" s="1" t="n">
        <v>26</v>
      </c>
      <c r="G67" s="3" t="inlineStr">
        <is>
          <t>群信</t>
        </is>
      </c>
      <c r="H67" s="20" t="n">
        <v>26</v>
      </c>
      <c r="I67" s="20" t="n">
        <v>14</v>
      </c>
      <c r="J67" s="20" t="n">
        <v>364</v>
      </c>
      <c r="K67" s="20" t="inlineStr">
        <is>
          <t>个</t>
        </is>
      </c>
      <c r="L67" s="20" t="inlineStr"/>
      <c r="M67" s="20" t="inlineStr"/>
      <c r="N67" s="20" t="inlineStr"/>
      <c r="O67" s="20" t="inlineStr">
        <is>
          <t>专用型，全时段分辨力 0.01 s；有防震、防水功能，电池更换周期≥1.5 年</t>
        </is>
      </c>
      <c r="P67" s="20" t="inlineStr"/>
      <c r="Q67" s="20" t="inlineStr"/>
      <c r="R67" s="20" t="inlineStr"/>
      <c r="S67" s="20" t="inlineStr"/>
      <c r="T67" s="20" t="inlineStr">
        <is>
          <t>confirmed</t>
        </is>
      </c>
      <c r="U67" s="20" t="n">
        <v>100</v>
      </c>
      <c r="V67" s="20" t="inlineStr"/>
      <c r="W67" s="20" t="inlineStr">
        <is>
          <t>赛特尔25年.xls｜初中新课标生物｜第58行</t>
        </is>
      </c>
    </row>
    <row r="68" ht="15.6" customHeight="1" s="16">
      <c r="A68" s="1" t="n">
        <v>118</v>
      </c>
      <c r="B68" s="22" t="n"/>
      <c r="C68" s="2" t="inlineStr">
        <is>
          <t>红液温度计</t>
        </is>
      </c>
      <c r="D68" s="5" t="inlineStr">
        <is>
          <t>0 ℃～100 ℃，分度值 1 ℃，示值误差＜1.5 ℃</t>
        </is>
      </c>
      <c r="E68" s="2" t="inlineStr">
        <is>
          <t>支</t>
        </is>
      </c>
      <c r="F68" s="1" t="n">
        <v>52</v>
      </c>
      <c r="G68" s="3" t="inlineStr">
        <is>
          <t>群信</t>
        </is>
      </c>
      <c r="H68" s="20" t="n">
        <v>52</v>
      </c>
      <c r="I68" s="20" t="n">
        <v>2</v>
      </c>
      <c r="J68" s="20" t="n">
        <v>104</v>
      </c>
      <c r="K68" s="20" t="inlineStr">
        <is>
          <t>支</t>
        </is>
      </c>
      <c r="L68" s="20" t="inlineStr"/>
      <c r="M68" s="20" t="inlineStr"/>
      <c r="N68" s="20" t="inlineStr"/>
      <c r="O68" s="20" t="inlineStr"/>
      <c r="P68" s="20" t="n">
        <v>3</v>
      </c>
      <c r="Q68" s="20" t="inlineStr"/>
      <c r="R68" s="20" t="n">
        <v>180</v>
      </c>
      <c r="S68" s="20" t="inlineStr"/>
      <c r="T68" s="20" t="inlineStr">
        <is>
          <t>confirmed</t>
        </is>
      </c>
      <c r="U68" s="20" t="n">
        <v>100</v>
      </c>
      <c r="V68" s="20" t="inlineStr">
        <is>
          <t>价格分歧&gt;30%：历史报价分歧较大，需人工核对；同分多价：最高分候选存在不同历史价格</t>
        </is>
      </c>
      <c r="W68" s="20" t="inlineStr">
        <is>
          <t>赛特尔25年.xls｜初中新课标生物｜第59行</t>
        </is>
      </c>
    </row>
    <row r="69" ht="15.6" customHeight="1" s="16">
      <c r="A69" s="1" t="n">
        <v>120</v>
      </c>
      <c r="B69" s="21" t="n"/>
      <c r="C69" s="5" t="inlineStr">
        <is>
          <t>干湿球温度计</t>
        </is>
      </c>
      <c r="D69" s="5" t="inlineStr">
        <is>
          <t>-10 ℃～50 ℃，分度值 0.5 ℃；测量湿度0～100%</t>
        </is>
      </c>
      <c r="E69" s="2" t="inlineStr">
        <is>
          <t>个</t>
        </is>
      </c>
      <c r="F69" s="1" t="n">
        <v>26</v>
      </c>
      <c r="G69" s="3" t="inlineStr">
        <is>
          <t>群信</t>
        </is>
      </c>
      <c r="H69" s="20" t="n">
        <v>26</v>
      </c>
      <c r="I69" s="20" t="n">
        <v>7</v>
      </c>
      <c r="J69" s="20" t="n">
        <v>182</v>
      </c>
      <c r="K69" s="20" t="inlineStr">
        <is>
          <t>个</t>
        </is>
      </c>
      <c r="L69" s="20" t="inlineStr"/>
      <c r="M69" s="20" t="inlineStr"/>
      <c r="N69" s="20" t="inlineStr"/>
      <c r="O69" s="20" t="inlineStr"/>
      <c r="P69" s="20" t="n">
        <v>12</v>
      </c>
      <c r="Q69" s="20" t="inlineStr"/>
      <c r="R69" s="20" t="n">
        <v>13.2</v>
      </c>
      <c r="S69" s="20" t="inlineStr"/>
      <c r="T69" s="20" t="inlineStr">
        <is>
          <t>confirmed</t>
        </is>
      </c>
      <c r="U69" s="20" t="n">
        <v>66.7</v>
      </c>
      <c r="V69" s="20" t="inlineStr">
        <is>
          <t>价格分歧&gt;30%：历史报价分歧较大，需人工核对；同分多价：最高分候选存在不同历史价格</t>
        </is>
      </c>
      <c r="W69" s="20" t="inlineStr">
        <is>
          <t>赛特尔25年.xls｜初中新课标生物｜第61行</t>
        </is>
      </c>
    </row>
    <row r="70" ht="15.6" customHeight="1" s="16">
      <c r="A70" s="1" t="n">
        <v>121</v>
      </c>
      <c r="B70" s="1" t="inlineStr">
        <is>
          <t>测量仪器</t>
        </is>
      </c>
      <c r="C70" s="2" t="inlineStr">
        <is>
          <t>计数器</t>
        </is>
      </c>
      <c r="D70" s="2" t="inlineStr">
        <is>
          <t>手持式</t>
        </is>
      </c>
      <c r="E70" s="2" t="inlineStr">
        <is>
          <t>个</t>
        </is>
      </c>
      <c r="F70" s="1" t="n">
        <v>26</v>
      </c>
      <c r="G70" s="3" t="inlineStr">
        <is>
          <t>群信</t>
        </is>
      </c>
      <c r="H70" s="20" t="n">
        <v>26</v>
      </c>
      <c r="I70" s="20" t="n">
        <v>12</v>
      </c>
      <c r="J70" s="20" t="n">
        <v>312</v>
      </c>
      <c r="K70" s="20" t="inlineStr">
        <is>
          <t>个</t>
        </is>
      </c>
      <c r="L70" s="20" t="inlineStr"/>
      <c r="M70" s="20" t="inlineStr"/>
      <c r="N70" s="20" t="inlineStr"/>
      <c r="O70" s="20" t="inlineStr"/>
      <c r="P70" s="20" t="n">
        <v>12</v>
      </c>
      <c r="Q70" s="20" t="inlineStr"/>
      <c r="R70" s="20" t="n">
        <v>13.2</v>
      </c>
      <c r="S70" s="20" t="inlineStr"/>
      <c r="T70" s="20" t="inlineStr">
        <is>
          <t>confirmed</t>
        </is>
      </c>
      <c r="U70" s="20" t="n">
        <v>100</v>
      </c>
      <c r="V70" s="20" t="inlineStr"/>
      <c r="W70" s="20" t="inlineStr">
        <is>
          <t>赛特尔25年.xls｜初中新课标生物｜第62行</t>
        </is>
      </c>
    </row>
    <row r="71" ht="15.6" customHeight="1" s="16">
      <c r="A71" s="1" t="n">
        <v>122</v>
      </c>
      <c r="B71" s="21" t="n"/>
      <c r="C71" s="5" t="inlineStr">
        <is>
          <t>血球计数板</t>
        </is>
      </c>
      <c r="D71" s="5" t="inlineStr">
        <is>
          <t>H 型凹槽，两个计数池，计数池深度 0.1 mm</t>
        </is>
      </c>
      <c r="E71" s="2" t="inlineStr">
        <is>
          <t>片</t>
        </is>
      </c>
      <c r="F71" s="1" t="n">
        <v>26</v>
      </c>
      <c r="G71" s="3" t="inlineStr">
        <is>
          <t>群信</t>
        </is>
      </c>
      <c r="H71" s="20" t="n">
        <v>26</v>
      </c>
      <c r="I71" s="20" t="n">
        <v>20</v>
      </c>
      <c r="J71" s="20" t="n">
        <v>520</v>
      </c>
      <c r="K71" s="20" t="inlineStr">
        <is>
          <t>片</t>
        </is>
      </c>
      <c r="L71" s="20" t="inlineStr">
        <is>
          <t>群信</t>
        </is>
      </c>
      <c r="M71" s="20" t="inlineStr"/>
      <c r="N71" s="20" t="inlineStr"/>
      <c r="O71" s="20" t="inlineStr">
        <is>
          <t>16017</t>
        </is>
      </c>
      <c r="P71" s="20" t="inlineStr"/>
      <c r="Q71" s="20" t="inlineStr"/>
      <c r="R71" s="20" t="inlineStr"/>
      <c r="S71" s="20" t="inlineStr"/>
      <c r="T71" s="20" t="inlineStr">
        <is>
          <t>confirmed</t>
        </is>
      </c>
      <c r="U71" s="20" t="n">
        <v>100</v>
      </c>
      <c r="V71" s="20" t="inlineStr"/>
      <c r="W71" s="20" t="inlineStr">
        <is>
          <t>高中理化生报价.xlsx｜凯迪｜第1410行</t>
        </is>
      </c>
    </row>
    <row r="72" ht="46.8" customHeight="1" s="16">
      <c r="A72" s="1" t="n">
        <v>182</v>
      </c>
      <c r="B72" s="1" t="inlineStr">
        <is>
          <t>其他配套器材</t>
        </is>
      </c>
      <c r="C72" s="2" t="inlineStr">
        <is>
          <t>酒精喷灯</t>
        </is>
      </c>
      <c r="D72" s="5" t="inlineStr">
        <is>
          <t>坐式，铜制，壶体容积不小于 300 mL，火焰高度为 150 mm～180 mm，火焰温度为 960 ℃±60 ℃，燃烧消耗量为 2.55 mL/min±0.15mL/min</t>
        </is>
      </c>
      <c r="E72" s="2" t="inlineStr">
        <is>
          <t>个</t>
        </is>
      </c>
      <c r="F72" s="1" t="n">
        <v>2</v>
      </c>
      <c r="G72" s="3" t="inlineStr">
        <is>
          <t>华奇</t>
        </is>
      </c>
      <c r="H72" s="20" t="n">
        <v>2</v>
      </c>
      <c r="I72" s="20" t="n">
        <v>4</v>
      </c>
      <c r="J72" s="20" t="n">
        <v>8</v>
      </c>
      <c r="K72" s="20" t="inlineStr">
        <is>
          <t>个</t>
        </is>
      </c>
      <c r="L72" s="20" t="inlineStr"/>
      <c r="M72" s="20" t="inlineStr"/>
      <c r="N72" s="20" t="inlineStr"/>
      <c r="O72" s="20" t="inlineStr"/>
      <c r="P72" s="20" t="n">
        <v>14</v>
      </c>
      <c r="Q72" s="20" t="inlineStr"/>
      <c r="R72" s="20" t="n">
        <v>48</v>
      </c>
      <c r="S72" s="20" t="inlineStr"/>
      <c r="T72" s="20" t="inlineStr">
        <is>
          <t>confirmed</t>
        </is>
      </c>
      <c r="U72" s="20" t="n">
        <v>100</v>
      </c>
      <c r="V72" s="20" t="inlineStr">
        <is>
          <t>价格分歧&gt;30%：历史报价分歧较大，需人工核对；同分多价：最高分候选存在不同历史价格</t>
        </is>
      </c>
      <c r="W72" s="20" t="inlineStr">
        <is>
          <t>高中理化生报价.xlsx｜凯迪｜第1009行</t>
        </is>
      </c>
    </row>
    <row r="73" ht="15.6" customHeight="1" s="16">
      <c r="A73" s="1" t="n">
        <v>183</v>
      </c>
      <c r="B73" s="22" t="n"/>
      <c r="C73" s="2" t="inlineStr">
        <is>
          <t>离心管</t>
        </is>
      </c>
      <c r="D73" s="2" t="inlineStr">
        <is>
          <t>0.5 mL，塑料</t>
        </is>
      </c>
      <c r="E73" s="2" t="inlineStr">
        <is>
          <t>支</t>
        </is>
      </c>
      <c r="F73" s="1" t="n">
        <v>15</v>
      </c>
      <c r="G73" s="3" t="inlineStr">
        <is>
          <t>群信</t>
        </is>
      </c>
      <c r="H73" s="20" t="n">
        <v>15</v>
      </c>
      <c r="I73" s="20" t="n">
        <v>1.25</v>
      </c>
      <c r="J73" s="20" t="n">
        <v>18.75</v>
      </c>
      <c r="K73" s="20" t="inlineStr">
        <is>
          <t>支</t>
        </is>
      </c>
      <c r="L73" s="20" t="inlineStr"/>
      <c r="M73" s="20" t="inlineStr"/>
      <c r="N73" s="20" t="inlineStr"/>
      <c r="O73" s="20" t="inlineStr"/>
      <c r="P73" s="20" t="n">
        <v>1.5</v>
      </c>
      <c r="Q73" s="20" t="inlineStr"/>
      <c r="R73" s="20" t="n">
        <v>1.5</v>
      </c>
      <c r="S73" s="20" t="inlineStr"/>
      <c r="T73" s="20" t="inlineStr">
        <is>
          <t>confirmed</t>
        </is>
      </c>
      <c r="U73" s="20" t="n">
        <v>100</v>
      </c>
      <c r="V73" s="20" t="inlineStr">
        <is>
          <t>同分多价：最高分候选存在不同历史价格</t>
        </is>
      </c>
      <c r="W73" s="20" t="inlineStr">
        <is>
          <t>赛特尔25年.xls｜初中生物｜第228行</t>
        </is>
      </c>
    </row>
    <row r="74" ht="15.6" customHeight="1" s="16">
      <c r="A74" s="1" t="n">
        <v>184</v>
      </c>
      <c r="B74" s="22" t="n"/>
      <c r="C74" s="22" t="n"/>
      <c r="D74" s="2" t="inlineStr">
        <is>
          <t>1.5 mL，塑料</t>
        </is>
      </c>
      <c r="E74" s="2" t="inlineStr">
        <is>
          <t>支</t>
        </is>
      </c>
      <c r="F74" s="1" t="n">
        <v>15</v>
      </c>
      <c r="G74" s="3" t="inlineStr">
        <is>
          <t>群信</t>
        </is>
      </c>
      <c r="H74" s="20" t="n">
        <v>15</v>
      </c>
      <c r="I74" s="20" t="n">
        <v>1.25</v>
      </c>
      <c r="J74" s="20" t="n">
        <v>18.75</v>
      </c>
      <c r="K74" s="20" t="inlineStr">
        <is>
          <t>支</t>
        </is>
      </c>
      <c r="L74" s="20" t="inlineStr"/>
      <c r="M74" s="20" t="inlineStr"/>
      <c r="N74" s="20" t="inlineStr"/>
      <c r="O74" s="20" t="inlineStr"/>
      <c r="P74" s="20" t="n">
        <v>1.5</v>
      </c>
      <c r="Q74" s="20" t="inlineStr"/>
      <c r="R74" s="20" t="n">
        <v>1.5</v>
      </c>
      <c r="S74" s="20" t="inlineStr"/>
      <c r="T74" s="20" t="inlineStr">
        <is>
          <t>confirmed</t>
        </is>
      </c>
      <c r="U74" s="20" t="n">
        <v>100</v>
      </c>
      <c r="V74" s="20" t="inlineStr">
        <is>
          <t>同分多价：最高分候选存在不同历史价格</t>
        </is>
      </c>
      <c r="W74" s="20" t="inlineStr">
        <is>
          <t>赛特尔25年.xls｜初中生物｜第228行</t>
        </is>
      </c>
    </row>
    <row r="75" ht="15.6" customHeight="1" s="16">
      <c r="A75" s="1" t="n">
        <v>185</v>
      </c>
      <c r="B75" s="22" t="n"/>
      <c r="C75" s="21" t="n"/>
      <c r="D75" s="2" t="inlineStr">
        <is>
          <t>10 mL，塑料</t>
        </is>
      </c>
      <c r="E75" s="2" t="inlineStr">
        <is>
          <t>支</t>
        </is>
      </c>
      <c r="F75" s="1" t="n">
        <v>15</v>
      </c>
      <c r="G75" s="3" t="inlineStr">
        <is>
          <t>群信</t>
        </is>
      </c>
      <c r="H75" s="20" t="n">
        <v>15</v>
      </c>
      <c r="I75" s="20" t="n">
        <v>1.25</v>
      </c>
      <c r="J75" s="20" t="n">
        <v>18.75</v>
      </c>
      <c r="K75" s="20" t="inlineStr">
        <is>
          <t>支</t>
        </is>
      </c>
      <c r="L75" s="20" t="inlineStr"/>
      <c r="M75" s="20" t="inlineStr"/>
      <c r="N75" s="20" t="inlineStr"/>
      <c r="O75" s="20" t="inlineStr"/>
      <c r="P75" s="20" t="n">
        <v>1.5</v>
      </c>
      <c r="Q75" s="20" t="inlineStr"/>
      <c r="R75" s="20" t="n">
        <v>1.5</v>
      </c>
      <c r="S75" s="20" t="inlineStr"/>
      <c r="T75" s="20" t="inlineStr">
        <is>
          <t>confirmed</t>
        </is>
      </c>
      <c r="U75" s="20" t="n">
        <v>100</v>
      </c>
      <c r="V75" s="20" t="inlineStr">
        <is>
          <t>同分多价：最高分候选存在不同历史价格</t>
        </is>
      </c>
      <c r="W75" s="20" t="inlineStr">
        <is>
          <t>赛特尔25年.xls｜初中生物｜第228行</t>
        </is>
      </c>
    </row>
    <row r="76" ht="15.6" customHeight="1" s="16">
      <c r="A76" s="1" t="n">
        <v>186</v>
      </c>
      <c r="B76" s="21" t="n"/>
      <c r="C76" s="5" t="inlineStr">
        <is>
          <t>玻璃管</t>
        </is>
      </c>
      <c r="D76" s="5" t="inlineStr">
        <is>
          <t>Φ5 mm～Φ6 mm，中性料，管口应打磨或烧结</t>
        </is>
      </c>
      <c r="E76" s="2" t="inlineStr">
        <is>
          <t>kg</t>
        </is>
      </c>
      <c r="F76" s="1" t="n">
        <v>1</v>
      </c>
      <c r="G76" s="3" t="inlineStr">
        <is>
          <t>群信</t>
        </is>
      </c>
      <c r="H76" s="20" t="n">
        <v>1</v>
      </c>
      <c r="I76" s="20" t="n">
        <v>2</v>
      </c>
      <c r="J76" s="20" t="n">
        <v>2</v>
      </c>
      <c r="K76" s="20" t="inlineStr">
        <is>
          <t>kg</t>
        </is>
      </c>
      <c r="L76" s="20" t="inlineStr"/>
      <c r="M76" s="20" t="inlineStr"/>
      <c r="N76" s="20" t="inlineStr"/>
      <c r="O76" s="20" t="inlineStr"/>
      <c r="P76" s="20" t="inlineStr"/>
      <c r="Q76" s="20" t="inlineStr"/>
      <c r="R76" s="20" t="inlineStr"/>
      <c r="S76" s="20" t="inlineStr"/>
      <c r="T76" s="20" t="inlineStr">
        <is>
          <t>confirmed</t>
        </is>
      </c>
      <c r="U76" s="20" t="n">
        <v>0</v>
      </c>
      <c r="V76" s="20" t="inlineStr">
        <is>
          <t>没有找到可靠候选</t>
        </is>
      </c>
      <c r="W76" s="20" t="inlineStr">
        <is>
          <t>赛特尔25年.xls｜初中化学｜第94行</t>
        </is>
      </c>
    </row>
    <row r="77" ht="46.8" customHeight="1" s="16">
      <c r="A77" s="1" t="n">
        <v>187</v>
      </c>
      <c r="B77" s="1" t="inlineStr">
        <is>
          <t>其他配套器材</t>
        </is>
      </c>
      <c r="C77" s="2" t="inlineStr">
        <is>
          <t>玻璃弯管</t>
        </is>
      </c>
      <c r="D77" s="5" t="inlineStr">
        <is>
          <t>Φ7 mm～Φ8 mm，一端长度为 6 cm～7 cm，一端长度约 20 cm，形状为直角和钝角两种，管口应打磨或烧结，避免划伤事故</t>
        </is>
      </c>
      <c r="E77" s="2" t="inlineStr">
        <is>
          <t>kg</t>
        </is>
      </c>
      <c r="F77" s="1" t="n">
        <v>0.5</v>
      </c>
      <c r="G77" s="3" t="inlineStr">
        <is>
          <t>群信</t>
        </is>
      </c>
      <c r="H77" s="20" t="n">
        <v>0.5</v>
      </c>
      <c r="I77" s="20" t="n">
        <v>18</v>
      </c>
      <c r="J77" s="20" t="n">
        <v>9</v>
      </c>
      <c r="K77" s="20" t="inlineStr">
        <is>
          <t>kg</t>
        </is>
      </c>
      <c r="L77" s="20" t="inlineStr"/>
      <c r="M77" s="20" t="inlineStr"/>
      <c r="N77" s="20" t="inlineStr"/>
      <c r="O77" s="20" t="inlineStr"/>
      <c r="P77" s="20" t="inlineStr"/>
      <c r="Q77" s="20" t="inlineStr"/>
      <c r="R77" s="20" t="inlineStr"/>
      <c r="S77" s="20" t="inlineStr"/>
      <c r="T77" s="20" t="inlineStr">
        <is>
          <t>confirmed</t>
        </is>
      </c>
      <c r="U77" s="20" t="n">
        <v>0</v>
      </c>
      <c r="V77" s="20" t="inlineStr">
        <is>
          <t>没有找到可靠候选</t>
        </is>
      </c>
      <c r="W77" s="20" t="inlineStr">
        <is>
          <t>赛特尔25年.xls｜初中生物｜第230行</t>
        </is>
      </c>
    </row>
    <row r="78" ht="15.6" customHeight="1" s="16">
      <c r="A78" s="1" t="n">
        <v>188</v>
      </c>
      <c r="B78" s="22" t="n"/>
      <c r="C78" s="2" t="inlineStr">
        <is>
          <t>玻璃棒</t>
        </is>
      </c>
      <c r="D78" s="2" t="inlineStr">
        <is>
          <t>Φ3 mm～Φ4 mm，粗细均匀</t>
        </is>
      </c>
      <c r="E78" s="2" t="inlineStr">
        <is>
          <t>kg</t>
        </is>
      </c>
      <c r="F78" s="1" t="n">
        <v>1</v>
      </c>
      <c r="G78" s="3" t="inlineStr">
        <is>
          <t>群信</t>
        </is>
      </c>
      <c r="H78" s="20" t="n">
        <v>1</v>
      </c>
      <c r="I78" s="20" t="n">
        <v>12</v>
      </c>
      <c r="J78" s="20" t="n">
        <v>12</v>
      </c>
      <c r="K78" s="20" t="inlineStr">
        <is>
          <t>kg</t>
        </is>
      </c>
      <c r="L78" s="20" t="inlineStr"/>
      <c r="M78" s="20" t="inlineStr"/>
      <c r="N78" s="20" t="inlineStr"/>
      <c r="O78" s="20" t="inlineStr"/>
      <c r="P78" s="20" t="inlineStr"/>
      <c r="Q78" s="20" t="inlineStr"/>
      <c r="R78" s="20" t="inlineStr"/>
      <c r="S78" s="20" t="inlineStr"/>
      <c r="T78" s="20" t="inlineStr">
        <is>
          <t>confirmed</t>
        </is>
      </c>
      <c r="U78" s="20" t="n">
        <v>0</v>
      </c>
      <c r="V78" s="20" t="inlineStr">
        <is>
          <t>没有找到可靠候选</t>
        </is>
      </c>
      <c r="W78" s="20" t="inlineStr">
        <is>
          <t>高中理化生报价.xlsx｜凯迪｜第1834行</t>
        </is>
      </c>
    </row>
    <row r="79" ht="62.4" customHeight="1" s="16">
      <c r="A79" s="1" t="n">
        <v>189</v>
      </c>
      <c r="B79" s="22" t="n"/>
      <c r="C79" s="2" t="inlineStr">
        <is>
          <t>试管夹</t>
        </is>
      </c>
      <c r="D79" s="5" t="inlineStr">
        <is>
          <t>木制或竹制，长度≥200 mm，宽度 20 mm，厚度 20 mm；试管夹闭口缝≤1 mm，开口距≥25 mm；毡块黏结牢固，试管夹弹簧作防锈处理，试管夹持部位圆弧内径不大于 15mm</t>
        </is>
      </c>
      <c r="E79" s="2" t="inlineStr">
        <is>
          <t>把</t>
        </is>
      </c>
      <c r="F79" s="1" t="n">
        <v>18</v>
      </c>
      <c r="G79" s="3" t="inlineStr">
        <is>
          <t>群信</t>
        </is>
      </c>
      <c r="H79" s="20" t="n">
        <v>18</v>
      </c>
      <c r="I79" s="20" t="n">
        <v>1.1</v>
      </c>
      <c r="J79" s="20" t="n">
        <v>19.8</v>
      </c>
      <c r="K79" s="20" t="inlineStr">
        <is>
          <t>把</t>
        </is>
      </c>
      <c r="L79" s="20" t="inlineStr"/>
      <c r="M79" s="20" t="inlineStr"/>
      <c r="N79" s="20" t="inlineStr"/>
      <c r="O79" s="20" t="inlineStr"/>
      <c r="P79" s="20" t="n">
        <v>1.1</v>
      </c>
      <c r="Q79" s="20" t="inlineStr"/>
      <c r="R79" s="20" t="n">
        <v>1.21</v>
      </c>
      <c r="S79" s="20" t="inlineStr"/>
      <c r="T79" s="20" t="inlineStr">
        <is>
          <t>confirmed</t>
        </is>
      </c>
      <c r="U79" s="20" t="n">
        <v>100</v>
      </c>
      <c r="V79" s="20" t="inlineStr"/>
      <c r="W79" s="20" t="inlineStr">
        <is>
          <t>赛特尔25年.xls｜初中新课标生物｜第128行</t>
        </is>
      </c>
    </row>
    <row r="80" ht="31.2" customHeight="1" s="16">
      <c r="A80" s="1" t="n">
        <v>190</v>
      </c>
      <c r="B80" s="22" t="n"/>
      <c r="C80" s="5" t="inlineStr">
        <is>
          <t>水止皮管夹</t>
        </is>
      </c>
      <c r="D80" s="5" t="inlineStr">
        <is>
          <t>Φ3 mm 钢丝制成，作防锈处理，夹持角度不小于 60º，弹性好，不漏液</t>
        </is>
      </c>
      <c r="E80" s="2" t="inlineStr">
        <is>
          <t>个</t>
        </is>
      </c>
      <c r="F80" s="1" t="n">
        <v>26</v>
      </c>
      <c r="G80" s="3" t="inlineStr">
        <is>
          <t>群信</t>
        </is>
      </c>
      <c r="H80" s="20" t="n">
        <v>26</v>
      </c>
      <c r="I80" s="20" t="n">
        <v>1.1</v>
      </c>
      <c r="J80" s="20" t="n">
        <v>28.6</v>
      </c>
      <c r="K80" s="20" t="inlineStr">
        <is>
          <t>个</t>
        </is>
      </c>
      <c r="L80" s="20" t="inlineStr"/>
      <c r="M80" s="20" t="inlineStr"/>
      <c r="N80" s="20" t="inlineStr"/>
      <c r="O80" s="20" t="inlineStr"/>
      <c r="P80" s="20" t="n">
        <v>1.1</v>
      </c>
      <c r="Q80" s="20" t="inlineStr"/>
      <c r="R80" s="20" t="n">
        <v>1.21</v>
      </c>
      <c r="S80" s="20" t="inlineStr"/>
      <c r="T80" s="20" t="inlineStr">
        <is>
          <t>confirmed</t>
        </is>
      </c>
      <c r="U80" s="20" t="n">
        <v>100</v>
      </c>
      <c r="V80" s="20" t="inlineStr"/>
      <c r="W80" s="20" t="inlineStr">
        <is>
          <t>赛特尔25年.xls｜初中新课标生物｜第129行</t>
        </is>
      </c>
    </row>
    <row r="81" ht="31.2" customHeight="1" s="16">
      <c r="A81" s="1" t="n">
        <v>191</v>
      </c>
      <c r="B81" s="22" t="n"/>
      <c r="C81" s="2" t="inlineStr">
        <is>
          <t>陶土网</t>
        </is>
      </c>
      <c r="D81" s="5" t="inlineStr">
        <is>
          <t>功能等同于石棉网，尺寸不小于 125 mm×125 mm，耐火材料为陶土</t>
        </is>
      </c>
      <c r="E81" s="2" t="inlineStr">
        <is>
          <t>个</t>
        </is>
      </c>
      <c r="F81" s="1" t="n">
        <v>26</v>
      </c>
      <c r="G81" s="3" t="inlineStr">
        <is>
          <t>群信</t>
        </is>
      </c>
      <c r="H81" s="20" t="n">
        <v>26</v>
      </c>
      <c r="I81" s="20" t="n">
        <v>1.4</v>
      </c>
      <c r="J81" s="20" t="n">
        <v>36.4</v>
      </c>
      <c r="K81" s="20" t="inlineStr">
        <is>
          <t>个</t>
        </is>
      </c>
      <c r="L81" s="20" t="inlineStr">
        <is>
          <t>苏创</t>
        </is>
      </c>
      <c r="M81" s="20" t="inlineStr"/>
      <c r="N81" s="20" t="inlineStr"/>
      <c r="O81" s="20" t="inlineStr">
        <is>
          <t>82014</t>
        </is>
      </c>
      <c r="P81" s="20" t="inlineStr"/>
      <c r="Q81" s="20" t="inlineStr"/>
      <c r="R81" s="20" t="inlineStr"/>
      <c r="S81" s="20" t="inlineStr"/>
      <c r="T81" s="20" t="inlineStr">
        <is>
          <t>confirmed</t>
        </is>
      </c>
      <c r="U81" s="20" t="n">
        <v>100</v>
      </c>
      <c r="V81" s="20" t="inlineStr"/>
      <c r="W81" s="20" t="inlineStr">
        <is>
          <t>赛特尔25年.xls｜初中新课标生物｜第130行</t>
        </is>
      </c>
    </row>
    <row r="82" ht="31.2" customHeight="1" s="16">
      <c r="A82" s="1" t="n">
        <v>192</v>
      </c>
      <c r="B82" s="22" t="n"/>
      <c r="C82" s="5" t="inlineStr">
        <is>
          <t>药匙</t>
        </is>
      </c>
      <c r="D82" s="5" t="inlineStr">
        <is>
          <t>中号 13.5 cm，一端带小勺，材质可选金属、牛角、塑料</t>
        </is>
      </c>
      <c r="E82" s="2" t="inlineStr">
        <is>
          <t>把</t>
        </is>
      </c>
      <c r="F82" s="1" t="n">
        <v>26</v>
      </c>
      <c r="G82" s="3" t="inlineStr">
        <is>
          <t>群信</t>
        </is>
      </c>
      <c r="H82" s="20" t="n">
        <v>26</v>
      </c>
      <c r="I82" s="20" t="n">
        <v>1</v>
      </c>
      <c r="J82" s="20" t="n">
        <v>26</v>
      </c>
      <c r="K82" s="20" t="inlineStr">
        <is>
          <t>把</t>
        </is>
      </c>
      <c r="L82" s="20" t="inlineStr"/>
      <c r="M82" s="20" t="inlineStr"/>
      <c r="N82" s="20" t="inlineStr"/>
      <c r="O82" s="20" t="inlineStr"/>
      <c r="P82" s="20" t="n">
        <v>1.1</v>
      </c>
      <c r="Q82" s="20" t="inlineStr"/>
      <c r="R82" s="20" t="inlineStr"/>
      <c r="S82" s="20" t="inlineStr"/>
      <c r="T82" s="20" t="inlineStr">
        <is>
          <t>confirmed</t>
        </is>
      </c>
      <c r="U82" s="20" t="n">
        <v>100</v>
      </c>
      <c r="V82" s="20" t="inlineStr">
        <is>
          <t>同分多价：最高分候选存在不同历史价格</t>
        </is>
      </c>
      <c r="W82" s="20" t="inlineStr">
        <is>
          <t>赛特尔25年.xls｜初中新课标生物｜第132行</t>
        </is>
      </c>
    </row>
    <row r="83" ht="15.6" customHeight="1" s="16">
      <c r="A83" s="1" t="n">
        <v>193</v>
      </c>
      <c r="B83" s="22" t="n"/>
      <c r="C83" s="2" t="inlineStr">
        <is>
          <t>橡胶塞</t>
        </is>
      </c>
      <c r="D83" s="2" t="inlineStr">
        <is>
          <t>000、00、0～10 号，白色，质地均匀</t>
        </is>
      </c>
      <c r="E83" s="2" t="inlineStr">
        <is>
          <t>kg</t>
        </is>
      </c>
      <c r="F83" s="1" t="n">
        <v>1</v>
      </c>
      <c r="G83" s="3" t="inlineStr">
        <is>
          <t>群信</t>
        </is>
      </c>
      <c r="H83" s="20" t="n">
        <v>1</v>
      </c>
      <c r="I83" s="20" t="n">
        <v>25</v>
      </c>
      <c r="J83" s="20" t="n">
        <v>25</v>
      </c>
      <c r="K83" s="20" t="inlineStr">
        <is>
          <t>kg</t>
        </is>
      </c>
      <c r="L83" s="20" t="inlineStr"/>
      <c r="M83" s="20" t="inlineStr"/>
      <c r="N83" s="20" t="inlineStr"/>
      <c r="O83" s="20" t="inlineStr">
        <is>
          <t>000、 00、0～10 号  白色，质地均匀</t>
        </is>
      </c>
      <c r="P83" s="20" t="inlineStr"/>
      <c r="Q83" s="20" t="inlineStr"/>
      <c r="R83" s="20" t="inlineStr"/>
      <c r="S83" s="20" t="inlineStr"/>
      <c r="T83" s="20" t="inlineStr">
        <is>
          <t>confirmed</t>
        </is>
      </c>
      <c r="U83" s="20" t="n">
        <v>100</v>
      </c>
      <c r="V83" s="20" t="inlineStr"/>
      <c r="W83" s="20" t="inlineStr">
        <is>
          <t>赛特尔25年.xls｜初中新课标生物｜第133行</t>
        </is>
      </c>
    </row>
    <row r="84" ht="31.2" customHeight="1" s="16">
      <c r="A84" s="1" t="n">
        <v>194</v>
      </c>
      <c r="B84" s="22" t="n"/>
      <c r="C84" s="5" t="inlineStr">
        <is>
          <t>橡胶管</t>
        </is>
      </c>
      <c r="D84" s="5" t="inlineStr">
        <is>
          <t>外径 9 mm，内径 6 mm，乳白色，具有耐油、耐酸碱、耐压等特性</t>
        </is>
      </c>
      <c r="E84" s="2" t="inlineStr">
        <is>
          <t>kg</t>
        </is>
      </c>
      <c r="F84" s="1" t="n">
        <v>1</v>
      </c>
      <c r="G84" s="3" t="inlineStr">
        <is>
          <t>群信</t>
        </is>
      </c>
      <c r="H84" s="20" t="n">
        <v>1</v>
      </c>
      <c r="I84" s="20" t="n">
        <v>28</v>
      </c>
      <c r="J84" s="20" t="n">
        <v>28</v>
      </c>
      <c r="K84" s="20" t="inlineStr">
        <is>
          <t>kg</t>
        </is>
      </c>
      <c r="L84" s="20" t="inlineStr"/>
      <c r="M84" s="20" t="inlineStr"/>
      <c r="N84" s="20" t="inlineStr"/>
      <c r="O84" s="20" t="inlineStr"/>
      <c r="P84" s="20" t="inlineStr"/>
      <c r="Q84" s="20" t="inlineStr"/>
      <c r="R84" s="20" t="inlineStr"/>
      <c r="S84" s="20" t="inlineStr"/>
      <c r="T84" s="20" t="inlineStr">
        <is>
          <t>confirmed</t>
        </is>
      </c>
      <c r="U84" s="20" t="n">
        <v>0</v>
      </c>
      <c r="V84" s="20" t="inlineStr">
        <is>
          <t>没有找到可靠候选</t>
        </is>
      </c>
      <c r="W84" s="20" t="inlineStr">
        <is>
          <t>赛特尔25年.xls｜初中生物｜第247行</t>
        </is>
      </c>
    </row>
    <row r="85" ht="31.2" customHeight="1" s="16">
      <c r="A85" s="1" t="n">
        <v>195</v>
      </c>
      <c r="B85" s="22" t="n"/>
      <c r="C85" s="2" t="inlineStr">
        <is>
          <t>试管刷</t>
        </is>
      </c>
      <c r="D85" s="5" t="inlineStr">
        <is>
          <t>Φ12 mm；手持部分顶端应为环状，顶部要有刷丝，铁丝不可外露</t>
        </is>
      </c>
      <c r="E85" s="2" t="inlineStr">
        <is>
          <t>套</t>
        </is>
      </c>
      <c r="F85" s="1" t="n">
        <v>26</v>
      </c>
      <c r="G85" s="3" t="inlineStr">
        <is>
          <t>群信</t>
        </is>
      </c>
      <c r="H85" s="20" t="n">
        <v>26</v>
      </c>
      <c r="I85" s="20" t="n">
        <v>0.5</v>
      </c>
      <c r="J85" s="20" t="n">
        <v>13</v>
      </c>
      <c r="K85" s="20" t="inlineStr">
        <is>
          <t>套</t>
        </is>
      </c>
      <c r="L85" s="20" t="inlineStr"/>
      <c r="M85" s="20" t="inlineStr"/>
      <c r="N85" s="20" t="inlineStr"/>
      <c r="O85" s="20" t="inlineStr"/>
      <c r="P85" s="20" t="inlineStr"/>
      <c r="Q85" s="20" t="inlineStr"/>
      <c r="R85" s="20" t="inlineStr"/>
      <c r="S85" s="20" t="inlineStr"/>
      <c r="T85" s="20" t="inlineStr">
        <is>
          <t>confirmed</t>
        </is>
      </c>
      <c r="U85" s="20" t="n">
        <v>0</v>
      </c>
      <c r="V85" s="20" t="inlineStr">
        <is>
          <t>没有找到可靠候选</t>
        </is>
      </c>
      <c r="W85" s="20" t="inlineStr">
        <is>
          <t>赛特尔25年.xls｜初中生物｜第218行</t>
        </is>
      </c>
    </row>
    <row r="86" ht="31.2" customHeight="1" s="16">
      <c r="A86" s="1" t="n">
        <v>196</v>
      </c>
      <c r="B86" s="22" t="n"/>
      <c r="C86" s="21" t="n"/>
      <c r="D86" s="5" t="inlineStr">
        <is>
          <t>Φ18 mm；手持部分顶端应为环状，顶部要有刷丝，铁丝不可外露</t>
        </is>
      </c>
      <c r="E86" s="2" t="inlineStr">
        <is>
          <t>套</t>
        </is>
      </c>
      <c r="F86" s="1" t="n">
        <v>26</v>
      </c>
      <c r="G86" s="3" t="inlineStr">
        <is>
          <t>群信</t>
        </is>
      </c>
      <c r="H86" s="20" t="n">
        <v>26</v>
      </c>
      <c r="I86" s="20" t="n">
        <v>0.5</v>
      </c>
      <c r="J86" s="20" t="n">
        <v>13</v>
      </c>
      <c r="K86" s="20" t="inlineStr">
        <is>
          <t>套</t>
        </is>
      </c>
      <c r="L86" s="20" t="inlineStr"/>
      <c r="M86" s="20" t="inlineStr"/>
      <c r="N86" s="20" t="inlineStr"/>
      <c r="O86" s="20" t="inlineStr"/>
      <c r="P86" s="20" t="inlineStr"/>
      <c r="Q86" s="20" t="inlineStr"/>
      <c r="R86" s="20" t="inlineStr"/>
      <c r="S86" s="20" t="inlineStr"/>
      <c r="T86" s="20" t="inlineStr">
        <is>
          <t>confirmed</t>
        </is>
      </c>
      <c r="U86" s="20" t="n">
        <v>0</v>
      </c>
      <c r="V86" s="20" t="inlineStr">
        <is>
          <t>没有找到可靠候选</t>
        </is>
      </c>
      <c r="W86" s="20" t="inlineStr">
        <is>
          <t>赛特尔25年.xls｜初中生物｜第218行</t>
        </is>
      </c>
    </row>
    <row r="87" ht="15.6" customHeight="1" s="16">
      <c r="A87" s="1" t="n">
        <v>197</v>
      </c>
      <c r="B87" s="21" t="n"/>
      <c r="C87" s="2" t="inlineStr">
        <is>
          <t>点滴板</t>
        </is>
      </c>
      <c r="D87" s="2" t="inlineStr">
        <is>
          <t>12孔穴</t>
        </is>
      </c>
      <c r="E87" s="2" t="inlineStr">
        <is>
          <t>个</t>
        </is>
      </c>
      <c r="F87" s="1" t="n">
        <v>15</v>
      </c>
      <c r="G87" s="3" t="inlineStr">
        <is>
          <t>群信</t>
        </is>
      </c>
      <c r="H87" s="20" t="n">
        <v>15</v>
      </c>
      <c r="I87" s="20" t="n">
        <v>1</v>
      </c>
      <c r="J87" s="20" t="n">
        <v>15</v>
      </c>
      <c r="K87" s="20" t="inlineStr">
        <is>
          <t>个</t>
        </is>
      </c>
      <c r="L87" s="20" t="inlineStr"/>
      <c r="M87" s="20" t="inlineStr"/>
      <c r="N87" s="20" t="inlineStr"/>
      <c r="O87" s="20" t="inlineStr"/>
      <c r="P87" s="20" t="inlineStr"/>
      <c r="Q87" s="20" t="inlineStr"/>
      <c r="R87" s="20" t="inlineStr"/>
      <c r="S87" s="20" t="inlineStr"/>
      <c r="T87" s="20" t="inlineStr">
        <is>
          <t>confirmed</t>
        </is>
      </c>
      <c r="U87" s="20" t="n">
        <v>0</v>
      </c>
      <c r="V87" s="20" t="inlineStr">
        <is>
          <t>匹配到商品档案但无历史价格记录</t>
        </is>
      </c>
      <c r="W87" s="20" t="inlineStr">
        <is>
          <t>高中理化生报价.xlsx｜凯迪｜第1520行</t>
        </is>
      </c>
    </row>
    <row r="88" ht="15.6" customHeight="1" s="16">
      <c r="A88" s="1" t="n">
        <v>200</v>
      </c>
      <c r="B88" s="1" t="n"/>
      <c r="C88" s="2" t="inlineStr">
        <is>
          <t>研钵</t>
        </is>
      </c>
      <c r="D88" s="5" t="inlineStr">
        <is>
          <t>60 mm</t>
        </is>
      </c>
      <c r="E88" s="2" t="inlineStr">
        <is>
          <t>个</t>
        </is>
      </c>
      <c r="F88" s="1" t="n">
        <v>15</v>
      </c>
      <c r="G88" s="3" t="inlineStr">
        <is>
          <t>群信</t>
        </is>
      </c>
      <c r="H88" s="20" t="n">
        <v>15</v>
      </c>
      <c r="I88" s="20" t="n">
        <v>3.75</v>
      </c>
      <c r="J88" s="20" t="n">
        <v>56.25</v>
      </c>
      <c r="K88" s="20" t="inlineStr">
        <is>
          <t>个</t>
        </is>
      </c>
      <c r="L88" s="20" t="inlineStr"/>
      <c r="M88" s="20" t="inlineStr"/>
      <c r="N88" s="20" t="inlineStr"/>
      <c r="O88" s="20" t="inlineStr"/>
      <c r="P88" s="20" t="n">
        <v>3.75</v>
      </c>
      <c r="Q88" s="20" t="inlineStr"/>
      <c r="R88" s="20" t="n">
        <v>4.12</v>
      </c>
      <c r="S88" s="20" t="inlineStr"/>
      <c r="T88" s="20" t="inlineStr">
        <is>
          <t>confirmed</t>
        </is>
      </c>
      <c r="U88" s="20" t="n">
        <v>100</v>
      </c>
      <c r="V88" s="20" t="inlineStr"/>
      <c r="W88" s="20" t="inlineStr">
        <is>
          <t>高中理化生报价.xlsx｜凯迪｜第1839行</t>
        </is>
      </c>
    </row>
    <row r="89" ht="31.2" customHeight="1" s="16">
      <c r="A89" s="1" t="n">
        <v>201</v>
      </c>
      <c r="B89" s="21" t="n"/>
      <c r="C89" s="5" t="inlineStr">
        <is>
          <t>记数载玻片（计数板）</t>
        </is>
      </c>
      <c r="D89" s="2" t="inlineStr">
        <is>
          <t>22 mm×26 mm，厚 0.5 mm</t>
        </is>
      </c>
      <c r="E89" s="2" t="inlineStr">
        <is>
          <t>片</t>
        </is>
      </c>
      <c r="F89" s="1" t="n">
        <v>26</v>
      </c>
      <c r="G89" s="3" t="inlineStr">
        <is>
          <t>群信</t>
        </is>
      </c>
      <c r="H89" s="20" t="n">
        <v>26</v>
      </c>
      <c r="I89" s="20" t="n">
        <v>20</v>
      </c>
      <c r="J89" s="20" t="n">
        <v>520</v>
      </c>
      <c r="K89" s="20" t="inlineStr">
        <is>
          <t>片</t>
        </is>
      </c>
      <c r="L89" s="20" t="inlineStr"/>
      <c r="M89" s="20" t="inlineStr"/>
      <c r="N89" s="20" t="inlineStr"/>
      <c r="O89" s="20" t="inlineStr"/>
      <c r="P89" s="20" t="n">
        <v>20</v>
      </c>
      <c r="Q89" s="20" t="inlineStr"/>
      <c r="R89" s="20" t="n">
        <v>22</v>
      </c>
      <c r="S89" s="20" t="inlineStr"/>
      <c r="T89" s="20" t="inlineStr">
        <is>
          <t>confirmed</t>
        </is>
      </c>
      <c r="U89" s="20" t="n">
        <v>100</v>
      </c>
      <c r="V89" s="20" t="inlineStr"/>
      <c r="W89" s="20" t="inlineStr">
        <is>
          <t>赛特尔25年.xls｜初中新课标生物｜第138行</t>
        </is>
      </c>
    </row>
    <row r="90" ht="15.6" customHeight="1" s="16">
      <c r="A90" s="1" t="n">
        <v>215</v>
      </c>
      <c r="B90" s="1" t="n"/>
      <c r="C90" s="5" t="inlineStr">
        <is>
          <t>毛细吸管</t>
        </is>
      </c>
      <c r="D90" s="5" t="inlineStr">
        <is>
          <t>玻璃材质，50 支/盒</t>
        </is>
      </c>
      <c r="E90" s="2" t="inlineStr">
        <is>
          <t>盒</t>
        </is>
      </c>
      <c r="F90" s="1" t="n">
        <v>9</v>
      </c>
      <c r="G90" s="3" t="inlineStr">
        <is>
          <t>群信</t>
        </is>
      </c>
      <c r="H90" s="20" t="n">
        <v>9</v>
      </c>
      <c r="I90" s="20" t="n">
        <v>60</v>
      </c>
      <c r="J90" s="20" t="n">
        <v>540</v>
      </c>
      <c r="K90" s="20" t="inlineStr">
        <is>
          <t>盒</t>
        </is>
      </c>
      <c r="L90" s="20" t="inlineStr">
        <is>
          <t>群信</t>
        </is>
      </c>
      <c r="M90" s="20" t="inlineStr"/>
      <c r="N90" s="20" t="inlineStr">
        <is>
          <t>21046</t>
        </is>
      </c>
      <c r="O90" s="20" t="inlineStr">
        <is>
          <t>21046</t>
        </is>
      </c>
      <c r="P90" s="20" t="inlineStr"/>
      <c r="Q90" s="20" t="inlineStr"/>
      <c r="R90" s="20" t="inlineStr"/>
      <c r="S90" s="20" t="inlineStr"/>
      <c r="T90" s="20" t="inlineStr">
        <is>
          <t>confirmed</t>
        </is>
      </c>
      <c r="U90" s="20" t="n">
        <v>0</v>
      </c>
      <c r="V90" s="20" t="inlineStr">
        <is>
          <t>匹配到商品档案但无历史价格记录</t>
        </is>
      </c>
      <c r="W90" s="20" t="inlineStr">
        <is>
          <t>高中理化生报价.xlsx｜凯迪｜第132行</t>
        </is>
      </c>
    </row>
    <row r="91" ht="15.6" customHeight="1" s="16">
      <c r="A91" s="1" t="n">
        <v>216</v>
      </c>
      <c r="B91" s="22" t="n"/>
      <c r="C91" s="5" t="inlineStr">
        <is>
          <t>注射器</t>
        </is>
      </c>
      <c r="D91" s="5" t="inlineStr">
        <is>
          <t>5 mL，塑料材质</t>
        </is>
      </c>
      <c r="E91" s="2" t="inlineStr">
        <is>
          <t>支</t>
        </is>
      </c>
      <c r="F91" s="1" t="n">
        <v>26</v>
      </c>
      <c r="G91" s="3" t="inlineStr">
        <is>
          <t>锋利</t>
        </is>
      </c>
      <c r="H91" s="20" t="n">
        <v>26</v>
      </c>
      <c r="I91" s="20" t="n">
        <v>1</v>
      </c>
      <c r="J91" s="20" t="n">
        <v>26</v>
      </c>
      <c r="K91" s="20" t="inlineStr">
        <is>
          <t>支</t>
        </is>
      </c>
      <c r="L91" s="20" t="inlineStr"/>
      <c r="M91" s="20" t="inlineStr"/>
      <c r="N91" s="20" t="inlineStr"/>
      <c r="O91" s="20" t="inlineStr"/>
      <c r="P91" s="20" t="inlineStr"/>
      <c r="Q91" s="20" t="inlineStr"/>
      <c r="R91" s="20" t="inlineStr"/>
      <c r="S91" s="20" t="inlineStr"/>
      <c r="T91" s="20" t="inlineStr">
        <is>
          <t>confirmed</t>
        </is>
      </c>
      <c r="U91" s="20" t="n">
        <v>0</v>
      </c>
      <c r="V91" s="20" t="inlineStr">
        <is>
          <t>没有找到可靠候选</t>
        </is>
      </c>
      <c r="W91" s="20" t="inlineStr">
        <is>
          <t>赛特尔25年.xls｜初中新课标化学｜第177行</t>
        </is>
      </c>
    </row>
    <row r="92" ht="15.6" customHeight="1" s="16">
      <c r="A92" s="1" t="n">
        <v>217</v>
      </c>
      <c r="B92" s="22" t="n"/>
      <c r="C92" s="22" t="n"/>
      <c r="D92" s="5" t="inlineStr">
        <is>
          <t>30 mL，塑料材质</t>
        </is>
      </c>
      <c r="E92" s="2" t="inlineStr">
        <is>
          <t>支</t>
        </is>
      </c>
      <c r="F92" s="1" t="n">
        <v>26</v>
      </c>
      <c r="G92" s="3" t="inlineStr">
        <is>
          <t>锋利</t>
        </is>
      </c>
      <c r="H92" s="20" t="n">
        <v>26</v>
      </c>
      <c r="I92" s="20" t="n">
        <v>1</v>
      </c>
      <c r="J92" s="20" t="n">
        <v>26</v>
      </c>
      <c r="K92" s="20" t="inlineStr">
        <is>
          <t>支</t>
        </is>
      </c>
      <c r="L92" s="20" t="inlineStr"/>
      <c r="M92" s="20" t="inlineStr"/>
      <c r="N92" s="20" t="inlineStr"/>
      <c r="O92" s="20" t="inlineStr"/>
      <c r="P92" s="20" t="inlineStr"/>
      <c r="Q92" s="20" t="inlineStr"/>
      <c r="R92" s="20" t="inlineStr"/>
      <c r="S92" s="20" t="inlineStr"/>
      <c r="T92" s="20" t="inlineStr">
        <is>
          <t>confirmed</t>
        </is>
      </c>
      <c r="U92" s="20" t="n">
        <v>0</v>
      </c>
      <c r="V92" s="20" t="inlineStr">
        <is>
          <t>没有找到可靠候选</t>
        </is>
      </c>
      <c r="W92" s="20" t="inlineStr">
        <is>
          <t>赛特尔25年.xls｜初中新课标化学｜第177行</t>
        </is>
      </c>
    </row>
    <row r="93" ht="15.6" customHeight="1" s="16">
      <c r="A93" s="1" t="n">
        <v>218</v>
      </c>
      <c r="B93" s="22" t="n"/>
      <c r="C93" s="21" t="n"/>
      <c r="D93" s="5" t="inlineStr">
        <is>
          <t>50 mL，塑料材质</t>
        </is>
      </c>
      <c r="E93" s="2" t="inlineStr">
        <is>
          <t>支</t>
        </is>
      </c>
      <c r="F93" s="1" t="n">
        <v>26</v>
      </c>
      <c r="G93" s="3" t="inlineStr">
        <is>
          <t>锋利</t>
        </is>
      </c>
      <c r="H93" s="20" t="n">
        <v>26</v>
      </c>
      <c r="I93" s="20" t="n">
        <v>1</v>
      </c>
      <c r="J93" s="20" t="n">
        <v>26</v>
      </c>
      <c r="K93" s="20" t="inlineStr">
        <is>
          <t>支</t>
        </is>
      </c>
      <c r="L93" s="20" t="inlineStr"/>
      <c r="M93" s="20" t="inlineStr"/>
      <c r="N93" s="20" t="inlineStr"/>
      <c r="O93" s="20" t="inlineStr"/>
      <c r="P93" s="20" t="inlineStr"/>
      <c r="Q93" s="20" t="inlineStr"/>
      <c r="R93" s="20" t="inlineStr"/>
      <c r="S93" s="20" t="inlineStr"/>
      <c r="T93" s="20" t="inlineStr">
        <is>
          <t>confirmed</t>
        </is>
      </c>
      <c r="U93" s="20" t="n">
        <v>0</v>
      </c>
      <c r="V93" s="20" t="inlineStr">
        <is>
          <t>没有找到可靠候选</t>
        </is>
      </c>
      <c r="W93" s="20" t="inlineStr">
        <is>
          <t>赛特尔25年.xls｜初中新课标化学｜第177行</t>
        </is>
      </c>
    </row>
    <row r="94" ht="15.6" customHeight="1" s="16">
      <c r="A94" s="1" t="n">
        <v>227</v>
      </c>
      <c r="B94" s="21" t="n"/>
      <c r="C94" s="5" t="inlineStr">
        <is>
          <t>塑料多用滴管</t>
        </is>
      </c>
      <c r="D94" s="5" t="inlineStr">
        <is>
          <t>4 mL</t>
        </is>
      </c>
      <c r="E94" s="2" t="inlineStr">
        <is>
          <t>支</t>
        </is>
      </c>
      <c r="F94" s="1" t="n">
        <v>100</v>
      </c>
      <c r="G94" s="3" t="inlineStr">
        <is>
          <t>群信</t>
        </is>
      </c>
      <c r="H94" s="20" t="n">
        <v>100</v>
      </c>
      <c r="I94" s="20" t="n">
        <v>0.4</v>
      </c>
      <c r="J94" s="20" t="n">
        <v>40</v>
      </c>
      <c r="K94" s="20" t="inlineStr">
        <is>
          <t>支</t>
        </is>
      </c>
      <c r="L94" s="20" t="inlineStr"/>
      <c r="M94" s="20" t="inlineStr"/>
      <c r="N94" s="20" t="inlineStr"/>
      <c r="O94" s="20" t="inlineStr"/>
      <c r="P94" s="20" t="n">
        <v>1</v>
      </c>
      <c r="Q94" s="20" t="inlineStr"/>
      <c r="R94" s="20" t="n">
        <v>1.4</v>
      </c>
      <c r="S94" s="20" t="inlineStr"/>
      <c r="T94" s="20" t="inlineStr">
        <is>
          <t>confirmed</t>
        </is>
      </c>
      <c r="U94" s="20" t="n">
        <v>100</v>
      </c>
      <c r="V94" s="20" t="inlineStr">
        <is>
          <t>同分多价：最高分候选存在不同历史价格</t>
        </is>
      </c>
      <c r="W94" s="20" t="inlineStr">
        <is>
          <t>赛特尔25年.xls｜初中新课标化学｜第171行</t>
        </is>
      </c>
    </row>
    <row r="95" ht="31.2" customHeight="1" s="16">
      <c r="A95" s="1" t="n">
        <v>228</v>
      </c>
      <c r="B95" s="1" t="inlineStr">
        <is>
          <t>其他配套器材</t>
        </is>
      </c>
      <c r="C95" s="2" t="inlineStr">
        <is>
          <t>定性滤纸</t>
        </is>
      </c>
      <c r="D95" s="2" t="inlineStr">
        <is>
          <t>快速，9 cm</t>
        </is>
      </c>
      <c r="E95" s="2" t="inlineStr">
        <is>
          <t>盒</t>
        </is>
      </c>
      <c r="F95" s="1" t="n">
        <v>10</v>
      </c>
      <c r="G95" s="3" t="inlineStr">
        <is>
          <t>长里百灵</t>
        </is>
      </c>
      <c r="H95" s="20" t="n">
        <v>10</v>
      </c>
      <c r="I95" s="20" t="n">
        <v>10</v>
      </c>
      <c r="J95" s="20" t="n">
        <v>100</v>
      </c>
      <c r="K95" s="20" t="inlineStr">
        <is>
          <t>盒</t>
        </is>
      </c>
      <c r="L95" s="20" t="inlineStr"/>
      <c r="M95" s="20" t="inlineStr"/>
      <c r="N95" s="20" t="inlineStr"/>
      <c r="O95" s="20" t="inlineStr"/>
      <c r="P95" s="20" t="n">
        <v>10</v>
      </c>
      <c r="Q95" s="20" t="inlineStr"/>
      <c r="R95" s="20" t="n">
        <v>11</v>
      </c>
      <c r="S95" s="20" t="inlineStr"/>
      <c r="T95" s="20" t="inlineStr">
        <is>
          <t>confirmed</t>
        </is>
      </c>
      <c r="U95" s="20" t="n">
        <v>100</v>
      </c>
      <c r="V95" s="20" t="inlineStr"/>
      <c r="W95" s="20" t="inlineStr">
        <is>
          <t>赛特尔25年.xls｜初中新课标生物｜第183行</t>
        </is>
      </c>
    </row>
    <row r="96" ht="46.8" customHeight="1" s="16">
      <c r="A96" s="1" t="n">
        <v>244</v>
      </c>
      <c r="B96" s="6" t="inlineStr">
        <is>
          <t>加工工具</t>
        </is>
      </c>
      <c r="C96" s="2" t="inlineStr">
        <is>
          <t>打孔器</t>
        </is>
      </c>
      <c r="D96" s="5" t="inlineStr">
        <is>
          <t>刀口式，材质为不锈钢管、钢管或黄铜管，每组不少于 4 支，外径分别为 9 mm、8 mm、7 mm、6 mm，并配一支带柄金属通扦</t>
        </is>
      </c>
      <c r="E96" s="2" t="inlineStr">
        <is>
          <t>套</t>
        </is>
      </c>
      <c r="F96" s="1" t="n">
        <v>2</v>
      </c>
      <c r="G96" s="3" t="inlineStr">
        <is>
          <t>群信</t>
        </is>
      </c>
      <c r="H96" s="20" t="n">
        <v>2</v>
      </c>
      <c r="I96" s="20" t="n">
        <v>6</v>
      </c>
      <c r="J96" s="20" t="n">
        <v>12</v>
      </c>
      <c r="K96" s="20" t="inlineStr">
        <is>
          <t>套</t>
        </is>
      </c>
      <c r="L96" s="20" t="inlineStr"/>
      <c r="M96" s="20" t="inlineStr"/>
      <c r="N96" s="20" t="inlineStr"/>
      <c r="O96" s="20" t="inlineStr"/>
      <c r="P96" s="20" t="n">
        <v>6</v>
      </c>
      <c r="Q96" s="20" t="inlineStr"/>
      <c r="R96" s="20" t="n">
        <v>48</v>
      </c>
      <c r="S96" s="20" t="inlineStr"/>
      <c r="T96" s="20" t="inlineStr">
        <is>
          <t>confirmed</t>
        </is>
      </c>
      <c r="U96" s="20" t="n">
        <v>100</v>
      </c>
      <c r="V96" s="20" t="inlineStr">
        <is>
          <t>价格分歧&gt;30%：历史报价分歧较大，需人工核对</t>
        </is>
      </c>
      <c r="W96" s="20" t="inlineStr">
        <is>
          <t>赛特尔25年.xls｜初中新课标生物｜第38行</t>
        </is>
      </c>
    </row>
    <row r="97" ht="15.6" customHeight="1" s="16">
      <c r="A97" s="1" t="n">
        <v>245</v>
      </c>
      <c r="B97" s="22" t="n"/>
      <c r="C97" s="5" t="inlineStr">
        <is>
          <t>打孔夹板</t>
        </is>
      </c>
      <c r="D97" s="5" t="inlineStr">
        <is>
          <t>硬木或硬塑料制</t>
        </is>
      </c>
      <c r="E97" s="2" t="inlineStr">
        <is>
          <t>个</t>
        </is>
      </c>
      <c r="F97" s="1" t="n">
        <v>1</v>
      </c>
      <c r="G97" s="3" t="inlineStr">
        <is>
          <t>群信</t>
        </is>
      </c>
      <c r="H97" s="20" t="n">
        <v>1</v>
      </c>
      <c r="I97" s="20" t="n">
        <v>6</v>
      </c>
      <c r="J97" s="20" t="n">
        <v>6</v>
      </c>
      <c r="K97" s="20" t="inlineStr">
        <is>
          <t>个</t>
        </is>
      </c>
      <c r="L97" s="20" t="inlineStr"/>
      <c r="M97" s="20" t="inlineStr"/>
      <c r="N97" s="20" t="inlineStr"/>
      <c r="O97" s="20" t="inlineStr"/>
      <c r="P97" s="20" t="inlineStr"/>
      <c r="Q97" s="20" t="inlineStr"/>
      <c r="R97" s="20" t="inlineStr"/>
      <c r="S97" s="20" t="inlineStr"/>
      <c r="T97" s="20" t="inlineStr">
        <is>
          <t>confirmed</t>
        </is>
      </c>
      <c r="U97" s="20" t="n">
        <v>100</v>
      </c>
      <c r="V97" s="20" t="inlineStr"/>
      <c r="W97" s="20" t="inlineStr">
        <is>
          <t>赛特尔25年.xls｜初中新课标生物｜第39行</t>
        </is>
      </c>
    </row>
    <row r="98" ht="62.4" customHeight="1" s="16">
      <c r="A98" s="1" t="n">
        <v>246</v>
      </c>
      <c r="B98" s="21" t="n"/>
      <c r="C98" s="2" t="inlineStr">
        <is>
          <t>打孔器刮刀</t>
        </is>
      </c>
      <c r="D98" s="5" t="inlineStr">
        <is>
          <t>刀宜用 65M 板制成，表面热处理， 55 HRC～ 60 HRC，总长为 70 mm±0.5 mm，宽 14.5 mm±0.1 mm，厚 1.8 mm±0.5 mm；刀口角度宜为 60º±5º，锋刃小于 0.1 mm</t>
        </is>
      </c>
      <c r="E98" s="2" t="inlineStr">
        <is>
          <t>个</t>
        </is>
      </c>
      <c r="F98" s="1" t="n">
        <v>1</v>
      </c>
      <c r="G98" s="3" t="inlineStr">
        <is>
          <t>群信</t>
        </is>
      </c>
      <c r="H98" s="20" t="n">
        <v>1</v>
      </c>
      <c r="I98" s="20" t="n">
        <v>12</v>
      </c>
      <c r="J98" s="20" t="n">
        <v>12</v>
      </c>
      <c r="K98" s="20" t="inlineStr">
        <is>
          <t>个</t>
        </is>
      </c>
      <c r="L98" s="20" t="inlineStr"/>
      <c r="M98" s="20" t="inlineStr"/>
      <c r="N98" s="20" t="inlineStr"/>
      <c r="O98" s="20" t="inlineStr"/>
      <c r="P98" s="20" t="n">
        <v>12</v>
      </c>
      <c r="Q98" s="20" t="inlineStr"/>
      <c r="R98" s="20" t="n">
        <v>13.2</v>
      </c>
      <c r="S98" s="20" t="inlineStr"/>
      <c r="T98" s="20" t="inlineStr">
        <is>
          <t>confirmed</t>
        </is>
      </c>
      <c r="U98" s="20" t="n">
        <v>100</v>
      </c>
      <c r="V98" s="20" t="inlineStr"/>
      <c r="W98" s="20" t="inlineStr">
        <is>
          <t>赛特尔25年.xls｜初中新课标生物｜第40行</t>
        </is>
      </c>
    </row>
    <row r="99" ht="15.6" customHeight="1" s="16">
      <c r="A99" s="1" t="n">
        <v>247</v>
      </c>
      <c r="B99" s="1" t="inlineStr">
        <is>
          <t>加工工具</t>
        </is>
      </c>
      <c r="C99" s="2" t="inlineStr">
        <is>
          <t>电动钻孔器</t>
        </is>
      </c>
      <c r="D99" s="5" t="inlineStr">
        <is>
          <t>钻头可拆卸，应配有 2 个以上不同孔径的钻头</t>
        </is>
      </c>
      <c r="E99" s="2" t="inlineStr">
        <is>
          <t>台</t>
        </is>
      </c>
      <c r="F99" s="1" t="n">
        <v>1</v>
      </c>
      <c r="G99" s="3" t="inlineStr">
        <is>
          <t>飞将牌</t>
        </is>
      </c>
      <c r="H99" s="20" t="n">
        <v>1</v>
      </c>
      <c r="I99" s="20" t="n">
        <v>75</v>
      </c>
      <c r="J99" s="20" t="n">
        <v>75</v>
      </c>
      <c r="K99" s="20" t="inlineStr">
        <is>
          <t>台</t>
        </is>
      </c>
      <c r="L99" s="20" t="inlineStr">
        <is>
          <t>欣欣</t>
        </is>
      </c>
      <c r="M99" s="20" t="inlineStr"/>
      <c r="N99" s="20" t="inlineStr"/>
      <c r="O99" s="20" t="inlineStr">
        <is>
          <t>02006</t>
        </is>
      </c>
      <c r="P99" s="20" t="n">
        <v>160</v>
      </c>
      <c r="Q99" s="20" t="inlineStr"/>
      <c r="R99" s="20" t="n">
        <v>360</v>
      </c>
      <c r="S99" s="20" t="inlineStr"/>
      <c r="T99" s="20" t="inlineStr">
        <is>
          <t>confirmed</t>
        </is>
      </c>
      <c r="U99" s="20" t="n">
        <v>100</v>
      </c>
      <c r="V99" s="20" t="inlineStr">
        <is>
          <t>价格分歧&gt;30%：历史报价分歧较大，需人工核对；同分多价：最高分候选存在不同历史价格</t>
        </is>
      </c>
      <c r="W99" s="20" t="inlineStr">
        <is>
          <t>赛特尔25年.xls｜初中化学｜第7行</t>
        </is>
      </c>
    </row>
    <row r="100" ht="31.2" customHeight="1" s="16">
      <c r="A100" s="1" t="n">
        <v>248</v>
      </c>
      <c r="B100" s="22" t="n"/>
      <c r="C100" s="2" t="inlineStr">
        <is>
          <t>低压测电器</t>
        </is>
      </c>
      <c r="D100" s="5" t="inlineStr">
        <is>
          <t>笔式，氖泡式，测电极长≤10 mm，测量范围 100 V～500 V，辉光应稳定不闪烁</t>
        </is>
      </c>
      <c r="E100" s="2" t="inlineStr">
        <is>
          <t>支</t>
        </is>
      </c>
      <c r="F100" s="1" t="n">
        <v>1</v>
      </c>
      <c r="G100" s="3" t="inlineStr">
        <is>
          <t>群信</t>
        </is>
      </c>
      <c r="H100" s="20" t="n">
        <v>1</v>
      </c>
      <c r="I100" s="20" t="n">
        <v>4</v>
      </c>
      <c r="J100" s="20" t="n">
        <v>4</v>
      </c>
      <c r="K100" s="20" t="inlineStr">
        <is>
          <t>支</t>
        </is>
      </c>
      <c r="L100" s="20" t="inlineStr"/>
      <c r="M100" s="20" t="inlineStr"/>
      <c r="N100" s="20" t="inlineStr"/>
      <c r="O100" s="20" t="inlineStr">
        <is>
          <t>螺钉旋具式，测量范围 100 V～500 V，起辉电压 50 V～90 V，起辉后辉光应稳定不闪烁；绝缘电阻：常态≥20 MΩ，潮态≥2 MΩ；电气强度：常态 2500 V，潮态 2000 V；兼作螺钉旋具的旋杆端部硬度测 3 点，至少 2 点不低于 HRC48</t>
        </is>
      </c>
      <c r="P100" s="20" t="inlineStr"/>
      <c r="Q100" s="20" t="inlineStr"/>
      <c r="R100" s="20" t="inlineStr"/>
      <c r="S100" s="20" t="inlineStr"/>
      <c r="T100" s="20" t="inlineStr">
        <is>
          <t>confirmed</t>
        </is>
      </c>
      <c r="U100" s="20" t="n">
        <v>0</v>
      </c>
      <c r="V100" s="20" t="inlineStr">
        <is>
          <t>没有找到可靠候选</t>
        </is>
      </c>
      <c r="W100" s="20" t="inlineStr">
        <is>
          <t>赛特尔25年.xls｜初中新课标物理｜第429行</t>
        </is>
      </c>
    </row>
    <row r="101" ht="46.8" customHeight="1" s="16">
      <c r="A101" s="1" t="n">
        <v>249</v>
      </c>
      <c r="B101" s="22" t="n"/>
      <c r="C101" s="2" t="inlineStr">
        <is>
          <t>一字螺丝刀</t>
        </is>
      </c>
      <c r="D101" s="5" t="inlineStr">
        <is>
          <t>每套 2 个：Φ6 mm，长 150 mm；Φ3 mm，长 75 mm，工作部带磁性，硬度不低于 48 HRC；旋杆采用铬钒钢，旋杆长度≥100 mm，应经镀铬防锈处理</t>
        </is>
      </c>
      <c r="E101" s="2" t="inlineStr">
        <is>
          <t>套</t>
        </is>
      </c>
      <c r="F101" s="1" t="n">
        <v>1</v>
      </c>
      <c r="G101" s="3" t="inlineStr">
        <is>
          <t>群信</t>
        </is>
      </c>
      <c r="H101" s="20" t="n">
        <v>1</v>
      </c>
      <c r="I101" s="20" t="n">
        <v>4</v>
      </c>
      <c r="J101" s="20" t="n">
        <v>4</v>
      </c>
      <c r="K101" s="20" t="inlineStr">
        <is>
          <t>套</t>
        </is>
      </c>
      <c r="L101" s="20" t="inlineStr"/>
      <c r="M101" s="20" t="inlineStr"/>
      <c r="N101" s="20" t="inlineStr"/>
      <c r="O101" s="20" t="inlineStr"/>
      <c r="P101" s="20" t="inlineStr"/>
      <c r="Q101" s="20" t="inlineStr"/>
      <c r="R101" s="20" t="inlineStr"/>
      <c r="S101" s="20" t="inlineStr"/>
      <c r="T101" s="20" t="inlineStr">
        <is>
          <t>confirmed</t>
        </is>
      </c>
      <c r="U101" s="20" t="n">
        <v>0</v>
      </c>
      <c r="V101" s="20" t="inlineStr">
        <is>
          <t>没有找到可靠候选</t>
        </is>
      </c>
      <c r="W101" s="20" t="inlineStr">
        <is>
          <t>赛特尔25年.xls｜初中新课标化学｜第28行</t>
        </is>
      </c>
    </row>
    <row r="102" ht="46.8" customHeight="1" s="16">
      <c r="A102" s="1" t="n">
        <v>250</v>
      </c>
      <c r="B102" s="21" t="n"/>
      <c r="C102" s="2" t="inlineStr">
        <is>
          <t>十字螺丝刀</t>
        </is>
      </c>
      <c r="D102" s="5" t="inlineStr">
        <is>
          <t>每套 2 个：Φ6 mm，长 150 mm；Φ3 mm，长 75 mm，工作部带磁性，硬度不低于 48 HRC；旋杆采用铬钒钢，旋杆长度≥100 mm，应经镀铬防锈处理</t>
        </is>
      </c>
      <c r="E102" s="2" t="inlineStr">
        <is>
          <t>套</t>
        </is>
      </c>
      <c r="F102" s="1" t="n">
        <v>1</v>
      </c>
      <c r="G102" s="3" t="inlineStr">
        <is>
          <t>群信</t>
        </is>
      </c>
      <c r="H102" s="20" t="n">
        <v>1</v>
      </c>
      <c r="I102" s="20" t="n">
        <v>4</v>
      </c>
      <c r="J102" s="20" t="n">
        <v>4</v>
      </c>
      <c r="K102" s="20" t="inlineStr">
        <is>
          <t>套</t>
        </is>
      </c>
      <c r="L102" s="20" t="inlineStr"/>
      <c r="M102" s="20" t="inlineStr"/>
      <c r="N102" s="20" t="inlineStr"/>
      <c r="O102" s="20" t="inlineStr"/>
      <c r="P102" s="20" t="inlineStr"/>
      <c r="Q102" s="20" t="inlineStr"/>
      <c r="R102" s="20" t="inlineStr"/>
      <c r="S102" s="20" t="inlineStr"/>
      <c r="T102" s="20" t="inlineStr">
        <is>
          <t>confirmed</t>
        </is>
      </c>
      <c r="U102" s="20" t="n">
        <v>0</v>
      </c>
      <c r="V102" s="20" t="inlineStr">
        <is>
          <t>没有找到可靠候选</t>
        </is>
      </c>
      <c r="W102" s="20" t="inlineStr">
        <is>
          <t>赛特尔25年.xls｜初中新课标化学｜第29行</t>
        </is>
      </c>
    </row>
    <row r="103" ht="46.8" customHeight="1" s="16">
      <c r="A103" s="1" t="n">
        <v>252</v>
      </c>
      <c r="B103" s="1" t="n"/>
      <c r="C103" s="2" t="inlineStr">
        <is>
          <t>剥线钳</t>
        </is>
      </c>
      <c r="D103" s="5" t="inlineStr">
        <is>
          <t>自动剥线钳，Φ0.5 mm～Φ2.5 mm；刃口在闭合状态，刃口间隙应不大于 0.3 mm；刃口错位应不大于 0.2 mm；钳口硬度应不低于65 HRA 或 30 HRC</t>
        </is>
      </c>
      <c r="E103" s="2" t="inlineStr">
        <is>
          <t>把</t>
        </is>
      </c>
      <c r="F103" s="1" t="n">
        <v>1</v>
      </c>
      <c r="G103" s="3" t="inlineStr">
        <is>
          <t>群信</t>
        </is>
      </c>
      <c r="H103" s="20" t="n">
        <v>1</v>
      </c>
      <c r="I103" s="20" t="n">
        <v>12</v>
      </c>
      <c r="J103" s="20" t="n">
        <v>12</v>
      </c>
      <c r="K103" s="20" t="inlineStr">
        <is>
          <t>把</t>
        </is>
      </c>
      <c r="L103" s="20" t="inlineStr"/>
      <c r="M103" s="20" t="inlineStr"/>
      <c r="N103" s="20" t="inlineStr"/>
      <c r="O103" s="20" t="inlineStr"/>
      <c r="P103" s="20" t="n">
        <v>14</v>
      </c>
      <c r="Q103" s="20" t="inlineStr"/>
      <c r="R103" s="20" t="inlineStr"/>
      <c r="S103" s="20" t="inlineStr"/>
      <c r="T103" s="20" t="inlineStr">
        <is>
          <t>confirmed</t>
        </is>
      </c>
      <c r="U103" s="20" t="n">
        <v>100</v>
      </c>
      <c r="V103" s="20" t="inlineStr">
        <is>
          <t>同分多价：最高分候选存在不同历史价格</t>
        </is>
      </c>
      <c r="W103" s="20" t="inlineStr">
        <is>
          <t>高中理化生报价.xlsx｜凯迪｜第1859行</t>
        </is>
      </c>
    </row>
    <row r="104" ht="62.4" customHeight="1" s="16">
      <c r="A104" s="1" t="n">
        <v>253</v>
      </c>
      <c r="B104" s="21" t="n"/>
      <c r="C104" s="2" t="inlineStr">
        <is>
          <t>钢丝钳</t>
        </is>
      </c>
      <c r="D104" s="5" t="inlineStr">
        <is>
          <t>160 mm，抗弯强度：1120 N；扭力：15 N·m，15°；嘴顶缝隙：0.4 mm；剪切性能：Φ16 mm 钢丝，580 N；夹持面硬度≥44 HRC，在≤18 N 的力作用下撑开角度≥22°</t>
        </is>
      </c>
      <c r="E104" s="2" t="inlineStr">
        <is>
          <t>把</t>
        </is>
      </c>
      <c r="F104" s="1" t="n">
        <v>1</v>
      </c>
      <c r="G104" s="3" t="inlineStr">
        <is>
          <t>军舰</t>
        </is>
      </c>
      <c r="H104" s="20" t="n">
        <v>1</v>
      </c>
      <c r="I104" s="20" t="n">
        <v>12</v>
      </c>
      <c r="J104" s="20" t="n">
        <v>12</v>
      </c>
      <c r="K104" s="20" t="inlineStr">
        <is>
          <t>把</t>
        </is>
      </c>
      <c r="L104" s="20" t="inlineStr"/>
      <c r="M104" s="20" t="inlineStr"/>
      <c r="N104" s="20" t="inlineStr"/>
      <c r="O104" s="20" t="inlineStr"/>
      <c r="P104" s="20" t="n">
        <v>13.2</v>
      </c>
      <c r="Q104" s="20" t="inlineStr"/>
      <c r="R104" s="20" t="n">
        <v>22</v>
      </c>
      <c r="S104" s="20" t="inlineStr"/>
      <c r="T104" s="20" t="inlineStr">
        <is>
          <t>confirmed</t>
        </is>
      </c>
      <c r="U104" s="20" t="n">
        <v>100</v>
      </c>
      <c r="V104" s="20" t="inlineStr">
        <is>
          <t>价格分歧&gt;30%：历史报价分歧较大，需人工核对；同分多价：最高分候选存在不同历史价格</t>
        </is>
      </c>
      <c r="W104" s="20" t="inlineStr">
        <is>
          <t>赛特尔25年.xls｜初中新课标生物｜第47行</t>
        </is>
      </c>
    </row>
    <row r="105" ht="46.8" customHeight="1" s="16">
      <c r="A105" s="1" t="n">
        <v>258</v>
      </c>
      <c r="B105" s="1" t="inlineStr">
        <is>
          <t>收纳整理用具</t>
        </is>
      </c>
      <c r="C105" s="2" t="inlineStr">
        <is>
          <t>仪器车</t>
        </is>
      </c>
      <c r="D105" s="5" t="inlineStr">
        <is>
          <t>≥850 mm×450 mm×900 mm，橡胶包车轮，车轮Φ75 mm，厚 25 mm；2 轮带刹车，车轮固定，车架扭动量（上部）≤20 mm；钢材制作，载重≥60 kg</t>
        </is>
      </c>
      <c r="E105" s="2" t="inlineStr">
        <is>
          <t>辆</t>
        </is>
      </c>
      <c r="F105" s="1" t="n">
        <v>4</v>
      </c>
      <c r="G105" s="3" t="inlineStr">
        <is>
          <t>群信</t>
        </is>
      </c>
      <c r="H105" s="20" t="n">
        <v>4</v>
      </c>
      <c r="I105" s="20" t="n">
        <v>0</v>
      </c>
      <c r="J105" s="20" t="n">
        <v>0</v>
      </c>
      <c r="K105" s="20" t="inlineStr">
        <is>
          <t>辆</t>
        </is>
      </c>
      <c r="L105" s="20" t="inlineStr"/>
      <c r="M105" s="20" t="inlineStr"/>
      <c r="N105" s="20" t="inlineStr"/>
      <c r="O105" s="20" t="inlineStr"/>
      <c r="P105" s="20" t="n">
        <v>175</v>
      </c>
      <c r="Q105" s="20" t="inlineStr"/>
      <c r="R105" s="20" t="n">
        <v>260</v>
      </c>
      <c r="S105" s="20" t="inlineStr"/>
      <c r="T105" s="20" t="inlineStr">
        <is>
          <t>confirmed</t>
        </is>
      </c>
      <c r="U105" s="20" t="n">
        <v>100</v>
      </c>
      <c r="V105" s="20" t="inlineStr">
        <is>
          <t>同分多价：最高分候选存在不同历史价格</t>
        </is>
      </c>
      <c r="W105" s="20" t="inlineStr">
        <is>
          <t>高中理化生报价.xlsx｜凯迪｜第1605行</t>
        </is>
      </c>
    </row>
    <row r="106" ht="31.2" customHeight="1" s="16">
      <c r="A106" s="1" t="n">
        <v>259</v>
      </c>
      <c r="B106" s="22" t="n"/>
      <c r="C106" s="2" t="inlineStr">
        <is>
          <t>整理箱</t>
        </is>
      </c>
      <c r="D106" s="2" t="inlineStr">
        <is>
          <t>矮型，储存及分发试剂用；上尺寸≥34cm*24cm*19cm下尺寸≥29cm*19cm*19cm</t>
        </is>
      </c>
      <c r="E106" s="2" t="inlineStr">
        <is>
          <t>个</t>
        </is>
      </c>
      <c r="F106" s="1" t="n">
        <v>12</v>
      </c>
      <c r="G106" s="3" t="inlineStr">
        <is>
          <t>群信</t>
        </is>
      </c>
      <c r="H106" s="20" t="n">
        <v>12</v>
      </c>
      <c r="I106" s="20" t="n">
        <v>45</v>
      </c>
      <c r="J106" s="20" t="n">
        <v>540</v>
      </c>
      <c r="K106" s="20" t="inlineStr">
        <is>
          <t>个</t>
        </is>
      </c>
      <c r="L106" s="20" t="inlineStr"/>
      <c r="M106" s="20" t="inlineStr"/>
      <c r="N106" s="20" t="inlineStr"/>
      <c r="O106" s="20" t="inlineStr"/>
      <c r="P106" s="20" t="n">
        <v>45</v>
      </c>
      <c r="Q106" s="20" t="inlineStr"/>
      <c r="R106" s="20" t="n">
        <v>49.5</v>
      </c>
      <c r="S106" s="20" t="inlineStr"/>
      <c r="T106" s="20" t="inlineStr">
        <is>
          <t>confirmed</t>
        </is>
      </c>
      <c r="U106" s="20" t="n">
        <v>100</v>
      </c>
      <c r="V106" s="20" t="inlineStr"/>
      <c r="W106" s="20" t="inlineStr">
        <is>
          <t>赛特尔25年.xls｜初中新课标生物｜第34行</t>
        </is>
      </c>
    </row>
    <row r="107" ht="15.6" customHeight="1" s="16">
      <c r="A107" s="1" t="n">
        <v>260</v>
      </c>
      <c r="B107" s="22" t="n"/>
      <c r="C107" s="2" t="inlineStr">
        <is>
          <t>大托盘</t>
        </is>
      </c>
      <c r="D107" s="2" t="inlineStr">
        <is>
          <t>350 mm×470 mm×80 mm</t>
        </is>
      </c>
      <c r="E107" s="2" t="inlineStr">
        <is>
          <t>个</t>
        </is>
      </c>
      <c r="F107" s="1" t="n">
        <v>5</v>
      </c>
      <c r="G107" s="3" t="inlineStr">
        <is>
          <t>群信</t>
        </is>
      </c>
      <c r="H107" s="20" t="n">
        <v>5</v>
      </c>
      <c r="I107" s="20" t="n">
        <v>12</v>
      </c>
      <c r="J107" s="20" t="n">
        <v>60</v>
      </c>
      <c r="K107" s="20" t="inlineStr">
        <is>
          <t>个</t>
        </is>
      </c>
      <c r="L107" s="20" t="inlineStr"/>
      <c r="M107" s="20" t="inlineStr"/>
      <c r="N107" s="20" t="inlineStr"/>
      <c r="O107" s="20" t="inlineStr"/>
      <c r="P107" s="20" t="n">
        <v>20</v>
      </c>
      <c r="Q107" s="20" t="inlineStr"/>
      <c r="R107" s="20" t="n">
        <v>22</v>
      </c>
      <c r="S107" s="20" t="inlineStr"/>
      <c r="T107" s="20" t="inlineStr">
        <is>
          <t>confirmed</t>
        </is>
      </c>
      <c r="U107" s="20" t="n">
        <v>57.1</v>
      </c>
      <c r="V107" s="20" t="inlineStr">
        <is>
          <t>价格分歧&gt;30%：历史报价分歧较大，需人工核对；同分多价：最高分候选存在不同历史价格</t>
        </is>
      </c>
      <c r="W107" s="20" t="inlineStr">
        <is>
          <t>赛特尔25年.xls｜初中新课标生物｜第36行</t>
        </is>
      </c>
    </row>
    <row r="108" ht="15.6" customHeight="1" s="16">
      <c r="A108" s="1" t="n">
        <v>261</v>
      </c>
      <c r="B108" s="22" t="n"/>
      <c r="C108" s="2" t="inlineStr">
        <is>
          <t>小托盘</t>
        </is>
      </c>
      <c r="D108" s="2" t="inlineStr">
        <is>
          <t>250 mm×350 mm×60 mm</t>
        </is>
      </c>
      <c r="E108" s="2" t="inlineStr">
        <is>
          <t>个</t>
        </is>
      </c>
      <c r="F108" s="1" t="n">
        <v>5</v>
      </c>
      <c r="G108" s="3" t="inlineStr">
        <is>
          <t>群信</t>
        </is>
      </c>
      <c r="H108" s="20" t="n">
        <v>5</v>
      </c>
      <c r="I108" s="20" t="n">
        <v>12</v>
      </c>
      <c r="J108" s="20" t="n">
        <v>60</v>
      </c>
      <c r="K108" s="20" t="inlineStr">
        <is>
          <t>个</t>
        </is>
      </c>
      <c r="L108" s="20" t="inlineStr"/>
      <c r="M108" s="20" t="inlineStr"/>
      <c r="N108" s="20" t="inlineStr"/>
      <c r="O108" s="20" t="inlineStr"/>
      <c r="P108" s="20" t="n">
        <v>20</v>
      </c>
      <c r="Q108" s="20" t="inlineStr"/>
      <c r="R108" s="20" t="n">
        <v>22</v>
      </c>
      <c r="S108" s="20" t="inlineStr"/>
      <c r="T108" s="20" t="inlineStr">
        <is>
          <t>confirmed</t>
        </is>
      </c>
      <c r="U108" s="20" t="n">
        <v>57.1</v>
      </c>
      <c r="V108" s="20" t="inlineStr">
        <is>
          <t>价格分歧&gt;30%：历史报价分歧较大，需人工核对；同分多价：最高分候选存在不同历史价格</t>
        </is>
      </c>
      <c r="W108" s="20" t="inlineStr">
        <is>
          <t>赛特尔25年.xls｜初中新课标生物｜第36行</t>
        </is>
      </c>
    </row>
    <row r="109" ht="15.6" customHeight="1" s="16">
      <c r="A109" s="1" t="n">
        <v>262</v>
      </c>
      <c r="B109" s="21" t="n"/>
      <c r="C109" s="2" t="inlineStr">
        <is>
          <t>实验用品提篮</t>
        </is>
      </c>
      <c r="D109" s="2" t="inlineStr">
        <is>
          <t>木制，配有提手，490 mm×360 mm×290 mm</t>
        </is>
      </c>
      <c r="E109" s="2" t="inlineStr">
        <is>
          <t>个</t>
        </is>
      </c>
      <c r="F109" s="1" t="n">
        <v>2</v>
      </c>
      <c r="G109" s="3" t="inlineStr">
        <is>
          <t>群信</t>
        </is>
      </c>
      <c r="H109" s="20" t="n">
        <v>2</v>
      </c>
      <c r="I109" s="20" t="n">
        <v>45</v>
      </c>
      <c r="J109" s="20" t="n">
        <v>90</v>
      </c>
      <c r="K109" s="20" t="inlineStr">
        <is>
          <t>个</t>
        </is>
      </c>
      <c r="L109" s="20" t="inlineStr"/>
      <c r="M109" s="20" t="inlineStr"/>
      <c r="N109" s="20" t="inlineStr"/>
      <c r="O109" s="20" t="inlineStr"/>
      <c r="P109" s="20" t="n">
        <v>45</v>
      </c>
      <c r="Q109" s="20" t="inlineStr"/>
      <c r="R109" s="20" t="n">
        <v>99</v>
      </c>
      <c r="S109" s="20" t="inlineStr"/>
      <c r="T109" s="20" t="inlineStr">
        <is>
          <t>confirmed</t>
        </is>
      </c>
      <c r="U109" s="20" t="n">
        <v>100</v>
      </c>
      <c r="V109" s="20" t="inlineStr">
        <is>
          <t>价格分歧&gt;30%：历史报价分歧较大，需人工核对</t>
        </is>
      </c>
      <c r="W109" s="20" t="inlineStr">
        <is>
          <t>赛特尔25年.xls｜初中新课标生物｜第37行</t>
        </is>
      </c>
    </row>
  </sheetData>
  <mergeCells count="27">
    <mergeCell ref="B13:B19"/>
    <mergeCell ref="B77:B87"/>
    <mergeCell ref="B70:B71"/>
    <mergeCell ref="B38:B42"/>
    <mergeCell ref="B43:B57"/>
    <mergeCell ref="E64:E65"/>
    <mergeCell ref="C91:C93"/>
    <mergeCell ref="C85:C86"/>
    <mergeCell ref="B62:B69"/>
    <mergeCell ref="B88:B89"/>
    <mergeCell ref="B58:B61"/>
    <mergeCell ref="B72:B76"/>
    <mergeCell ref="B28:B31"/>
    <mergeCell ref="A2:B2"/>
    <mergeCell ref="A1:G1"/>
    <mergeCell ref="B103:B104"/>
    <mergeCell ref="C73:C75"/>
    <mergeCell ref="B36:B37"/>
    <mergeCell ref="B96:B98"/>
    <mergeCell ref="B99:B102"/>
    <mergeCell ref="B90:B94"/>
    <mergeCell ref="B20:B21"/>
    <mergeCell ref="B23:B25"/>
    <mergeCell ref="B105:B109"/>
    <mergeCell ref="C50:C54"/>
    <mergeCell ref="B26:B27"/>
    <mergeCell ref="B32:B35"/>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wxx</dc:creator>
  <dcterms:created xsi:type="dcterms:W3CDTF">2026-08-10T11:36:00Z</dcterms:created>
  <dcterms:modified xsi:type="dcterms:W3CDTF">2026-08-20T05:15:04Z</dcterms:modified>
  <cp:lastModifiedBy>沁璇</cp:lastModifiedBy>
</cp:coreProperties>
</file>

<file path=docProps/custom.xml><?xml version="1.0" encoding="utf-8"?>
<Properties xmlns:vt="http://schemas.openxmlformats.org/officeDocument/2006/docPropsVTypes" xmlns="http://schemas.openxmlformats.org/officeDocument/2006/custom-properties">
  <property name="ICV" fmtid="{D5CDD505-2E9C-101B-9397-08002B2CF9AE}" pid="2">
    <vt:lpwstr>7987D0E6C64742CE9EDFBE83013BD7BA_11</vt:lpwstr>
  </property>
  <property name="KSOProductBuildVer" fmtid="{D5CDD505-2E9C-101B-9397-08002B2CF9AE}" pid="3">
    <vt:lpwstr>2052-12.1.0.28043</vt:lpwstr>
  </property>
  <property name="CalculationRule" fmtid="{D5CDD505-2E9C-101B-9397-08002B2CF9AE}" pid="4">
    <vt:i4>1</vt:i4>
  </property>
</Properties>
</file>