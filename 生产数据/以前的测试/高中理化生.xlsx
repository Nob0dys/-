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wxx\Desktop\"/>
    </mc:Choice>
  </mc:AlternateContent>
  <bookViews>
    <workbookView windowWidth="22188" windowHeight="9372"/>
  </bookViews>
  <sheets>
    <sheet name="化学" sheetId="1" r:id="rId1"/>
    <sheet name="物理电" sheetId="2" r:id="rId2"/>
    <sheet name="物理力" sheetId="3" r:id="rId3"/>
    <sheet name="生物"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<sst xmlns="http://schemas.openxmlformats.org/spreadsheetml/2006/main" count="1551" uniqueCount="724">
  <si>
    <t>高中化学实验室基础器材配置要求</t>
  </si>
  <si>
    <t>器材类型</t>
  </si>
  <si>
    <t>器材名称</t>
  </si>
  <si>
    <t>参数规格</t>
  </si>
  <si>
    <t>单位</t>
  </si>
  <si>
    <t>数量</t>
  </si>
  <si>
    <t>备注</t>
  </si>
  <si>
    <t>单价</t>
  </si>
  <si>
    <t>金额</t>
  </si>
  <si>
    <t>实验数据采集处理软件</t>
  </si>
  <si>
    <t>简体中文界面，数据采集器接入计算机后能自动识别数据采集器及其状态，实时显示实验数据或曲线，具备多种对实验数据与图线的数据处理与分析工具，支持实验报告输出、上传与评价，实验数据可以导出为表格或文本格式</t>
  </si>
  <si>
    <t>套</t>
  </si>
  <si>
    <t>群信</t>
  </si>
  <si>
    <t>数据采集器</t>
  </si>
  <si>
    <t>1、一体化金属结构设计，内含电源指示灯，丝印产品型号、名称、传感器通道、接计算机通道。
2、自带8个传感器接口，八通道并行采集，全数字通道，采样频率最大可达100KHz，可同时并行采集8组不同的数据。
3、采集器可以互相级联实验，可实现多个数据采集器和更多路传感器同步采集实验。
4、通过USB-B口与计算机或便携式实验终端连接，进行数据通讯，USB接口供电，无需外接电源；
5、通过USB2.0口与传感器连接，数字、模拟共用，即插即用，自动识别所有传感器；
6、采用低压设计保证用户安全，所有端口具备短路保护功能，PCB设置接地引到外壳；
7、设置DC5V电源接口，配有5V1A适配器，在电压不足或多传感器使用时保证供电电压稳定。</t>
  </si>
  <si>
    <t>温度传感器</t>
  </si>
  <si>
    <t>量程：-50℃～250℃，分辨率：0.1℃。不锈钢探针，用于测各种物体或溶液的温度。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</si>
  <si>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只</t>
  </si>
  <si>
    <t>电导率传感器</t>
  </si>
  <si>
    <t>量程：0～20000μS/cm，分辨率：10μS/cm。用于测量溶液的电导率及其变化。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</si>
  <si>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相对压强传感器</t>
  </si>
  <si>
    <t>量程：±20kPa，分辨率：0.01kPa。用于测量大气环境下于被测量空间内的气体的压强差。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</si>
  <si>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pH传感器</t>
  </si>
  <si>
    <t>量程：0～14 pH，分辨率：0.01 PH。用于精确测量溶液的酸碱值。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</si>
  <si>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电流传感器</t>
  </si>
  <si>
    <t>量程：±2A，分辨率：0.001A。用于测量电路中的电流。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</si>
  <si>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密封实验套件</t>
  </si>
  <si>
    <t>构造：密封实验套件由5只7号橡胶塞（配5种孔径：单孔φ3mm、φ4mm、φ15mm、φ18mm；双孔φ8mm+φ15mm；孔径与传感器探头适配性，密封性好，可对应接入温度传感器、气压传感器、二氧化碳传感器、氧气传感器和玻璃导管、长颈漏斗等）、1只150mL反应瓶、2只等径气管快速接头、2只鲁尔气管快速接头、3条外径φ6mm软管组成。</t>
  </si>
  <si>
    <t>危险化学品储存柜</t>
  </si>
  <si>
    <t>≥1100mm×865 mm×1650 mm，防爆、防盗、阻燃、耐腐蚀，带双锁，响应文件中需提供第三方检测机构出具的检测报告</t>
  </si>
  <si>
    <t>欧利雅</t>
  </si>
  <si>
    <t>灭火毯</t>
  </si>
  <si>
    <t>玻璃纤维材质，≥1200 mm×1800 mm</t>
  </si>
  <si>
    <t>件</t>
  </si>
  <si>
    <t>云渡</t>
  </si>
  <si>
    <t>简易急救箱</t>
  </si>
  <si>
    <r>
      <rPr>
        <sz val="12"/>
        <color theme="1"/>
        <rFont val="宋体"/>
        <charset val="134"/>
      </rPr>
      <t>箱内包括：医用酒精、饱和碳酸氢钠溶液、饱和硼酸溶液、创可贴、灭菌结晶磺胺、碘伏、胶布、医用纱布、药棉、手术剪、镊子、止血带（长度≥30 cm）、烫伤膏、甘油等。箱体采用中号铝合金材质</t>
    </r>
    <r>
      <rPr>
        <sz val="12"/>
        <color theme="1"/>
        <rFont val="宋体"/>
        <charset val="134"/>
      </rPr>
      <t xml:space="preserve"> </t>
    </r>
    <r>
      <rPr>
        <sz val="12"/>
        <color theme="1"/>
        <rFont val="宋体"/>
        <charset val="134"/>
      </rPr>
      <t>尺寸≥25cm*15cm*16cm</t>
    </r>
  </si>
  <si>
    <t>个</t>
  </si>
  <si>
    <t>和美</t>
  </si>
  <si>
    <t>实验服</t>
  </si>
  <si>
    <t>可分为大、中、小号</t>
  </si>
  <si>
    <t>护目镜</t>
  </si>
  <si>
    <t>封闭型，耐酸碱，抗冲击，耐磨</t>
  </si>
  <si>
    <t>防护面罩</t>
  </si>
  <si>
    <t>防冲击面屏，聚碳酸酯材质，耐 45 m/s 粒子冲击，通过弹簧箍与安全帽相连，面屏可更换</t>
  </si>
  <si>
    <t>防毒口罩</t>
  </si>
  <si>
    <t>E 型（标色：黄），防止吸入酸性气体或蒸气</t>
  </si>
  <si>
    <t>CO 型（标色：白），防止吸入一氧化碳气体</t>
  </si>
  <si>
    <t>3M</t>
  </si>
  <si>
    <t>防毒面具</t>
  </si>
  <si>
    <t>面具，导管，与防毒口罩配套使用，响应文件中需提供第三方检测机构出具的检测报告</t>
  </si>
  <si>
    <t>生宝</t>
  </si>
  <si>
    <t>耐酸手套</t>
  </si>
  <si>
    <t>机械性能不低于 3 级，无破损，手套应有长度≥15 cm 的套袖</t>
  </si>
  <si>
    <t>副</t>
  </si>
  <si>
    <t>护邦</t>
  </si>
  <si>
    <t>一次性乳胶手套</t>
  </si>
  <si>
    <t>一般性防护，不漏水</t>
  </si>
  <si>
    <t>盒</t>
  </si>
  <si>
    <t>星宇</t>
  </si>
  <si>
    <t>化学实验废水处理装置</t>
  </si>
  <si>
    <t>主体透明，兼作教学使用，能进行 pH 测试、酸碱废液中和、重金属离子凝聚和过滤，能处理中学常见无机化学废液，同时可以通过仪器内的活性炭吸附少量混入的有机物。应配备适量的凝聚剂和助凝剂，至少应配备更换用活性炭包 2 个。处理量≥6 L/次。尺寸≥41cm*35cm*60cm</t>
  </si>
  <si>
    <t>废液分类回收桶</t>
  </si>
  <si>
    <t>塑料制，25 L</t>
  </si>
  <si>
    <t>电加热器</t>
  </si>
  <si>
    <t>密封式≥500w</t>
  </si>
  <si>
    <t>昂米</t>
  </si>
  <si>
    <t>学生电源</t>
  </si>
  <si>
    <t>直流 1.5 V～9 V，1.5 A，每 1.5 V 一档</t>
  </si>
  <si>
    <t>台</t>
  </si>
  <si>
    <t>教学电源</t>
  </si>
  <si>
    <t>交流 2 V～12 V，5 A，每 2 V 一档；直流 1.5 V～12 V，2 A，分为 1.5 V、3 V、4.5 V、 6 V、9 V、12 V，共 6 档</t>
  </si>
  <si>
    <t>仪器车</t>
  </si>
  <si>
    <t>≥850 mm×450 mm×900 mm，橡胶包车轮，车轮Φ75 mm，厚 25 mm；2 轮带刹车，车轮固定，车架扭动量（上部）≤20 mm；钢材制作，载重≥60 kg</t>
  </si>
  <si>
    <t>辆</t>
  </si>
  <si>
    <t>试剂瓶托盘</t>
  </si>
  <si>
    <t>搪瓷材质，内沿≥400 mm×290 mm×40 mm</t>
  </si>
  <si>
    <t>实验用品提篮</t>
  </si>
  <si>
    <r>
      <rPr>
        <sz val="12"/>
        <color theme="1"/>
        <rFont val="宋体"/>
        <charset val="134"/>
      </rPr>
      <t>配有提手，≥500 mm×350 mm×170 mm</t>
    </r>
    <r>
      <rPr>
        <sz val="12"/>
        <color theme="1"/>
        <rFont val="宋体"/>
        <charset val="134"/>
      </rPr>
      <t xml:space="preserve">  </t>
    </r>
    <r>
      <rPr>
        <sz val="12"/>
        <color theme="1"/>
        <rFont val="宋体"/>
        <charset val="134"/>
      </rPr>
      <t>木制</t>
    </r>
  </si>
  <si>
    <t>一字螺丝刀</t>
  </si>
  <si>
    <t>Φ6 mm，长 150 mm，工作端带磁性</t>
  </si>
  <si>
    <t>支</t>
  </si>
  <si>
    <t>十字螺丝刀</t>
  </si>
  <si>
    <t>钢丝钳</t>
  </si>
  <si>
    <t>160 mm</t>
  </si>
  <si>
    <t>把</t>
  </si>
  <si>
    <t>军舰</t>
  </si>
  <si>
    <t>玻璃管切割器</t>
  </si>
  <si>
    <t>可切割直径 20 mm 以下玻璃管</t>
  </si>
  <si>
    <t>打孔器</t>
  </si>
  <si>
    <t>刀口式，材质为不锈钢管、钢管或黄铜管，每组不少于 4 支，外径分别为 9 mm、8 mm、7 mm、6 mm，并配一支带柄金属通扦</t>
  </si>
  <si>
    <t>打孔夹板</t>
  </si>
  <si>
    <t>硬木或硬塑料制</t>
  </si>
  <si>
    <t>打孔器刮刀</t>
  </si>
  <si>
    <t>刮刀宜用65M 板制成，表面热处理，55 HRC～ 60 HRC，总长为 70 mm±0.5 mm，宽 14.5 mm±0.1 mm，厚 1.8 mm±0.5 mm，刀口角度宜为 60°±5°，锋刃＜0.1 mm</t>
  </si>
  <si>
    <t>托盘天平</t>
  </si>
  <si>
    <t>100 g，0.1 g</t>
  </si>
  <si>
    <t>500 g，0.5 g</t>
  </si>
  <si>
    <t>200 g，0.01 g</t>
  </si>
  <si>
    <t>华驰</t>
  </si>
  <si>
    <t>1000 g，0.1 g</t>
  </si>
  <si>
    <t>红液温度计</t>
  </si>
  <si>
    <t>0 ℃～100 ℃，分度值 1 ℃，示值误差＜1.5 ℃</t>
  </si>
  <si>
    <t>数字测温计</t>
  </si>
  <si>
    <t>量程-30 ℃～200 ℃，分辨力 0.1 ℃。不接电脑，可独立运行，自带显示屏</t>
  </si>
  <si>
    <t>电子秒表</t>
  </si>
  <si>
    <t>0.1 s</t>
  </si>
  <si>
    <t>多用电表</t>
  </si>
  <si>
    <t>直流电流、电压、电阻 2.5 级，交流电压 5级</t>
  </si>
  <si>
    <t>南京科华</t>
  </si>
  <si>
    <t>直流电流表</t>
  </si>
  <si>
    <t>2.5 级，0.6 A，3 A</t>
  </si>
  <si>
    <t>灵敏电流计</t>
  </si>
  <si>
    <t>±300 μA</t>
  </si>
  <si>
    <t>演示电流电压表</t>
  </si>
  <si>
    <t>2.5 级</t>
  </si>
  <si>
    <t>三磊</t>
  </si>
  <si>
    <t>教学支架</t>
  </si>
  <si>
    <t>包括方形座，立杆，平行夹，垂直夹两个，烧瓶夹，大铁环，小铁环，吊杆。重心稳定不晃动，烧瓶夹内侧应有缓压层</t>
  </si>
  <si>
    <t>三脚架</t>
  </si>
  <si>
    <t>铁制，环内径 75 mm，高 150 mm</t>
  </si>
  <si>
    <t>泥三角</t>
  </si>
  <si>
    <t>陶制或者瓷制，内径应保证稳定支撑 30 mm坩埚</t>
  </si>
  <si>
    <t>试管架</t>
  </si>
  <si>
    <t>木制或塑料制，8 孔，孔径 21 mm，立柱粘结牢固，提供具有第三方质量检测机构检测报告复印件</t>
  </si>
  <si>
    <t>木制或塑料制，8 孔，孔径 25 mm，提供具有第三方质量检测机构检测报告复印件</t>
  </si>
  <si>
    <t>木制或塑料制，8 孔，孔径 35 mm，提供具有第三方质量检测机构检测报告复印件</t>
  </si>
  <si>
    <t>漏斗架</t>
  </si>
  <si>
    <t>木制或塑料制</t>
  </si>
  <si>
    <t>滴定台</t>
  </si>
  <si>
    <t>人造石或大理石白色台面，重心稳定不晃动，底部有四个橡胶垫脚</t>
  </si>
  <si>
    <t>滴定夹</t>
  </si>
  <si>
    <t>铝制，加持部位有防滑脱凹槽</t>
  </si>
  <si>
    <t>多用滴管架</t>
  </si>
  <si>
    <t>塑料制，底部有圆形凹槽</t>
  </si>
  <si>
    <t>坩埚</t>
  </si>
  <si>
    <t>瓷制，30 mL，耐热≥1200 ℃，内外壁光滑，外壁涂釉，配有坩埚盖</t>
  </si>
  <si>
    <t>坩埚钳</t>
  </si>
  <si>
    <t>200 mm，钢制，中间弯曲部分内径应在 2cm～3 cm</t>
  </si>
  <si>
    <t>烧杯夹</t>
  </si>
  <si>
    <t>钢制或不锈钢制，夹持部位应有橡胶保护套，避免与玻璃烧杯直接接触</t>
  </si>
  <si>
    <t>镊子</t>
  </si>
  <si>
    <t>不锈钢制，平头，长 125 mm，钢板厚 1.2 mm，前部应有防滑脱锯齿</t>
  </si>
  <si>
    <t>试管夹</t>
  </si>
  <si>
    <t>木制或者竹制，长度≥200 mm，宽度约 20 mm，厚度约 20 mm。试管夹闭口缝≤1 mm，开口距离≥25 mm。毡块粘接牢固，试管夹弹簧作防锈处理。试管夹持部位圆弧内径≤15 mm</t>
  </si>
  <si>
    <t>止水皮管夹</t>
  </si>
  <si>
    <t>Φ3 mm 钢丝制成，作防锈处理，夹持角度≥60º</t>
  </si>
  <si>
    <t>螺旋皮管夹</t>
  </si>
  <si>
    <t>由支架管和带压板的螺杆等组成。外形尺寸约为 33 mm×20 mm×8 mm，旋转方便，不易变形，压板厚度≥1 mm</t>
  </si>
  <si>
    <t>石棉网</t>
  </si>
  <si>
    <t>金属网尺寸≥125 mm×125 mm，0.8 mm 钢丝制成，石棉材料不易脱落，石棉网边缘钢丝应作简单处理</t>
  </si>
  <si>
    <t>陶土网</t>
  </si>
  <si>
    <t>金属网尺寸≥125 mm×125 mm，耐火材料为陶土</t>
  </si>
  <si>
    <t>二连球</t>
  </si>
  <si>
    <r>
      <rPr>
        <sz val="12"/>
        <color theme="1"/>
        <rFont val="宋体"/>
        <charset val="134"/>
      </rPr>
      <t xml:space="preserve">橡胶材质 </t>
    </r>
    <r>
      <rPr>
        <sz val="12"/>
        <color theme="1"/>
        <rFont val="宋体"/>
        <charset val="134"/>
      </rPr>
      <t xml:space="preserve">  </t>
    </r>
    <r>
      <rPr>
        <sz val="12"/>
        <color theme="1"/>
        <rFont val="宋体"/>
        <charset val="134"/>
      </rPr>
      <t>外管径≥9mm全长≥640mm</t>
    </r>
  </si>
  <si>
    <t>燃烧匙</t>
  </si>
  <si>
    <t>铜勺，勺直径 18 mm，深 10 mm，铁柄，柄长 300 mm，长柄和铜勺连接稳定结实</t>
  </si>
  <si>
    <t>药匙</t>
  </si>
  <si>
    <t>中号 13.5 cm，带小勺</t>
  </si>
  <si>
    <t>玻璃管</t>
  </si>
  <si>
    <t>Φ5 mm～Φ6 mm</t>
  </si>
  <si>
    <t>千克</t>
  </si>
  <si>
    <t>Φ7 mm～Φ8 mm</t>
  </si>
  <si>
    <t>玻璃弯管</t>
  </si>
  <si>
    <t>玻璃棒</t>
  </si>
  <si>
    <t>橡胶塞</t>
  </si>
  <si>
    <t>000、00、0～10 号</t>
  </si>
  <si>
    <t>橡胶管</t>
  </si>
  <si>
    <t>外径 9 mm，内径 6 mm</t>
  </si>
  <si>
    <t>m</t>
  </si>
  <si>
    <t>乳胶管</t>
  </si>
  <si>
    <t>外径 6 mm，内径 4 mm</t>
  </si>
  <si>
    <t>外径 7 mm，内径 5 mm</t>
  </si>
  <si>
    <t>洗耳球</t>
  </si>
  <si>
    <t>60 mL</t>
  </si>
  <si>
    <t>试管刷</t>
  </si>
  <si>
    <t>直径 12 mm</t>
  </si>
  <si>
    <t>直径 18 mm</t>
  </si>
  <si>
    <t>直径 32 mm</t>
  </si>
  <si>
    <t>烧瓶刷</t>
  </si>
  <si>
    <t>250 mL 烧瓶用</t>
  </si>
  <si>
    <t>500 mL 烧瓶用</t>
  </si>
  <si>
    <t>滴定管刷</t>
  </si>
  <si>
    <t>长度≥550mm</t>
  </si>
  <si>
    <t>研钵</t>
  </si>
  <si>
    <t>瓷或玻璃制，60 mm</t>
  </si>
  <si>
    <t>瓷或玻璃制，100 mm</t>
  </si>
  <si>
    <t>蒸发皿</t>
  </si>
  <si>
    <t>瓷制，60 mm</t>
  </si>
  <si>
    <t>瓷制，120 mm</t>
  </si>
  <si>
    <t>布氏漏斗</t>
  </si>
  <si>
    <t>瓷制，80 mm</t>
  </si>
  <si>
    <t>反应板</t>
  </si>
  <si>
    <t>白色陶瓷，6 孔，表面有釉层</t>
  </si>
  <si>
    <t>井穴板</t>
  </si>
  <si>
    <t>透明塑料，9 孔，每孔 0.7 mL，环保材料</t>
  </si>
  <si>
    <t>透明塑料，6 孔，每孔 5 mL，配 6 个双导气管的井穴塞</t>
  </si>
  <si>
    <t>塑料多用滴管</t>
  </si>
  <si>
    <t>弹性圆筒形吸泡和一根Φ1 mm×120 mm 的径管连接而成，容积 4 mL</t>
  </si>
  <si>
    <t>塑料洗瓶</t>
  </si>
  <si>
    <t>250 mL 或 500 mL，水嘴略向下倾斜,口径 1mm～2 mm,瓶口紧实不漏气</t>
  </si>
  <si>
    <t>透明塑料水槽</t>
  </si>
  <si>
    <t>≥250 mm×180 mm×100 mm</t>
  </si>
  <si>
    <t>集气瓶挂扣器</t>
  </si>
  <si>
    <t>适合 125 mL 集气瓶，塑料制</t>
  </si>
  <si>
    <t>适合 250 mL 集气瓶，塑料制</t>
  </si>
  <si>
    <t>注射器</t>
  </si>
  <si>
    <t>10 mL，塑料</t>
  </si>
  <si>
    <t>锋利</t>
  </si>
  <si>
    <t>50 mL，玻璃制</t>
  </si>
  <si>
    <t>飞鸽</t>
  </si>
  <si>
    <t>铂金丝</t>
  </si>
  <si>
    <t>Φ0.5 mm×50 mm；具金属柄，可拆卸</t>
  </si>
  <si>
    <t>酒精喷灯</t>
  </si>
  <si>
    <t>座式，铜制，壶体容积≥300 mL，火焰温度≥1000 ℃</t>
  </si>
  <si>
    <t>华奇</t>
  </si>
  <si>
    <t>储气装置</t>
  </si>
  <si>
    <t>容积≥2 L</t>
  </si>
  <si>
    <t>储气袋</t>
  </si>
  <si>
    <t>容积≥30 L，可承受≥10.6 kPa 压力，使用 PVC 和橡胶材料制成，导气管为硅胶软管，长度≥50 cm，软管应有止气阀，关闭时确保不漏气</t>
  </si>
  <si>
    <t>定性滤纸</t>
  </si>
  <si>
    <t>快速，9 cm，100 张/盒</t>
  </si>
  <si>
    <t>长里百灵</t>
  </si>
  <si>
    <t>快速，15 cm，100 张/盒</t>
  </si>
  <si>
    <t>中和热测定仪</t>
  </si>
  <si>
    <r>
      <rPr>
        <sz val="12"/>
        <color theme="1"/>
        <rFont val="宋体"/>
        <charset val="134"/>
      </rPr>
      <t>包括反应容器、温度计、环形玻璃搅拌棒</t>
    </r>
    <r>
      <rPr>
        <sz val="12"/>
        <color theme="1"/>
        <rFont val="宋体"/>
        <charset val="134"/>
      </rPr>
      <t xml:space="preserve">  </t>
    </r>
    <r>
      <rPr>
        <sz val="12"/>
        <color theme="1"/>
        <rFont val="宋体"/>
        <charset val="134"/>
      </rPr>
      <t>≥高度160mm直径90mm</t>
    </r>
  </si>
  <si>
    <t>原电池实验器</t>
  </si>
  <si>
    <t>包括缸体、带固定接线柱和电极夹的缸体盖板、铜电极板、锌电极板、铁电极板、碳棒、发光二极管、导线等</t>
  </si>
  <si>
    <t>溶液导电演示器</t>
  </si>
  <si>
    <t>主要配置及特征参数：由电表、电位器、电阻、石墨电极、透明贮液筒、底座、档位开关等组成技术指标：外形尺寸666×470mm（±5mm）；上下为钢结构,具有良好的抗拉强度，表面绿色喷塑处理。左右为ABS塑料精密注塑成型边框。仪器面板表面印有原理电路图，配有透明透明贮液筒（带底座）5个、内表外表切换开关、1×7档位开关（其中一档为校验），预留外表接口，可同时比较五组溶液的导电性能。能够完成的教学演示：不同溶液的的导电性能</t>
  </si>
  <si>
    <t>教师用分子结构模型</t>
  </si>
  <si>
    <t>球棍式，氢原子球直径不小于 30 mm，其他原子球直径不小于 40 mm</t>
  </si>
  <si>
    <r>
      <rPr>
        <sz val="12"/>
        <color theme="1"/>
        <rFont val="宋体"/>
        <charset val="134"/>
      </rPr>
      <t>空间充填式</t>
    </r>
    <r>
      <rPr>
        <sz val="12"/>
        <color theme="1"/>
        <rFont val="宋体"/>
        <charset val="134"/>
      </rPr>
      <t xml:space="preserve">   </t>
    </r>
    <r>
      <rPr>
        <sz val="12"/>
        <color theme="1"/>
        <rFont val="宋体"/>
        <charset val="134"/>
      </rPr>
      <t>直径不小于30mm</t>
    </r>
  </si>
  <si>
    <t>学生用分子结构模型</t>
  </si>
  <si>
    <t>球棍式，氢原子球直径不小于 17 mm，其他原子球直径不小于 25 mm</t>
  </si>
  <si>
    <t>价层电子对互斥模型</t>
  </si>
  <si>
    <t>外包装尺寸不小于23cm*17cm*3cm</t>
  </si>
  <si>
    <t>金属晶体结构模型</t>
  </si>
  <si>
    <t>包括但不局限于Cu、Na、Zn 等球直径不小于 30 mm</t>
  </si>
  <si>
    <t>离子晶体结构模型</t>
  </si>
  <si>
    <t>包括但不局限于氯化钠、氯化铯等球直径不小于 30 mm</t>
  </si>
  <si>
    <t>共价晶体结构模型</t>
  </si>
  <si>
    <t>包括但不局限于金刚石、二氧化硅等球直径不小于 30 mm</t>
  </si>
  <si>
    <t>分子晶体结构模型</t>
  </si>
  <si>
    <r>
      <rPr>
        <sz val="12"/>
        <color theme="1"/>
        <rFont val="宋体"/>
        <charset val="134"/>
      </rPr>
      <t>包括但不局限于 C</t>
    </r>
    <r>
      <rPr>
        <vertAlign val="subscript"/>
        <sz val="12"/>
        <color theme="1"/>
        <rFont val="宋体"/>
        <charset val="134"/>
      </rPr>
      <t>60</t>
    </r>
    <r>
      <rPr>
        <sz val="12"/>
        <color theme="1"/>
        <rFont val="宋体"/>
        <charset val="134"/>
      </rPr>
      <t>、冰、干冰、碘、天然气水合物等球直径不小于 30 mm</t>
    </r>
  </si>
  <si>
    <t>混合型晶体结构模型</t>
  </si>
  <si>
    <t>石墨球直径不小于 30 mm</t>
  </si>
  <si>
    <t>高中物理电学</t>
  </si>
  <si>
    <t>序号</t>
  </si>
  <si>
    <t>规格、品名、教学性能要求</t>
  </si>
  <si>
    <t>电与磁</t>
  </si>
  <si>
    <t>玻棒(附丝绸)</t>
  </si>
  <si>
    <t>或有机玻棒(附丝绸)，丝绸面积≥350 mm×350 mm。在规定工作条件下，用丝绸裹住玻棒（或有机玻棒），做一次快速拉出，棒上所带的电荷用 D－YDQ－Z－ 100 型指针验电器检验张角≥30°（≥50°）。</t>
  </si>
  <si>
    <t>对</t>
  </si>
  <si>
    <t>胶棒(附毛皮)</t>
  </si>
  <si>
    <t>或聚碳酸酯棒(附毛皮)，毛皮面积≥150 mm×150 mm。在规定工作条件下，用毛皮裹胶棒（或聚碳酸脂棒），做一次快速拉出，棒上所带的电荷用 D－YDQ－Z－100 型指针验电器检验张角≥30°（≥45°）。</t>
  </si>
  <si>
    <t>箔片验电器</t>
  </si>
  <si>
    <t>由外壳、圆盘、导电杆、绝缘子、箔片、中位卡、接线柱和底座等组成。外壳应由不能带静电的材料制成，观察面应采用透明材料，透明材料透光率≥90%，箔片长度≥25 mm。性能要求：相对湿度≤ 65%的环境，圆盘上加 8 kV 直流高压，箔片张开与中位片角度≥45°。移去高压后，箔片张开角度保持 30°以上的时间≥10 min</t>
  </si>
  <si>
    <t>指针验电器</t>
  </si>
  <si>
    <t>D－YDQ－Z－100 型指针验电器，由外壳、圆球、法拉第圆筒、导电杆、绝缘子、指针、指针架、接地线柱构成。外壳应由不能带静电的材料制成，外壳上观察面应采用透明材料（透光率≥90%），指针用非磁性材料，长度≥100 mm，带法拉第圆筒。性能要求：相对湿度≤65%的环境，圆球加 9 kV 直流高压，指针张开角度在 45º～50º，移去高压后，指针保持 30°以上的时间≥20 min，提供具有第三方质量检测机构检测报告复印件</t>
  </si>
  <si>
    <t>移电球（验电球）</t>
  </si>
  <si>
    <t>带有绝缘棒的金属小球</t>
  </si>
  <si>
    <t>正负电荷检验器</t>
  </si>
  <si>
    <t>由机壳、指示灯、复位开关、电源开关、探头、电路板、电池盒等组成。可用于检验摩擦起电的电荷、电容等带电体的正负，还可演示静电感应现象</t>
  </si>
  <si>
    <t>感应起电机</t>
  </si>
  <si>
    <t>由起电盘、底座、莱顿瓶、集电杆、放电杆、电刷、电刷杆、皮带轮、连接片组成。起电盘上导电膜应采用铝箔和纸箔交替分布，电刷应采用束状磷铜线，导电膜与起电盘的 90°剥离强度应≥8 N，使用硅橡胶带。性能要求：在温度为20 ℃、相对湿度为 65%±5% 的环境中，摇柄转速 120 r/min，火花放电距离应≥55 mm，在温度为 5 ℃～30 ℃范围，相对湿度为85%±5%的条件下，仪器应正常工作， 提供具有第三方质量检测机构检测报告复印件</t>
  </si>
  <si>
    <t>库仑扭秤模型</t>
  </si>
  <si>
    <t>由悬丝、横杆、两个带电金属小球，一个平衡小球，一个移电小球、旋钮和电磁阻尼部分等组成。仪器封装在有机玻璃罩内，玻璃罩的下半部分做成可开合的门，以便清洁绝缘横杆和竖立支杆，调整绝缘横杆的水平，使金属小球带电等。仪器的底座上装有三个螺旋支脚，旋转支脚，可调底座水平</t>
  </si>
  <si>
    <t>库仑定律演示器</t>
  </si>
  <si>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</si>
  <si>
    <t>静电驱动演示器</t>
  </si>
  <si>
    <t>由环形轨道和交错排列的两组铝箔片组成，配有绝缘底座，轨道截面为弧形，轨道外径Φ400 mm，内径Φ280 mm，每片铝箔宽 10 mm，箔片间隔约 40 mm，两组箔片设有引线，可分别连接起电机。附件：喷有石墨漆的直径Φ20 mm 的泡沫球两个，接线夹导线两根，导线质地较硬，使用时不能下垂至桌面以免漏电</t>
  </si>
  <si>
    <t>验电羽</t>
  </si>
  <si>
    <t>由绝缘支架、金属片、细尼龙绳、螺钉等组成。绝缘支架上装有两片金属片，两金属片间夹有若干长条形细尼龙绳</t>
  </si>
  <si>
    <t>电子束演示器</t>
  </si>
  <si>
    <r>
      <rPr>
        <sz val="12"/>
        <color theme="1"/>
        <rFont val="宋体"/>
        <charset val="134"/>
      </rPr>
      <t xml:space="preserve">产品采用全金属机箱，使用彩涂铁板，铝合金型材机框，机箱结构部分无塑料配件。加速电压：0～700伏 </t>
    </r>
    <r>
      <rPr>
        <sz val="12"/>
        <color theme="1"/>
        <rFont val="宋体"/>
        <charset val="134"/>
      </rPr>
      <t xml:space="preserve"> </t>
    </r>
    <r>
      <rPr>
        <sz val="12"/>
        <color theme="1"/>
        <rFont val="宋体"/>
        <charset val="134"/>
      </rPr>
      <t xml:space="preserve">连续可调。偏转电压：幅度为0～50伏 </t>
    </r>
    <r>
      <rPr>
        <sz val="12"/>
        <color theme="1"/>
        <rFont val="宋体"/>
        <charset val="134"/>
      </rPr>
      <t xml:space="preserve"> </t>
    </r>
    <r>
      <rPr>
        <sz val="12"/>
        <color theme="1"/>
        <rFont val="宋体"/>
        <charset val="134"/>
      </rPr>
      <t xml:space="preserve">连续可调。偏转方向：上、下、左、右四个方向。（电场作用）显示方式：荧光屏幕显示电子束径迹。电源：220V±10％ </t>
    </r>
    <r>
      <rPr>
        <sz val="12"/>
        <color theme="1"/>
        <rFont val="宋体"/>
        <charset val="134"/>
      </rPr>
      <t xml:space="preserve"> </t>
    </r>
    <r>
      <rPr>
        <sz val="12"/>
        <color theme="1"/>
        <rFont val="宋体"/>
        <charset val="134"/>
      </rPr>
      <t>50Hz。功耗：＜30W。工作环境：a)温度：0～40℃。b)相对湿度：＜85%。连续工作时间：一小时。</t>
    </r>
  </si>
  <si>
    <t>平行板电容器演示器</t>
  </si>
  <si>
    <t>由两片带有有机玻璃支架的铝板板构成，有机玻璃底座，可用螺丝固定在底座上上，且面积、材质完全相同。另配与金属板面积相同的绝缘板一件，配合感应起电机和指针验电器等仪器使用</t>
  </si>
  <si>
    <t>常用电容器示教板</t>
  </si>
  <si>
    <t>主要配置及特征参数：
由电解电容器、云母电容器、陶瓷电容器、独石电容器、薄膜电容器、贴片电容器、微调电容器、可变电容器等组成。
技术指标：外形尺寸666*470mm（±5mm）；上下为钢结构,具有良好的抗拉强度，表面绿色喷塑处理。左右为ABS塑料精密注塑成型边框。   
能够完成的教学演示：
展示常用电容器的实物，使学生了解常用电容器种类和外形，以加深对电容器外形与结构的认识；另配万用表可以演示测定不同种类电容的值。</t>
  </si>
  <si>
    <t>电容器实验板</t>
  </si>
  <si>
    <t>包含不少于 5 种规格不同电解电容器，排列均匀，焊接在实验板上，能有效实现电容器充放电等实验，尺寸：200*150*20mm</t>
  </si>
  <si>
    <t>块</t>
  </si>
  <si>
    <t>常用电阻器示教板</t>
  </si>
  <si>
    <t>主要配置及特征参数：由定值电阻(碳膜电阻、金属膜电阻、绕线电阻、水泥电阻、贴片式电阻等)、可变电阻(电位器、小型滑动变阻器)、特殊电阻(热敏电阻、光敏电阻、压敏电阻）等组成。
技术指标：外形尺寸666*470mm（±5mm）；上下为钢结构,具有良好的抗拉强度，表面绿色喷塑处理。左右为ABS塑料精密注塑成型边框。    
能够完成的教学演示：展示常用电阻器的实物，使学生了解常用电阻器种类和外形，以加深对电阻器外形与结构的认识；另配万用表可以演示测定不同种类电阻的阻值。</t>
  </si>
  <si>
    <t>单刀开关</t>
  </si>
  <si>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</si>
  <si>
    <t>单刀双掷开关</t>
  </si>
  <si>
    <t>蓄电池</t>
  </si>
  <si>
    <t>6 V，12 Ah，阀控式</t>
  </si>
  <si>
    <t>电池盒</t>
  </si>
  <si>
    <t>R20（1＃）电池用，有接线柱，负极可用弹簧或弹性磷铜片，有串并联接插口，电池装反时不能接通</t>
  </si>
  <si>
    <t>R6 电池用，有接线柱，负极可用弹簧或弹性磷铜片，有串联接插口，电池装反时不能接通。</t>
  </si>
  <si>
    <t>高中学生电源</t>
  </si>
  <si>
    <t>交流输出：2 V～16 V/3 A，每 2 V 一档。直流稳压输出：2 V～16 V/2 A，每 2 V一档。有过载保护。安全要求：电源端与外壳抗电强度 1500 V（有保护接地线）或3000V（无保护接地线），电源端与低压输出抗电强度 3000V</t>
  </si>
  <si>
    <t>高中教学电源</t>
  </si>
  <si>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</si>
  <si>
    <t>演示电表</t>
  </si>
  <si>
    <t>2.5 级，直流电流：200 μA、 0.5  A、
2.5 A，直流电压：2.5 V、10 V，检流：
－500 μA～500 μA，电压灵敏度： 5 kΩ/V</t>
  </si>
  <si>
    <t>直流电压表</t>
  </si>
  <si>
    <t>3 V、15 V 双量程，2.5 级，基本误差、升降变差、平衡误差不超过量程上限的 2.5％</t>
  </si>
  <si>
    <t>烛光</t>
  </si>
  <si>
    <t>0.6 A、3 A 双量程，2.5 级，基本误差、升降变差、平衡误差不超过量程上限的 2.5％</t>
  </si>
  <si>
    <t>指针式，不低于 2.5 级，功能不低于 MF47型</t>
  </si>
  <si>
    <t>电阻定律演示器</t>
  </si>
  <si>
    <t>由底板、2 种金属导线（康铜、镍铬）、接线柱、支撑架等组成；康铜导线 2 根（长均为 1000 mm，直径分别为0.5 mm、0.3 mm）；镍铬线 2 根（长分别为 1000 mm、500 mm，直径均为 0.3 mm）</t>
  </si>
  <si>
    <t>电阻定律实验器</t>
  </si>
  <si>
    <t>由底板、2 种金属导线（康铜、镍铬）、接线柱等组成；康铜导线 2 根（长均为 500 mm，直径分别为0.5 mm、0.3 mm）；镍铬线 2 根（长分别为 500 mm、300 mm，直径均为 0.3 mm）。</t>
  </si>
  <si>
    <t>接线夹导线</t>
  </si>
  <si>
    <r>
      <rPr>
        <sz val="12"/>
        <color rgb="FF000000"/>
        <rFont val="宋体"/>
        <charset val="134"/>
      </rPr>
      <t>纯铜接线夹；纯铜导线，长度分别为 200 mm、300 mm、400 mm，芯线截面积不小于 0.5 mm</t>
    </r>
    <r>
      <rPr>
        <vertAlign val="superscript"/>
        <sz val="12"/>
        <color theme="1"/>
        <rFont val="宋体"/>
        <charset val="134"/>
      </rPr>
      <t>2</t>
    </r>
    <r>
      <rPr>
        <sz val="12"/>
        <color rgb="FF000000"/>
        <rFont val="宋体"/>
        <charset val="134"/>
      </rPr>
      <t>；各两根，宜用不同线色</t>
    </r>
  </si>
  <si>
    <t>接线叉导线</t>
  </si>
  <si>
    <r>
      <rPr>
        <sz val="12"/>
        <color rgb="FF000000"/>
        <rFont val="宋体"/>
        <charset val="134"/>
      </rPr>
      <t>纯铜接线叉，接线叉开口 5.9 mm；纯铜导线，长度分别为 200 mm、300 mm、400 mm，芯线截面积不小于 0.5 mm</t>
    </r>
    <r>
      <rPr>
        <vertAlign val="superscript"/>
        <sz val="12"/>
        <color theme="1"/>
        <rFont val="宋体"/>
        <charset val="134"/>
      </rPr>
      <t>2</t>
    </r>
    <r>
      <rPr>
        <sz val="12"/>
        <color rgb="FF000000"/>
        <rFont val="宋体"/>
        <charset val="134"/>
      </rPr>
      <t>；各2根；宜用不同线色</t>
    </r>
  </si>
  <si>
    <t>组合接头导线</t>
  </si>
  <si>
    <r>
      <rPr>
        <sz val="12"/>
        <color rgb="FF000000"/>
        <rFont val="宋体"/>
        <charset val="134"/>
      </rPr>
      <t>一头为纯铜接线叉，一头为接线夹，接线叉开口 5.9 mm；纯铜导线，长度分别为 200 mm、300 mm、400 mm，芯线截面积不小于 0.5 mm</t>
    </r>
    <r>
      <rPr>
        <vertAlign val="superscript"/>
        <sz val="12"/>
        <color theme="1"/>
        <rFont val="宋体"/>
        <charset val="134"/>
      </rPr>
      <t>2</t>
    </r>
    <r>
      <rPr>
        <sz val="12"/>
        <color rgb="FF000000"/>
        <rFont val="宋体"/>
        <charset val="134"/>
      </rPr>
      <t>；各两根，宜用不同线色</t>
    </r>
  </si>
  <si>
    <t>电阻圈</t>
  </si>
  <si>
    <t>包括 5 Ω、1.5 A，10 Ω、1.0 A，15 Ω，0.6 A 共 3 种规格， 阻值误差±1%；电阻丝应采用锰铜线或康铜线绕制；按额定电流连续工作 15 min 后，5 Ω、1.5 A，10 Ω、1.0 A，15 Ω、0.6 A 电阻圈外壳两侧温升分别不应高于 60 K、60 K 和45 K；按额定电流连续工作 2 h 后外壳不应出现焦灼、熔化变形、冒烟现象；加热后电阻值变化应在 1%以内。</t>
  </si>
  <si>
    <t>电阻箱</t>
  </si>
  <si>
    <t>六位，99999.9 Ω，1 级</t>
  </si>
  <si>
    <t>光扬</t>
  </si>
  <si>
    <t>教学用 E10 螺
口灯座
（小灯座）</t>
  </si>
  <si>
    <t>由底座、接线柱和灯座等组成。底座应采用硬质绝缘材料制成，最高工作电压应为 36 V 最大工作电流应为 2.5 A。灯座口圈应采用厚 0.4 mm～0.5 mm 的黄铜材料制作，中心触点应采用厚 0.3 mm～0.4 mm 的磷铜材料制作，中心电极应有弹性。 两接线柱之间绝缘电阻应≥2 M Ω</t>
  </si>
  <si>
    <t>电珠(小灯泡)</t>
  </si>
  <si>
    <t>1.5 V，0.3 A</t>
  </si>
  <si>
    <t>2.5 V，0.3 A</t>
  </si>
  <si>
    <t>滑动变阻器</t>
  </si>
  <si>
    <t>10Ω，2A滑杆宜采用正多边形截面（正六边形、正四边形、正三角形）；滑片不应滑出端夹以外；全部电阻线以额定电流连续工作30min，温升不应超过300℃</t>
  </si>
  <si>
    <t>20Ω，2A滑杆采用正多边形截面（正六边形、正四边形、正三角形）；滑片不应滑出端夹以外；全部电阻线以额定电流连续工作30min，温升不应超过300℃</t>
  </si>
  <si>
    <t>菱形小磁针</t>
  </si>
  <si>
    <t>16 支，磁针 28 mm×8 mm，座Φ25 mm×25 mm，磁针体中间铆接铜轴承套，内嵌玻璃轴承，平均磁感应强度≥5 mT</t>
  </si>
  <si>
    <t>翼形磁针</t>
  </si>
  <si>
    <t>2 支，针体 140 mm×8 mm，座Φ71 mm×112 mm。磁针体中间铆接铜轴承套，内嵌玻璃轴承，平均磁感应强度≥9 mT</t>
  </si>
  <si>
    <t>条形磁铁</t>
  </si>
  <si>
    <t>D-CG-LT-180，表面磁感应强度≥0.07 T</t>
  </si>
  <si>
    <t>蹄形磁铁</t>
  </si>
  <si>
    <t>一体成型，D-CG-LU-100，表面磁感应强度≥0.055 T</t>
  </si>
  <si>
    <t>磁感线演示板</t>
  </si>
  <si>
    <t>磁针式，透明穴板尺寸不小于 210 mm×70 mm，可演示直导线、圆线圈、螺线管、亥姆霍兹线圈磁场</t>
  </si>
  <si>
    <t>立体磁感线演示器</t>
  </si>
  <si>
    <t>由六块平面磁感线演示板在空间交叉均匀分布，单块面积约 150 mm×100 mm，在中间预留放置条形或蹄形强磁铁的位置，放上磁铁后，演示器上可以自由移动的小磁针应模拟出空间各个位置的磁感线分布</t>
  </si>
  <si>
    <t>通电平行直导线相互作用演示器</t>
  </si>
  <si>
    <t>旋转式。按通电 2 s，间隔 4 s 的过程，连续操作 10 次后，变压器的初级线圈温升应不高于 80 ℃。接入同向电流后作相互吸引运动，两导线能运动到相互接触。接入反方向电流后作相互排斥运动，两导线的最大间距应不小于 70 mm。连续运行十次不应出现故障，需去除氧化层</t>
  </si>
  <si>
    <t>螺线管</t>
  </si>
  <si>
    <t>透明底板，纯铜漆包线，单层绕线，线圈直径不小于45mm,线圈绕向清晰可见，宜附带手柄磁针</t>
  </si>
  <si>
    <t>组</t>
  </si>
  <si>
    <t>电磁波的发送和接收演示器</t>
  </si>
  <si>
    <t>由高频振荡器和接收器组成。采用声、光、电表指示等手段，可演示电磁波的发射和接收、调制、调谐、电谐振及电磁波的波动特性</t>
  </si>
  <si>
    <t>方形线圈</t>
  </si>
  <si>
    <t>非金属材料正方形框架，线圈应由直径Φ0.41 mm QZ 型漆包线绕 150 匝以上制成，线圈边长为 63 mm±3 mm，线圈引线为截面积为 0.20 mm2～0.25 mm2、长 320mm 的多股软线，线端接线叉。接线棒由绝缘材料制成，长度 150 mm～160 mm，安装红、黑接插两用接线柱，两接线柱的间距等于线圈宽度。接线棒固定端外径 10 mm，能固定在方座支架的垂直夹上</t>
  </si>
  <si>
    <t>安培力演示器</t>
  </si>
  <si>
    <t>由底座、磁极框架、磁铁、通电线框、接线柱、连接片、刻度盘支架、刻度盘、指针等组成</t>
  </si>
  <si>
    <t>演示电磁继电器</t>
  </si>
  <si>
    <t>主要配置及特征参数：由电磁线圈、铁芯、常开触点、常闭触点、弹簧、蜂鸣器、指示灯等组成。
核心产品技术指标：外形尺寸666*470mm（±5mm）；上下为钢结构,具有良好的抗拉强度，表面绿色喷塑处理。左右为ABS塑料精密注塑成型边框；仪器面板表面印有原理电路图，导线采用暗线布置，内部接线与面板上的电路图一致，红绿色指示灯分别指示常开和常闭状态。
能够完成的教学演示：电磁继电器工作原理。</t>
  </si>
  <si>
    <t>洛伦兹力演示器</t>
  </si>
  <si>
    <t>有洛伦兹力演示管</t>
  </si>
  <si>
    <t>阴极射线管</t>
  </si>
  <si>
    <r>
      <rPr>
        <sz val="12"/>
        <color rgb="FF000000"/>
        <rFont val="宋体"/>
        <charset val="134"/>
      </rPr>
      <t>磁偏转管，使用高压为 60kV，负载电流为 200μA 的直流高压电源，阴极射线管应能工作，电子束轨迹的亮度应≥100 cd/m</t>
    </r>
    <r>
      <rPr>
        <vertAlign val="superscript"/>
        <sz val="12"/>
        <color theme="1"/>
        <rFont val="宋体"/>
        <charset val="134"/>
      </rPr>
      <t>2</t>
    </r>
  </si>
  <si>
    <r>
      <rPr>
        <sz val="12"/>
        <color rgb="FF000000"/>
        <rFont val="宋体"/>
        <charset val="134"/>
      </rPr>
      <t>测量精度：2.5 级，测量范围：-300 μA～ 0μA～300 μA，表头内阻：G0 档 80 Ω～300 μA：G</t>
    </r>
    <r>
      <rPr>
        <vertAlign val="subscript"/>
        <sz val="12"/>
        <color theme="1"/>
        <rFont val="宋体"/>
        <charset val="134"/>
      </rPr>
      <t xml:space="preserve">0 </t>
    </r>
    <r>
      <rPr>
        <sz val="12"/>
        <color rgb="FF000000"/>
        <rFont val="宋体"/>
        <charset val="134"/>
      </rPr>
      <t>档 80 Ω～125 Ω，G1 档 2400 Ω～3000 Ω</t>
    </r>
  </si>
  <si>
    <t>演示原副线圈</t>
  </si>
  <si>
    <t>原线圈：0.56 mm QZ 型漆包线 350 匝～370 匝，线圈架内径 13 mm，绕线宽度 65mm； 副线圈：0.25 mm QZ 型漆包线 2100匝～2200 匝，线圈架内径 35 mm，绕线宽度 69 mm。性能要求：各线圈都应带绕向标识。</t>
  </si>
  <si>
    <t>原副线圈</t>
  </si>
  <si>
    <t>原线圈：0.56 mm QZ 型漆包线 310 匝～330 匝，线圈架内径 11 mm，绕线宽度 57mm。 副线圈 0.25 mm QZ 型漆包线 670匝～680 匝， 线圈架内径 24 mm，绕线宽度 52 mm。性能要求：各线圈都应带绕向标识。</t>
  </si>
  <si>
    <t>楞次定律演示器</t>
  </si>
  <si>
    <t>由铝梁、开口铝环、闭口铝环和带顶针的支柱座组成。铝梁长度不小于 140 mm,</t>
  </si>
  <si>
    <t>宽不小于 10 mm，厚为 0.5 mm，有两条通长加强筋，铜轴承套嵌在铝梁中间，内钳玻璃轴承。铝环直径不小于 40 mm，宽不小于 10 mm，厚 0.5 mm～1 mm。铝梁和铝环表面应氧化处理。铝梁置于支柱顶针时应能保持水平，两端高度差不大于 2 mm，并转动灵活</t>
  </si>
  <si>
    <t>电磁阻尼演示器</t>
  </si>
  <si>
    <t>管式；由底座、支架、透明亚克力管、铜管2根（其中一根侧壁开有等间距细缝）、铝管1根以及同尺寸的塑料柱、钕磁铁等组成；管的尺寸：长400mm~600mm；内径20mm、厚2mm；可呈现强阻尼、弱阻尼、无阻尼</t>
  </si>
  <si>
    <t>仪器由：底座、铝合金立杆、扇形阻尼摆、齿状阻尼摆、U型磁铁等组成 
1、底板尺寸：140*100*20mm    铝合金立杆尺寸：20*20*200mm 阻尼摆尺寸：98*180mm厚度为1.5mm的铝板                                    
外壳为金属喷塑成型
3、阻尼摆采用铝制，一只底部是半圆、一只底部是半圆齿状                         
4、可以同时使用两只阻尼摆进行比较</t>
  </si>
  <si>
    <t>旋转式</t>
  </si>
  <si>
    <t>自感现象演示器</t>
  </si>
  <si>
    <t>主要配置及特征参数：由小灯泡、灯座、变压器、电位器、开关等组成。
产品技术指标：外形尺寸666*470mm（±5mm）；上下为钢结构,具有良好的抗拉强度，表面绿色喷塑处理。左右为ABS塑料精密注塑成型边框；仪器面板分为“通电自感现象”和“断电自感现象”两部分。表面印有电路原理图并分别标有两部分的工作电压。导线采用暗线布置，内部接线与面板上的原理图一致。
能够完成的教学演示：通电自感现象演示；断电自感现象演示。</t>
  </si>
  <si>
    <t>教学示波器</t>
  </si>
  <si>
    <t>DC～5 MHz，扫描范围：10 Hz～100 kHz， I 类电器，电源端与信号输出端，抗电强度 3000 V</t>
  </si>
  <si>
    <t>交流电路特性演示器</t>
  </si>
  <si>
    <t>1、产品外框尺寸:长585*高420mm*宽54mm±3mm；框架为铝塑结构。
2、演示面板尺寸:≥530mm*360mm，采用≥4.5mm厚木板UV彩色印制技术制作,色彩鲜艳持久，版面清晰，标识明确与框架完美契合，安装无偏差。后背板采用厚度≥4.5mm密度板制作，平整度高，确保整体结构稳固不形变。
3、产品上下铝合金横梁采用几何力学设计，壁厚度≥1.1mm，型材两侧设有凹槽，可配套底脚的固定，横梁内侧的双凹槽兼容面板与背板嵌入式安装，有效连接框架结构；中心螺孔可实现铝塑框架异面无缝对接，提升整体稳固性，能解决传统横梁易变形问题。铝合金应选用国标6063 AL-Mg-Si铝合金棒通过热熔、挤压、时效强化、前处理、氧化电白等工艺处理，精制而成高强度铝合金型材。4、产品左右立柱采用天蓝色ABS塑料，一次性注塑成型，表面光洁无毛刺，色泽纯正。立柱宽54mm±1mm，长422mm±1mm。左右立柱上下两端设有U型槽，与上下横梁连接可完成框架中异面对接成体。左右立柱框架两端U型槽完美对接上下横梁两侧凹槽，实现框架多向受力提升强度，螺丝采用嵌入式连接。
5、产品输入电压：AC/DC6V 由香蕉座、绕线电阻、电解电容、小灯泡、灯座、电感线圈、纽子开关等组成。
6、产品底脚宽45mm士1mm，脚长136mm±1mm，底脚采用天蓝色ABS塑料，一次性注塑成型，表面光洁无毛刺，色泽纯正。底脚设有固定卡扣，与横梁两侧的凹槽配套安装，底脚安装后，并支持在横梁上左右滑动调节。</t>
  </si>
  <si>
    <t>变压器原理说明器</t>
  </si>
  <si>
    <t>由线圈、U 形铁芯、条形铁轭、极掌、压板螺钉、强阻尼摆、弱阻尼摆、摆架、示教板、感应线圈、铝环、低压小灯泡（6 V、1.5 V 等规格）、可调电阻、接线铝片、感应灯等组成；1600 匝线圈接220 V 时空载电流应不大于 60 mA</t>
  </si>
  <si>
    <t>可拆变压器</t>
  </si>
  <si>
    <t>单相芯式结构，铁芯以钢硅片冲制并经绝缘处理。 变压器初级线圈 1400匝在 220 V、50 Hz 电源供电时，空载电流应不大于 100 mA。 空载时变压器电压比与线圈匝数比误差应不大于 3%；变压器的电流比与线圈匝数比的误差升压时应不大于 10％，降压时应不大于 15％，均不应出现正误差。 变压器的效率应不低于 65%。额定功率 35 VA， 变压器在额定功率时连续运行 30 min，温升应不高于 30 K。 变压器抗电强度：初级线圈与铁芯间应不小于 3000 V。 初级线圈与铁芯、初级线圈与次级线圈绕组间的电气间隙和爬电距离应均不小于6 mm。 接线柱周围不应使用金属面板。</t>
  </si>
  <si>
    <t>三相电机原理演示器</t>
  </si>
  <si>
    <t>由蹄形磁铁、磁针、铝框、塑料框、方形线圈、支架、转轴、接线柱等组成。性能要求：包含永磁式旋转磁场演示器和电磁式旋转磁场演示器</t>
  </si>
  <si>
    <t>手摇交直流发电机</t>
  </si>
  <si>
    <t>包括定子、转子、整流器、集流环、电刷、灯座（带灯泡）、手摇驱动机构和底板等部分。定子应由永磁体和极靴组成，转子应由转轴、两极电枢铁芯、电枢线圈以及整流器和集流环等组成。整流器在任何位置不应将两电刷短路，电刷与整流器和集流环应使用弹性接触，转动灵活。转子转速为 1600 r/min 空载时，输出端交流和直流电压均应不小于 8V。接 16 Ω电阻负载时，输出端交流和直流电压均应不小于 5 V。不带皮带轮用作电动机使用时启动电压应不大于 4 V，电流应不大于 0.4 A</t>
  </si>
  <si>
    <t>手摇三相交流发电机</t>
  </si>
  <si>
    <t>励磁电流应不大于 2 A；空载输出相电压不小于 20 V；每相连接 42 Ω负转电阻时，输出相电压不小于 10 V；负载线电压不小于 16 V； 输出功率为 7 VA～8 VA；三相电压均衡度不小于 95％。负载板应有 Y 形和△形两种</t>
  </si>
  <si>
    <t>电磁振荡演示仪</t>
  </si>
  <si>
    <t>主要配置及特征参数：由具有铁芯的电感线圈、电容器、集成电路等组成。
产品技术指标：外形尺寸666*470mm（±5mm）；上下为钢结构,具有良好的抗拉强度，表面绿色喷塑处理。左右为ABS塑料精密注塑成型边框。包括等幅振荡演示电路和减幅振荡演示电路。仪器面板表面印有原理电路图，导线采用暗线布置，内部接线与面板上的电路图一致。
能够完成的教学演示：等幅振荡；减幅振荡。</t>
  </si>
  <si>
    <t>电磁波的干涉和衍射偏振演示器</t>
  </si>
  <si>
    <t>由微波发射器、微波接收器、大反射板、小反射板、棱镜、吸收体、反射板支架、偏振栅等组成</t>
  </si>
  <si>
    <r>
      <rPr>
        <sz val="12"/>
        <color theme="1"/>
        <rFont val="宋体"/>
        <charset val="134"/>
      </rPr>
      <t>高中物理力学</t>
    </r>
    <r>
      <rPr>
        <sz val="12"/>
        <color theme="1"/>
        <rFont val="宋体"/>
        <charset val="134"/>
      </rPr>
      <t>实验室基础器材配置要求</t>
    </r>
  </si>
  <si>
    <t>1、一体化金属结构设计
2、2、自带8个传感器接口，八通道并行采集，全数字通道，采样频率最大可达100KHz，可同时并行采集8组不同的数据。
3、采集器可以互相级联实验，可实现多个数据采集器和更多路传感器同步采集实验。
4、通过USB-B口与计算机或便携式实验终端连接，进行数据通讯，USB接口供电，无需外接电源；
5、通过USB2.0口与传感器连接，数字、模拟共用，即插即用，自动识别所有传感器；
6、采用低压设计保证用户安全，所有端口具备短路保护功能，PCB设置接地引到外壳；
7、设置DC5V电源接口，配有5V1A适配器，在电压不足或多传感器使用时保证供电电压稳定。</t>
  </si>
  <si>
    <t>中文简体界面，数据采集器接入计算机后能自动识别数据采集器及其状态，实时显示实验数据或曲线，具备多种对实验数据与图线的数据处理与分析工具，实验数据可以导出为表格或文本格式</t>
  </si>
  <si>
    <t>力传感器</t>
  </si>
  <si>
    <t>量程：±50N，分辨率：0.01N。用于测拉力（显示正值）和压力（显示负值）。
自带硬件调零按钮，短按自动校零，长按可自动切换力的正负值，节约时间，无需软件内设置公式。
1、传感器数据传输接口为智能Type-C接口，支持正反盲插，即插即用，自动识别；
2、支持与智能数字实验终端或数据采集器的USB接口连接，多个传感器并行采集实验数据；
3、还支持与普通计算机USB口直接连接，传输数字化实验数据。</t>
  </si>
  <si>
    <t>微力传感器</t>
  </si>
  <si>
    <t>量程：-2N～+2N；分辨率：0.001N。用于测拉力（显示正值）和压力（显示负值）。
自带硬件调零按钮，短按自动校零，长按可自动切换力的正负值，节约时间，无需软件内设置公式。
1、传感器数据传输接口为智能Type-C接口，支持正反盲插，即插即用，自动识别；
2、支持与智能数字实验终端或数据采集器的USB接口连接，多个传感器并行采集实验数据；
3、还支持与普通计算机USB口直接连接，传输数字化实验数据。</t>
  </si>
  <si>
    <t>光电门传感器</t>
  </si>
  <si>
    <t>量程：0~∞s，分辨率：0.001ms。用于测量物体通过光电门的挡光时间以及速度、加速度、动量、动能等。
1、传感器数据传输接口为智能Type-C接口，支持正反盲插，即插即用，自动识别；
2、支持与智能数字实验终端或数据采集器的USB接口连接，多个传感器并行采集实验数据；
3、还支持与普通计算机USB口直接连接，传输数字化实验数据。</t>
  </si>
  <si>
    <t>加速度传感器</t>
  </si>
  <si>
    <t>量程：±16g，分辨率：0.01g。可测量加速度值。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</si>
  <si>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分体式位移传感器</t>
  </si>
  <si>
    <t>量程：0m～2m，分辨率：0.5mm。用于小车运动时速度的测量、用于测量物体间的位移或距离。
由发射端和接收端两个部分组成，无测量盲区，发射器带有拨动开关，内置锂电池，可充电，易与现有实验装置（运动小车、弹簧振子等）组合。实验时，发射端与实验器材组合，接收端与数据采集器或PC连接，通过发射端发射超声波，接收端接收超声波信号，计算转化成位移。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</si>
  <si>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一体式位移传感器</t>
  </si>
  <si>
    <t>量 程：0.2～4m，分辨率：1mm。一体式超声波探头，用于测量物体运动的位移或物体间的距离。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</si>
  <si>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静电传感器</t>
  </si>
  <si>
    <t>量程：±100nC，分辨率：1nC。用于测量电荷量。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</si>
  <si>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三维磁感应强度传感器</t>
  </si>
  <si>
    <t>量程：-100mT～+100mT，分辨率：0.05mT。可同时监测X、Y、Z三个方向上磁感应强度的分量。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</si>
  <si>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压强传感器</t>
  </si>
  <si>
    <t>量程：0～700kPa，分辨率：0.1kPa。配有针筒，用于测量大气环境下或密闭空间内的气体的绝对压强。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</si>
  <si>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多量程电流传感器</t>
  </si>
  <si>
    <t>量程1：-2A～+2A、分辨率：0.01A；
量程2：-200mA～+200mA、分辨率：0.1mA；
量程3：-20mA ～+20mA、分辨率：0.01mA ；用于测量电路中的电流。
自带硬件切换按钮，短按可在3种量程间循环切换。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</si>
  <si>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微电流传感器</t>
  </si>
  <si>
    <t>量程：±50μA，分辨率：0.02μA。用于测量电路、电器两端的微安数量级的电流。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</si>
  <si>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电压传感器</t>
  </si>
  <si>
    <t>量程：±20V，分辨率：0.01V。用于测量电路、电器两端的电压。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</si>
  <si>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多量程电压传感器</t>
  </si>
  <si>
    <t>量程1：-20V～+20V、分辨率：0.01V；
量程2：-2V～+2V、分辨率：0.001V；
量程3：-0.2V～+0.2V、分辨率：0.0001V；用于测量电路、电器两端的电压。
自带硬件切换按钮，短按可在3种量程间循环切换。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</si>
  <si>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交流电压传感器</t>
  </si>
  <si>
    <t>量程：0～36V；分辨率：0.1V。用于测量交流电压的有效值。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</si>
  <si>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电磁定位系统</t>
  </si>
  <si>
    <t>硬件：
1、相机：高速120帧、USB2.0接口 
2、相机镜头：高清、无畸变、USB接口 
3、结构：型材支架、电磁定位面板、线、不同颜色小球组成                                                                  
软件：
1、通过实时定位，检测跟踪有色小球在定位板上的坐标，研究物体在平面内的运动规律；可直接与计算机或移动终端通信；选配器材包含单摆实验装置、平抛斜抛运动实验装置、自由落体实验装置。
2、定位准确、采集频率高，不受外部环境干扰。
3、数据拟合功能：软件自带数据拟合功能，可进行线性拟合、周期拟合，可直接分析出周期、速度、加速度等物理量。</t>
  </si>
  <si>
    <t>力学</t>
  </si>
  <si>
    <t>电 火 花计时器</t>
  </si>
  <si>
    <t>交流电压：220 V，单频率：0.020s，火花距离≥10 mm，平均电流≤0.5 mA，附固定夹</t>
  </si>
  <si>
    <t>电磁打点计时器</t>
  </si>
  <si>
    <t>电压 6 V～9 V、50 Hz 交流电，单频率： 0.020s，火花距离≥10 mm，平均电流≤0.5 mA，连续打 50 点应无漏点、重合点，点迹清晰，附固定夹</t>
  </si>
  <si>
    <t>群信群信</t>
  </si>
  <si>
    <t>演示斜面小车</t>
  </si>
  <si>
    <t>斜面板长≥1200 mm，一端应有滑轮、缓冲或捕获小车的装置；斜面板工作面平面度误差应小于 2 mm；附摩擦材料丁腈橡胶、砂纸、棉布等，有摩擦材料的固定夹</t>
  </si>
  <si>
    <t>演示轨道小车</t>
  </si>
  <si>
    <t>由铝合金轨道、2 辆小车及配件组成，应有调节轨道倾斜度的装置，轨道始端应有固定及释放小车的装置，终端有捕捉小车的装置。轨道的有效运动长度≥900 mm，轨道轨面的直线度误差不大于有效长度的 0.03%；可进行打点计时法测量加速度、滑动摩擦与滚动摩擦、物质的惯性、弹性碰撞、非弹性碰撞等实验；测量加速度相对误差≤8%</t>
  </si>
  <si>
    <t>斜面小车</t>
  </si>
  <si>
    <t>包括斜面、小车、摩擦块、支撑杆、砝码桶和摩擦材料等，与教学支架配套使用；斜面板≥915 mm×100 mm×20 mm，一端应有滑轮、缓冲或捕获小车的装置；斜面板工作面平面度误差应小于 2 mm；附摩擦材料丁腈橡胶、砂纸、棉布等，有摩擦材料的固定夹</t>
  </si>
  <si>
    <t>轨道小车</t>
  </si>
  <si>
    <t>车拖纸带打点式；由轨道、1 辆小车及配件组成，应配有打点纸带，应有调节轨道倾斜度的装置，轨道始端应有固定及释放小车的装置、固定计时器的平台，终端有捕捉小车的装置；轨道的有效运动长度≥600 mm，轨道轨面的直线度误差不大于有效长度的 0.03%；安装计时器后，记录纸带应能平行轨道运动；在倾斜度1:50 的轨道上小车应能从静止开始运动</t>
  </si>
  <si>
    <t>坐标纸</t>
  </si>
  <si>
    <t>1 cm 大格，1 mm 小格，A3型</t>
  </si>
  <si>
    <t>张</t>
  </si>
  <si>
    <t>金属直尺（钢直尺）</t>
  </si>
  <si>
    <t>1000 mm</t>
  </si>
  <si>
    <t>曙光</t>
  </si>
  <si>
    <t>300 mm</t>
  </si>
  <si>
    <t>钢卷尺</t>
  </si>
  <si>
    <t>0 mm～5000 mm，分度值 1 mm。B 型（自卷制动式），尺带宽不小于 12 mm，厚不低于 0.15 mm。尺带拉伸、收卷轻便灵活，无卡阻现象</t>
  </si>
  <si>
    <t>游标卡尺</t>
  </si>
  <si>
    <t>测量范围 0 mm～150 mm，分度值 0.05 mm，尺框微动装置沿尺身移动平稳、无卡滞和松动现象，用制动螺钉能准确、可靠的固定在尺身上，带深度尺</t>
  </si>
  <si>
    <t>卡工量</t>
  </si>
  <si>
    <t>演示外径千分尺（演示螺旋测微器）</t>
  </si>
  <si>
    <t>木质或铝合金材质，刻度清晰，刻度放大比例 1:20，锁紧装置能有效锁紧测微装置</t>
  </si>
  <si>
    <t>神宏桥</t>
  </si>
  <si>
    <t>外径千分尺（螺旋测微器）</t>
  </si>
  <si>
    <t>测量范围 0 mm～25 mm，分度值 0.01 mm。螺杆和螺母全量程范围内充分啮合，配合良好，无明显卡滞和轴向窜动，螺杆与轴套配合良好无明显径向摆动，锁紧装置能有效锁紧测微装置</t>
  </si>
  <si>
    <t>金属钩码</t>
  </si>
  <si>
    <t>50 g±0.5 g，每盒 10 个，可叠放；材料采用纯度 99.6%、粒度不小于 80#的铁基粉或其它钢材，钩码表面应有防腐镀层；硬度不小于 HB70；上下勾的连线应通过钩码主体的轴线</t>
  </si>
  <si>
    <t>频闪光源</t>
  </si>
  <si>
    <t>分档：0.5 Hz、1 Hz、2 Hz、5 Hz、10 Hz、20 Hz、25 Hz、40 Hz、50 Hz。允许误差：＜5 Hz，不大于 0.1 Hz；≥5 Hz，不大于 1 Hz</t>
  </si>
  <si>
    <t>直角坐标书写板</t>
  </si>
  <si>
    <t>做背景板用，印有方格。尺寸 800 mm×600 mm，分格 50 mm×50 mm</t>
  </si>
  <si>
    <t>直联泵（真空泵）</t>
  </si>
  <si>
    <t>I 型，单相，有防回油功能</t>
  </si>
  <si>
    <t>红宝石</t>
  </si>
  <si>
    <t>两用气筒</t>
  </si>
  <si>
    <t>活塞胶垫，气嘴外径 8 mm±0.1 mm，长度 15 mm，台阶口；抽气压强达到 6.7 kPa时，放置 30 s，漏气引起的压强变化应不大于 2.6 kPa；充气压强达到 290 kPa时，放置 30 s，漏气引起的压强变化应不大于 9.8 kPa</t>
  </si>
  <si>
    <t>毛钱管 (牛顿管)</t>
  </si>
  <si>
    <t>配和真空泵；金属片和羽毛片有明显的颜色区分；有机玻璃材质；抽气使管内压强降至－0.095MPa，停止抽气，静置 1min，管内压强应保持－0.095MPa 不变;金属片和羽毛片同时到达时间相差不超过 0.02S。</t>
  </si>
  <si>
    <t>双锥体上滚演示器</t>
  </si>
  <si>
    <t>含双椎体、圆柱体、支架等，支架导轨夹角可调</t>
  </si>
  <si>
    <t>重心和稳度演示仪</t>
  </si>
  <si>
    <t>250*200*216mm，长方体框架由上下两块长方形平行板和四根支柱组成。用中空的长方体框架来模拟一个物体。底板贴有防滑垫，中间立柱上有重心块，用来表示模拟物体的重心。立柱上的重心块可以在立柱滑动，并用紧固螺钉固定在立柱上，调整重块的上下位置可以改变物体重心的高低。重垂线挂在重心块的紧固螺钉上，垂线下端挂有重锤，可用于观察重力作用线。</t>
  </si>
  <si>
    <t>薄板重心测定演示器</t>
  </si>
  <si>
    <t>含有形状不规则的木板、重垂线、金属底座及立杆等组成。</t>
  </si>
  <si>
    <t>微小形变演示器</t>
  </si>
  <si>
    <t>利用光杠杆原理</t>
  </si>
  <si>
    <t>螺旋弹簧组</t>
  </si>
  <si>
    <t>由拉力极限分别为 4.9 N、2.94 N、1.96N、0.98 N 和 0.49 N 的 5 种弹簧构成；各弹簧带长 50 mm 挂钩（有指针），两端应为圆拉环，附标度板</t>
  </si>
  <si>
    <t>摩擦力演示器</t>
  </si>
  <si>
    <t>由摩擦板、摩擦块、摩擦材料、匀速电机、定滑轮、测力计、测力计支架、细绳、钩码等组成。提供 3 种不同摩擦系统的摩擦面。摩擦板不小于 800 mm×100mm×10 mm，平面度误差不大于 0.6 mm，质地坚硬，表面均匀。摩擦块尺寸不小于 110 mm×50 mm×35 mm，两摩擦面平
面度误差应不大于 0.1 mm，侧面有挂钩。
电机拉动速度 0 cm/s～5 cm/s，可调节。匀速运动速度误差±5%</t>
  </si>
  <si>
    <t>力的合成与分解演示器</t>
  </si>
  <si>
    <t>1、产品外框尺寸:长585*高420mm*宽54mm±3mm；框架为铝塑结构。
2、演示面板尺寸:≥540mm*360mm,采用≥4.5mm厚木板UV彩色印制技术制作,色彩鲜艳持久，版面清晰，标识明确与框架完美契合，安装无偏差。后背板采用厚度≥4.5mm密度板制作，平整度高，确保整体结构稳固不形变。
3、产品上下铝合金横梁采用几何力学设计，壁厚度≥1.1mm，型材两侧设有凹槽，可配套底脚的固定，横梁内侧的双凹槽兼容面板与背板嵌入式安装，有效连接框架结构；中心螺孔可实现铝塑框架异面无缝对接，提升整体稳固性，能解决传统横梁易变形问题。铝合金应选用国标6063 AL-Mg-Si铝合金棒通过热熔、挤压、时效强化、前处理、氧化电白等工艺处理，精制而成高强度铝合金型材。
4、产品左右立柱采用ABS塑料，一次性注塑成型，表面光洁无毛刺。立柱宽54mm士1mm，长422mm士1mm。左右立柱上下两端设有U型槽，与上下横梁连接可完成框架中异面对接成体。左右立柱框架两端U型槽完美对接上下横梁两侧凹槽，实现框架多向受力提升强度，螺丝采用嵌入式连接。
5、产品由5N 测力计及组件构成。验证原理：
（1)等效法：一个力F是两个力F1和F2的合力。
（2)根据平行四边形定则作出力F1和F2的合力F的图示。
（3)验证在共点力作用下物体平衡的条件是合力为零。6、产品底脚宽45mm士1mm，脚长136mm士1mm，底脚采用ABS塑料，一次性注塑成型，表面光洁无毛刺，色泽纯正。底脚设有固定卡扣，与横梁两侧的凹槽配套安装，底脚安装后，并支持在横梁上左右滑动调节。</t>
  </si>
  <si>
    <t>演示定滑轮</t>
  </si>
  <si>
    <t>有磁性，配合磁吸黑板使用，滑轮转盘尺寸不小于 50 mm1、外形尺寸：130*65*31mm   材质：ABS外壳                                                 2、工作电压：DC 4.5V 三节7号电池                                                   3、技术指标：                                                              1)、拉力峰值模式                                                          2）、量程20N，分辨率0.001N，误差≤0.2％，满量程±1／2字，有调零，内置校准、记忆功能，数字尺寸≥25*40cm                                               3）、内置校零                                                             4）、具有记忆存贮功能                                                      4、工作环境-10℃—40℃   5、拉钩可以拆卸</t>
  </si>
  <si>
    <t>条形盒测力计</t>
  </si>
  <si>
    <r>
      <rPr>
        <sz val="12"/>
        <color theme="1"/>
        <rFont val="宋体"/>
        <charset val="134"/>
      </rPr>
      <t>测量范围 0 N</t>
    </r>
    <r>
      <rPr>
        <sz val="12"/>
        <color theme="1"/>
        <rFont val="Arial Unicode MS"/>
        <charset val="134"/>
      </rPr>
      <t>〜</t>
    </r>
    <r>
      <rPr>
        <sz val="12"/>
        <color theme="1"/>
        <rFont val="宋体"/>
        <charset val="134"/>
      </rPr>
      <t>1 N，分度值 0.01 N；示值误差≤1/2 分度，升降示差≤1/2 分度，重复性偏差≤1/4 分度</t>
    </r>
  </si>
  <si>
    <t>测量范围 0 N〜2.5 N，分度值 0.05 N；示值误差≤1/4 分度，升降示差≤1/2 分度，重复性偏差≤1/4 分度</t>
  </si>
  <si>
    <t>测量范围 0 N〜5 N，分度值 0.1 N；示值误差≤1/4 分度，升降示差≤1/2 分度，重复性偏差≤1/4 分度</t>
  </si>
  <si>
    <t>力的平行四边形定则演示仪</t>
  </si>
  <si>
    <t>420mm*宽54mm±3mm；框架为铝塑结构。
2、演示面板尺寸:≥540mm*360mm,采用≥4.5mm厚木板UV彩色印制技术制作,色彩鲜艳持久，版面清晰，标识明确与框架完美契合，安装无偏差。后背板采用厚度≥4.5mm密度板制作，平整度高，确保整体结构稳固不形变。
3、产品上下铝合金横梁采用几何力学设计，壁厚度≥1.1mm，型材两侧设有凹槽，可配套底脚的固定，横梁内侧的双凹槽兼容面板与背板嵌入式安装，有效连接框架结构；中心螺孔可实现铝塑框架异面无缝对接，提升整体稳固性，能解决传统横梁易变形问题。铝合金应选用国标6063 AL-Mg-Si铝合金棒通过热熔、挤压、时效强化、前处理、氧化电白等工艺处理，精制而成高强度铝合金型材。
4、产品左右立柱采用ABS塑料，一次性注塑成型，表面光洁无毛刺，色泽纯正。立柱宽54mm士1mm，长422mm士1mm。左右立柱上下两端设有U型槽，与上下横梁连接可完成框架中异面对接成体。左右立柱框架两端U型槽完美对接上下横梁两侧凹槽，线条美观，实现框架多向受力提升强度，螺丝采用嵌入式连接。
5、产品由演示板、角度盘、弹簧测力计、框架等构成。
6、产品底脚宽45mm士1mm，脚长136mm士1mm，底脚采用天蓝色ABS塑料，一次性注塑成型，表面光洁无毛刺，色泽纯正。底脚设有固定卡扣，与横梁两侧的凹槽配套安装，底脚安装后，并支持在横梁上左右滑动调节，使产品摆放在台面上更加平稳，方便教学使用。</t>
  </si>
  <si>
    <t>力的平行四边形定则实验仪</t>
  </si>
  <si>
    <t>含橡皮筋、白纸（26 cm×36.8 cm）、图钉（不少于 4 个）、大头针（不少于 4个）、方木板（长×宽：400 mm×600 mm）等</t>
  </si>
  <si>
    <t>量角器 (圆等分器)</t>
  </si>
  <si>
    <t>最小分度值应为 1°，分度线应为 0º～180 º和 180 º～0 º双向标度，双向角度标度中间有划线槽。半圆直径应为500 mm～510 mm，尺面厚不小于 6 mm</t>
  </si>
  <si>
    <t>三角板</t>
  </si>
  <si>
    <t>等腰直角，中间带量角器，斜边不小于300 mm</t>
  </si>
  <si>
    <t>伽利略理想斜面演示器</t>
  </si>
  <si>
    <t>1、外形尺寸：≥1260*72*285mm                                                                  2、技术指标：                                                               
材料采用钢板喷塑成型                                                        两端附有刻度尺、一次成型塑钢 标尺一端可连续调节轨道由双轨道、刹车装置、滑轮、2 辆小车、拉力挂钩等组成。轨道有效运动长度不小于 600mm，轨面直线度误差不大于有效运动长度的 0.03%，两轨面平行度误差不大于有效运动长度的 0.1%；小车质量应为 200 g+n50 g(n=0、1、2……)，误差不大于小车标称质量的 2%；小车放在斜度 1：50 的轨道上应能从静止开始运动；刹车装置应能调节，使两辆小车同时静止或者同时开始运动；滑轮倾斜角度应可调节且固定可靠.</t>
  </si>
  <si>
    <t>电子天平</t>
  </si>
  <si>
    <t>测量范围 0 g〜500 g，分度值 0.5 g</t>
  </si>
  <si>
    <t>测量范围 0 g〜100 g，分辨力 0.001 g</t>
  </si>
  <si>
    <t>测量范围 0 g〜200 g，分辨力 0.01 g</t>
  </si>
  <si>
    <t>电子台秤</t>
  </si>
  <si>
    <t>测量范围 0 g〜5 kg，分辨力 0.1 g</t>
  </si>
  <si>
    <t>重锤</t>
  </si>
  <si>
    <t>300 g</t>
  </si>
  <si>
    <t>滚摆</t>
  </si>
  <si>
    <t>包括摆体（摆轮和摆轴）、悬线和支架等。摆轮采用金属材质，直径 125 mm；摆轴采用钢材制作，直径8 mm，长160 mm；支架高 460 mm，横梁长 300 mm；摆体质量为 0.6 kg～0.8 kg。摆体前 10 次的回升累计递减量应≤65 mm。</t>
  </si>
  <si>
    <t>气垫导轨</t>
  </si>
  <si>
    <t>导轨长 1200 mm，配气源，含滑行器、配备块、挡光片、挡光条、弹性碰撞器、非弹性碰撞器、滑轮、垫脚、定高垫块、砝码盘、弹簧振子、光电门架等附件</t>
  </si>
  <si>
    <t>小型气源</t>
  </si>
  <si>
    <t>气压不小于 5 kPa，静音气源，噪音不大于 55 dB，有配合弹簧振子和气垫导轨使用的接口或过渡接口</t>
  </si>
  <si>
    <t>数字计时器</t>
  </si>
  <si>
    <t>四位及以上，数据存储。可通过数码显示选择控制菜单，可设定多种计时模式，包括通过时间、挡光时间、速度、周期、平均周期、平均频率、计数、单摆周期、平均单摆周期、平均单摆频率、周期数等，能显示 10 个挡光间隔时间、10 周振动、n 次振动时间总和、加速度计时 3个时间、自由落体时间不少于 2 个2路光电门分别计 2 个挡光时间(对碰、追碰)，对应间隔时间的平均速度、加速度、碰撞计时四个平均速度；电磁铁可调释放延时补偿。具有 2 路光电门接口、2 路独立计时触发按钮，有电磁铁接口，统一通用接口，1 个电磁释放按钮，能够存储不少于 20 组数据。可用于匀加速运动、自由落体、圆周运动、牛顿第二定律、摆、碰撞、声速测量等实验。时间测量精度：0.01 ms；可计时范围：0.02 ms～100 h。配备无线传输模块，可与显示屏配套使用。</t>
  </si>
  <si>
    <t>曲线运动方向实验器</t>
  </si>
  <si>
    <t>产品规格：≥515*405mm；外框采用铝合金型材，由可拼接的塑料“S”形轨道、钢球、钢球释放装置等组成。小钢球能够在轨道内自由滚动。小钢球能够以一定的初速度从同一入口滚入轨道，滚出轨道时的速度方向(沿轨道该点切线)即为此时瞬时速度的方向，在加、减轨道时，小球滚出的速度方向不同。钢球在滚出轨道时会在版面上留下一条运动的轨迹，观察钢球在离开轨道时的速度方向。</t>
  </si>
  <si>
    <t>曲线运动条件实验器</t>
  </si>
  <si>
    <t>产品规格：≥540*410mm；外框采用铝合金型材，由倾角高度可调的铝合金轨道(斜面倾角30°左右,轨道长200 mm)、小钢球、磁铁、小球释放装置等组成。小钢球能够在轨道内自由滚动。将轨道放在水平面上并调好倾角高度后，能够保证小球从顶端释放后，在水平面内做同-直线运动。用磁铁在水平面内对运动的小球施加力，使小球运动方向改变。</t>
  </si>
  <si>
    <t>运动合成分解演示器</t>
  </si>
  <si>
    <t>两个分运动互成任何角，可做匀速-匀速、匀速-匀加速运动合成</t>
  </si>
  <si>
    <t>平抛竖落仪</t>
  </si>
  <si>
    <t>重锤击打式，两球应同时落地</t>
  </si>
  <si>
    <t>平抛和碰撞实验器</t>
  </si>
  <si>
    <t>包含演示板、钢球、铝合金钢球轨道、水平挡板、重锤等。小球从斜轨轨道末端飞出后做平抛运动，落到挡板上，挤压复写纸，留下痕迹，挡板上下位置可调，实验误差≤5%</t>
  </si>
  <si>
    <t>平抛运动演示仪</t>
  </si>
  <si>
    <t>由三个电磁铁钢球释放装置、水平并列固定相同弧形的两条轨道、钢球捕捉装置、铅垂线等组成。一个电磁铁释放的钢球做平抛运动，一个电磁铁释放的钢球做匀速直线运动，一个电磁铁释放的钢球做自由落体运动。相同高度、同时释放的三个钢球应同时被捕捉装置捕获。</t>
  </si>
  <si>
    <t>向心力演示器</t>
  </si>
  <si>
    <t>质量、半径和角速度均可调，向心力综合实验相对误差平均值不大于 5%</t>
  </si>
  <si>
    <t>碰撞实验器</t>
  </si>
  <si>
    <t>由轨道、小球、、重锤、支架和台夹等组成。小球应不少于 4 个，玻璃球和钢球各 2 个。轨道由金属材料制成，分为倾斜和水平两段，连接处应以圆弧过渡，圆弧的曲率半径为 70 mm±10 mm，两段之间的夹角α应为 150°±5°。实验误差≤5%</t>
  </si>
  <si>
    <t>反冲运动小车</t>
  </si>
  <si>
    <t>带风扇，有透明挡板</t>
  </si>
  <si>
    <t>弹簧振子</t>
  </si>
  <si>
    <t>气垫式</t>
  </si>
  <si>
    <t>纸带式，自动稳定走纸</t>
  </si>
  <si>
    <t>单摆振动图像演示器</t>
  </si>
  <si>
    <t>由金属吊坠、金属支架、组成。金属吊坠或者球带有笔头固定装置。</t>
  </si>
  <si>
    <t>单摆组</t>
  </si>
  <si>
    <t>5 个摆球，含 3 个直径不同的钢球，1 个木球，一个塑料球。单摆夹应由金属材料制成，夹口应为 V 形，单摆在摆动过程中摆线上的固定点应不变</t>
  </si>
  <si>
    <t>专用型，全时段分辨力 0.01s；有防震、防水功能，电池更换周期不小于 1.5 年</t>
  </si>
  <si>
    <t>演示游标卡尺</t>
  </si>
  <si>
    <t>木质或铝合金材质，刻度清晰，刻度放大比例 1:20</t>
  </si>
  <si>
    <t>受迫振动和共振演示器</t>
  </si>
  <si>
    <t xml:space="preserve">改变策动摆摆长可分别使 5 个摆长不同的单摆共振器由底座、铝合金立杆、钢球等组成                             外形尺寸：380*140*430mm     铝合金立杆尺寸：20*20*400   </t>
  </si>
  <si>
    <t>共振演示器</t>
  </si>
  <si>
    <t>仪器由金属底座、减速电机、凸轮、铝合金立杆、砝码等组成                 
1、外形尺寸：336*152*528mm    铝合金立杆尺寸：≥20*20*400            
工作电压：DC6-12V
3、工作环境：-10℃—40℃
4、外壳为金属喷塑成型</t>
  </si>
  <si>
    <t>纵横波演示器</t>
  </si>
  <si>
    <t>演示波传播的过程中质点不随波迁移，一个周期波传播一个波长</t>
  </si>
  <si>
    <t>波动弹簧</t>
  </si>
  <si>
    <r>
      <rPr>
        <sz val="12"/>
        <color theme="1"/>
        <rFont val="宋体"/>
        <charset val="134"/>
      </rPr>
      <t>扁钢丝弹簧密绕；弹簧钢丝宽 2.5 mm～2.8 mm，厚 0.6 mm～0.8 mm；弹簧刚度 2.0×10</t>
    </r>
    <r>
      <rPr>
        <vertAlign val="superscript"/>
        <sz val="12"/>
        <color theme="1"/>
        <rFont val="宋体"/>
        <charset val="134"/>
      </rPr>
      <t xml:space="preserve">－3 </t>
    </r>
    <r>
      <rPr>
        <vertAlign val="superscript"/>
        <sz val="12"/>
        <color theme="1"/>
        <rFont val="宋体"/>
        <charset val="134"/>
      </rPr>
      <t xml:space="preserve"> </t>
    </r>
    <r>
      <rPr>
        <sz val="12"/>
        <color theme="1"/>
        <rFont val="宋体"/>
        <charset val="134"/>
      </rPr>
      <t>N/mm～5.0×10</t>
    </r>
    <r>
      <rPr>
        <vertAlign val="superscript"/>
        <sz val="12"/>
        <color theme="1"/>
        <rFont val="宋体"/>
        <charset val="134"/>
      </rPr>
      <t xml:space="preserve">－3 </t>
    </r>
    <r>
      <rPr>
        <sz val="12"/>
        <color theme="1"/>
        <rFont val="宋体"/>
        <charset val="134"/>
      </rPr>
      <t>N/mm；圈数不小于 130，弹簧旋绕比为 25 倍～35 倍</t>
    </r>
  </si>
  <si>
    <t>发波水槽</t>
  </si>
  <si>
    <t>由水波槽、振动器、频闪光源和投影设备等组成，振动器的振幅应能调节， 水槽尺寸不小于 30 cm×30 cm×35 cm,屏幕尺寸不小于 26 cm×24 cm。性能要求：能消除边缘产生的反射波；能够演示小孔的口径不变，调整频率衍射由不明显到明显；能够演示频率不变，改变小孔的口径衍射由不明显到明显；</t>
  </si>
  <si>
    <t>多普勒效应演示器</t>
  </si>
  <si>
    <t>由频率计、蜂鸣器盒、开关、转杆、转轴、平衡铁、底座、速调盒、测声音响度的装置等组成；性能研究：声源在身旁疾驶而过时，听到的音调明显变化</t>
  </si>
  <si>
    <t>高中生物学实验室基础器材配置要求</t>
  </si>
  <si>
    <t>数字</t>
  </si>
  <si>
    <t>化实</t>
  </si>
  <si>
    <t>1、一体化金属结构设计，内含电源指示灯，丝印产品型号、名称、传感器通道、接计算机通道，便于用户识别。
2、自带8个传感器接口，八通道并行采集，全数字通道，采样频率最大可达100KHz，可同时并行采集8组不同的数据。
3、采集器可以互相级联实验，可实现多个数据采集器和更多路传感器同步采集实验。
4、通过USB-B口与计算机或便携式实验终端连接，进行数据通讯，USB接口供电，无需外接电源；
5、通过USB2.0口与传感器连接，数字、模拟共用，即插即用，自动识别所有传感器；
6、采用低压设计保证用户安全，所有端口具备短路保护功能，PCB设置接地引到外壳；
7、设置DC5V电源接口，配有5V1A适配器，在电压不足或多传感器使用时保证供电电压稳定。</t>
  </si>
  <si>
    <t>溶解氧传感器</t>
  </si>
  <si>
    <t>量程：0～20mg/L，分辨率：0.01mg/L。用于测量溶液中溶解氧含量变化。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</si>
  <si>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光照度传感器</t>
  </si>
  <si>
    <t>量程：0～50,000 Lux，分辨率：10 Lux。光强探头可灵敏感应光线强弱的变化，用于测量被测环境的光强值。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</si>
  <si>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相对湿度传感器</t>
  </si>
  <si>
    <t>量程：0～100%RH，分辨率：0.05%。用于测量空气的相对湿度。
1、传感器数据传输接口为智能Type-C接口，支持正反盲插，即插即用，自动识别；
2、支持与智能数字实验终端的Type-C接口嵌合卡口连接，也可与其USB接口连接；
3、支持与数据采集器的USB接口连接，多个传感器并行采集实验数据；
4、还支持与普通计算机USB口直接连接，传输数字化实验数据。</t>
  </si>
  <si>
    <t>量程：0～14 pH，分辨率：0.01 PH。用于精确测量溶液的酸碱值。
1、传感器数据传输接口为智能Type-C接口，支持正反盲插，即插即用，自动识别；
2、支持与智能数字实验终端的Type-C接口嵌合卡口连接，也可与其USB接口连接；
3、支持与数据采集器的USB接口连接，多个传感器并行采集实验数据；
4、支持与普通计算机USB口直接连接，传输数字化实验数据。</t>
  </si>
  <si>
    <t>气液相密封实验器</t>
  </si>
  <si>
    <t>由实验盒、实验盖、不同规格的硅胶塞等组成。实验盖开孔，分别为氧气探头孔、二氧化碳探头孔和温度探头孔。</t>
  </si>
  <si>
    <t>密封实验套件由5只7号橡胶塞（配5种孔径：单孔φ3mm、φ4mm、φ15mm、φ18mm；双孔φ8mm+φ15mm；孔径与传感器探头适配性，密封性好，可对应接入温度传感器、气压传感器、二氧化碳传感器、氧气传感器和玻璃导管、长颈漏斗等）、1只150mL反应瓶、2只等径气管快速接头、2只鲁尔气管快速接头、3条外径φ6mm软管组成。</t>
  </si>
  <si>
    <t>安全防护用品</t>
  </si>
  <si>
    <t>≥1100mm×865 mm×1650 mm，防爆、防盗、阻燃、耐腐蚀，带双锁，提供第三方检测报告</t>
  </si>
  <si>
    <t>箱内包括：烧伤药膏 1 瓶，医用酒精 50 mL，碘伏 50 mL，创可贴 10 条，胶布 1 卷，绷带5 卷，卫生棉签 1 包，剪刀 1 把，镊子 1 把，止血带 1 根（长度≥30 cm）等尺寸≥25cm*15cm*16cm</t>
  </si>
  <si>
    <t>耐酸碱，可分为大中小号</t>
  </si>
  <si>
    <t>侧面完全遮挡，耐酸碱，抗冲击，耐磨</t>
  </si>
  <si>
    <t>防冲击面屏，聚碳酸酯材质，耐高速粒子冲击，通过弹簧箍与安全帽相连，面屏可更换</t>
  </si>
  <si>
    <t>乳胶手套</t>
  </si>
  <si>
    <t>耐酸碱</t>
  </si>
  <si>
    <t>贵岭</t>
  </si>
  <si>
    <t>一次性 PE手套</t>
  </si>
  <si>
    <t>塑料材质</t>
  </si>
  <si>
    <t>包</t>
  </si>
  <si>
    <t>专用仪器</t>
  </si>
  <si>
    <t>光学显微镜</t>
  </si>
  <si>
    <t>双目，消色差物镜：4×、10×、40×、100×；广视场目镜：WF10×；带照明光源和聚光镜，亮度连续可调；移动式载物台</t>
  </si>
  <si>
    <t>凤凰</t>
  </si>
  <si>
    <t>教师用数码显微镜</t>
  </si>
  <si>
    <t>1．目镜：显微镜目镜放大率准确度≤±0.6%，视度可调，可实现明场、暗场、简易相衬、简易偏光等多种观察；2.物镜：物镜放大率准确率≤±0.86；3.载物台：支持双切片（载玻片）夹，无突出的棱角和齿轮，避免意外误触和伤害手指；4.成像系统：≥ 630 万像素，具有自动曝光、自动白平衡功能；纯数码输出；5.摄影摄像视场清晰范围不小于 90%</t>
  </si>
  <si>
    <t>放大镜</t>
  </si>
  <si>
    <t>手持式，有效通光孔径 50 mm，5 倍，提供具有第三方质量检测机构检测报告复印件</t>
  </si>
  <si>
    <t>DNA 结构模型</t>
  </si>
  <si>
    <t>≥高度65cm</t>
  </si>
  <si>
    <t>DNA 双螺旋结构模型组件</t>
  </si>
  <si>
    <t>四种碱基、脱氧核糖、磷酸彼此分离</t>
  </si>
  <si>
    <t>转录和翻译磁片模型</t>
  </si>
  <si>
    <t>具有单独构件，可以分步演示</t>
  </si>
  <si>
    <t>离心机</t>
  </si>
  <si>
    <t>0 r/min～4000r/min，10 mL×8，无刷电机</t>
  </si>
  <si>
    <t>高速离心机</t>
  </si>
  <si>
    <t>3000 r/min～16000 r/min；1.5 mL×12+0.5 mL×12；无刷电机，有条件的宜进行低温离心，温度达到 4℃</t>
  </si>
  <si>
    <t>电器</t>
  </si>
  <si>
    <t>烘干箱</t>
  </si>
  <si>
    <t>电热鼓风型，最高工作温度为 250 ℃，温度波动度限值为±1.0 ℃，箱体内有隔板，内部容积≥350 mm×350 mm×350 mm</t>
  </si>
  <si>
    <t>高压灭菌器</t>
  </si>
  <si>
    <t>≥30 L，立式，全自动，有超高温、超高压自动保护设置</t>
  </si>
  <si>
    <t>久兴</t>
  </si>
  <si>
    <t>超净工作台</t>
  </si>
  <si>
    <t>不锈钢，可调风机系统，双侧电源插座，有紫外照射和照明；
1、过滤效果≥0.3～0.5微米的尘埃粒子每升小于三个
2、震动：工作台面不大于5微米。
3、风速：工作区域风速不小于0.25米/秒。
4、噪音：一档噪音≤65分贝。
5、启动紫外线光管30分钟后，工作区域可达到无菌。
6、工作电压：AC220V±10%  50HZ
7、电机功率：80W
8、外形尺寸：120cm×50cm×147cm
9、重量：约55kg</t>
  </si>
  <si>
    <t>恒温培养箱</t>
  </si>
  <si>
    <t>控温范围：室温 5 ℃～65 ℃，±1 ℃，20L</t>
  </si>
  <si>
    <t>磁力加热搅拌器</t>
  </si>
  <si>
    <t>最大搅拌量 1L，转速：0 r/min～1200 r/min，加热盘温度 50 ℃～200 ℃</t>
  </si>
  <si>
    <t>酸度计</t>
  </si>
  <si>
    <t>笔式，pH 测量范围 0～14，分辨率0.1，读数清晰，有自动关机节电模式，配校准试剂</t>
  </si>
  <si>
    <t>电泳仪</t>
  </si>
  <si>
    <t>四组输出，输出电压：2 V～200 V、输出电流：2 mA～200 mA，具有 36 V 电压限制、稳压和稳流功能</t>
  </si>
  <si>
    <t>水平电泳槽</t>
  </si>
  <si>
    <t>聚碳酸脂注塑成型，凝胶托盘带有荧光标尺，具有开盖断电功能，凝胶板规格：60 mm×60 mm</t>
  </si>
  <si>
    <t>垂直电泳槽</t>
  </si>
  <si>
    <t>聚碳酸脂注塑成型槽体，可实现原位制胶功能，凝胶板规格：75×83mm，同时可以两块凝胶电泳</t>
  </si>
  <si>
    <t>DNA 电泳图谱观察仪</t>
  </si>
  <si>
    <t>非紫外光源，观察凝胶面积＞100mm×100mm</t>
  </si>
  <si>
    <t>专用器械和支架</t>
  </si>
  <si>
    <t>解剖盘</t>
  </si>
  <si>
    <t>260 mm×200 mm×30 mm，蜡盘</t>
  </si>
  <si>
    <t>解剖器</t>
  </si>
  <si>
    <t>不锈钢材料，7 件，包括：2 把解剖剪（直剪、弯剪各 1）、2 个镊子（直头、弯头各 1）、 2 个解剖刀（圆头、尖头各 1）、1 个解剖针</t>
  </si>
  <si>
    <t>普通手术剪</t>
  </si>
  <si>
    <t>尖头，140 mm</t>
  </si>
  <si>
    <t>眼用手术剪</t>
  </si>
  <si>
    <t>尖头，100 mm</t>
  </si>
  <si>
    <t>手术刀柄</t>
  </si>
  <si>
    <t>刀柄外形轮廓应清晰，刀柄与手术刀片配合时，插卸应轻松</t>
  </si>
  <si>
    <t>手术刀片</t>
  </si>
  <si>
    <t>刀片应平整，刃口应锋利</t>
  </si>
  <si>
    <t>锐角</t>
  </si>
  <si>
    <t>双面刀片</t>
  </si>
  <si>
    <t>43 mm×22 mm</t>
  </si>
  <si>
    <t>飞鹰牌</t>
  </si>
  <si>
    <t>弯头，140 mm</t>
  </si>
  <si>
    <t>眼科镊</t>
  </si>
  <si>
    <t>直，100 mm</t>
  </si>
  <si>
    <t>解剖针</t>
  </si>
  <si>
    <t>六菱全钢</t>
  </si>
  <si>
    <t>研磨过滤器</t>
  </si>
  <si>
    <t>容量 20 mL</t>
  </si>
  <si>
    <t>移液器</t>
  </si>
  <si>
    <t>0.1 µL～2.5 µL</t>
  </si>
  <si>
    <t>0.5 µL～10 µL</t>
  </si>
  <si>
    <t>10 µL～100 µL</t>
  </si>
  <si>
    <t>100 µL～1000 µL</t>
  </si>
  <si>
    <t>1 mL～5 mL</t>
  </si>
  <si>
    <t>接种环</t>
  </si>
  <si>
    <t>接种棒为铜或不锈钢材质，接种丝为耐热合金，环内径 2 mm～3 mm</t>
  </si>
  <si>
    <t>铁架台</t>
  </si>
  <si>
    <t>方形座，含铁夹、复夹、铁圈，重心稳定不晃动，夹持器内侧应有石棉垫或橡胶垫衬</t>
  </si>
  <si>
    <t>铁质，环内径 75 mm，高 150 mm</t>
  </si>
  <si>
    <t>木质或塑料质，8 孔，孔径 21 mm，立柱黏结牢固，提供具第三方质量检测机构检测报告复印件</t>
  </si>
  <si>
    <t>注射器架</t>
  </si>
  <si>
    <t>有机玻璃，高度 25 cm，孔径 35 mm</t>
  </si>
  <si>
    <t>移液器架</t>
  </si>
  <si>
    <t>塑料或亚克力材质，可放置 5 支移液器</t>
  </si>
  <si>
    <t>移液管架</t>
  </si>
  <si>
    <t>塑料或亚克力材质</t>
  </si>
  <si>
    <t>测量仪器</t>
  </si>
  <si>
    <t>测微尺</t>
  </si>
  <si>
    <t>显微镜用，台式</t>
  </si>
  <si>
    <t>直尺</t>
  </si>
  <si>
    <t>500 mm，有机玻璃</t>
  </si>
  <si>
    <t>200 g，0.2 g</t>
  </si>
  <si>
    <t>200 g，0.1 g</t>
  </si>
  <si>
    <t>100 g，0.001 g</t>
  </si>
  <si>
    <t>专用型，全时段分辨力 0.01 s；有防震、防水功能，电池更换周期≥1.5 年</t>
  </si>
  <si>
    <t>干湿球温度计</t>
  </si>
  <si>
    <t>-10 ℃～50 ℃，分度值 0.5 ℃；测量湿度0～100%</t>
  </si>
  <si>
    <t>计数器</t>
  </si>
  <si>
    <t>手持式</t>
  </si>
  <si>
    <t>血球计数板</t>
  </si>
  <si>
    <t>H 型凹槽，两个计数池，计数池深度 0.1 mm</t>
  </si>
  <si>
    <t>片</t>
  </si>
  <si>
    <t>其他配套器材</t>
  </si>
  <si>
    <t>坐式，铜制，壶体容积不小于 300 mL，火焰高度为 150 mm～180 mm，火焰温度为 960 ℃±60 ℃，燃烧消耗量为 2.55 mL/min±0.15mL/min</t>
  </si>
  <si>
    <t>离心管</t>
  </si>
  <si>
    <t>0.5 mL，塑料</t>
  </si>
  <si>
    <t>1.5 mL，塑料</t>
  </si>
  <si>
    <t>Φ5 mm～Φ6 mm，中性料，管口应打磨或烧结</t>
  </si>
  <si>
    <t>kg</t>
  </si>
  <si>
    <t>Φ7 mm～Φ8 mm，一端长度为 6 cm～7 cm，一端长度约 20 cm，形状为直角和钝角两种，管口应打磨或烧结，避免划伤事故</t>
  </si>
  <si>
    <t>Φ3 mm～Φ4 mm，粗细均匀</t>
  </si>
  <si>
    <t>木制或竹制，长度≥200 mm，宽度 20 mm，厚度 20 mm；试管夹闭口缝≤1 mm，开口距≥25 mm；毡块黏结牢固，试管夹弹簧作防锈处理，试管夹持部位圆弧内径不大于 15mm</t>
  </si>
  <si>
    <t>水止皮管夹</t>
  </si>
  <si>
    <t>Φ3 mm 钢丝制成，作防锈处理，夹持角度不小于 60º，弹性好，不漏液</t>
  </si>
  <si>
    <t>功能等同于石棉网，尺寸不小于 125 mm×125 mm，耐火材料为陶土</t>
  </si>
  <si>
    <t>中号 13.5 cm，一端带小勺，材质可选金属、牛角、塑料</t>
  </si>
  <si>
    <t>000、00、0～10 号，白色，质地均匀</t>
  </si>
  <si>
    <t>外径 9 mm，内径 6 mm，乳白色，具有耐油、耐酸碱、耐压等特性</t>
  </si>
  <si>
    <t>Φ12 mm；手持部分顶端应为环状，顶部要有刷丝，铁丝不可外露</t>
  </si>
  <si>
    <t>Φ18 mm；手持部分顶端应为环状，顶部要有刷丝，铁丝不可外露</t>
  </si>
  <si>
    <t>点滴板</t>
  </si>
  <si>
    <t>12孔穴</t>
  </si>
  <si>
    <t>60 mm</t>
  </si>
  <si>
    <t>记数载玻片（计数板）</t>
  </si>
  <si>
    <t>22 mm×26 mm，厚 0.5 mm</t>
  </si>
  <si>
    <t>毛细吸管</t>
  </si>
  <si>
    <t>玻璃材质，50 支/盒</t>
  </si>
  <si>
    <t>5 mL，塑料材质</t>
  </si>
  <si>
    <t>30 mL，塑料材质</t>
  </si>
  <si>
    <t>50 mL，塑料材质</t>
  </si>
  <si>
    <t>4 mL</t>
  </si>
  <si>
    <t>快速，9 cm</t>
  </si>
  <si>
    <t>加工工具</t>
  </si>
  <si>
    <t>刀宜用 65M 板制成，表面热处理， 55 HRC～ 60 HRC，总长为 70 mm±0.5 mm，宽 14.5 mm±0.1 mm，厚 1.8 mm±0.5 mm；刀口角度宜为 60º±5º，锋刃小于 0.1 mm</t>
  </si>
  <si>
    <t>电动钻孔器</t>
  </si>
  <si>
    <t>钻头可拆卸，应配有 2 个以上不同孔径的钻头</t>
  </si>
  <si>
    <t>飞将牌</t>
  </si>
  <si>
    <t>低压测电器</t>
  </si>
  <si>
    <t>笔式，氖泡式，测电极长≤10 mm，测量范围 100 V～500 V，辉光应稳定不闪烁</t>
  </si>
  <si>
    <t>每套 2 个：Φ6 mm，长 150 mm；Φ3 mm，长 75 mm，工作部带磁性，硬度不低于 48 HRC；旋杆采用铬钒钢，旋杆长度≥100 mm，应经镀铬防锈处理</t>
  </si>
  <si>
    <t>剥线钳</t>
  </si>
  <si>
    <t>自动剥线钳，Φ0.5 mm～Φ2.5 mm；刃口在闭合状态，刃口间隙应不大于 0.3 mm；刃口错位应不大于 0.2 mm；钳口硬度应不低于65 HRA 或 30 HRC</t>
  </si>
  <si>
    <t>160 mm，抗弯强度：1120 N；扭力：15 N·m，15°；嘴顶缝隙：0.4 mm；剪切性能：Φ16 mm 钢丝，580 N；夹持面硬度≥44 HRC，在≤18 N 的力作用下撑开角度≥22°</t>
  </si>
  <si>
    <t>收纳整理用具</t>
  </si>
  <si>
    <t>整理箱</t>
  </si>
  <si>
    <t>矮型，储存及分发试剂用；上尺寸≥34cm*24cm*19cm下尺寸≥29cm*19cm*19cm</t>
  </si>
  <si>
    <t>大托盘</t>
  </si>
  <si>
    <t>350 mm×470 mm×80 mm</t>
  </si>
  <si>
    <t>小托盘</t>
  </si>
  <si>
    <t>250 mm×350 mm×60 mm</t>
  </si>
  <si>
    <t>木制，配有提手，490 mm×360 mm×290 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</si>
</sst>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宋体"/>
      <charset val="134"/>
      <scheme val="minor"/>
    </font>
    <font>
      <sz val="12"/>
      <color theme="1"/>
      <name val="宋体"/>
      <charset val="134"/>
    </font>
    <font>
      <sz val="10.5"/>
      <color rgb="FF000000"/>
      <name val="宋体"/>
      <charset val="134"/>
    </font>
    <font>
      <b/>
      <sz val="12"/>
      <color theme="1"/>
      <name val="宋体"/>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perscript"/>
      <sz val="12"/>
      <color theme="1"/>
      <name val="宋体"/>
      <charset val="134"/>
    </font>
    <font>
      <sz val="12"/>
      <color theme="1"/>
      <name val="Arial Unicode MS"/>
      <charset val="134"/>
    </font>
    <font>
      <vertAlign val="subscript"/>
      <sz val="12"/>
      <color theme="1"/>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6">
    <xf numFmtId="0" fontId="0" fillId="0" borderId="0" xfId="0">
      <alignmen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1" xfId="0" applyBorder="1">
      <alignment vertical="center"/>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center" wrapText="1"/>
    </xf>
    <xf numFmtId="0" fontId="4" fillId="0" borderId="1" xfId="0" applyFont="1" applyBorder="1" applyAlignment="1">
      <alignment horizontal="left" vertical="top" wrapText="1"/>
    </xf>
    <xf numFmtId="0" fontId="0" fillId="2" borderId="0" xfId="0" applyFill="1">
      <alignment vertical="center"/>
    </xf>
    <xf numFmtId="0" fontId="0" fillId="0" borderId="0" xfId="0" applyAlignment="1">
      <alignment horizontal="center" vertical="center"/>
    </xf>
    <xf numFmtId="0" fontId="3" fillId="0" borderId="1" xfId="0" applyFont="1" applyBorder="1" applyAlignment="1">
      <alignment horizontal="center" vertical="top"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0"/>
  <sheetViews>
    <sheetView tabSelected="1" workbookViewId="0">
      <selection activeCell="C15" sqref="C15"/>
    </sheetView>
  </sheetViews>
  <sheetFormatPr defaultColWidth="8.88888888888889" defaultRowHeight="14.4" outlineLevelCol="7"/>
  <cols>
    <col min="2" max="2" width="23.6666666666667" customWidth="1"/>
    <col min="3" max="3" width="76.7777777777778" customWidth="1"/>
    <col min="4" max="8" width="8.88888888888889" style="11"/>
  </cols>
  <sheetData>
    <row r="1" ht="17.1" customHeight="1" spans="1:8">
      <c r="A1" s="12" t="s">
        <v>0</v>
      </c>
      <c r="B1" s="12"/>
      <c r="C1" s="12"/>
      <c r="D1" s="12"/>
      <c r="E1" s="12"/>
      <c r="F1" s="12"/>
      <c r="G1" s="12"/>
      <c r="H1" s="12"/>
    </row>
    <row r="2" ht="20" customHeight="1" spans="1:8">
      <c r="A2" s="8" t="s">
        <v>1</v>
      </c>
      <c r="B2" s="8" t="s">
        <v>2</v>
      </c>
      <c r="C2" s="8" t="s">
        <v>3</v>
      </c>
      <c r="D2" s="8" t="s">
        <v>4</v>
      </c>
      <c r="E2" s="8" t="s">
        <v>5</v>
      </c>
      <c r="F2" s="12" t="s">
        <v>6</v>
      </c>
      <c r="G2" s="8" t="s">
        <v>7</v>
      </c>
      <c r="H2" s="8" t="s">
        <v>8</v>
      </c>
    </row>
    <row r="3" s="10" customFormat="1" ht="20" customHeight="1" spans="1:8">
      <c r="A3" s="13">
        <v>1</v>
      </c>
      <c r="B3" s="13" t="s">
        <v>9</v>
      </c>
      <c r="C3" s="14" t="s">
        <v>10</v>
      </c>
      <c r="D3" s="13" t="s">
        <v>11</v>
      </c>
      <c r="E3" s="13">
        <v>1</v>
      </c>
      <c r="F3" s="15" t="s">
        <v>12</v>
      </c>
      <c r="G3" s="13">
        <v>200</v>
      </c>
      <c r="H3" s="13">
        <f>G3*E3</f>
        <v>200</v>
      </c>
    </row>
    <row r="4" s="10" customFormat="1" ht="20" customHeight="1" spans="1:8">
      <c r="A4" s="13">
        <v>2</v>
      </c>
      <c r="B4" s="13" t="s">
        <v>13</v>
      </c>
      <c r="C4" s="14" t="s">
        <v>14</v>
      </c>
      <c r="D4" s="13" t="s">
        <v>11</v>
      </c>
      <c r="E4" s="13">
        <v>1</v>
      </c>
      <c r="F4" s="15" t="s">
        <v>12</v>
      </c>
      <c r="G4" s="13">
        <v>800</v>
      </c>
      <c r="H4" s="13">
        <f t="shared" ref="H4:H35" si="0">G4*E4</f>
        <v>800</v>
      </c>
    </row>
    <row r="5" s="10" customFormat="1" ht="20" customHeight="1" spans="1:8">
      <c r="A5" s="13">
        <v>3</v>
      </c>
      <c r="B5" s="13" t="s">
        <v>15</v>
      </c>
      <c r="C5" s="14" t="s">
        <v>16</v>
      </c>
      <c r="D5" s="13" t="s">
        <v>17</v>
      </c>
      <c r="E5" s="13">
        <v>1</v>
      </c>
      <c r="F5" s="15" t="s">
        <v>12</v>
      </c>
      <c r="G5" s="13">
        <v>400</v>
      </c>
      <c r="H5" s="13">
        <f t="shared" si="0"/>
        <v>400</v>
      </c>
    </row>
    <row r="6" s="10" customFormat="1" ht="20" customHeight="1" spans="1:8">
      <c r="A6" s="13">
        <v>4</v>
      </c>
      <c r="B6" s="13" t="s">
        <v>18</v>
      </c>
      <c r="C6" s="14" t="s">
        <v>19</v>
      </c>
      <c r="D6" s="13" t="s">
        <v>17</v>
      </c>
      <c r="E6" s="13">
        <v>1</v>
      </c>
      <c r="F6" s="15" t="s">
        <v>12</v>
      </c>
      <c r="G6" s="13">
        <v>450</v>
      </c>
      <c r="H6" s="13">
        <f t="shared" si="0"/>
        <v>450</v>
      </c>
    </row>
    <row r="7" s="10" customFormat="1" ht="20" customHeight="1" spans="1:8">
      <c r="A7" s="13">
        <v>5</v>
      </c>
      <c r="B7" s="13" t="s">
        <v>20</v>
      </c>
      <c r="C7" s="14" t="s">
        <v>21</v>
      </c>
      <c r="D7" s="13" t="s">
        <v>17</v>
      </c>
      <c r="E7" s="13">
        <v>2</v>
      </c>
      <c r="F7" s="15" t="s">
        <v>12</v>
      </c>
      <c r="G7" s="13">
        <v>400</v>
      </c>
      <c r="H7" s="13">
        <f t="shared" si="0"/>
        <v>800</v>
      </c>
    </row>
    <row r="8" s="10" customFormat="1" ht="20" customHeight="1" spans="1:8">
      <c r="A8" s="13">
        <v>6</v>
      </c>
      <c r="B8" s="13" t="s">
        <v>22</v>
      </c>
      <c r="C8" s="14" t="s">
        <v>23</v>
      </c>
      <c r="D8" s="13" t="s">
        <v>17</v>
      </c>
      <c r="E8" s="13">
        <v>1</v>
      </c>
      <c r="F8" s="15" t="s">
        <v>12</v>
      </c>
      <c r="G8" s="13">
        <v>360</v>
      </c>
      <c r="H8" s="13">
        <f t="shared" si="0"/>
        <v>360</v>
      </c>
    </row>
    <row r="9" s="10" customFormat="1" ht="20" customHeight="1" spans="1:8">
      <c r="A9" s="13">
        <v>7</v>
      </c>
      <c r="B9" s="13" t="s">
        <v>24</v>
      </c>
      <c r="C9" s="14" t="s">
        <v>25</v>
      </c>
      <c r="D9" s="13" t="s">
        <v>17</v>
      </c>
      <c r="E9" s="13">
        <v>1</v>
      </c>
      <c r="F9" s="15" t="s">
        <v>12</v>
      </c>
      <c r="G9" s="13">
        <v>200</v>
      </c>
      <c r="H9" s="13">
        <f t="shared" si="0"/>
        <v>200</v>
      </c>
    </row>
    <row r="10" s="10" customFormat="1" ht="20" customHeight="1" spans="1:8">
      <c r="A10" s="13">
        <v>8</v>
      </c>
      <c r="B10" s="13" t="s">
        <v>26</v>
      </c>
      <c r="C10" s="14" t="s">
        <v>27</v>
      </c>
      <c r="D10" s="13" t="s">
        <v>11</v>
      </c>
      <c r="E10" s="13">
        <v>1</v>
      </c>
      <c r="F10" s="15" t="s">
        <v>12</v>
      </c>
      <c r="G10" s="13">
        <v>200</v>
      </c>
      <c r="H10" s="13">
        <f t="shared" si="0"/>
        <v>200</v>
      </c>
    </row>
    <row r="11" ht="31.2" spans="1:8">
      <c r="A11" s="1">
        <v>9</v>
      </c>
      <c r="B11" s="1" t="s">
        <v>28</v>
      </c>
      <c r="C11" s="5" t="s">
        <v>29</v>
      </c>
      <c r="D11" s="1"/>
      <c r="E11" s="1">
        <v>1</v>
      </c>
      <c r="F11" s="3" t="s">
        <v>30</v>
      </c>
      <c r="G11" s="1">
        <v>3000</v>
      </c>
      <c r="H11" s="1">
        <f t="shared" si="0"/>
        <v>3000</v>
      </c>
    </row>
    <row r="12" ht="15.6" spans="1:8">
      <c r="A12" s="1">
        <v>10</v>
      </c>
      <c r="B12" s="1" t="s">
        <v>31</v>
      </c>
      <c r="C12" s="5" t="s">
        <v>32</v>
      </c>
      <c r="D12" s="1" t="s">
        <v>33</v>
      </c>
      <c r="E12" s="1">
        <v>2</v>
      </c>
      <c r="F12" s="3" t="s">
        <v>34</v>
      </c>
      <c r="G12" s="1">
        <v>48</v>
      </c>
      <c r="H12" s="1">
        <f t="shared" si="0"/>
        <v>96</v>
      </c>
    </row>
    <row r="13" ht="46.8" spans="1:8">
      <c r="A13" s="1">
        <v>11</v>
      </c>
      <c r="B13" s="1" t="s">
        <v>35</v>
      </c>
      <c r="C13" s="5" t="s">
        <v>36</v>
      </c>
      <c r="D13" s="1" t="s">
        <v>37</v>
      </c>
      <c r="E13" s="1">
        <v>1</v>
      </c>
      <c r="F13" s="3" t="s">
        <v>38</v>
      </c>
      <c r="G13" s="1">
        <v>120</v>
      </c>
      <c r="H13" s="1">
        <f t="shared" si="0"/>
        <v>120</v>
      </c>
    </row>
    <row r="14" ht="15.6" spans="1:8">
      <c r="A14" s="1">
        <v>12</v>
      </c>
      <c r="B14" s="1" t="s">
        <v>39</v>
      </c>
      <c r="C14" s="5" t="s">
        <v>40</v>
      </c>
      <c r="D14" s="1" t="s">
        <v>33</v>
      </c>
      <c r="E14" s="1">
        <v>52</v>
      </c>
      <c r="F14" s="3" t="s">
        <v>12</v>
      </c>
      <c r="G14" s="1">
        <v>28</v>
      </c>
      <c r="H14" s="1">
        <f t="shared" si="0"/>
        <v>1456</v>
      </c>
    </row>
    <row r="15" ht="15.6" spans="1:8">
      <c r="A15" s="1">
        <v>13</v>
      </c>
      <c r="B15" s="1" t="s">
        <v>41</v>
      </c>
      <c r="C15" s="5" t="s">
        <v>42</v>
      </c>
      <c r="D15" s="1" t="s">
        <v>37</v>
      </c>
      <c r="E15" s="1">
        <v>52</v>
      </c>
      <c r="F15" s="3" t="s">
        <v>12</v>
      </c>
      <c r="G15" s="1">
        <v>6</v>
      </c>
      <c r="H15" s="1">
        <f t="shared" si="0"/>
        <v>312</v>
      </c>
    </row>
    <row r="16" ht="31.2" spans="1:8">
      <c r="A16" s="1">
        <v>14</v>
      </c>
      <c r="B16" s="1" t="s">
        <v>43</v>
      </c>
      <c r="C16" s="5" t="s">
        <v>44</v>
      </c>
      <c r="D16" s="1" t="s">
        <v>37</v>
      </c>
      <c r="E16" s="1">
        <v>1</v>
      </c>
      <c r="F16" s="3" t="s">
        <v>12</v>
      </c>
      <c r="G16" s="1">
        <v>26</v>
      </c>
      <c r="H16" s="1">
        <f t="shared" si="0"/>
        <v>26</v>
      </c>
    </row>
    <row r="17" ht="15.6" spans="1:8">
      <c r="A17" s="1">
        <v>15</v>
      </c>
      <c r="B17" s="1" t="s">
        <v>45</v>
      </c>
      <c r="C17" s="5" t="s">
        <v>46</v>
      </c>
      <c r="D17" s="1" t="s">
        <v>37</v>
      </c>
      <c r="E17" s="1">
        <v>2</v>
      </c>
      <c r="F17" s="3" t="s">
        <v>12</v>
      </c>
      <c r="G17" s="1">
        <v>110</v>
      </c>
      <c r="H17" s="1">
        <f t="shared" si="0"/>
        <v>220</v>
      </c>
    </row>
    <row r="18" ht="15.6" spans="1:8">
      <c r="A18" s="1">
        <v>16</v>
      </c>
      <c r="B18" s="1"/>
      <c r="C18" s="5" t="s">
        <v>47</v>
      </c>
      <c r="D18" s="1" t="s">
        <v>37</v>
      </c>
      <c r="E18" s="1">
        <v>2</v>
      </c>
      <c r="F18" s="3" t="s">
        <v>48</v>
      </c>
      <c r="G18" s="1">
        <v>210</v>
      </c>
      <c r="H18" s="1">
        <f t="shared" si="0"/>
        <v>420</v>
      </c>
    </row>
    <row r="19" ht="31.2" spans="1:8">
      <c r="A19" s="1">
        <v>17</v>
      </c>
      <c r="B19" s="1" t="s">
        <v>49</v>
      </c>
      <c r="C19" s="5" t="s">
        <v>50</v>
      </c>
      <c r="D19" s="1" t="s">
        <v>11</v>
      </c>
      <c r="E19" s="1">
        <v>2</v>
      </c>
      <c r="F19" s="3" t="s">
        <v>51</v>
      </c>
      <c r="G19" s="1">
        <v>110</v>
      </c>
      <c r="H19" s="1">
        <f t="shared" si="0"/>
        <v>220</v>
      </c>
    </row>
    <row r="20" ht="15.6" spans="1:8">
      <c r="A20" s="1">
        <v>18</v>
      </c>
      <c r="B20" s="1" t="s">
        <v>52</v>
      </c>
      <c r="C20" s="5" t="s">
        <v>53</v>
      </c>
      <c r="D20" s="1" t="s">
        <v>54</v>
      </c>
      <c r="E20" s="1">
        <v>2</v>
      </c>
      <c r="F20" s="3" t="s">
        <v>55</v>
      </c>
      <c r="G20" s="1">
        <v>8</v>
      </c>
      <c r="H20" s="1">
        <f t="shared" si="0"/>
        <v>16</v>
      </c>
    </row>
    <row r="21" ht="15.6" spans="1:8">
      <c r="A21" s="1">
        <v>19</v>
      </c>
      <c r="B21" s="1" t="s">
        <v>56</v>
      </c>
      <c r="C21" s="5" t="s">
        <v>57</v>
      </c>
      <c r="D21" s="1" t="s">
        <v>58</v>
      </c>
      <c r="E21" s="1">
        <v>10</v>
      </c>
      <c r="F21" s="3" t="s">
        <v>59</v>
      </c>
      <c r="G21" s="1">
        <v>8</v>
      </c>
      <c r="H21" s="1">
        <f t="shared" si="0"/>
        <v>80</v>
      </c>
    </row>
    <row r="22" ht="62.4" spans="1:8">
      <c r="A22" s="1">
        <v>20</v>
      </c>
      <c r="B22" s="1" t="s">
        <v>60</v>
      </c>
      <c r="C22" s="5" t="s">
        <v>61</v>
      </c>
      <c r="D22" s="1" t="s">
        <v>11</v>
      </c>
      <c r="E22" s="1">
        <v>1</v>
      </c>
      <c r="F22" s="3" t="s">
        <v>12</v>
      </c>
      <c r="G22" s="1">
        <v>600</v>
      </c>
      <c r="H22" s="1">
        <f t="shared" si="0"/>
        <v>600</v>
      </c>
    </row>
    <row r="23" ht="15.6" spans="1:8">
      <c r="A23" s="2">
        <v>21</v>
      </c>
      <c r="B23" s="2" t="s">
        <v>62</v>
      </c>
      <c r="C23" s="5" t="s">
        <v>63</v>
      </c>
      <c r="D23" s="1" t="s">
        <v>37</v>
      </c>
      <c r="E23" s="1">
        <v>5</v>
      </c>
      <c r="F23" s="3" t="s">
        <v>12</v>
      </c>
      <c r="G23" s="1">
        <v>45</v>
      </c>
      <c r="H23" s="1">
        <f t="shared" si="0"/>
        <v>225</v>
      </c>
    </row>
    <row r="24" ht="15.6" spans="1:8">
      <c r="A24" s="2">
        <v>22</v>
      </c>
      <c r="B24" s="2" t="s">
        <v>64</v>
      </c>
      <c r="C24" s="5" t="s">
        <v>65</v>
      </c>
      <c r="D24" s="1" t="s">
        <v>37</v>
      </c>
      <c r="E24" s="1">
        <v>1</v>
      </c>
      <c r="F24" s="3" t="s">
        <v>66</v>
      </c>
      <c r="G24" s="1">
        <v>65</v>
      </c>
      <c r="H24" s="1">
        <f t="shared" si="0"/>
        <v>65</v>
      </c>
    </row>
    <row r="25" ht="15.6" spans="1:8">
      <c r="A25" s="2">
        <v>23</v>
      </c>
      <c r="B25" s="2" t="s">
        <v>67</v>
      </c>
      <c r="C25" s="5" t="s">
        <v>68</v>
      </c>
      <c r="D25" s="1" t="s">
        <v>69</v>
      </c>
      <c r="E25" s="1">
        <v>26</v>
      </c>
      <c r="F25" s="3" t="s">
        <v>12</v>
      </c>
      <c r="G25" s="1">
        <v>68</v>
      </c>
      <c r="H25" s="1">
        <f t="shared" si="0"/>
        <v>1768</v>
      </c>
    </row>
    <row r="26" ht="31.2" spans="1:8">
      <c r="A26" s="2">
        <v>24</v>
      </c>
      <c r="B26" s="2" t="s">
        <v>70</v>
      </c>
      <c r="C26" s="5" t="s">
        <v>71</v>
      </c>
      <c r="D26" s="1" t="s">
        <v>69</v>
      </c>
      <c r="E26" s="1">
        <v>1</v>
      </c>
      <c r="F26" s="3" t="s">
        <v>12</v>
      </c>
      <c r="G26" s="1">
        <v>145</v>
      </c>
      <c r="H26" s="1">
        <f t="shared" si="0"/>
        <v>145</v>
      </c>
    </row>
    <row r="27" ht="31.2" spans="1:8">
      <c r="A27" s="2">
        <v>25</v>
      </c>
      <c r="B27" s="2" t="s">
        <v>72</v>
      </c>
      <c r="C27" s="5" t="s">
        <v>73</v>
      </c>
      <c r="D27" s="1" t="s">
        <v>74</v>
      </c>
      <c r="E27" s="1">
        <v>2</v>
      </c>
      <c r="F27" s="3" t="s">
        <v>12</v>
      </c>
      <c r="G27" s="1">
        <v>800</v>
      </c>
      <c r="H27" s="1">
        <f t="shared" si="0"/>
        <v>1600</v>
      </c>
    </row>
    <row r="28" ht="15.6" spans="1:8">
      <c r="A28" s="2">
        <v>26</v>
      </c>
      <c r="B28" s="2" t="s">
        <v>75</v>
      </c>
      <c r="C28" s="5" t="s">
        <v>76</v>
      </c>
      <c r="D28" s="1" t="s">
        <v>37</v>
      </c>
      <c r="E28" s="1">
        <v>60</v>
      </c>
      <c r="F28" s="3" t="s">
        <v>12</v>
      </c>
      <c r="G28" s="1">
        <v>35</v>
      </c>
      <c r="H28" s="1">
        <f t="shared" si="0"/>
        <v>2100</v>
      </c>
    </row>
    <row r="29" ht="15.6" spans="1:8">
      <c r="A29" s="2">
        <v>27</v>
      </c>
      <c r="B29" s="2" t="s">
        <v>77</v>
      </c>
      <c r="C29" s="5" t="s">
        <v>78</v>
      </c>
      <c r="D29" s="1" t="s">
        <v>37</v>
      </c>
      <c r="E29" s="1">
        <v>4</v>
      </c>
      <c r="F29" s="3" t="s">
        <v>12</v>
      </c>
      <c r="G29" s="1">
        <v>45</v>
      </c>
      <c r="H29" s="1">
        <f t="shared" si="0"/>
        <v>180</v>
      </c>
    </row>
    <row r="30" ht="15.6" spans="1:8">
      <c r="A30" s="2">
        <v>28</v>
      </c>
      <c r="B30" s="2" t="s">
        <v>79</v>
      </c>
      <c r="C30" s="5" t="s">
        <v>80</v>
      </c>
      <c r="D30" s="1" t="s">
        <v>81</v>
      </c>
      <c r="E30" s="1">
        <v>1</v>
      </c>
      <c r="F30" s="3" t="s">
        <v>12</v>
      </c>
      <c r="G30" s="1">
        <v>4</v>
      </c>
      <c r="H30" s="1">
        <f t="shared" si="0"/>
        <v>4</v>
      </c>
    </row>
    <row r="31" ht="15.6" spans="1:8">
      <c r="A31" s="2">
        <v>29</v>
      </c>
      <c r="B31" s="2" t="s">
        <v>82</v>
      </c>
      <c r="C31" s="5" t="s">
        <v>80</v>
      </c>
      <c r="D31" s="1" t="s">
        <v>81</v>
      </c>
      <c r="E31" s="1">
        <v>1</v>
      </c>
      <c r="F31" s="3" t="s">
        <v>12</v>
      </c>
      <c r="G31" s="1">
        <v>4</v>
      </c>
      <c r="H31" s="1">
        <f t="shared" si="0"/>
        <v>4</v>
      </c>
    </row>
    <row r="32" ht="15.6" spans="1:8">
      <c r="A32" s="2">
        <v>30</v>
      </c>
      <c r="B32" s="2" t="s">
        <v>83</v>
      </c>
      <c r="C32" s="5" t="s">
        <v>84</v>
      </c>
      <c r="D32" s="1" t="s">
        <v>85</v>
      </c>
      <c r="E32" s="1">
        <v>1</v>
      </c>
      <c r="F32" s="3" t="s">
        <v>86</v>
      </c>
      <c r="G32" s="1">
        <v>12</v>
      </c>
      <c r="H32" s="1">
        <f t="shared" si="0"/>
        <v>12</v>
      </c>
    </row>
    <row r="33" ht="15.6" spans="1:8">
      <c r="A33" s="2">
        <v>31</v>
      </c>
      <c r="B33" s="2" t="s">
        <v>87</v>
      </c>
      <c r="C33" s="5" t="s">
        <v>88</v>
      </c>
      <c r="D33" s="1" t="s">
        <v>37</v>
      </c>
      <c r="E33" s="1">
        <v>1</v>
      </c>
      <c r="F33" s="3" t="s">
        <v>12</v>
      </c>
      <c r="G33" s="1">
        <v>20</v>
      </c>
      <c r="H33" s="1">
        <f t="shared" si="0"/>
        <v>20</v>
      </c>
    </row>
    <row r="34" ht="31.2" spans="1:8">
      <c r="A34" s="2">
        <v>32</v>
      </c>
      <c r="B34" s="2" t="s">
        <v>89</v>
      </c>
      <c r="C34" s="5" t="s">
        <v>90</v>
      </c>
      <c r="D34" s="1" t="s">
        <v>11</v>
      </c>
      <c r="E34" s="1">
        <v>2</v>
      </c>
      <c r="F34" s="3" t="s">
        <v>12</v>
      </c>
      <c r="G34" s="1">
        <v>36</v>
      </c>
      <c r="H34" s="1">
        <f t="shared" si="0"/>
        <v>72</v>
      </c>
    </row>
    <row r="35" ht="15.6" spans="1:8">
      <c r="A35" s="2">
        <v>33</v>
      </c>
      <c r="B35" s="2" t="s">
        <v>91</v>
      </c>
      <c r="C35" s="5" t="s">
        <v>92</v>
      </c>
      <c r="D35" s="1" t="s">
        <v>37</v>
      </c>
      <c r="E35" s="1">
        <v>1</v>
      </c>
      <c r="F35" s="3" t="s">
        <v>12</v>
      </c>
      <c r="G35" s="1">
        <v>6</v>
      </c>
      <c r="H35" s="1">
        <f t="shared" si="0"/>
        <v>6</v>
      </c>
    </row>
    <row r="36" ht="46.8" spans="1:8">
      <c r="A36" s="2">
        <v>34</v>
      </c>
      <c r="B36" s="2" t="s">
        <v>93</v>
      </c>
      <c r="C36" s="5" t="s">
        <v>94</v>
      </c>
      <c r="D36" s="1" t="s">
        <v>37</v>
      </c>
      <c r="E36" s="1">
        <v>1</v>
      </c>
      <c r="F36" s="3" t="s">
        <v>12</v>
      </c>
      <c r="G36" s="1">
        <v>12</v>
      </c>
      <c r="H36" s="1">
        <f t="shared" ref="H36:H65" si="1">G36*E36</f>
        <v>12</v>
      </c>
    </row>
    <row r="37" ht="15.6" spans="1:8">
      <c r="A37" s="2">
        <v>35</v>
      </c>
      <c r="B37" s="1" t="s">
        <v>95</v>
      </c>
      <c r="C37" s="5" t="s">
        <v>96</v>
      </c>
      <c r="D37" s="1" t="s">
        <v>69</v>
      </c>
      <c r="E37" s="1">
        <v>26</v>
      </c>
      <c r="F37" s="3" t="s">
        <v>12</v>
      </c>
      <c r="G37" s="1">
        <v>30</v>
      </c>
      <c r="H37" s="1">
        <f t="shared" si="1"/>
        <v>780</v>
      </c>
    </row>
    <row r="38" ht="15.6" spans="1:8">
      <c r="A38" s="2">
        <v>36</v>
      </c>
      <c r="B38" s="1"/>
      <c r="C38" s="5" t="s">
        <v>97</v>
      </c>
      <c r="D38" s="1" t="s">
        <v>69</v>
      </c>
      <c r="E38" s="1">
        <v>1</v>
      </c>
      <c r="F38" s="3" t="s">
        <v>12</v>
      </c>
      <c r="G38" s="1">
        <v>50</v>
      </c>
      <c r="H38" s="1">
        <f t="shared" si="1"/>
        <v>50</v>
      </c>
    </row>
    <row r="39" ht="15.6" spans="1:8">
      <c r="A39" s="2">
        <v>37</v>
      </c>
      <c r="B39" s="1"/>
      <c r="C39" s="5" t="s">
        <v>98</v>
      </c>
      <c r="D39" s="1" t="s">
        <v>69</v>
      </c>
      <c r="E39" s="1">
        <v>26</v>
      </c>
      <c r="F39" s="3" t="s">
        <v>99</v>
      </c>
      <c r="G39" s="1">
        <v>240</v>
      </c>
      <c r="H39" s="1">
        <f t="shared" si="1"/>
        <v>6240</v>
      </c>
    </row>
    <row r="40" ht="15.6" spans="1:8">
      <c r="A40" s="2">
        <v>38</v>
      </c>
      <c r="B40" s="1"/>
      <c r="C40" s="5" t="s">
        <v>100</v>
      </c>
      <c r="D40" s="1" t="s">
        <v>69</v>
      </c>
      <c r="E40" s="1">
        <v>1</v>
      </c>
      <c r="F40" s="3" t="s">
        <v>99</v>
      </c>
      <c r="G40" s="1">
        <v>220</v>
      </c>
      <c r="H40" s="1">
        <f t="shared" si="1"/>
        <v>220</v>
      </c>
    </row>
    <row r="41" ht="15.6" spans="1:8">
      <c r="A41" s="2">
        <v>39</v>
      </c>
      <c r="B41" s="2" t="s">
        <v>101</v>
      </c>
      <c r="C41" s="5" t="s">
        <v>102</v>
      </c>
      <c r="D41" s="1" t="s">
        <v>81</v>
      </c>
      <c r="E41" s="1">
        <v>26</v>
      </c>
      <c r="F41" s="3" t="s">
        <v>12</v>
      </c>
      <c r="G41" s="1">
        <v>2</v>
      </c>
      <c r="H41" s="1">
        <f t="shared" si="1"/>
        <v>52</v>
      </c>
    </row>
    <row r="42" ht="15.6" spans="1:8">
      <c r="A42" s="2">
        <v>40</v>
      </c>
      <c r="B42" s="2" t="s">
        <v>103</v>
      </c>
      <c r="C42" s="5" t="s">
        <v>104</v>
      </c>
      <c r="D42" s="1" t="s">
        <v>69</v>
      </c>
      <c r="E42" s="1">
        <v>1</v>
      </c>
      <c r="F42" s="3" t="s">
        <v>12</v>
      </c>
      <c r="G42" s="1">
        <v>40</v>
      </c>
      <c r="H42" s="1">
        <f t="shared" si="1"/>
        <v>40</v>
      </c>
    </row>
    <row r="43" ht="15.6" spans="1:8">
      <c r="A43" s="2">
        <v>41</v>
      </c>
      <c r="B43" s="2" t="s">
        <v>105</v>
      </c>
      <c r="C43" s="5" t="s">
        <v>106</v>
      </c>
      <c r="D43" s="1" t="s">
        <v>37</v>
      </c>
      <c r="E43" s="1">
        <v>26</v>
      </c>
      <c r="F43" s="3" t="s">
        <v>12</v>
      </c>
      <c r="G43" s="1">
        <v>14</v>
      </c>
      <c r="H43" s="1">
        <f t="shared" si="1"/>
        <v>364</v>
      </c>
    </row>
    <row r="44" ht="15.6" spans="1:8">
      <c r="A44" s="2">
        <v>42</v>
      </c>
      <c r="B44" s="2" t="s">
        <v>107</v>
      </c>
      <c r="C44" s="5" t="s">
        <v>108</v>
      </c>
      <c r="D44" s="1" t="s">
        <v>17</v>
      </c>
      <c r="E44" s="1">
        <v>1</v>
      </c>
      <c r="F44" s="3" t="s">
        <v>109</v>
      </c>
      <c r="G44" s="1">
        <v>68</v>
      </c>
      <c r="H44" s="1">
        <f t="shared" si="1"/>
        <v>68</v>
      </c>
    </row>
    <row r="45" ht="15.6" spans="1:8">
      <c r="A45" s="2">
        <v>43</v>
      </c>
      <c r="B45" s="2" t="s">
        <v>110</v>
      </c>
      <c r="C45" s="5" t="s">
        <v>111</v>
      </c>
      <c r="D45" s="1" t="s">
        <v>17</v>
      </c>
      <c r="E45" s="1">
        <v>26</v>
      </c>
      <c r="F45" s="3" t="s">
        <v>12</v>
      </c>
      <c r="G45" s="1">
        <v>17</v>
      </c>
      <c r="H45" s="1">
        <f t="shared" si="1"/>
        <v>442</v>
      </c>
    </row>
    <row r="46" ht="15.6" spans="1:8">
      <c r="A46" s="2">
        <v>44</v>
      </c>
      <c r="B46" s="2" t="s">
        <v>112</v>
      </c>
      <c r="C46" s="5" t="s">
        <v>113</v>
      </c>
      <c r="D46" s="1" t="s">
        <v>37</v>
      </c>
      <c r="E46" s="1">
        <v>26</v>
      </c>
      <c r="F46" s="3" t="s">
        <v>12</v>
      </c>
      <c r="G46" s="1">
        <v>17</v>
      </c>
      <c r="H46" s="1">
        <f t="shared" si="1"/>
        <v>442</v>
      </c>
    </row>
    <row r="47" ht="15.6" spans="1:8">
      <c r="A47" s="2">
        <v>45</v>
      </c>
      <c r="B47" s="2" t="s">
        <v>114</v>
      </c>
      <c r="C47" s="5" t="s">
        <v>115</v>
      </c>
      <c r="D47" s="1" t="s">
        <v>69</v>
      </c>
      <c r="E47" s="1">
        <v>1</v>
      </c>
      <c r="F47" s="3" t="s">
        <v>116</v>
      </c>
      <c r="G47" s="1">
        <v>200</v>
      </c>
      <c r="H47" s="1">
        <f t="shared" si="1"/>
        <v>200</v>
      </c>
    </row>
    <row r="48" ht="31.2" spans="1:8">
      <c r="A48" s="2">
        <v>46</v>
      </c>
      <c r="B48" s="2" t="s">
        <v>117</v>
      </c>
      <c r="C48" s="5" t="s">
        <v>118</v>
      </c>
      <c r="D48" s="1" t="s">
        <v>11</v>
      </c>
      <c r="E48" s="1">
        <v>26</v>
      </c>
      <c r="F48" s="3" t="s">
        <v>12</v>
      </c>
      <c r="G48" s="1">
        <v>36</v>
      </c>
      <c r="H48" s="1">
        <f t="shared" si="1"/>
        <v>936</v>
      </c>
    </row>
    <row r="49" ht="15.6" spans="1:8">
      <c r="A49" s="2">
        <v>47</v>
      </c>
      <c r="B49" s="2" t="s">
        <v>119</v>
      </c>
      <c r="C49" s="5" t="s">
        <v>120</v>
      </c>
      <c r="D49" s="1" t="s">
        <v>37</v>
      </c>
      <c r="E49" s="1">
        <v>26</v>
      </c>
      <c r="F49" s="3" t="s">
        <v>12</v>
      </c>
      <c r="G49" s="1">
        <v>5</v>
      </c>
      <c r="H49" s="1">
        <f t="shared" si="1"/>
        <v>130</v>
      </c>
    </row>
    <row r="50" ht="15.6" spans="1:8">
      <c r="A50" s="2">
        <v>48</v>
      </c>
      <c r="B50" s="2" t="s">
        <v>121</v>
      </c>
      <c r="C50" s="5" t="s">
        <v>122</v>
      </c>
      <c r="D50" s="1" t="s">
        <v>37</v>
      </c>
      <c r="E50" s="1">
        <v>26</v>
      </c>
      <c r="F50" s="3" t="s">
        <v>12</v>
      </c>
      <c r="G50" s="1">
        <v>2</v>
      </c>
      <c r="H50" s="1">
        <f t="shared" si="1"/>
        <v>52</v>
      </c>
    </row>
    <row r="51" ht="31.2" spans="1:8">
      <c r="A51" s="2">
        <v>49</v>
      </c>
      <c r="B51" s="2" t="s">
        <v>123</v>
      </c>
      <c r="C51" s="5" t="s">
        <v>124</v>
      </c>
      <c r="D51" s="1" t="s">
        <v>37</v>
      </c>
      <c r="E51" s="1">
        <v>26</v>
      </c>
      <c r="F51" s="3" t="s">
        <v>12</v>
      </c>
      <c r="G51" s="1">
        <v>6</v>
      </c>
      <c r="H51" s="1">
        <f t="shared" si="1"/>
        <v>156</v>
      </c>
    </row>
    <row r="52" ht="31.2" spans="1:8">
      <c r="A52" s="2">
        <v>50</v>
      </c>
      <c r="B52" s="2"/>
      <c r="C52" s="5" t="s">
        <v>125</v>
      </c>
      <c r="D52" s="1" t="s">
        <v>37</v>
      </c>
      <c r="E52" s="1">
        <v>4</v>
      </c>
      <c r="F52" s="3" t="s">
        <v>12</v>
      </c>
      <c r="G52" s="1">
        <v>6</v>
      </c>
      <c r="H52" s="1">
        <f t="shared" si="1"/>
        <v>24</v>
      </c>
    </row>
    <row r="53" ht="31.2" spans="1:8">
      <c r="A53" s="2">
        <v>51</v>
      </c>
      <c r="B53" s="2"/>
      <c r="C53" s="5" t="s">
        <v>126</v>
      </c>
      <c r="D53" s="1" t="s">
        <v>37</v>
      </c>
      <c r="E53" s="1">
        <v>4</v>
      </c>
      <c r="F53" s="3" t="s">
        <v>12</v>
      </c>
      <c r="G53" s="1">
        <v>22</v>
      </c>
      <c r="H53" s="1">
        <f t="shared" si="1"/>
        <v>88</v>
      </c>
    </row>
    <row r="54" ht="15.6" spans="1:8">
      <c r="A54" s="2">
        <v>52</v>
      </c>
      <c r="B54" s="2" t="s">
        <v>127</v>
      </c>
      <c r="C54" s="5" t="s">
        <v>128</v>
      </c>
      <c r="D54" s="1" t="s">
        <v>37</v>
      </c>
      <c r="E54" s="1">
        <v>1</v>
      </c>
      <c r="F54" s="3" t="s">
        <v>12</v>
      </c>
      <c r="G54" s="1">
        <v>12</v>
      </c>
      <c r="H54" s="1">
        <f t="shared" si="1"/>
        <v>12</v>
      </c>
    </row>
    <row r="55" ht="15.6" spans="1:8">
      <c r="A55" s="2">
        <v>53</v>
      </c>
      <c r="B55" s="2" t="s">
        <v>129</v>
      </c>
      <c r="C55" s="5" t="s">
        <v>130</v>
      </c>
      <c r="D55" s="1" t="s">
        <v>37</v>
      </c>
      <c r="E55" s="1">
        <v>26</v>
      </c>
      <c r="F55" s="3" t="s">
        <v>12</v>
      </c>
      <c r="G55" s="1">
        <v>32</v>
      </c>
      <c r="H55" s="1">
        <f t="shared" si="1"/>
        <v>832</v>
      </c>
    </row>
    <row r="56" ht="15.6" spans="1:8">
      <c r="A56" s="2">
        <v>54</v>
      </c>
      <c r="B56" s="2" t="s">
        <v>131</v>
      </c>
      <c r="C56" s="5" t="s">
        <v>132</v>
      </c>
      <c r="D56" s="1" t="s">
        <v>37</v>
      </c>
      <c r="E56" s="1">
        <v>26</v>
      </c>
      <c r="F56" s="3" t="s">
        <v>12</v>
      </c>
      <c r="G56" s="1">
        <v>12</v>
      </c>
      <c r="H56" s="1">
        <f t="shared" si="1"/>
        <v>312</v>
      </c>
    </row>
    <row r="57" ht="15.6" spans="1:8">
      <c r="A57" s="2">
        <v>55</v>
      </c>
      <c r="B57" s="2" t="s">
        <v>133</v>
      </c>
      <c r="C57" s="5" t="s">
        <v>134</v>
      </c>
      <c r="D57" s="1" t="s">
        <v>37</v>
      </c>
      <c r="E57" s="1">
        <v>26</v>
      </c>
      <c r="F57" s="3" t="s">
        <v>12</v>
      </c>
      <c r="G57" s="1">
        <v>5</v>
      </c>
      <c r="H57" s="1">
        <f t="shared" si="1"/>
        <v>130</v>
      </c>
    </row>
    <row r="58" ht="15.6" spans="1:8">
      <c r="A58" s="2">
        <v>165</v>
      </c>
      <c r="B58" s="2" t="s">
        <v>135</v>
      </c>
      <c r="C58" s="5" t="s">
        <v>136</v>
      </c>
      <c r="D58" s="1" t="s">
        <v>37</v>
      </c>
      <c r="E58" s="1">
        <v>60</v>
      </c>
      <c r="F58" s="3" t="s">
        <v>12</v>
      </c>
      <c r="G58" s="1">
        <v>5</v>
      </c>
      <c r="H58" s="1">
        <f t="shared" si="1"/>
        <v>300</v>
      </c>
    </row>
    <row r="59" ht="15.6" spans="1:8">
      <c r="A59" s="2">
        <v>166</v>
      </c>
      <c r="B59" s="2" t="s">
        <v>137</v>
      </c>
      <c r="C59" s="5" t="s">
        <v>138</v>
      </c>
      <c r="D59" s="1" t="s">
        <v>37</v>
      </c>
      <c r="E59" s="1">
        <v>60</v>
      </c>
      <c r="F59" s="3" t="s">
        <v>12</v>
      </c>
      <c r="G59" s="1">
        <v>5</v>
      </c>
      <c r="H59" s="1">
        <f t="shared" si="1"/>
        <v>300</v>
      </c>
    </row>
    <row r="60" ht="15.6" spans="1:8">
      <c r="A60" s="2">
        <v>167</v>
      </c>
      <c r="B60" s="2" t="s">
        <v>139</v>
      </c>
      <c r="C60" s="5" t="s">
        <v>140</v>
      </c>
      <c r="D60" s="1" t="s">
        <v>37</v>
      </c>
      <c r="E60" s="1">
        <v>4</v>
      </c>
      <c r="F60" s="3" t="s">
        <v>12</v>
      </c>
      <c r="G60" s="1">
        <v>6</v>
      </c>
      <c r="H60" s="1">
        <f t="shared" si="1"/>
        <v>24</v>
      </c>
    </row>
    <row r="61" ht="15.6" spans="1:8">
      <c r="A61" s="2">
        <v>168</v>
      </c>
      <c r="B61" s="2" t="s">
        <v>141</v>
      </c>
      <c r="C61" s="5" t="s">
        <v>142</v>
      </c>
      <c r="D61" s="1" t="s">
        <v>37</v>
      </c>
      <c r="E61" s="1">
        <v>60</v>
      </c>
      <c r="F61" s="3" t="s">
        <v>12</v>
      </c>
      <c r="G61" s="1">
        <v>2.5</v>
      </c>
      <c r="H61" s="1">
        <f t="shared" si="1"/>
        <v>150</v>
      </c>
    </row>
    <row r="62" ht="46.8" spans="1:8">
      <c r="A62" s="2">
        <v>169</v>
      </c>
      <c r="B62" s="2" t="s">
        <v>143</v>
      </c>
      <c r="C62" s="5" t="s">
        <v>144</v>
      </c>
      <c r="D62" s="1" t="s">
        <v>37</v>
      </c>
      <c r="E62" s="1">
        <v>60</v>
      </c>
      <c r="F62" s="3" t="s">
        <v>12</v>
      </c>
      <c r="G62" s="1">
        <v>1</v>
      </c>
      <c r="H62" s="1">
        <f t="shared" si="1"/>
        <v>60</v>
      </c>
    </row>
    <row r="63" ht="15.6" spans="1:8">
      <c r="A63" s="2">
        <v>170</v>
      </c>
      <c r="B63" s="2" t="s">
        <v>145</v>
      </c>
      <c r="C63" s="5" t="s">
        <v>146</v>
      </c>
      <c r="D63" s="1" t="s">
        <v>37</v>
      </c>
      <c r="E63" s="1">
        <v>60</v>
      </c>
      <c r="F63" s="3" t="s">
        <v>12</v>
      </c>
      <c r="G63" s="1">
        <v>1.2</v>
      </c>
      <c r="H63" s="1">
        <f t="shared" si="1"/>
        <v>72</v>
      </c>
    </row>
    <row r="64" ht="31.2" spans="1:8">
      <c r="A64" s="2">
        <v>171</v>
      </c>
      <c r="B64" s="2" t="s">
        <v>147</v>
      </c>
      <c r="C64" s="5" t="s">
        <v>148</v>
      </c>
      <c r="D64" s="1" t="s">
        <v>37</v>
      </c>
      <c r="E64" s="1">
        <v>5</v>
      </c>
      <c r="F64" s="3" t="s">
        <v>12</v>
      </c>
      <c r="G64" s="1">
        <v>1.2</v>
      </c>
      <c r="H64" s="1">
        <f t="shared" si="1"/>
        <v>6</v>
      </c>
    </row>
    <row r="65" ht="31.2" spans="1:8">
      <c r="A65" s="2">
        <v>172</v>
      </c>
      <c r="B65" s="2" t="s">
        <v>149</v>
      </c>
      <c r="C65" s="5" t="s">
        <v>150</v>
      </c>
      <c r="D65" s="1" t="s">
        <v>37</v>
      </c>
      <c r="E65" s="1">
        <v>52</v>
      </c>
      <c r="F65" s="3" t="s">
        <v>12</v>
      </c>
      <c r="G65" s="1">
        <v>1.4</v>
      </c>
      <c r="H65" s="1">
        <f t="shared" si="1"/>
        <v>72.8</v>
      </c>
    </row>
    <row r="66" ht="15.6" spans="1:8">
      <c r="A66" s="2">
        <v>173</v>
      </c>
      <c r="B66" s="2" t="s">
        <v>151</v>
      </c>
      <c r="C66" s="5" t="s">
        <v>152</v>
      </c>
      <c r="D66" s="1"/>
      <c r="E66" s="1"/>
      <c r="F66" s="3" t="s">
        <v>12</v>
      </c>
      <c r="G66" s="1"/>
      <c r="H66" s="1"/>
    </row>
    <row r="67" ht="15.6" spans="1:8">
      <c r="A67" s="2">
        <v>174</v>
      </c>
      <c r="B67" s="2" t="s">
        <v>153</v>
      </c>
      <c r="C67" s="2" t="s">
        <v>154</v>
      </c>
      <c r="D67" s="1" t="s">
        <v>37</v>
      </c>
      <c r="E67" s="1">
        <v>2</v>
      </c>
      <c r="F67" s="3" t="s">
        <v>12</v>
      </c>
      <c r="G67" s="1">
        <v>11</v>
      </c>
      <c r="H67" s="1">
        <f t="shared" ref="H67:H98" si="2">G67*E67</f>
        <v>22</v>
      </c>
    </row>
    <row r="68" ht="31.2" spans="1:8">
      <c r="A68" s="2">
        <v>175</v>
      </c>
      <c r="B68" s="2" t="s">
        <v>155</v>
      </c>
      <c r="C68" s="5" t="s">
        <v>156</v>
      </c>
      <c r="D68" s="1" t="s">
        <v>37</v>
      </c>
      <c r="E68" s="1">
        <v>26</v>
      </c>
      <c r="F68" s="3" t="s">
        <v>12</v>
      </c>
      <c r="G68" s="1">
        <v>2</v>
      </c>
      <c r="H68" s="1">
        <f t="shared" si="2"/>
        <v>52</v>
      </c>
    </row>
    <row r="69" ht="15.6" spans="1:8">
      <c r="A69" s="2">
        <v>176</v>
      </c>
      <c r="B69" s="2" t="s">
        <v>157</v>
      </c>
      <c r="C69" s="5" t="s">
        <v>158</v>
      </c>
      <c r="D69" s="1" t="s">
        <v>37</v>
      </c>
      <c r="E69" s="1">
        <v>100</v>
      </c>
      <c r="F69" s="3" t="s">
        <v>12</v>
      </c>
      <c r="G69" s="1">
        <v>1</v>
      </c>
      <c r="H69" s="1">
        <f t="shared" si="2"/>
        <v>100</v>
      </c>
    </row>
    <row r="70" ht="15.6" spans="1:8">
      <c r="A70" s="2">
        <v>177</v>
      </c>
      <c r="B70" s="2" t="s">
        <v>159</v>
      </c>
      <c r="C70" s="5" t="s">
        <v>160</v>
      </c>
      <c r="D70" s="1" t="s">
        <v>161</v>
      </c>
      <c r="E70" s="1">
        <v>5</v>
      </c>
      <c r="F70" s="3" t="s">
        <v>12</v>
      </c>
      <c r="G70" s="1">
        <v>12</v>
      </c>
      <c r="H70" s="1">
        <f t="shared" si="2"/>
        <v>60</v>
      </c>
    </row>
    <row r="71" ht="15.6" spans="1:8">
      <c r="A71" s="2">
        <v>178</v>
      </c>
      <c r="B71" s="2"/>
      <c r="C71" s="5" t="s">
        <v>162</v>
      </c>
      <c r="D71" s="1" t="s">
        <v>161</v>
      </c>
      <c r="E71" s="1">
        <v>4</v>
      </c>
      <c r="F71" s="3" t="s">
        <v>12</v>
      </c>
      <c r="G71" s="1">
        <v>12</v>
      </c>
      <c r="H71" s="1">
        <f t="shared" si="2"/>
        <v>48</v>
      </c>
    </row>
    <row r="72" ht="15.6" spans="1:8">
      <c r="A72" s="2">
        <v>179</v>
      </c>
      <c r="B72" s="2" t="s">
        <v>163</v>
      </c>
      <c r="C72" s="5" t="s">
        <v>162</v>
      </c>
      <c r="D72" s="1" t="s">
        <v>17</v>
      </c>
      <c r="E72" s="1">
        <v>100</v>
      </c>
      <c r="F72" s="3" t="s">
        <v>12</v>
      </c>
      <c r="G72" s="1">
        <v>2</v>
      </c>
      <c r="H72" s="1">
        <f t="shared" si="2"/>
        <v>200</v>
      </c>
    </row>
    <row r="73" ht="15.6" spans="1:8">
      <c r="A73" s="2">
        <v>180</v>
      </c>
      <c r="B73" s="2" t="s">
        <v>164</v>
      </c>
      <c r="C73" s="5" t="s">
        <v>160</v>
      </c>
      <c r="D73" s="1" t="s">
        <v>17</v>
      </c>
      <c r="E73" s="1">
        <v>200</v>
      </c>
      <c r="F73" s="3" t="s">
        <v>12</v>
      </c>
      <c r="G73" s="1">
        <v>1.5</v>
      </c>
      <c r="H73" s="1">
        <f t="shared" si="2"/>
        <v>300</v>
      </c>
    </row>
    <row r="74" ht="15.6" spans="1:8">
      <c r="A74" s="2">
        <v>181</v>
      </c>
      <c r="B74" s="2"/>
      <c r="C74" s="5" t="s">
        <v>162</v>
      </c>
      <c r="D74" s="1" t="s">
        <v>17</v>
      </c>
      <c r="E74" s="1">
        <v>200</v>
      </c>
      <c r="F74" s="3" t="s">
        <v>12</v>
      </c>
      <c r="G74" s="1">
        <v>1.5</v>
      </c>
      <c r="H74" s="1">
        <f t="shared" si="2"/>
        <v>300</v>
      </c>
    </row>
    <row r="75" ht="15.6" spans="1:8">
      <c r="A75" s="2">
        <v>182</v>
      </c>
      <c r="B75" s="2" t="s">
        <v>165</v>
      </c>
      <c r="C75" s="5" t="s">
        <v>166</v>
      </c>
      <c r="D75" s="1" t="s">
        <v>161</v>
      </c>
      <c r="E75" s="1">
        <v>8</v>
      </c>
      <c r="F75" s="3" t="s">
        <v>12</v>
      </c>
      <c r="G75" s="1">
        <v>28</v>
      </c>
      <c r="H75" s="1">
        <f t="shared" si="2"/>
        <v>224</v>
      </c>
    </row>
    <row r="76" ht="15.6" spans="1:8">
      <c r="A76" s="2">
        <v>183</v>
      </c>
      <c r="B76" s="2" t="s">
        <v>167</v>
      </c>
      <c r="C76" s="5" t="s">
        <v>168</v>
      </c>
      <c r="D76" s="1" t="s">
        <v>169</v>
      </c>
      <c r="E76" s="1">
        <v>40</v>
      </c>
      <c r="F76" s="3" t="s">
        <v>12</v>
      </c>
      <c r="G76" s="1">
        <v>3</v>
      </c>
      <c r="H76" s="1">
        <f t="shared" si="2"/>
        <v>120</v>
      </c>
    </row>
    <row r="77" ht="15.6" spans="1:8">
      <c r="A77" s="2">
        <v>184</v>
      </c>
      <c r="B77" s="2" t="s">
        <v>170</v>
      </c>
      <c r="C77" s="5" t="s">
        <v>171</v>
      </c>
      <c r="D77" s="1" t="s">
        <v>169</v>
      </c>
      <c r="E77" s="1">
        <v>40</v>
      </c>
      <c r="F77" s="3" t="s">
        <v>12</v>
      </c>
      <c r="G77" s="1">
        <v>3.5</v>
      </c>
      <c r="H77" s="1">
        <f t="shared" si="2"/>
        <v>140</v>
      </c>
    </row>
    <row r="78" ht="15.6" spans="1:8">
      <c r="A78" s="2">
        <v>185</v>
      </c>
      <c r="B78" s="2"/>
      <c r="C78" s="5" t="s">
        <v>172</v>
      </c>
      <c r="D78" s="1" t="s">
        <v>169</v>
      </c>
      <c r="E78" s="1">
        <v>40</v>
      </c>
      <c r="F78" s="3" t="s">
        <v>12</v>
      </c>
      <c r="G78" s="1">
        <v>3.5</v>
      </c>
      <c r="H78" s="1">
        <f t="shared" si="2"/>
        <v>140</v>
      </c>
    </row>
    <row r="79" ht="15.6" spans="1:8">
      <c r="A79" s="2">
        <v>186</v>
      </c>
      <c r="B79" s="2"/>
      <c r="C79" s="5" t="s">
        <v>168</v>
      </c>
      <c r="D79" s="1" t="s">
        <v>169</v>
      </c>
      <c r="E79" s="1">
        <v>40</v>
      </c>
      <c r="F79" s="3" t="s">
        <v>12</v>
      </c>
      <c r="G79" s="1">
        <v>3.5</v>
      </c>
      <c r="H79" s="1">
        <f t="shared" si="2"/>
        <v>140</v>
      </c>
    </row>
    <row r="80" ht="15.6" spans="1:8">
      <c r="A80" s="2">
        <v>187</v>
      </c>
      <c r="B80" s="2" t="s">
        <v>173</v>
      </c>
      <c r="C80" s="5" t="s">
        <v>174</v>
      </c>
      <c r="D80" s="1" t="s">
        <v>37</v>
      </c>
      <c r="E80" s="1">
        <v>26</v>
      </c>
      <c r="F80" s="3" t="s">
        <v>12</v>
      </c>
      <c r="G80" s="1">
        <v>4</v>
      </c>
      <c r="H80" s="1">
        <f t="shared" si="2"/>
        <v>104</v>
      </c>
    </row>
    <row r="81" ht="15.6" spans="1:8">
      <c r="A81" s="2">
        <v>188</v>
      </c>
      <c r="B81" s="2" t="s">
        <v>175</v>
      </c>
      <c r="C81" s="5" t="s">
        <v>176</v>
      </c>
      <c r="D81" s="1" t="s">
        <v>37</v>
      </c>
      <c r="E81" s="1">
        <v>52</v>
      </c>
      <c r="F81" s="3" t="s">
        <v>12</v>
      </c>
      <c r="G81" s="1">
        <v>1</v>
      </c>
      <c r="H81" s="1">
        <f t="shared" si="2"/>
        <v>52</v>
      </c>
    </row>
    <row r="82" ht="15.6" spans="1:8">
      <c r="A82" s="2">
        <v>189</v>
      </c>
      <c r="B82" s="2"/>
      <c r="C82" s="5" t="s">
        <v>177</v>
      </c>
      <c r="D82" s="1" t="s">
        <v>37</v>
      </c>
      <c r="E82" s="1">
        <v>52</v>
      </c>
      <c r="F82" s="3" t="s">
        <v>12</v>
      </c>
      <c r="G82" s="1">
        <v>1.5</v>
      </c>
      <c r="H82" s="1">
        <f t="shared" si="2"/>
        <v>78</v>
      </c>
    </row>
    <row r="83" ht="15.6" spans="1:8">
      <c r="A83" s="2">
        <v>190</v>
      </c>
      <c r="B83" s="2"/>
      <c r="C83" s="5" t="s">
        <v>178</v>
      </c>
      <c r="D83" s="1" t="s">
        <v>37</v>
      </c>
      <c r="E83" s="1">
        <v>5</v>
      </c>
      <c r="F83" s="3" t="s">
        <v>12</v>
      </c>
      <c r="G83" s="1">
        <v>2</v>
      </c>
      <c r="H83" s="1">
        <f t="shared" si="2"/>
        <v>10</v>
      </c>
    </row>
    <row r="84" ht="15.6" spans="1:8">
      <c r="A84" s="2">
        <v>191</v>
      </c>
      <c r="B84" s="2" t="s">
        <v>179</v>
      </c>
      <c r="C84" s="5" t="s">
        <v>180</v>
      </c>
      <c r="D84" s="1" t="s">
        <v>37</v>
      </c>
      <c r="E84" s="1">
        <v>26</v>
      </c>
      <c r="F84" s="3" t="s">
        <v>12</v>
      </c>
      <c r="G84" s="1">
        <v>1.5</v>
      </c>
      <c r="H84" s="1">
        <f t="shared" si="2"/>
        <v>39</v>
      </c>
    </row>
    <row r="85" ht="15.6" spans="1:8">
      <c r="A85" s="2">
        <v>192</v>
      </c>
      <c r="B85" s="2"/>
      <c r="C85" s="5" t="s">
        <v>181</v>
      </c>
      <c r="D85" s="1" t="s">
        <v>37</v>
      </c>
      <c r="E85" s="1">
        <v>26</v>
      </c>
      <c r="F85" s="3" t="s">
        <v>12</v>
      </c>
      <c r="G85" s="1">
        <v>2.5</v>
      </c>
      <c r="H85" s="1">
        <f t="shared" si="2"/>
        <v>65</v>
      </c>
    </row>
    <row r="86" ht="15.6" spans="1:8">
      <c r="A86" s="2">
        <v>193</v>
      </c>
      <c r="B86" s="2" t="s">
        <v>182</v>
      </c>
      <c r="C86" s="2" t="s">
        <v>183</v>
      </c>
      <c r="D86" s="1" t="s">
        <v>37</v>
      </c>
      <c r="E86" s="1">
        <v>25</v>
      </c>
      <c r="F86" s="3" t="s">
        <v>12</v>
      </c>
      <c r="G86" s="1">
        <v>2</v>
      </c>
      <c r="H86" s="1">
        <f t="shared" si="2"/>
        <v>50</v>
      </c>
    </row>
    <row r="87" ht="15.6" spans="1:8">
      <c r="A87" s="2">
        <v>194</v>
      </c>
      <c r="B87" s="2" t="s">
        <v>184</v>
      </c>
      <c r="C87" s="5" t="s">
        <v>185</v>
      </c>
      <c r="D87" s="1" t="s">
        <v>37</v>
      </c>
      <c r="E87" s="1">
        <v>52</v>
      </c>
      <c r="F87" s="3" t="s">
        <v>12</v>
      </c>
      <c r="G87" s="1">
        <v>3.75</v>
      </c>
      <c r="H87" s="1">
        <f t="shared" si="2"/>
        <v>195</v>
      </c>
    </row>
    <row r="88" ht="15.6" spans="1:8">
      <c r="A88" s="2">
        <v>195</v>
      </c>
      <c r="B88" s="2"/>
      <c r="C88" s="5" t="s">
        <v>186</v>
      </c>
      <c r="D88" s="1" t="s">
        <v>37</v>
      </c>
      <c r="E88" s="1">
        <v>2</v>
      </c>
      <c r="F88" s="3" t="s">
        <v>12</v>
      </c>
      <c r="G88" s="1">
        <v>5.2</v>
      </c>
      <c r="H88" s="1">
        <f t="shared" si="2"/>
        <v>10.4</v>
      </c>
    </row>
    <row r="89" ht="15.6" spans="1:8">
      <c r="A89" s="2">
        <v>196</v>
      </c>
      <c r="B89" s="2" t="s">
        <v>187</v>
      </c>
      <c r="C89" s="5" t="s">
        <v>188</v>
      </c>
      <c r="D89" s="1" t="s">
        <v>37</v>
      </c>
      <c r="E89" s="1">
        <v>52</v>
      </c>
      <c r="F89" s="3" t="s">
        <v>12</v>
      </c>
      <c r="G89" s="1">
        <v>2.8</v>
      </c>
      <c r="H89" s="1">
        <f t="shared" si="2"/>
        <v>145.6</v>
      </c>
    </row>
    <row r="90" ht="15.6" spans="1:8">
      <c r="A90" s="2">
        <v>197</v>
      </c>
      <c r="B90" s="2"/>
      <c r="C90" s="5" t="s">
        <v>189</v>
      </c>
      <c r="D90" s="1" t="s">
        <v>37</v>
      </c>
      <c r="E90" s="1">
        <v>5</v>
      </c>
      <c r="F90" s="3" t="s">
        <v>12</v>
      </c>
      <c r="G90" s="1">
        <v>4</v>
      </c>
      <c r="H90" s="1">
        <f t="shared" si="2"/>
        <v>20</v>
      </c>
    </row>
    <row r="91" ht="15.6" spans="1:8">
      <c r="A91" s="2">
        <v>198</v>
      </c>
      <c r="B91" s="2" t="s">
        <v>190</v>
      </c>
      <c r="C91" s="5" t="s">
        <v>191</v>
      </c>
      <c r="D91" s="1" t="s">
        <v>37</v>
      </c>
      <c r="E91" s="1">
        <v>2</v>
      </c>
      <c r="F91" s="3" t="s">
        <v>12</v>
      </c>
      <c r="G91" s="1">
        <v>13</v>
      </c>
      <c r="H91" s="1">
        <f t="shared" si="2"/>
        <v>26</v>
      </c>
    </row>
    <row r="92" ht="15.6" spans="1:8">
      <c r="A92" s="2">
        <v>199</v>
      </c>
      <c r="B92" s="2" t="s">
        <v>192</v>
      </c>
      <c r="C92" s="5" t="s">
        <v>193</v>
      </c>
      <c r="D92" s="1" t="s">
        <v>37</v>
      </c>
      <c r="E92" s="1">
        <v>52</v>
      </c>
      <c r="F92" s="3" t="s">
        <v>12</v>
      </c>
      <c r="G92" s="1">
        <v>2.5</v>
      </c>
      <c r="H92" s="1">
        <f t="shared" si="2"/>
        <v>130</v>
      </c>
    </row>
    <row r="93" ht="15.6" spans="1:8">
      <c r="A93" s="2">
        <v>200</v>
      </c>
      <c r="B93" s="2" t="s">
        <v>194</v>
      </c>
      <c r="C93" s="5" t="s">
        <v>195</v>
      </c>
      <c r="D93" s="1" t="s">
        <v>37</v>
      </c>
      <c r="E93" s="1">
        <v>52</v>
      </c>
      <c r="F93" s="3" t="s">
        <v>12</v>
      </c>
      <c r="G93" s="1">
        <v>1.3</v>
      </c>
      <c r="H93" s="1">
        <f t="shared" si="2"/>
        <v>67.6</v>
      </c>
    </row>
    <row r="94" ht="15.6" spans="1:8">
      <c r="A94" s="2">
        <v>201</v>
      </c>
      <c r="B94" s="2"/>
      <c r="C94" s="5" t="s">
        <v>196</v>
      </c>
      <c r="D94" s="1" t="s">
        <v>37</v>
      </c>
      <c r="E94" s="1">
        <v>52</v>
      </c>
      <c r="F94" s="3" t="s">
        <v>12</v>
      </c>
      <c r="G94" s="1">
        <v>6</v>
      </c>
      <c r="H94" s="1">
        <f t="shared" si="2"/>
        <v>312</v>
      </c>
    </row>
    <row r="95" ht="15.6" spans="1:8">
      <c r="A95" s="2">
        <v>202</v>
      </c>
      <c r="B95" s="2" t="s">
        <v>197</v>
      </c>
      <c r="C95" s="5" t="s">
        <v>198</v>
      </c>
      <c r="D95" s="1" t="s">
        <v>81</v>
      </c>
      <c r="E95" s="1">
        <v>1000</v>
      </c>
      <c r="F95" s="3" t="s">
        <v>12</v>
      </c>
      <c r="G95" s="1">
        <v>0.4</v>
      </c>
      <c r="H95" s="1">
        <f t="shared" si="2"/>
        <v>400</v>
      </c>
    </row>
    <row r="96" ht="15.6" spans="1:8">
      <c r="A96" s="2">
        <v>203</v>
      </c>
      <c r="B96" s="2" t="s">
        <v>199</v>
      </c>
      <c r="C96" s="5" t="s">
        <v>200</v>
      </c>
      <c r="D96" s="1" t="s">
        <v>37</v>
      </c>
      <c r="E96" s="1">
        <v>52</v>
      </c>
      <c r="F96" s="3" t="s">
        <v>12</v>
      </c>
      <c r="G96" s="1">
        <v>4</v>
      </c>
      <c r="H96" s="1">
        <f t="shared" si="2"/>
        <v>208</v>
      </c>
    </row>
    <row r="97" ht="15.6" spans="1:8">
      <c r="A97" s="2">
        <v>204</v>
      </c>
      <c r="B97" s="2" t="s">
        <v>201</v>
      </c>
      <c r="C97" s="5" t="s">
        <v>202</v>
      </c>
      <c r="D97" s="1" t="s">
        <v>37</v>
      </c>
      <c r="E97" s="1">
        <v>26</v>
      </c>
      <c r="F97" s="3" t="s">
        <v>12</v>
      </c>
      <c r="G97" s="1">
        <v>12</v>
      </c>
      <c r="H97" s="1">
        <f t="shared" si="2"/>
        <v>312</v>
      </c>
    </row>
    <row r="98" ht="15.6" spans="1:8">
      <c r="A98" s="2">
        <v>205</v>
      </c>
      <c r="B98" s="2" t="s">
        <v>203</v>
      </c>
      <c r="C98" s="5" t="s">
        <v>204</v>
      </c>
      <c r="D98" s="1" t="s">
        <v>37</v>
      </c>
      <c r="E98" s="1">
        <v>26</v>
      </c>
      <c r="F98" s="3" t="s">
        <v>12</v>
      </c>
      <c r="G98" s="1">
        <v>8</v>
      </c>
      <c r="H98" s="1">
        <f t="shared" si="2"/>
        <v>208</v>
      </c>
    </row>
    <row r="99" ht="15.6" spans="1:8">
      <c r="A99" s="2">
        <v>206</v>
      </c>
      <c r="B99" s="2"/>
      <c r="C99" s="5" t="s">
        <v>205</v>
      </c>
      <c r="D99" s="1" t="s">
        <v>37</v>
      </c>
      <c r="E99" s="1">
        <v>5</v>
      </c>
      <c r="F99" s="3" t="s">
        <v>12</v>
      </c>
      <c r="G99" s="1">
        <v>8</v>
      </c>
      <c r="H99" s="1">
        <f t="shared" ref="H99:H119" si="3">G99*E99</f>
        <v>40</v>
      </c>
    </row>
    <row r="100" ht="15.6" spans="1:8">
      <c r="A100" s="2">
        <v>207</v>
      </c>
      <c r="B100" s="2" t="s">
        <v>206</v>
      </c>
      <c r="C100" s="5" t="s">
        <v>207</v>
      </c>
      <c r="D100" s="1" t="s">
        <v>17</v>
      </c>
      <c r="E100" s="1">
        <v>26</v>
      </c>
      <c r="F100" s="3" t="s">
        <v>208</v>
      </c>
      <c r="G100" s="1">
        <v>1</v>
      </c>
      <c r="H100" s="1">
        <f t="shared" si="3"/>
        <v>26</v>
      </c>
    </row>
    <row r="101" ht="15.6" spans="1:8">
      <c r="A101" s="2">
        <v>208</v>
      </c>
      <c r="B101" s="2"/>
      <c r="C101" s="5" t="s">
        <v>209</v>
      </c>
      <c r="D101" s="1" t="s">
        <v>17</v>
      </c>
      <c r="E101" s="1">
        <v>25</v>
      </c>
      <c r="F101" s="3" t="s">
        <v>210</v>
      </c>
      <c r="G101" s="1">
        <v>3</v>
      </c>
      <c r="H101" s="1">
        <f t="shared" si="3"/>
        <v>75</v>
      </c>
    </row>
    <row r="102" ht="15.6" spans="1:8">
      <c r="A102" s="2">
        <v>209</v>
      </c>
      <c r="B102" s="2" t="s">
        <v>211</v>
      </c>
      <c r="C102" s="5" t="s">
        <v>212</v>
      </c>
      <c r="D102" s="1" t="s">
        <v>81</v>
      </c>
      <c r="E102" s="1">
        <v>2</v>
      </c>
      <c r="F102" s="3" t="s">
        <v>12</v>
      </c>
      <c r="G102" s="1">
        <v>56</v>
      </c>
      <c r="H102" s="1">
        <f t="shared" si="3"/>
        <v>112</v>
      </c>
    </row>
    <row r="103" ht="15.6" spans="1:8">
      <c r="A103" s="2">
        <v>210</v>
      </c>
      <c r="B103" s="2" t="s">
        <v>213</v>
      </c>
      <c r="C103" s="5" t="s">
        <v>214</v>
      </c>
      <c r="D103" s="1" t="s">
        <v>37</v>
      </c>
      <c r="E103" s="1">
        <v>2</v>
      </c>
      <c r="F103" s="3" t="s">
        <v>215</v>
      </c>
      <c r="G103" s="1">
        <v>48</v>
      </c>
      <c r="H103" s="1">
        <f t="shared" si="3"/>
        <v>96</v>
      </c>
    </row>
    <row r="104" ht="15.6" spans="1:8">
      <c r="A104" s="2">
        <v>211</v>
      </c>
      <c r="B104" s="2" t="s">
        <v>216</v>
      </c>
      <c r="C104" s="5" t="s">
        <v>217</v>
      </c>
      <c r="D104" s="1" t="s">
        <v>69</v>
      </c>
      <c r="E104" s="1">
        <v>2</v>
      </c>
      <c r="F104" s="3" t="s">
        <v>12</v>
      </c>
      <c r="G104" s="1">
        <v>40</v>
      </c>
      <c r="H104" s="1">
        <f t="shared" si="3"/>
        <v>80</v>
      </c>
    </row>
    <row r="105" ht="31.2" spans="1:8">
      <c r="A105" s="2">
        <v>212</v>
      </c>
      <c r="B105" s="2" t="s">
        <v>218</v>
      </c>
      <c r="C105" s="5" t="s">
        <v>219</v>
      </c>
      <c r="D105" s="1" t="s">
        <v>37</v>
      </c>
      <c r="E105" s="1">
        <v>2</v>
      </c>
      <c r="F105" s="3" t="s">
        <v>12</v>
      </c>
      <c r="G105" s="1">
        <v>200</v>
      </c>
      <c r="H105" s="1">
        <f t="shared" si="3"/>
        <v>400</v>
      </c>
    </row>
    <row r="106" ht="15.6" spans="1:8">
      <c r="A106" s="2">
        <v>213</v>
      </c>
      <c r="B106" s="2" t="s">
        <v>220</v>
      </c>
      <c r="C106" s="5" t="s">
        <v>221</v>
      </c>
      <c r="D106" s="1" t="s">
        <v>58</v>
      </c>
      <c r="E106" s="1">
        <v>15</v>
      </c>
      <c r="F106" s="3" t="s">
        <v>222</v>
      </c>
      <c r="G106" s="1">
        <v>9</v>
      </c>
      <c r="H106" s="1">
        <f t="shared" si="3"/>
        <v>135</v>
      </c>
    </row>
    <row r="107" ht="15.6" spans="1:8">
      <c r="A107" s="2">
        <v>214</v>
      </c>
      <c r="B107" s="2" t="s">
        <v>220</v>
      </c>
      <c r="C107" s="5" t="s">
        <v>223</v>
      </c>
      <c r="D107" s="1" t="s">
        <v>58</v>
      </c>
      <c r="E107" s="1">
        <v>3</v>
      </c>
      <c r="F107" s="3" t="s">
        <v>222</v>
      </c>
      <c r="G107" s="1">
        <v>10</v>
      </c>
      <c r="H107" s="1">
        <f t="shared" si="3"/>
        <v>30</v>
      </c>
    </row>
    <row r="108" ht="15.6" spans="1:8">
      <c r="A108" s="2">
        <v>215</v>
      </c>
      <c r="B108" s="2" t="s">
        <v>224</v>
      </c>
      <c r="C108" s="5" t="s">
        <v>225</v>
      </c>
      <c r="D108" s="1" t="s">
        <v>11</v>
      </c>
      <c r="E108" s="1">
        <v>52</v>
      </c>
      <c r="F108" s="3" t="s">
        <v>12</v>
      </c>
      <c r="G108" s="1">
        <v>20</v>
      </c>
      <c r="H108" s="1">
        <f t="shared" si="3"/>
        <v>1040</v>
      </c>
    </row>
    <row r="109" ht="31.2" spans="1:8">
      <c r="A109" s="2">
        <v>216</v>
      </c>
      <c r="B109" s="2" t="s">
        <v>226</v>
      </c>
      <c r="C109" s="5" t="s">
        <v>227</v>
      </c>
      <c r="D109" s="1" t="s">
        <v>37</v>
      </c>
      <c r="E109" s="1">
        <v>52</v>
      </c>
      <c r="F109" s="3" t="s">
        <v>12</v>
      </c>
      <c r="G109" s="1">
        <v>22</v>
      </c>
      <c r="H109" s="1">
        <f t="shared" si="3"/>
        <v>1144</v>
      </c>
    </row>
    <row r="110" ht="93.6" spans="1:8">
      <c r="A110" s="2">
        <v>217</v>
      </c>
      <c r="B110" s="2" t="s">
        <v>228</v>
      </c>
      <c r="C110" s="5" t="s">
        <v>229</v>
      </c>
      <c r="D110" s="1" t="s">
        <v>69</v>
      </c>
      <c r="E110" s="1">
        <v>1</v>
      </c>
      <c r="F110" s="3" t="s">
        <v>12</v>
      </c>
      <c r="G110" s="1">
        <v>300</v>
      </c>
      <c r="H110" s="1">
        <f t="shared" si="3"/>
        <v>300</v>
      </c>
    </row>
    <row r="111" ht="15.6" spans="1:8">
      <c r="A111" s="2">
        <v>218</v>
      </c>
      <c r="B111" s="2" t="s">
        <v>230</v>
      </c>
      <c r="C111" s="5" t="s">
        <v>231</v>
      </c>
      <c r="D111" s="1" t="s">
        <v>11</v>
      </c>
      <c r="E111" s="1">
        <v>3</v>
      </c>
      <c r="F111" s="3" t="s">
        <v>12</v>
      </c>
      <c r="G111" s="1">
        <v>140</v>
      </c>
      <c r="H111" s="1">
        <f t="shared" si="3"/>
        <v>420</v>
      </c>
    </row>
    <row r="112" ht="15.6" spans="1:8">
      <c r="A112" s="2">
        <v>219</v>
      </c>
      <c r="B112" s="2" t="s">
        <v>230</v>
      </c>
      <c r="C112" s="5" t="s">
        <v>232</v>
      </c>
      <c r="D112" s="1" t="s">
        <v>11</v>
      </c>
      <c r="E112" s="1">
        <v>3</v>
      </c>
      <c r="F112" s="3" t="s">
        <v>12</v>
      </c>
      <c r="G112" s="1">
        <v>140</v>
      </c>
      <c r="H112" s="1">
        <f t="shared" si="3"/>
        <v>420</v>
      </c>
    </row>
    <row r="113" ht="15.6" spans="1:8">
      <c r="A113" s="2">
        <v>220</v>
      </c>
      <c r="B113" s="2" t="s">
        <v>233</v>
      </c>
      <c r="C113" s="5" t="s">
        <v>234</v>
      </c>
      <c r="D113" s="1" t="s">
        <v>11</v>
      </c>
      <c r="E113" s="1">
        <v>52</v>
      </c>
      <c r="F113" s="3" t="s">
        <v>12</v>
      </c>
      <c r="G113" s="1">
        <v>40</v>
      </c>
      <c r="H113" s="1">
        <f t="shared" si="3"/>
        <v>2080</v>
      </c>
    </row>
    <row r="114" ht="15.6" spans="1:8">
      <c r="A114" s="2">
        <v>221</v>
      </c>
      <c r="B114" s="2" t="s">
        <v>235</v>
      </c>
      <c r="C114" s="5" t="s">
        <v>236</v>
      </c>
      <c r="D114" s="1" t="s">
        <v>33</v>
      </c>
      <c r="E114" s="1">
        <v>1</v>
      </c>
      <c r="F114" s="3" t="s">
        <v>12</v>
      </c>
      <c r="G114" s="1">
        <v>170</v>
      </c>
      <c r="H114" s="1">
        <f t="shared" si="3"/>
        <v>170</v>
      </c>
    </row>
    <row r="115" ht="15.6" spans="1:8">
      <c r="A115" s="2">
        <v>222</v>
      </c>
      <c r="B115" s="2" t="s">
        <v>237</v>
      </c>
      <c r="C115" s="5" t="s">
        <v>238</v>
      </c>
      <c r="D115" s="1" t="s">
        <v>11</v>
      </c>
      <c r="E115" s="1">
        <v>1</v>
      </c>
      <c r="F115" s="3" t="s">
        <v>12</v>
      </c>
      <c r="G115" s="1">
        <v>210</v>
      </c>
      <c r="H115" s="1">
        <f t="shared" si="3"/>
        <v>210</v>
      </c>
    </row>
    <row r="116" ht="15.6" spans="1:8">
      <c r="A116" s="2">
        <v>223</v>
      </c>
      <c r="B116" s="2" t="s">
        <v>239</v>
      </c>
      <c r="C116" s="5" t="s">
        <v>240</v>
      </c>
      <c r="D116" s="1" t="s">
        <v>11</v>
      </c>
      <c r="E116" s="1">
        <v>1</v>
      </c>
      <c r="F116" s="3" t="s">
        <v>12</v>
      </c>
      <c r="G116" s="1">
        <v>85</v>
      </c>
      <c r="H116" s="1">
        <f t="shared" si="3"/>
        <v>85</v>
      </c>
    </row>
    <row r="117" ht="15.6" spans="1:8">
      <c r="A117" s="2">
        <v>224</v>
      </c>
      <c r="B117" s="2" t="s">
        <v>241</v>
      </c>
      <c r="C117" s="5" t="s">
        <v>242</v>
      </c>
      <c r="D117" s="1" t="s">
        <v>11</v>
      </c>
      <c r="E117" s="1">
        <v>1</v>
      </c>
      <c r="F117" s="3" t="s">
        <v>12</v>
      </c>
      <c r="G117" s="1">
        <v>75</v>
      </c>
      <c r="H117" s="1">
        <f t="shared" si="3"/>
        <v>75</v>
      </c>
    </row>
    <row r="118" ht="18.6" spans="1:8">
      <c r="A118" s="2">
        <v>225</v>
      </c>
      <c r="B118" s="2" t="s">
        <v>243</v>
      </c>
      <c r="C118" s="5" t="s">
        <v>244</v>
      </c>
      <c r="D118" s="1" t="s">
        <v>11</v>
      </c>
      <c r="E118" s="1">
        <v>1</v>
      </c>
      <c r="F118" s="3" t="s">
        <v>12</v>
      </c>
      <c r="G118" s="1">
        <v>460</v>
      </c>
      <c r="H118" s="1">
        <f t="shared" si="3"/>
        <v>460</v>
      </c>
    </row>
    <row r="119" ht="15.6" spans="1:8">
      <c r="A119" s="2">
        <v>226</v>
      </c>
      <c r="B119" s="2" t="s">
        <v>245</v>
      </c>
      <c r="C119" s="5" t="s">
        <v>246</v>
      </c>
      <c r="D119" s="1" t="s">
        <v>11</v>
      </c>
      <c r="E119" s="1">
        <v>1</v>
      </c>
      <c r="F119" s="3" t="s">
        <v>12</v>
      </c>
      <c r="G119" s="1">
        <v>50</v>
      </c>
      <c r="H119" s="1">
        <f t="shared" si="3"/>
        <v>50</v>
      </c>
    </row>
    <row r="120" spans="1:8">
      <c r="H120" s="11">
        <f>SUM(H3:H119)</f>
        <v>40470.4</v>
      </c>
    </row>
  </sheetData>
  <mergeCells count="17">
    <mergeCell ref="A1:F1"/>
    <mergeCell ref="B17:B18"/>
    <mergeCell ref="B37:B40"/>
    <mergeCell ref="B51:B53"/>
    <mergeCell ref="B70:B71"/>
    <mergeCell ref="B73:B74"/>
    <mergeCell ref="B77:B79"/>
    <mergeCell ref="B81:B83"/>
    <mergeCell ref="B84:B85"/>
    <mergeCell ref="B87:B88"/>
    <mergeCell ref="B89:B90"/>
    <mergeCell ref="B93:B94"/>
    <mergeCell ref="B98:B99"/>
    <mergeCell ref="B100:B101"/>
    <mergeCell ref="D65:D66"/>
    <mergeCell ref="E65:E66"/>
    <mergeCell ref="G65:G66"/>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3"/>
  <sheetViews>
    <sheetView topLeftCell="A29" workbookViewId="0">
      <selection activeCell="H26" sqref="H26"/>
    </sheetView>
  </sheetViews>
  <sheetFormatPr defaultColWidth="8.88888888888889" defaultRowHeight="14.4"/>
  <cols>
    <col min="3" max="3" width="12.2222222222222" customWidth="1"/>
    <col min="4" max="4" width="79.2222222222222" customWidth="1"/>
  </cols>
  <sheetData>
    <row r="1" ht="17.1" customHeight="1" spans="1:9">
      <c r="A1" s="8" t="s">
        <v>247</v>
      </c>
      <c r="B1" s="8"/>
      <c r="C1" s="8"/>
      <c r="D1" s="8"/>
      <c r="E1" s="8"/>
      <c r="F1" s="8"/>
      <c r="G1" s="8"/>
      <c r="H1" s="8"/>
      <c r="I1" s="8"/>
    </row>
    <row r="2" ht="15.6" spans="1:9">
      <c r="A2" s="8" t="s">
        <v>248</v>
      </c>
      <c r="B2" s="8"/>
      <c r="C2" s="8" t="s">
        <v>2</v>
      </c>
      <c r="D2" s="8" t="s">
        <v>249</v>
      </c>
      <c r="E2" s="8" t="s">
        <v>4</v>
      </c>
      <c r="F2" s="8" t="s">
        <v>5</v>
      </c>
      <c r="G2" s="8" t="s">
        <v>6</v>
      </c>
      <c r="H2" s="8" t="s">
        <v>7</v>
      </c>
      <c r="I2" s="8" t="s">
        <v>8</v>
      </c>
    </row>
    <row r="3" ht="46.8" spans="1:9">
      <c r="A3" s="1">
        <v>1</v>
      </c>
      <c r="B3" s="1" t="s">
        <v>250</v>
      </c>
      <c r="C3" s="1" t="s">
        <v>251</v>
      </c>
      <c r="D3" s="5" t="s">
        <v>252</v>
      </c>
      <c r="E3" s="2" t="s">
        <v>253</v>
      </c>
      <c r="F3" s="1">
        <v>26</v>
      </c>
      <c r="G3" s="3" t="s">
        <v>12</v>
      </c>
      <c r="H3" s="1">
        <v>6</v>
      </c>
      <c r="I3" s="1"/>
    </row>
    <row r="4" ht="46.8" spans="1:9">
      <c r="A4" s="1">
        <v>2</v>
      </c>
      <c r="B4" s="1"/>
      <c r="C4" s="1" t="s">
        <v>254</v>
      </c>
      <c r="D4" s="5" t="s">
        <v>255</v>
      </c>
      <c r="E4" s="2" t="s">
        <v>253</v>
      </c>
      <c r="F4" s="1">
        <v>26</v>
      </c>
      <c r="G4" s="3" t="s">
        <v>12</v>
      </c>
      <c r="H4" s="1">
        <v>6</v>
      </c>
      <c r="I4" s="1"/>
    </row>
    <row r="5" ht="78" spans="1:9">
      <c r="A5" s="1">
        <v>3</v>
      </c>
      <c r="B5" s="1" t="s">
        <v>250</v>
      </c>
      <c r="C5" s="1" t="s">
        <v>256</v>
      </c>
      <c r="D5" s="5" t="s">
        <v>257</v>
      </c>
      <c r="E5" s="2" t="s">
        <v>253</v>
      </c>
      <c r="F5" s="1">
        <v>26</v>
      </c>
      <c r="G5" s="3" t="s">
        <v>12</v>
      </c>
      <c r="H5" s="1">
        <v>15</v>
      </c>
      <c r="I5" s="1"/>
    </row>
    <row r="6" ht="93.6" spans="1:9">
      <c r="A6" s="1">
        <v>4</v>
      </c>
      <c r="B6" s="1"/>
      <c r="C6" s="1" t="s">
        <v>258</v>
      </c>
      <c r="D6" s="5" t="s">
        <v>259</v>
      </c>
      <c r="E6" s="2" t="s">
        <v>253</v>
      </c>
      <c r="F6" s="1">
        <v>26</v>
      </c>
      <c r="G6" s="3"/>
      <c r="H6" s="1">
        <v>75</v>
      </c>
      <c r="I6" s="1"/>
    </row>
    <row r="7" ht="31.2" spans="1:9">
      <c r="A7" s="1">
        <v>5</v>
      </c>
      <c r="B7" s="1" t="s">
        <v>250</v>
      </c>
      <c r="C7" s="1" t="s">
        <v>260</v>
      </c>
      <c r="D7" s="2" t="s">
        <v>261</v>
      </c>
      <c r="E7" s="2" t="s">
        <v>37</v>
      </c>
      <c r="F7" s="1">
        <v>2</v>
      </c>
      <c r="G7" s="3" t="s">
        <v>12</v>
      </c>
      <c r="H7" s="1">
        <v>5</v>
      </c>
      <c r="I7" s="1"/>
    </row>
    <row r="8" ht="31.2" spans="1:9">
      <c r="A8" s="1">
        <v>6</v>
      </c>
      <c r="B8" s="1"/>
      <c r="C8" s="1" t="s">
        <v>262</v>
      </c>
      <c r="D8" s="2" t="s">
        <v>263</v>
      </c>
      <c r="E8" s="2" t="s">
        <v>69</v>
      </c>
      <c r="F8" s="1">
        <v>1</v>
      </c>
      <c r="G8" s="3" t="s">
        <v>12</v>
      </c>
      <c r="H8" s="1">
        <v>60</v>
      </c>
      <c r="I8" s="1"/>
    </row>
    <row r="9" ht="93.6" spans="1:9">
      <c r="A9" s="1">
        <v>7</v>
      </c>
      <c r="B9" s="1"/>
      <c r="C9" s="1" t="s">
        <v>264</v>
      </c>
      <c r="D9" s="5" t="s">
        <v>265</v>
      </c>
      <c r="E9" s="2" t="s">
        <v>69</v>
      </c>
      <c r="F9" s="1">
        <v>1</v>
      </c>
      <c r="G9" s="3" t="s">
        <v>12</v>
      </c>
      <c r="H9" s="1">
        <v>90</v>
      </c>
      <c r="I9" s="1"/>
    </row>
    <row r="10" ht="62.4" spans="1:9">
      <c r="A10" s="1">
        <v>8</v>
      </c>
      <c r="B10" s="1"/>
      <c r="C10" s="1" t="s">
        <v>266</v>
      </c>
      <c r="D10" s="5" t="s">
        <v>267</v>
      </c>
      <c r="E10" s="2" t="s">
        <v>69</v>
      </c>
      <c r="F10" s="1">
        <v>1</v>
      </c>
      <c r="G10" s="3" t="s">
        <v>12</v>
      </c>
      <c r="H10" s="1">
        <v>250</v>
      </c>
      <c r="I10" s="1"/>
    </row>
    <row r="11" ht="62.4" spans="1:9">
      <c r="A11" s="1">
        <v>9</v>
      </c>
      <c r="B11" s="1"/>
      <c r="C11" s="1" t="s">
        <v>268</v>
      </c>
      <c r="D11" s="5" t="s">
        <v>269</v>
      </c>
      <c r="E11" s="2" t="s">
        <v>11</v>
      </c>
      <c r="F11" s="1">
        <v>1</v>
      </c>
      <c r="G11" s="3" t="s">
        <v>12</v>
      </c>
      <c r="H11" s="1">
        <v>400</v>
      </c>
      <c r="I11" s="1"/>
    </row>
    <row r="12" ht="62.4" spans="1:9">
      <c r="A12" s="1">
        <v>10</v>
      </c>
      <c r="B12" s="1" t="s">
        <v>250</v>
      </c>
      <c r="C12" s="1" t="s">
        <v>270</v>
      </c>
      <c r="D12" s="5" t="s">
        <v>271</v>
      </c>
      <c r="E12" s="2" t="s">
        <v>11</v>
      </c>
      <c r="F12" s="1">
        <v>1</v>
      </c>
      <c r="G12" s="3" t="s">
        <v>12</v>
      </c>
      <c r="H12" s="1">
        <v>400</v>
      </c>
      <c r="I12" s="1"/>
    </row>
    <row r="13" ht="31.2" spans="1:9">
      <c r="A13" s="1">
        <v>11</v>
      </c>
      <c r="B13" s="1"/>
      <c r="C13" s="1" t="s">
        <v>272</v>
      </c>
      <c r="D13" s="5" t="s">
        <v>273</v>
      </c>
      <c r="E13" s="2" t="s">
        <v>253</v>
      </c>
      <c r="F13" s="1">
        <v>1</v>
      </c>
      <c r="G13" s="3" t="s">
        <v>12</v>
      </c>
      <c r="H13" s="1">
        <v>8</v>
      </c>
      <c r="I13" s="1"/>
    </row>
    <row r="14" ht="78" spans="1:9">
      <c r="A14" s="1">
        <v>12</v>
      </c>
      <c r="B14" s="1"/>
      <c r="C14" s="1" t="s">
        <v>274</v>
      </c>
      <c r="D14" s="2" t="s">
        <v>275</v>
      </c>
      <c r="E14" s="2" t="s">
        <v>69</v>
      </c>
      <c r="F14" s="1">
        <v>2</v>
      </c>
      <c r="G14" s="3" t="s">
        <v>12</v>
      </c>
      <c r="H14" s="1">
        <v>1000</v>
      </c>
      <c r="I14" s="1"/>
    </row>
    <row r="15" ht="46.8" spans="1:9">
      <c r="A15" s="1">
        <v>13</v>
      </c>
      <c r="B15" s="1" t="s">
        <v>250</v>
      </c>
      <c r="C15" s="1" t="s">
        <v>276</v>
      </c>
      <c r="D15" s="5" t="s">
        <v>277</v>
      </c>
      <c r="E15" s="2" t="s">
        <v>11</v>
      </c>
      <c r="F15" s="1">
        <v>13</v>
      </c>
      <c r="G15" s="3" t="s">
        <v>12</v>
      </c>
      <c r="H15" s="1">
        <v>45</v>
      </c>
      <c r="I15" s="1"/>
    </row>
    <row r="16" ht="124.8" spans="1:9">
      <c r="A16" s="1">
        <v>14</v>
      </c>
      <c r="B16" s="1"/>
      <c r="C16" s="1" t="s">
        <v>278</v>
      </c>
      <c r="D16" s="5" t="s">
        <v>279</v>
      </c>
      <c r="E16" s="2" t="s">
        <v>11</v>
      </c>
      <c r="F16" s="1">
        <v>1</v>
      </c>
      <c r="G16" s="3" t="s">
        <v>12</v>
      </c>
      <c r="H16" s="1">
        <v>45</v>
      </c>
      <c r="I16" s="1"/>
    </row>
    <row r="17" ht="31.2" spans="1:9">
      <c r="A17" s="1">
        <v>15</v>
      </c>
      <c r="B17" s="1"/>
      <c r="C17" s="1" t="s">
        <v>280</v>
      </c>
      <c r="D17" s="2" t="s">
        <v>281</v>
      </c>
      <c r="E17" s="2" t="s">
        <v>282</v>
      </c>
      <c r="F17" s="1">
        <v>26</v>
      </c>
      <c r="G17" s="3" t="s">
        <v>12</v>
      </c>
      <c r="H17" s="1">
        <v>50</v>
      </c>
      <c r="I17" s="1"/>
    </row>
    <row r="18" ht="124.8" spans="1:9">
      <c r="A18" s="1">
        <v>16</v>
      </c>
      <c r="B18" s="1" t="s">
        <v>250</v>
      </c>
      <c r="C18" s="1" t="s">
        <v>283</v>
      </c>
      <c r="D18" s="5" t="s">
        <v>284</v>
      </c>
      <c r="E18" s="2" t="s">
        <v>11</v>
      </c>
      <c r="F18" s="1">
        <v>1</v>
      </c>
      <c r="G18" s="3" t="s">
        <v>12</v>
      </c>
      <c r="H18" s="1">
        <v>45</v>
      </c>
      <c r="I18" s="1"/>
    </row>
    <row r="19" ht="15.6" spans="1:9">
      <c r="A19" s="1">
        <v>17</v>
      </c>
      <c r="B19" s="1" t="s">
        <v>250</v>
      </c>
      <c r="C19" s="1" t="s">
        <v>285</v>
      </c>
      <c r="D19" s="5" t="s">
        <v>286</v>
      </c>
      <c r="E19" s="2" t="s">
        <v>37</v>
      </c>
      <c r="F19" s="1">
        <v>26</v>
      </c>
      <c r="G19" s="3" t="s">
        <v>12</v>
      </c>
      <c r="H19" s="1">
        <v>2.5</v>
      </c>
      <c r="I19" s="1"/>
    </row>
    <row r="20" ht="31.2" spans="1:9">
      <c r="A20" s="1">
        <v>18</v>
      </c>
      <c r="B20" s="1"/>
      <c r="C20" s="1" t="s">
        <v>287</v>
      </c>
      <c r="D20" s="5"/>
      <c r="E20" s="2" t="s">
        <v>37</v>
      </c>
      <c r="F20" s="1">
        <v>26</v>
      </c>
      <c r="G20" s="3" t="s">
        <v>12</v>
      </c>
      <c r="H20" s="1">
        <v>3.5</v>
      </c>
      <c r="I20" s="1"/>
    </row>
    <row r="21" ht="15.6" spans="1:9">
      <c r="A21" s="1">
        <v>19</v>
      </c>
      <c r="B21" s="1"/>
      <c r="C21" s="1" t="s">
        <v>288</v>
      </c>
      <c r="D21" s="2" t="s">
        <v>289</v>
      </c>
      <c r="E21" s="2" t="s">
        <v>69</v>
      </c>
      <c r="F21" s="1">
        <v>13</v>
      </c>
      <c r="G21" s="3" t="s">
        <v>12</v>
      </c>
      <c r="H21" s="1">
        <v>26</v>
      </c>
      <c r="I21" s="1"/>
    </row>
    <row r="22" ht="31.2" spans="1:9">
      <c r="A22" s="1">
        <v>20</v>
      </c>
      <c r="B22" s="1" t="s">
        <v>250</v>
      </c>
      <c r="C22" s="1" t="s">
        <v>290</v>
      </c>
      <c r="D22" s="5" t="s">
        <v>291</v>
      </c>
      <c r="E22" s="2" t="s">
        <v>37</v>
      </c>
      <c r="F22" s="1">
        <v>120</v>
      </c>
      <c r="G22" s="3" t="s">
        <v>12</v>
      </c>
      <c r="H22" s="1">
        <v>1.6</v>
      </c>
      <c r="I22" s="1"/>
    </row>
    <row r="23" ht="31.2" spans="1:9">
      <c r="A23" s="1">
        <v>21</v>
      </c>
      <c r="B23" s="1"/>
      <c r="C23" s="1"/>
      <c r="D23" s="5" t="s">
        <v>292</v>
      </c>
      <c r="E23" s="5" t="s">
        <v>37</v>
      </c>
      <c r="F23" s="1">
        <v>120</v>
      </c>
      <c r="G23" s="3" t="s">
        <v>12</v>
      </c>
      <c r="H23" s="1">
        <v>1</v>
      </c>
      <c r="I23" s="1"/>
    </row>
    <row r="24" ht="46.8" spans="1:9">
      <c r="A24" s="1">
        <v>22</v>
      </c>
      <c r="B24" s="1" t="s">
        <v>250</v>
      </c>
      <c r="C24" s="1" t="s">
        <v>293</v>
      </c>
      <c r="D24" s="5" t="s">
        <v>294</v>
      </c>
      <c r="E24" s="2" t="s">
        <v>69</v>
      </c>
      <c r="F24" s="1">
        <v>26</v>
      </c>
      <c r="G24" s="3" t="s">
        <v>12</v>
      </c>
      <c r="H24" s="1">
        <v>115</v>
      </c>
      <c r="I24" s="1"/>
    </row>
    <row r="25" ht="109.2" spans="1:9">
      <c r="A25" s="1">
        <v>23</v>
      </c>
      <c r="B25" s="1" t="s">
        <v>250</v>
      </c>
      <c r="C25" s="1" t="s">
        <v>295</v>
      </c>
      <c r="D25" s="5" t="s">
        <v>296</v>
      </c>
      <c r="E25" s="2" t="s">
        <v>69</v>
      </c>
      <c r="F25" s="1">
        <v>2</v>
      </c>
      <c r="G25" s="3" t="s">
        <v>12</v>
      </c>
      <c r="H25" s="1">
        <v>320</v>
      </c>
      <c r="I25" s="1"/>
    </row>
    <row r="26" ht="46.8" spans="1:9">
      <c r="A26" s="1">
        <v>24</v>
      </c>
      <c r="B26" s="1"/>
      <c r="C26" s="1" t="s">
        <v>297</v>
      </c>
      <c r="D26" s="5" t="s">
        <v>298</v>
      </c>
      <c r="E26" s="2" t="s">
        <v>17</v>
      </c>
      <c r="F26" s="1">
        <v>1</v>
      </c>
      <c r="G26" s="3" t="s">
        <v>12</v>
      </c>
      <c r="H26" s="1"/>
      <c r="I26" s="1"/>
    </row>
    <row r="27" ht="31.2" spans="1:9">
      <c r="A27" s="1">
        <v>25</v>
      </c>
      <c r="B27" s="1"/>
      <c r="C27" s="1" t="s">
        <v>299</v>
      </c>
      <c r="D27" s="5" t="s">
        <v>300</v>
      </c>
      <c r="E27" s="2" t="s">
        <v>17</v>
      </c>
      <c r="F27" s="1">
        <v>26</v>
      </c>
      <c r="G27" s="3" t="s">
        <v>301</v>
      </c>
      <c r="H27" s="1">
        <v>17</v>
      </c>
      <c r="I27" s="1"/>
    </row>
    <row r="28" ht="31.2" spans="1:9">
      <c r="A28" s="1">
        <v>26</v>
      </c>
      <c r="B28" s="1"/>
      <c r="C28" s="1" t="s">
        <v>110</v>
      </c>
      <c r="D28" s="5" t="s">
        <v>302</v>
      </c>
      <c r="E28" s="2" t="s">
        <v>17</v>
      </c>
      <c r="F28" s="1">
        <v>26</v>
      </c>
      <c r="G28" s="3" t="s">
        <v>12</v>
      </c>
      <c r="H28" s="1">
        <v>17</v>
      </c>
      <c r="I28" s="1"/>
    </row>
    <row r="29" ht="15.6" spans="1:9">
      <c r="A29" s="1">
        <v>27</v>
      </c>
      <c r="B29" s="1"/>
      <c r="C29" s="1" t="s">
        <v>107</v>
      </c>
      <c r="D29" s="5" t="s">
        <v>303</v>
      </c>
      <c r="E29" s="2" t="s">
        <v>11</v>
      </c>
      <c r="F29" s="1">
        <v>26</v>
      </c>
      <c r="G29" s="3" t="s">
        <v>12</v>
      </c>
      <c r="H29" s="1">
        <v>68</v>
      </c>
      <c r="I29" s="1"/>
    </row>
    <row r="30" ht="46.8" spans="1:9">
      <c r="A30" s="1">
        <v>28</v>
      </c>
      <c r="B30" s="1" t="s">
        <v>250</v>
      </c>
      <c r="C30" s="1" t="s">
        <v>304</v>
      </c>
      <c r="D30" s="5" t="s">
        <v>305</v>
      </c>
      <c r="E30" s="2" t="s">
        <v>69</v>
      </c>
      <c r="F30" s="1">
        <v>2</v>
      </c>
      <c r="G30" s="3" t="s">
        <v>12</v>
      </c>
      <c r="H30" s="1"/>
      <c r="I30" s="1"/>
    </row>
    <row r="31" ht="46.8" spans="1:9">
      <c r="A31" s="1">
        <v>29</v>
      </c>
      <c r="B31" s="1"/>
      <c r="C31" s="1" t="s">
        <v>306</v>
      </c>
      <c r="D31" s="5" t="s">
        <v>307</v>
      </c>
      <c r="E31" s="2" t="s">
        <v>69</v>
      </c>
      <c r="F31" s="1">
        <v>26</v>
      </c>
      <c r="G31" s="3" t="s">
        <v>12</v>
      </c>
      <c r="H31" s="1"/>
      <c r="I31" s="1"/>
    </row>
    <row r="32" ht="33" spans="1:9">
      <c r="A32" s="1">
        <v>30</v>
      </c>
      <c r="B32" s="1" t="s">
        <v>250</v>
      </c>
      <c r="C32" s="1" t="s">
        <v>308</v>
      </c>
      <c r="D32" s="9" t="s">
        <v>309</v>
      </c>
      <c r="E32" s="2" t="s">
        <v>11</v>
      </c>
      <c r="F32" s="1">
        <v>52</v>
      </c>
      <c r="G32" s="3" t="s">
        <v>12</v>
      </c>
      <c r="H32" s="1"/>
      <c r="I32" s="1"/>
    </row>
    <row r="33" ht="33" spans="1:9">
      <c r="A33" s="1">
        <v>31</v>
      </c>
      <c r="B33" s="1"/>
      <c r="C33" s="1" t="s">
        <v>310</v>
      </c>
      <c r="D33" s="9" t="s">
        <v>311</v>
      </c>
      <c r="E33" s="2" t="s">
        <v>11</v>
      </c>
      <c r="F33" s="1">
        <v>52</v>
      </c>
      <c r="G33" s="3" t="s">
        <v>12</v>
      </c>
      <c r="H33" s="1"/>
      <c r="I33" s="1"/>
    </row>
    <row r="34" ht="48.6" spans="1:9">
      <c r="A34" s="1">
        <v>32</v>
      </c>
      <c r="B34" s="1"/>
      <c r="C34" s="1" t="s">
        <v>312</v>
      </c>
      <c r="D34" s="9" t="s">
        <v>313</v>
      </c>
      <c r="E34" s="2" t="s">
        <v>11</v>
      </c>
      <c r="F34" s="1">
        <v>52</v>
      </c>
      <c r="G34" s="1"/>
      <c r="H34" s="1"/>
      <c r="I34" s="1"/>
    </row>
    <row r="35" ht="78" spans="1:9">
      <c r="A35" s="1">
        <v>33</v>
      </c>
      <c r="B35" s="1" t="s">
        <v>250</v>
      </c>
      <c r="C35" s="1" t="s">
        <v>314</v>
      </c>
      <c r="D35" s="5" t="s">
        <v>315</v>
      </c>
      <c r="E35" s="2" t="s">
        <v>11</v>
      </c>
      <c r="F35" s="1">
        <v>13</v>
      </c>
      <c r="G35" s="3" t="s">
        <v>12</v>
      </c>
      <c r="H35" s="1"/>
      <c r="I35" s="1"/>
    </row>
    <row r="36" ht="15.6" spans="1:9">
      <c r="A36" s="1">
        <v>34</v>
      </c>
      <c r="B36" s="1"/>
      <c r="C36" s="1" t="s">
        <v>316</v>
      </c>
      <c r="D36" s="2" t="s">
        <v>317</v>
      </c>
      <c r="E36" s="2" t="s">
        <v>37</v>
      </c>
      <c r="F36" s="1">
        <v>26</v>
      </c>
      <c r="G36" s="3" t="s">
        <v>318</v>
      </c>
      <c r="H36" s="1"/>
      <c r="I36" s="1"/>
    </row>
    <row r="37" ht="62.4" spans="1:9">
      <c r="A37" s="1">
        <v>35</v>
      </c>
      <c r="B37" s="1" t="s">
        <v>250</v>
      </c>
      <c r="C37" s="1" t="s">
        <v>319</v>
      </c>
      <c r="D37" s="5" t="s">
        <v>320</v>
      </c>
      <c r="E37" s="2" t="s">
        <v>37</v>
      </c>
      <c r="F37" s="1">
        <v>52</v>
      </c>
      <c r="G37" s="3" t="s">
        <v>12</v>
      </c>
      <c r="H37" s="1"/>
      <c r="I37" s="1"/>
    </row>
    <row r="38" ht="15.6" spans="1:9">
      <c r="A38" s="1">
        <v>36</v>
      </c>
      <c r="B38" s="1"/>
      <c r="C38" s="1" t="s">
        <v>321</v>
      </c>
      <c r="D38" s="2" t="s">
        <v>322</v>
      </c>
      <c r="E38" s="2" t="s">
        <v>37</v>
      </c>
      <c r="F38" s="1">
        <v>110</v>
      </c>
      <c r="G38" s="3" t="s">
        <v>12</v>
      </c>
      <c r="H38" s="1"/>
      <c r="I38" s="1"/>
    </row>
    <row r="39" ht="15.6" spans="1:9">
      <c r="A39" s="1">
        <v>37</v>
      </c>
      <c r="B39" s="1"/>
      <c r="C39" s="1"/>
      <c r="D39" s="2" t="s">
        <v>323</v>
      </c>
      <c r="E39" s="2" t="s">
        <v>37</v>
      </c>
      <c r="F39" s="1">
        <v>110</v>
      </c>
      <c r="G39" s="3" t="s">
        <v>12</v>
      </c>
      <c r="H39" s="1"/>
      <c r="I39" s="1"/>
    </row>
    <row r="40" ht="31.2" spans="1:9">
      <c r="A40" s="1">
        <v>38</v>
      </c>
      <c r="B40" s="1" t="s">
        <v>250</v>
      </c>
      <c r="C40" s="1" t="s">
        <v>324</v>
      </c>
      <c r="D40" s="2" t="s">
        <v>325</v>
      </c>
      <c r="E40" s="2" t="s">
        <v>37</v>
      </c>
      <c r="F40" s="1">
        <v>26</v>
      </c>
      <c r="G40" s="3" t="s">
        <v>12</v>
      </c>
      <c r="H40" s="1"/>
      <c r="I40" s="1"/>
    </row>
    <row r="41" ht="31.2" spans="1:9">
      <c r="A41" s="1">
        <v>39</v>
      </c>
      <c r="B41" s="1"/>
      <c r="C41" s="1"/>
      <c r="D41" s="2" t="s">
        <v>326</v>
      </c>
      <c r="E41" s="2" t="s">
        <v>37</v>
      </c>
      <c r="F41" s="1">
        <v>26</v>
      </c>
      <c r="G41" s="3" t="s">
        <v>12</v>
      </c>
      <c r="H41" s="1"/>
      <c r="I41" s="1"/>
    </row>
    <row r="42" ht="31.2" spans="1:9">
      <c r="A42" s="1">
        <v>40</v>
      </c>
      <c r="B42" s="1"/>
      <c r="C42" s="1" t="s">
        <v>327</v>
      </c>
      <c r="D42" s="5" t="s">
        <v>328</v>
      </c>
      <c r="E42" s="2" t="s">
        <v>37</v>
      </c>
      <c r="F42" s="1">
        <v>52</v>
      </c>
      <c r="G42" s="3" t="s">
        <v>12</v>
      </c>
      <c r="H42" s="1"/>
      <c r="I42" s="1"/>
    </row>
    <row r="43" ht="31.2" spans="1:9">
      <c r="A43" s="1">
        <v>41</v>
      </c>
      <c r="B43" s="1"/>
      <c r="C43" s="1" t="s">
        <v>329</v>
      </c>
      <c r="D43" s="5" t="s">
        <v>330</v>
      </c>
      <c r="E43" s="2" t="s">
        <v>253</v>
      </c>
      <c r="F43" s="1">
        <v>2</v>
      </c>
      <c r="G43" s="3" t="s">
        <v>12</v>
      </c>
      <c r="H43" s="1"/>
      <c r="I43" s="1"/>
    </row>
    <row r="44" ht="15.6" spans="1:9">
      <c r="A44" s="1">
        <v>42</v>
      </c>
      <c r="B44" s="1"/>
      <c r="C44" s="1" t="s">
        <v>331</v>
      </c>
      <c r="D44" s="5" t="s">
        <v>332</v>
      </c>
      <c r="E44" s="5" t="s">
        <v>253</v>
      </c>
      <c r="F44" s="1">
        <v>26</v>
      </c>
      <c r="G44" s="3" t="s">
        <v>12</v>
      </c>
      <c r="H44" s="1"/>
      <c r="I44" s="1"/>
    </row>
    <row r="45" ht="15.6" spans="1:9">
      <c r="A45" s="1">
        <v>43</v>
      </c>
      <c r="B45" s="1"/>
      <c r="C45" s="1" t="s">
        <v>333</v>
      </c>
      <c r="D45" s="2" t="s">
        <v>334</v>
      </c>
      <c r="E45" s="2" t="s">
        <v>253</v>
      </c>
      <c r="F45" s="1">
        <v>26</v>
      </c>
      <c r="G45" s="3" t="s">
        <v>12</v>
      </c>
      <c r="H45" s="1"/>
      <c r="I45" s="1"/>
    </row>
    <row r="46" ht="31.2" spans="1:9">
      <c r="A46" s="1">
        <v>44</v>
      </c>
      <c r="B46" s="1"/>
      <c r="C46" s="1" t="s">
        <v>335</v>
      </c>
      <c r="D46" s="5" t="s">
        <v>336</v>
      </c>
      <c r="E46" s="2" t="s">
        <v>11</v>
      </c>
      <c r="F46" s="1">
        <v>2</v>
      </c>
      <c r="G46" s="3" t="s">
        <v>12</v>
      </c>
      <c r="H46" s="1"/>
      <c r="I46" s="1"/>
    </row>
    <row r="47" ht="46.8" spans="1:9">
      <c r="A47" s="1">
        <v>45</v>
      </c>
      <c r="B47" s="1" t="s">
        <v>250</v>
      </c>
      <c r="C47" s="1" t="s">
        <v>337</v>
      </c>
      <c r="D47" s="5" t="s">
        <v>338</v>
      </c>
      <c r="E47" s="2" t="s">
        <v>37</v>
      </c>
      <c r="F47" s="1">
        <v>2</v>
      </c>
      <c r="G47" s="3" t="s">
        <v>12</v>
      </c>
      <c r="H47" s="1"/>
      <c r="I47" s="1"/>
    </row>
    <row r="48" ht="62.4" spans="1:9">
      <c r="A48" s="1">
        <v>46</v>
      </c>
      <c r="B48" s="1" t="s">
        <v>250</v>
      </c>
      <c r="C48" s="1" t="s">
        <v>339</v>
      </c>
      <c r="D48" s="5" t="s">
        <v>340</v>
      </c>
      <c r="E48" s="2" t="s">
        <v>37</v>
      </c>
      <c r="F48" s="1">
        <v>1</v>
      </c>
      <c r="G48" s="3" t="s">
        <v>12</v>
      </c>
      <c r="H48" s="1"/>
      <c r="I48" s="1"/>
    </row>
    <row r="49" ht="31.2" spans="1:9">
      <c r="A49" s="1">
        <v>47</v>
      </c>
      <c r="B49" s="1"/>
      <c r="C49" s="1" t="s">
        <v>341</v>
      </c>
      <c r="D49" s="5" t="s">
        <v>342</v>
      </c>
      <c r="E49" s="2" t="s">
        <v>343</v>
      </c>
      <c r="F49" s="1">
        <v>26</v>
      </c>
      <c r="G49" s="3" t="s">
        <v>12</v>
      </c>
      <c r="H49" s="1"/>
      <c r="I49" s="1"/>
    </row>
    <row r="50" ht="46.8" spans="1:9">
      <c r="A50" s="1">
        <v>48</v>
      </c>
      <c r="B50" s="1"/>
      <c r="C50" s="1" t="s">
        <v>344</v>
      </c>
      <c r="D50" s="5" t="s">
        <v>345</v>
      </c>
      <c r="E50" s="2" t="s">
        <v>11</v>
      </c>
      <c r="F50" s="1">
        <v>1</v>
      </c>
      <c r="G50" s="3" t="s">
        <v>12</v>
      </c>
      <c r="H50" s="1"/>
      <c r="I50" s="1"/>
    </row>
    <row r="51" ht="78" spans="1:9">
      <c r="A51" s="1">
        <v>49</v>
      </c>
      <c r="B51" s="1" t="s">
        <v>250</v>
      </c>
      <c r="C51" s="1" t="s">
        <v>346</v>
      </c>
      <c r="D51" s="5" t="s">
        <v>347</v>
      </c>
      <c r="E51" s="5" t="s">
        <v>11</v>
      </c>
      <c r="F51" s="1">
        <v>26</v>
      </c>
      <c r="G51" s="3" t="s">
        <v>12</v>
      </c>
      <c r="H51" s="1"/>
      <c r="I51" s="1"/>
    </row>
    <row r="52" ht="31.2" spans="1:9">
      <c r="A52" s="1">
        <v>50</v>
      </c>
      <c r="B52" s="1"/>
      <c r="C52" s="1" t="s">
        <v>348</v>
      </c>
      <c r="D52" s="5" t="s">
        <v>349</v>
      </c>
      <c r="E52" s="5" t="s">
        <v>11</v>
      </c>
      <c r="F52" s="1">
        <v>1</v>
      </c>
      <c r="G52" s="3" t="s">
        <v>301</v>
      </c>
      <c r="H52" s="1"/>
      <c r="I52" s="1"/>
    </row>
    <row r="53" ht="109.2" spans="1:9">
      <c r="A53" s="1">
        <v>51</v>
      </c>
      <c r="B53" s="1" t="s">
        <v>250</v>
      </c>
      <c r="C53" s="1" t="s">
        <v>350</v>
      </c>
      <c r="D53" s="5" t="s">
        <v>351</v>
      </c>
      <c r="E53" s="2" t="s">
        <v>37</v>
      </c>
      <c r="F53" s="1">
        <v>1</v>
      </c>
      <c r="G53" s="3" t="s">
        <v>12</v>
      </c>
      <c r="H53" s="1"/>
      <c r="I53" s="1"/>
    </row>
    <row r="54" ht="31.2" spans="1:9">
      <c r="A54" s="1">
        <v>52</v>
      </c>
      <c r="B54" s="1"/>
      <c r="C54" s="1" t="s">
        <v>352</v>
      </c>
      <c r="D54" s="2" t="s">
        <v>353</v>
      </c>
      <c r="E54" s="2" t="s">
        <v>69</v>
      </c>
      <c r="F54" s="1">
        <v>1</v>
      </c>
      <c r="G54" s="3" t="s">
        <v>12</v>
      </c>
      <c r="H54" s="1"/>
      <c r="I54" s="1"/>
    </row>
    <row r="55" ht="33" spans="1:9">
      <c r="A55" s="1">
        <v>53</v>
      </c>
      <c r="B55" s="1"/>
      <c r="C55" s="1" t="s">
        <v>354</v>
      </c>
      <c r="D55" s="9" t="s">
        <v>355</v>
      </c>
      <c r="E55" s="2" t="s">
        <v>81</v>
      </c>
      <c r="F55" s="1">
        <v>2</v>
      </c>
      <c r="G55" s="3" t="s">
        <v>301</v>
      </c>
      <c r="H55" s="1"/>
      <c r="I55" s="1"/>
    </row>
    <row r="56" ht="34.2" spans="1:9">
      <c r="A56" s="1">
        <v>54</v>
      </c>
      <c r="B56" s="1"/>
      <c r="C56" s="1" t="s">
        <v>112</v>
      </c>
      <c r="D56" s="9" t="s">
        <v>356</v>
      </c>
      <c r="E56" s="2" t="s">
        <v>17</v>
      </c>
      <c r="F56" s="1">
        <v>26</v>
      </c>
      <c r="G56" s="3" t="s">
        <v>12</v>
      </c>
      <c r="H56" s="1"/>
      <c r="I56" s="1"/>
    </row>
    <row r="57" ht="46.8" spans="1:9">
      <c r="A57" s="1">
        <v>55</v>
      </c>
      <c r="B57" s="1"/>
      <c r="C57" s="1" t="s">
        <v>357</v>
      </c>
      <c r="D57" s="5" t="s">
        <v>358</v>
      </c>
      <c r="E57" s="5" t="s">
        <v>11</v>
      </c>
      <c r="F57" s="1">
        <v>4</v>
      </c>
      <c r="G57" s="3" t="s">
        <v>12</v>
      </c>
      <c r="H57" s="1"/>
      <c r="I57" s="1"/>
    </row>
    <row r="58" ht="46.8" spans="1:9">
      <c r="A58" s="1">
        <v>56</v>
      </c>
      <c r="B58" s="1"/>
      <c r="C58" s="1" t="s">
        <v>359</v>
      </c>
      <c r="D58" s="5" t="s">
        <v>360</v>
      </c>
      <c r="E58" s="2" t="s">
        <v>11</v>
      </c>
      <c r="F58" s="1">
        <v>26</v>
      </c>
      <c r="G58" s="3" t="s">
        <v>12</v>
      </c>
      <c r="H58" s="1"/>
      <c r="I58" s="1"/>
    </row>
    <row r="59" ht="15.6" spans="1:9">
      <c r="A59" s="1">
        <v>57</v>
      </c>
      <c r="B59" s="1" t="s">
        <v>250</v>
      </c>
      <c r="C59" s="1" t="s">
        <v>361</v>
      </c>
      <c r="D59" s="5" t="s">
        <v>362</v>
      </c>
      <c r="E59" s="2" t="s">
        <v>11</v>
      </c>
      <c r="F59" s="1">
        <v>2</v>
      </c>
      <c r="G59" s="3" t="s">
        <v>12</v>
      </c>
      <c r="H59" s="1"/>
      <c r="I59" s="1"/>
    </row>
    <row r="60" ht="62.4" spans="1:9">
      <c r="A60" s="1"/>
      <c r="B60" s="1"/>
      <c r="C60" s="1"/>
      <c r="D60" s="5" t="s">
        <v>363</v>
      </c>
      <c r="E60" s="2"/>
      <c r="F60" s="1"/>
      <c r="G60" s="3"/>
      <c r="H60" s="1"/>
      <c r="I60" s="1"/>
    </row>
    <row r="61" ht="46.8" spans="1:9">
      <c r="A61" s="1">
        <v>58</v>
      </c>
      <c r="B61" s="1" t="s">
        <v>250</v>
      </c>
      <c r="C61" s="1" t="s">
        <v>364</v>
      </c>
      <c r="D61" s="5" t="s">
        <v>365</v>
      </c>
      <c r="E61" s="2" t="s">
        <v>11</v>
      </c>
      <c r="F61" s="1">
        <v>1</v>
      </c>
      <c r="G61" s="3" t="s">
        <v>12</v>
      </c>
      <c r="H61" s="1"/>
      <c r="I61" s="1"/>
    </row>
    <row r="62" ht="93.6" spans="1:9">
      <c r="A62" s="1">
        <v>59</v>
      </c>
      <c r="B62" s="1"/>
      <c r="C62" s="1"/>
      <c r="D62" s="5" t="s">
        <v>366</v>
      </c>
      <c r="E62" s="2" t="s">
        <v>11</v>
      </c>
      <c r="F62" s="1">
        <v>1</v>
      </c>
      <c r="G62" s="3" t="s">
        <v>318</v>
      </c>
      <c r="H62" s="1"/>
      <c r="I62" s="1"/>
    </row>
    <row r="63" ht="15.6" spans="1:9">
      <c r="A63" s="1">
        <v>60</v>
      </c>
      <c r="B63" s="1"/>
      <c r="C63" s="1"/>
      <c r="D63" s="2" t="s">
        <v>367</v>
      </c>
      <c r="E63" s="2" t="s">
        <v>11</v>
      </c>
      <c r="F63" s="1">
        <v>1</v>
      </c>
      <c r="G63" s="3" t="s">
        <v>12</v>
      </c>
      <c r="H63" s="1"/>
      <c r="I63" s="1"/>
    </row>
    <row r="64" ht="93.6" spans="1:9">
      <c r="A64" s="1">
        <v>61</v>
      </c>
      <c r="B64" s="1" t="s">
        <v>250</v>
      </c>
      <c r="C64" s="1" t="s">
        <v>368</v>
      </c>
      <c r="D64" s="5" t="s">
        <v>369</v>
      </c>
      <c r="E64" s="2" t="s">
        <v>69</v>
      </c>
      <c r="F64" s="1">
        <v>1</v>
      </c>
      <c r="G64" s="3" t="s">
        <v>12</v>
      </c>
      <c r="H64" s="1"/>
      <c r="I64" s="1"/>
    </row>
    <row r="65" ht="31.2" spans="1:9">
      <c r="A65" s="1">
        <v>62</v>
      </c>
      <c r="B65" s="1"/>
      <c r="C65" s="1" t="s">
        <v>370</v>
      </c>
      <c r="D65" s="5" t="s">
        <v>371</v>
      </c>
      <c r="E65" s="2" t="s">
        <v>69</v>
      </c>
      <c r="F65" s="1">
        <v>1</v>
      </c>
      <c r="G65" s="3" t="s">
        <v>318</v>
      </c>
      <c r="H65" s="1"/>
      <c r="I65" s="1"/>
    </row>
    <row r="66" ht="280.8" spans="1:9">
      <c r="A66" s="1">
        <v>63</v>
      </c>
      <c r="B66" s="1"/>
      <c r="C66" s="1" t="s">
        <v>372</v>
      </c>
      <c r="D66" s="5" t="s">
        <v>373</v>
      </c>
      <c r="E66" s="2" t="s">
        <v>69</v>
      </c>
      <c r="F66" s="1">
        <v>1</v>
      </c>
      <c r="G66" s="3" t="s">
        <v>12</v>
      </c>
      <c r="H66" s="1"/>
      <c r="I66" s="1"/>
    </row>
    <row r="67" ht="46.8" spans="1:9">
      <c r="A67" s="1">
        <v>64</v>
      </c>
      <c r="B67" s="1" t="s">
        <v>250</v>
      </c>
      <c r="C67" s="1" t="s">
        <v>374</v>
      </c>
      <c r="D67" s="5" t="s">
        <v>375</v>
      </c>
      <c r="E67" s="2" t="s">
        <v>11</v>
      </c>
      <c r="F67" s="1">
        <v>1</v>
      </c>
      <c r="G67" s="3" t="s">
        <v>12</v>
      </c>
      <c r="H67" s="1"/>
      <c r="I67" s="1"/>
    </row>
    <row r="68" ht="124.8" spans="1:9">
      <c r="A68" s="1">
        <v>65</v>
      </c>
      <c r="B68" s="1" t="s">
        <v>250</v>
      </c>
      <c r="C68" s="1" t="s">
        <v>376</v>
      </c>
      <c r="D68" s="5" t="s">
        <v>377</v>
      </c>
      <c r="E68" s="2" t="s">
        <v>37</v>
      </c>
      <c r="F68" s="1">
        <v>26</v>
      </c>
      <c r="G68" s="3" t="s">
        <v>12</v>
      </c>
      <c r="H68" s="1"/>
      <c r="I68" s="1"/>
    </row>
    <row r="69" ht="31.2" spans="1:9">
      <c r="A69" s="1">
        <v>66</v>
      </c>
      <c r="B69" s="1" t="s">
        <v>250</v>
      </c>
      <c r="C69" s="1" t="s">
        <v>378</v>
      </c>
      <c r="D69" s="5" t="s">
        <v>379</v>
      </c>
      <c r="E69" s="2" t="s">
        <v>69</v>
      </c>
      <c r="F69" s="1">
        <v>1</v>
      </c>
      <c r="G69" s="3" t="s">
        <v>12</v>
      </c>
      <c r="H69" s="1"/>
      <c r="I69" s="1"/>
    </row>
    <row r="70" ht="109.2" spans="1:9">
      <c r="A70" s="1">
        <v>67</v>
      </c>
      <c r="B70" s="1"/>
      <c r="C70" s="1" t="s">
        <v>380</v>
      </c>
      <c r="D70" s="5" t="s">
        <v>381</v>
      </c>
      <c r="E70" s="2" t="s">
        <v>37</v>
      </c>
      <c r="F70" s="1">
        <v>1</v>
      </c>
      <c r="G70" s="3" t="s">
        <v>12</v>
      </c>
      <c r="H70" s="1"/>
      <c r="I70" s="1"/>
    </row>
    <row r="71" ht="46.8" spans="1:9">
      <c r="A71" s="1">
        <v>68</v>
      </c>
      <c r="B71" s="1" t="s">
        <v>250</v>
      </c>
      <c r="C71" s="1" t="s">
        <v>382</v>
      </c>
      <c r="D71" s="5" t="s">
        <v>383</v>
      </c>
      <c r="E71" s="2" t="s">
        <v>69</v>
      </c>
      <c r="F71" s="1">
        <v>1</v>
      </c>
      <c r="G71" s="3" t="s">
        <v>12</v>
      </c>
      <c r="H71" s="1"/>
      <c r="I71" s="1"/>
    </row>
    <row r="72" ht="93.6" spans="1:9">
      <c r="A72" s="1">
        <v>69</v>
      </c>
      <c r="B72" s="1"/>
      <c r="C72" s="1" t="s">
        <v>384</v>
      </c>
      <c r="D72" s="5" t="s">
        <v>385</v>
      </c>
      <c r="E72" s="2" t="s">
        <v>69</v>
      </c>
      <c r="F72" s="1">
        <v>1</v>
      </c>
      <c r="G72" s="3" t="s">
        <v>12</v>
      </c>
      <c r="H72" s="1"/>
      <c r="I72" s="1"/>
    </row>
    <row r="73" ht="46.8" spans="1:9">
      <c r="A73" s="1">
        <v>70</v>
      </c>
      <c r="B73" s="1"/>
      <c r="C73" s="1" t="s">
        <v>386</v>
      </c>
      <c r="D73" s="5" t="s">
        <v>387</v>
      </c>
      <c r="E73" s="2" t="s">
        <v>11</v>
      </c>
      <c r="F73" s="1">
        <v>1</v>
      </c>
      <c r="G73" s="3" t="s">
        <v>12</v>
      </c>
      <c r="H73" s="1"/>
      <c r="I73" s="1"/>
    </row>
  </sheetData>
  <mergeCells count="36">
    <mergeCell ref="A1:G1"/>
    <mergeCell ref="A59:A60"/>
    <mergeCell ref="B3:B4"/>
    <mergeCell ref="B5:B6"/>
    <mergeCell ref="B7:B8"/>
    <mergeCell ref="B10:B11"/>
    <mergeCell ref="B12:B14"/>
    <mergeCell ref="B15:B17"/>
    <mergeCell ref="B19:B21"/>
    <mergeCell ref="B22:B23"/>
    <mergeCell ref="B25:B29"/>
    <mergeCell ref="B30:B31"/>
    <mergeCell ref="B32:B34"/>
    <mergeCell ref="B35:B36"/>
    <mergeCell ref="B37:B39"/>
    <mergeCell ref="B40:B46"/>
    <mergeCell ref="B48:B50"/>
    <mergeCell ref="B51:B52"/>
    <mergeCell ref="B53:B58"/>
    <mergeCell ref="B59:B60"/>
    <mergeCell ref="B61:B63"/>
    <mergeCell ref="B64:B65"/>
    <mergeCell ref="B69:B70"/>
    <mergeCell ref="B71:B72"/>
    <mergeCell ref="C22:C23"/>
    <mergeCell ref="C38:C39"/>
    <mergeCell ref="C40:C41"/>
    <mergeCell ref="C59:C60"/>
    <mergeCell ref="C61:C63"/>
    <mergeCell ref="D19:D20"/>
    <mergeCell ref="E59:E60"/>
    <mergeCell ref="F59:F60"/>
    <mergeCell ref="G5:G6"/>
    <mergeCell ref="G59:G60"/>
    <mergeCell ref="H59:H60"/>
    <mergeCell ref="I59:I6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workbookViewId="0">
      <selection activeCell="A19" sqref="$A2:$XFD19"/>
    </sheetView>
  </sheetViews>
  <sheetFormatPr defaultColWidth="8.88888888888889" defaultRowHeight="14.4"/>
  <cols>
    <col min="3" max="3" width="15.5555555555556" customWidth="1"/>
    <col min="4" max="4" width="65.1111111111111" customWidth="1"/>
  </cols>
  <sheetData>
    <row r="1" ht="17.1" customHeight="1" spans="1:9">
      <c r="A1" s="1" t="s">
        <v>388</v>
      </c>
      <c r="B1" s="1"/>
      <c r="C1" s="1"/>
      <c r="D1" s="1"/>
      <c r="E1" s="1"/>
      <c r="F1" s="1"/>
      <c r="G1" s="1"/>
      <c r="H1" s="1" t="s">
        <v>7</v>
      </c>
      <c r="I1" s="1"/>
    </row>
    <row r="2" ht="20" customHeight="1" spans="1:9">
      <c r="A2" s="1">
        <v>1</v>
      </c>
      <c r="B2" s="1"/>
      <c r="C2" s="2" t="s">
        <v>13</v>
      </c>
      <c r="D2" s="2" t="s">
        <v>389</v>
      </c>
      <c r="E2" s="1" t="s">
        <v>69</v>
      </c>
      <c r="F2" s="1">
        <v>1</v>
      </c>
      <c r="G2" s="3" t="s">
        <v>12</v>
      </c>
      <c r="H2" s="1">
        <v>800</v>
      </c>
      <c r="I2" s="1"/>
    </row>
    <row r="3" ht="20" customHeight="1" spans="1:9">
      <c r="A3" s="1">
        <v>2</v>
      </c>
      <c r="B3" s="1"/>
      <c r="C3" s="2" t="s">
        <v>9</v>
      </c>
      <c r="D3" s="2" t="s">
        <v>390</v>
      </c>
      <c r="E3" s="1" t="s">
        <v>11</v>
      </c>
      <c r="F3" s="1">
        <v>1</v>
      </c>
      <c r="G3" s="3" t="s">
        <v>12</v>
      </c>
      <c r="H3" s="1">
        <v>200</v>
      </c>
      <c r="I3" s="1"/>
    </row>
    <row r="4" ht="20" customHeight="1" spans="1:9">
      <c r="A4" s="1">
        <v>3</v>
      </c>
      <c r="B4" s="1"/>
      <c r="C4" s="2" t="s">
        <v>391</v>
      </c>
      <c r="D4" s="2" t="s">
        <v>392</v>
      </c>
      <c r="E4" s="1" t="s">
        <v>17</v>
      </c>
      <c r="F4" s="1">
        <v>2</v>
      </c>
      <c r="G4" s="3" t="s">
        <v>12</v>
      </c>
      <c r="H4" s="1">
        <v>165</v>
      </c>
      <c r="I4" s="1"/>
    </row>
    <row r="5" ht="20" customHeight="1" spans="1:9">
      <c r="A5" s="1">
        <v>4</v>
      </c>
      <c r="B5" s="1"/>
      <c r="C5" s="2" t="s">
        <v>393</v>
      </c>
      <c r="D5" s="2" t="s">
        <v>394</v>
      </c>
      <c r="E5" s="1" t="s">
        <v>17</v>
      </c>
      <c r="F5" s="1">
        <v>1</v>
      </c>
      <c r="G5" s="3" t="s">
        <v>12</v>
      </c>
      <c r="H5" s="1">
        <v>207</v>
      </c>
      <c r="I5" s="1"/>
    </row>
    <row r="6" ht="20" customHeight="1" spans="1:9">
      <c r="A6" s="1">
        <v>5</v>
      </c>
      <c r="B6" s="1"/>
      <c r="C6" s="2" t="s">
        <v>395</v>
      </c>
      <c r="D6" s="2" t="s">
        <v>396</v>
      </c>
      <c r="E6" s="1" t="s">
        <v>17</v>
      </c>
      <c r="F6" s="1">
        <v>2</v>
      </c>
      <c r="G6" s="3" t="s">
        <v>12</v>
      </c>
      <c r="H6" s="1">
        <v>165</v>
      </c>
      <c r="I6" s="1"/>
    </row>
    <row r="7" ht="20" customHeight="1" spans="1:9">
      <c r="A7" s="1">
        <v>6</v>
      </c>
      <c r="B7" s="1"/>
      <c r="C7" s="2" t="s">
        <v>397</v>
      </c>
      <c r="D7" s="2" t="s">
        <v>398</v>
      </c>
      <c r="E7" s="1" t="s">
        <v>17</v>
      </c>
      <c r="F7" s="1">
        <v>1</v>
      </c>
      <c r="G7" s="3" t="s">
        <v>12</v>
      </c>
      <c r="H7" s="1">
        <v>243</v>
      </c>
      <c r="I7" s="1"/>
    </row>
    <row r="8" ht="20" customHeight="1" spans="1:9">
      <c r="A8" s="1">
        <v>7</v>
      </c>
      <c r="B8" s="1"/>
      <c r="C8" s="2" t="s">
        <v>399</v>
      </c>
      <c r="D8" s="2" t="s">
        <v>400</v>
      </c>
      <c r="E8" s="1" t="s">
        <v>17</v>
      </c>
      <c r="F8" s="1">
        <v>1</v>
      </c>
      <c r="G8" s="3" t="s">
        <v>12</v>
      </c>
      <c r="H8" s="1">
        <v>279</v>
      </c>
      <c r="I8" s="1"/>
    </row>
    <row r="9" ht="20" customHeight="1" spans="1:9">
      <c r="A9" s="1">
        <v>8</v>
      </c>
      <c r="B9" s="1"/>
      <c r="C9" s="2" t="s">
        <v>401</v>
      </c>
      <c r="D9" s="2" t="s">
        <v>402</v>
      </c>
      <c r="E9" s="1" t="s">
        <v>17</v>
      </c>
      <c r="F9" s="1">
        <v>1</v>
      </c>
      <c r="G9" s="3" t="s">
        <v>12</v>
      </c>
      <c r="H9" s="1">
        <v>347</v>
      </c>
      <c r="I9" s="1"/>
    </row>
    <row r="10" ht="20" customHeight="1" spans="1:9">
      <c r="A10" s="1">
        <v>9</v>
      </c>
      <c r="B10" s="1"/>
      <c r="C10" s="2" t="s">
        <v>403</v>
      </c>
      <c r="D10" s="2" t="s">
        <v>404</v>
      </c>
      <c r="E10" s="1" t="s">
        <v>17</v>
      </c>
      <c r="F10" s="1">
        <v>1</v>
      </c>
      <c r="G10" s="3" t="s">
        <v>12</v>
      </c>
      <c r="H10" s="1">
        <v>383</v>
      </c>
      <c r="I10" s="1"/>
    </row>
    <row r="11" ht="20" customHeight="1" spans="1:9">
      <c r="A11" s="1">
        <v>10</v>
      </c>
      <c r="B11" s="1"/>
      <c r="C11" s="2" t="s">
        <v>405</v>
      </c>
      <c r="D11" s="2" t="s">
        <v>406</v>
      </c>
      <c r="E11" s="1" t="s">
        <v>17</v>
      </c>
      <c r="F11" s="1">
        <v>1</v>
      </c>
      <c r="G11" s="3" t="s">
        <v>12</v>
      </c>
      <c r="H11" s="1">
        <v>252</v>
      </c>
      <c r="I11" s="1"/>
    </row>
    <row r="12" ht="20" customHeight="1" spans="1:9">
      <c r="A12" s="1">
        <v>11</v>
      </c>
      <c r="B12" s="1"/>
      <c r="C12" s="2" t="s">
        <v>407</v>
      </c>
      <c r="D12" s="2" t="s">
        <v>408</v>
      </c>
      <c r="E12" s="1" t="s">
        <v>17</v>
      </c>
      <c r="F12" s="1">
        <v>1</v>
      </c>
      <c r="G12" s="3" t="s">
        <v>12</v>
      </c>
      <c r="H12" s="1">
        <v>243</v>
      </c>
      <c r="I12" s="1"/>
    </row>
    <row r="13" ht="20" customHeight="1" spans="1:9">
      <c r="A13" s="1">
        <v>12</v>
      </c>
      <c r="B13" s="1"/>
      <c r="C13" s="2" t="s">
        <v>24</v>
      </c>
      <c r="D13" s="2" t="s">
        <v>25</v>
      </c>
      <c r="E13" s="1" t="s">
        <v>17</v>
      </c>
      <c r="F13" s="1">
        <v>2</v>
      </c>
      <c r="G13" s="3" t="s">
        <v>12</v>
      </c>
      <c r="H13" s="1">
        <v>97</v>
      </c>
      <c r="I13" s="1"/>
    </row>
    <row r="14" ht="20" customHeight="1" spans="1:9">
      <c r="A14" s="1">
        <v>13</v>
      </c>
      <c r="B14" s="1"/>
      <c r="C14" s="2" t="s">
        <v>409</v>
      </c>
      <c r="D14" s="2" t="s">
        <v>410</v>
      </c>
      <c r="E14" s="1" t="s">
        <v>17</v>
      </c>
      <c r="F14" s="1">
        <v>2</v>
      </c>
      <c r="G14" s="3" t="s">
        <v>12</v>
      </c>
      <c r="H14" s="1">
        <v>131</v>
      </c>
      <c r="I14" s="1"/>
    </row>
    <row r="15" ht="20" customHeight="1" spans="1:9">
      <c r="A15" s="1">
        <v>14</v>
      </c>
      <c r="B15" s="1"/>
      <c r="C15" s="2" t="s">
        <v>411</v>
      </c>
      <c r="D15" s="2" t="s">
        <v>412</v>
      </c>
      <c r="E15" s="1" t="s">
        <v>17</v>
      </c>
      <c r="F15" s="1">
        <v>1</v>
      </c>
      <c r="G15" s="3" t="s">
        <v>12</v>
      </c>
      <c r="H15" s="1">
        <v>97</v>
      </c>
      <c r="I15" s="1"/>
    </row>
    <row r="16" ht="20" customHeight="1" spans="1:9">
      <c r="A16" s="1">
        <v>15</v>
      </c>
      <c r="B16" s="1"/>
      <c r="C16" s="2" t="s">
        <v>413</v>
      </c>
      <c r="D16" s="2" t="s">
        <v>414</v>
      </c>
      <c r="E16" s="1" t="s">
        <v>17</v>
      </c>
      <c r="F16" s="1">
        <v>2</v>
      </c>
      <c r="G16" s="3" t="s">
        <v>12</v>
      </c>
      <c r="H16" s="1">
        <v>97</v>
      </c>
      <c r="I16" s="1"/>
    </row>
    <row r="17" ht="20" customHeight="1" spans="1:9">
      <c r="A17" s="1">
        <v>16</v>
      </c>
      <c r="B17" s="1"/>
      <c r="C17" s="2" t="s">
        <v>415</v>
      </c>
      <c r="D17" s="2" t="s">
        <v>416</v>
      </c>
      <c r="E17" s="1" t="s">
        <v>17</v>
      </c>
      <c r="F17" s="1">
        <v>2</v>
      </c>
      <c r="G17" s="3" t="s">
        <v>12</v>
      </c>
      <c r="H17" s="1">
        <v>131</v>
      </c>
      <c r="I17" s="1"/>
    </row>
    <row r="18" ht="20" customHeight="1" spans="1:9">
      <c r="A18" s="1">
        <v>17</v>
      </c>
      <c r="B18" s="1"/>
      <c r="C18" s="2" t="s">
        <v>417</v>
      </c>
      <c r="D18" s="2" t="s">
        <v>418</v>
      </c>
      <c r="E18" s="1" t="s">
        <v>17</v>
      </c>
      <c r="F18" s="1">
        <v>2</v>
      </c>
      <c r="G18" s="3" t="s">
        <v>12</v>
      </c>
      <c r="H18" s="1">
        <v>131</v>
      </c>
      <c r="I18" s="1"/>
    </row>
    <row r="19" ht="20" customHeight="1" spans="1:9">
      <c r="A19" s="1">
        <v>18</v>
      </c>
      <c r="B19" s="1"/>
      <c r="C19" s="2" t="s">
        <v>419</v>
      </c>
      <c r="D19" s="2" t="s">
        <v>420</v>
      </c>
      <c r="E19" s="1" t="s">
        <v>11</v>
      </c>
      <c r="F19" s="1">
        <v>1</v>
      </c>
      <c r="G19" s="3" t="s">
        <v>12</v>
      </c>
      <c r="H19" s="1">
        <v>1530</v>
      </c>
      <c r="I19" s="1"/>
    </row>
    <row r="20" ht="31.2" spans="1:9">
      <c r="A20" s="1">
        <v>19</v>
      </c>
      <c r="B20" s="1" t="s">
        <v>421</v>
      </c>
      <c r="C20" s="2" t="s">
        <v>422</v>
      </c>
      <c r="D20" s="5" t="s">
        <v>423</v>
      </c>
      <c r="E20" s="1" t="s">
        <v>37</v>
      </c>
      <c r="F20" s="1">
        <v>26</v>
      </c>
      <c r="G20" s="3" t="s">
        <v>12</v>
      </c>
      <c r="H20" s="1"/>
      <c r="I20" s="1"/>
    </row>
    <row r="21" ht="46.8" spans="1:9">
      <c r="A21" s="1">
        <v>20</v>
      </c>
      <c r="B21" s="1"/>
      <c r="C21" s="2" t="s">
        <v>424</v>
      </c>
      <c r="D21" s="5" t="s">
        <v>425</v>
      </c>
      <c r="E21" s="1" t="s">
        <v>37</v>
      </c>
      <c r="F21" s="1">
        <v>26</v>
      </c>
      <c r="G21" s="3" t="s">
        <v>426</v>
      </c>
      <c r="H21" s="1"/>
      <c r="I21" s="1"/>
    </row>
    <row r="22" ht="46.8" spans="1:9">
      <c r="A22" s="1">
        <v>21</v>
      </c>
      <c r="B22" s="1" t="s">
        <v>421</v>
      </c>
      <c r="C22" s="2" t="s">
        <v>427</v>
      </c>
      <c r="D22" s="5" t="s">
        <v>428</v>
      </c>
      <c r="E22" s="1" t="s">
        <v>11</v>
      </c>
      <c r="F22" s="1">
        <v>1</v>
      </c>
      <c r="G22" s="3" t="s">
        <v>12</v>
      </c>
      <c r="H22" s="1"/>
      <c r="I22" s="1"/>
    </row>
    <row r="23" ht="93.6" spans="1:9">
      <c r="A23" s="1">
        <v>22</v>
      </c>
      <c r="B23" s="1"/>
      <c r="C23" s="2" t="s">
        <v>429</v>
      </c>
      <c r="D23" s="5" t="s">
        <v>430</v>
      </c>
      <c r="E23" s="1" t="s">
        <v>11</v>
      </c>
      <c r="F23" s="1">
        <v>1</v>
      </c>
      <c r="G23" s="3" t="s">
        <v>12</v>
      </c>
      <c r="H23" s="1"/>
      <c r="I23" s="1"/>
    </row>
    <row r="24" ht="62.4" spans="1:9">
      <c r="A24" s="1">
        <v>23</v>
      </c>
      <c r="B24" s="1"/>
      <c r="C24" s="2" t="s">
        <v>431</v>
      </c>
      <c r="D24" s="5" t="s">
        <v>432</v>
      </c>
      <c r="E24" s="1" t="s">
        <v>11</v>
      </c>
      <c r="F24" s="1">
        <v>26</v>
      </c>
      <c r="G24" s="3" t="s">
        <v>12</v>
      </c>
      <c r="H24" s="1"/>
      <c r="I24" s="1"/>
    </row>
    <row r="25" ht="93.6" spans="1:9">
      <c r="A25" s="1">
        <v>24</v>
      </c>
      <c r="B25" s="1" t="s">
        <v>421</v>
      </c>
      <c r="C25" s="2" t="s">
        <v>433</v>
      </c>
      <c r="D25" s="5" t="s">
        <v>434</v>
      </c>
      <c r="E25" s="1" t="s">
        <v>11</v>
      </c>
      <c r="F25" s="1">
        <v>26</v>
      </c>
      <c r="G25" s="3" t="s">
        <v>12</v>
      </c>
      <c r="H25" s="1"/>
      <c r="I25" s="1"/>
    </row>
    <row r="26" ht="15.6" spans="1:9">
      <c r="A26" s="1">
        <v>25</v>
      </c>
      <c r="B26" s="1" t="s">
        <v>421</v>
      </c>
      <c r="C26" s="2" t="s">
        <v>435</v>
      </c>
      <c r="D26" s="5" t="s">
        <v>436</v>
      </c>
      <c r="E26" s="6" t="s">
        <v>437</v>
      </c>
      <c r="F26" s="1">
        <v>400</v>
      </c>
      <c r="G26" s="3" t="s">
        <v>12</v>
      </c>
      <c r="H26" s="1"/>
      <c r="I26" s="1"/>
    </row>
    <row r="27" ht="15.6" spans="1:9">
      <c r="A27" s="1">
        <v>26</v>
      </c>
      <c r="B27" s="1"/>
      <c r="C27" s="2" t="s">
        <v>438</v>
      </c>
      <c r="D27" s="2" t="s">
        <v>439</v>
      </c>
      <c r="E27" s="1" t="s">
        <v>85</v>
      </c>
      <c r="F27" s="1">
        <v>26</v>
      </c>
      <c r="G27" s="3" t="s">
        <v>440</v>
      </c>
      <c r="H27" s="1"/>
      <c r="I27" s="1"/>
    </row>
    <row r="28" ht="15.6" spans="1:9">
      <c r="A28" s="1">
        <v>27</v>
      </c>
      <c r="B28" s="1"/>
      <c r="C28" s="2"/>
      <c r="D28" s="2" t="s">
        <v>441</v>
      </c>
      <c r="E28" s="1" t="s">
        <v>85</v>
      </c>
      <c r="F28" s="1">
        <v>26</v>
      </c>
      <c r="G28" s="3" t="s">
        <v>440</v>
      </c>
      <c r="H28" s="1"/>
      <c r="I28" s="1"/>
    </row>
    <row r="29" ht="46.8" spans="1:9">
      <c r="A29" s="1">
        <v>28</v>
      </c>
      <c r="B29" s="1" t="s">
        <v>421</v>
      </c>
      <c r="C29" s="2" t="s">
        <v>442</v>
      </c>
      <c r="D29" s="5" t="s">
        <v>443</v>
      </c>
      <c r="E29" s="1" t="s">
        <v>85</v>
      </c>
      <c r="F29" s="1">
        <v>2</v>
      </c>
      <c r="G29" s="3" t="s">
        <v>86</v>
      </c>
      <c r="H29" s="1"/>
      <c r="I29" s="1"/>
    </row>
    <row r="30" ht="46.8" spans="1:9">
      <c r="A30" s="1">
        <v>29</v>
      </c>
      <c r="B30" s="1"/>
      <c r="C30" s="2" t="s">
        <v>444</v>
      </c>
      <c r="D30" s="5" t="s">
        <v>445</v>
      </c>
      <c r="E30" s="1" t="s">
        <v>85</v>
      </c>
      <c r="F30" s="1">
        <v>26</v>
      </c>
      <c r="G30" s="3" t="s">
        <v>446</v>
      </c>
      <c r="H30" s="1"/>
      <c r="I30" s="1"/>
    </row>
    <row r="31" ht="46.8" spans="1:9">
      <c r="A31" s="1">
        <v>30</v>
      </c>
      <c r="B31" s="1" t="s">
        <v>421</v>
      </c>
      <c r="C31" s="2" t="s">
        <v>447</v>
      </c>
      <c r="D31" s="5" t="s">
        <v>448</v>
      </c>
      <c r="E31" s="1" t="s">
        <v>69</v>
      </c>
      <c r="F31" s="1">
        <v>2</v>
      </c>
      <c r="G31" s="3" t="s">
        <v>449</v>
      </c>
      <c r="H31" s="1"/>
      <c r="I31" s="1"/>
    </row>
    <row r="32" ht="46.8" spans="1:9">
      <c r="A32" s="1">
        <v>31</v>
      </c>
      <c r="B32" s="1"/>
      <c r="C32" s="2" t="s">
        <v>450</v>
      </c>
      <c r="D32" s="5" t="s">
        <v>451</v>
      </c>
      <c r="E32" s="1" t="s">
        <v>85</v>
      </c>
      <c r="F32" s="1">
        <v>26</v>
      </c>
      <c r="G32" s="3" t="s">
        <v>446</v>
      </c>
      <c r="H32" s="1"/>
      <c r="I32" s="1"/>
    </row>
    <row r="33" ht="46.8" spans="1:9">
      <c r="A33" s="1">
        <v>32</v>
      </c>
      <c r="B33" s="1"/>
      <c r="C33" s="2" t="s">
        <v>452</v>
      </c>
      <c r="D33" s="5" t="s">
        <v>453</v>
      </c>
      <c r="E33" s="1" t="s">
        <v>11</v>
      </c>
      <c r="F33" s="1">
        <v>26</v>
      </c>
      <c r="G33" s="3" t="s">
        <v>12</v>
      </c>
      <c r="H33" s="1"/>
      <c r="I33" s="1"/>
    </row>
    <row r="34" ht="46.8" spans="1:9">
      <c r="A34" s="1">
        <v>33</v>
      </c>
      <c r="B34" s="1" t="s">
        <v>421</v>
      </c>
      <c r="C34" s="2" t="s">
        <v>454</v>
      </c>
      <c r="D34" s="5" t="s">
        <v>455</v>
      </c>
      <c r="E34" s="1" t="s">
        <v>69</v>
      </c>
      <c r="F34" s="1">
        <v>1</v>
      </c>
      <c r="G34" s="3" t="s">
        <v>12</v>
      </c>
      <c r="H34" s="1"/>
      <c r="I34" s="1"/>
    </row>
    <row r="35" ht="31.2" spans="1:9">
      <c r="A35" s="1">
        <v>34</v>
      </c>
      <c r="B35" s="1"/>
      <c r="C35" s="2" t="s">
        <v>456</v>
      </c>
      <c r="D35" s="2" t="s">
        <v>457</v>
      </c>
      <c r="E35" s="1" t="s">
        <v>37</v>
      </c>
      <c r="F35" s="1">
        <v>1</v>
      </c>
      <c r="G35" s="3" t="s">
        <v>12</v>
      </c>
      <c r="H35" s="1"/>
      <c r="I35" s="1"/>
    </row>
    <row r="36" ht="31.2" spans="1:9">
      <c r="A36" s="1">
        <v>35</v>
      </c>
      <c r="B36" s="1"/>
      <c r="C36" s="2" t="s">
        <v>458</v>
      </c>
      <c r="D36" s="5" t="s">
        <v>459</v>
      </c>
      <c r="E36" s="6" t="s">
        <v>69</v>
      </c>
      <c r="F36" s="1">
        <v>1</v>
      </c>
      <c r="G36" s="3" t="s">
        <v>460</v>
      </c>
      <c r="H36" s="1"/>
      <c r="I36" s="1"/>
    </row>
    <row r="37" ht="62.4" spans="1:9">
      <c r="A37" s="1">
        <v>36</v>
      </c>
      <c r="B37" s="1" t="s">
        <v>421</v>
      </c>
      <c r="C37" s="2" t="s">
        <v>461</v>
      </c>
      <c r="D37" s="5" t="s">
        <v>462</v>
      </c>
      <c r="E37" s="1" t="s">
        <v>37</v>
      </c>
      <c r="F37" s="1">
        <v>1</v>
      </c>
      <c r="G37" s="3" t="s">
        <v>12</v>
      </c>
      <c r="H37" s="1"/>
      <c r="I37" s="1"/>
    </row>
    <row r="38" ht="62.4" spans="1:9">
      <c r="A38" s="1">
        <v>37</v>
      </c>
      <c r="B38" s="1"/>
      <c r="C38" s="2" t="s">
        <v>463</v>
      </c>
      <c r="D38" s="5" t="s">
        <v>464</v>
      </c>
      <c r="E38" s="1" t="s">
        <v>11</v>
      </c>
      <c r="F38" s="1">
        <v>1</v>
      </c>
      <c r="G38" s="3" t="s">
        <v>12</v>
      </c>
      <c r="H38" s="1"/>
      <c r="I38" s="1"/>
    </row>
    <row r="39" ht="31.2" spans="1:9">
      <c r="A39" s="1">
        <v>38</v>
      </c>
      <c r="B39" s="1"/>
      <c r="C39" s="2" t="s">
        <v>465</v>
      </c>
      <c r="D39" s="5" t="s">
        <v>466</v>
      </c>
      <c r="E39" s="1" t="s">
        <v>11</v>
      </c>
      <c r="F39" s="1">
        <v>1</v>
      </c>
      <c r="G39" s="3" t="s">
        <v>12</v>
      </c>
      <c r="H39" s="1"/>
      <c r="I39" s="1"/>
    </row>
    <row r="40" ht="93.6" spans="1:9">
      <c r="A40" s="1">
        <v>39</v>
      </c>
      <c r="B40" s="1"/>
      <c r="C40" s="2" t="s">
        <v>467</v>
      </c>
      <c r="D40" s="5" t="s">
        <v>468</v>
      </c>
      <c r="E40" s="6" t="s">
        <v>11</v>
      </c>
      <c r="F40" s="1">
        <v>1</v>
      </c>
      <c r="G40" s="3" t="s">
        <v>12</v>
      </c>
      <c r="H40" s="1"/>
      <c r="I40" s="1"/>
    </row>
    <row r="41" ht="31.2" spans="1:9">
      <c r="A41" s="1">
        <v>40</v>
      </c>
      <c r="B41" s="1"/>
      <c r="C41" s="2" t="s">
        <v>469</v>
      </c>
      <c r="D41" s="5" t="s">
        <v>470</v>
      </c>
      <c r="E41" s="6" t="s">
        <v>11</v>
      </c>
      <c r="F41" s="1">
        <v>26</v>
      </c>
      <c r="G41" s="3" t="s">
        <v>12</v>
      </c>
      <c r="H41" s="1"/>
      <c r="I41" s="1"/>
    </row>
    <row r="42" ht="31.2" spans="1:9">
      <c r="A42" s="1">
        <v>41</v>
      </c>
      <c r="B42" s="1"/>
      <c r="C42" s="2" t="s">
        <v>471</v>
      </c>
      <c r="D42" s="5" t="s">
        <v>472</v>
      </c>
      <c r="E42" s="6" t="s">
        <v>11</v>
      </c>
      <c r="F42" s="1">
        <v>1</v>
      </c>
      <c r="G42" s="3" t="s">
        <v>12</v>
      </c>
      <c r="H42" s="1"/>
      <c r="I42" s="1"/>
    </row>
    <row r="43" ht="46.8" spans="1:9">
      <c r="A43" s="1">
        <v>42</v>
      </c>
      <c r="B43" s="1" t="s">
        <v>421</v>
      </c>
      <c r="C43" s="2" t="s">
        <v>473</v>
      </c>
      <c r="D43" s="5" t="s">
        <v>474</v>
      </c>
      <c r="E43" s="6" t="s">
        <v>343</v>
      </c>
      <c r="F43" s="1">
        <v>26</v>
      </c>
      <c r="G43" s="3" t="s">
        <v>12</v>
      </c>
      <c r="H43" s="1"/>
      <c r="I43" s="1"/>
    </row>
    <row r="44" ht="109.2" spans="1:9">
      <c r="A44" s="1">
        <v>43</v>
      </c>
      <c r="B44" s="1"/>
      <c r="C44" s="2" t="s">
        <v>475</v>
      </c>
      <c r="D44" s="5" t="s">
        <v>476</v>
      </c>
      <c r="E44" s="1" t="s">
        <v>11</v>
      </c>
      <c r="F44" s="1">
        <v>1</v>
      </c>
      <c r="G44" s="3" t="s">
        <v>12</v>
      </c>
      <c r="H44" s="1"/>
      <c r="I44" s="1"/>
    </row>
    <row r="45" ht="405.6" spans="1:9">
      <c r="A45" s="1">
        <v>44</v>
      </c>
      <c r="B45" s="1"/>
      <c r="C45" s="2" t="s">
        <v>477</v>
      </c>
      <c r="D45" s="5" t="s">
        <v>478</v>
      </c>
      <c r="E45" s="6" t="s">
        <v>11</v>
      </c>
      <c r="F45" s="1">
        <v>1</v>
      </c>
      <c r="G45" s="3" t="s">
        <v>12</v>
      </c>
      <c r="H45" s="1"/>
      <c r="I45" s="1"/>
    </row>
    <row r="46" ht="156" spans="1:9">
      <c r="A46" s="1">
        <v>45</v>
      </c>
      <c r="B46" s="1"/>
      <c r="C46" s="2" t="s">
        <v>479</v>
      </c>
      <c r="D46" s="5" t="s">
        <v>480</v>
      </c>
      <c r="E46" s="6" t="s">
        <v>282</v>
      </c>
      <c r="F46" s="1">
        <v>8</v>
      </c>
      <c r="G46" s="3" t="s">
        <v>12</v>
      </c>
      <c r="H46" s="1"/>
      <c r="I46" s="1"/>
    </row>
    <row r="47" ht="32.4" spans="1:9">
      <c r="A47" s="1">
        <v>47</v>
      </c>
      <c r="B47" s="1"/>
      <c r="C47" s="2" t="s">
        <v>481</v>
      </c>
      <c r="D47" s="5" t="s">
        <v>482</v>
      </c>
      <c r="E47" s="6" t="s">
        <v>37</v>
      </c>
      <c r="F47" s="1">
        <v>26</v>
      </c>
      <c r="G47" s="3" t="s">
        <v>12</v>
      </c>
      <c r="H47" s="1"/>
      <c r="I47" s="1"/>
    </row>
    <row r="48" ht="32.4" spans="1:9">
      <c r="A48" s="1">
        <v>48</v>
      </c>
      <c r="B48" s="1"/>
      <c r="C48" s="2"/>
      <c r="D48" s="5" t="s">
        <v>483</v>
      </c>
      <c r="E48" s="6" t="s">
        <v>37</v>
      </c>
      <c r="F48" s="1">
        <v>26</v>
      </c>
      <c r="G48" s="6"/>
      <c r="H48" s="1"/>
      <c r="I48" s="1"/>
    </row>
    <row r="49" ht="32.4" spans="1:9">
      <c r="A49" s="1">
        <v>49</v>
      </c>
      <c r="B49" s="1"/>
      <c r="C49" s="2"/>
      <c r="D49" s="5" t="s">
        <v>484</v>
      </c>
      <c r="E49" s="6" t="s">
        <v>37</v>
      </c>
      <c r="F49" s="1">
        <v>26</v>
      </c>
      <c r="G49" s="4"/>
      <c r="H49" s="1"/>
      <c r="I49" s="1"/>
    </row>
    <row r="50" ht="358.8" spans="1:9">
      <c r="A50" s="1">
        <v>50</v>
      </c>
      <c r="B50" s="1"/>
      <c r="C50" s="2" t="s">
        <v>485</v>
      </c>
      <c r="D50" s="2" t="s">
        <v>486</v>
      </c>
      <c r="E50" s="1" t="s">
        <v>11</v>
      </c>
      <c r="F50" s="1">
        <v>1</v>
      </c>
      <c r="G50" s="3" t="s">
        <v>12</v>
      </c>
      <c r="H50" s="1"/>
      <c r="I50" s="1"/>
    </row>
    <row r="51" ht="31.2" spans="1:9">
      <c r="A51" s="1">
        <v>51</v>
      </c>
      <c r="B51" s="1"/>
      <c r="C51" s="2" t="s">
        <v>487</v>
      </c>
      <c r="D51" s="5" t="s">
        <v>488</v>
      </c>
      <c r="E51" s="1" t="s">
        <v>11</v>
      </c>
      <c r="F51" s="1">
        <v>26</v>
      </c>
      <c r="G51" s="3" t="s">
        <v>12</v>
      </c>
      <c r="H51" s="1"/>
      <c r="I51" s="1"/>
    </row>
    <row r="52" ht="46.8" spans="1:9">
      <c r="A52" s="1">
        <v>52</v>
      </c>
      <c r="B52" s="1"/>
      <c r="C52" s="2" t="s">
        <v>489</v>
      </c>
      <c r="D52" s="5" t="s">
        <v>490</v>
      </c>
      <c r="E52" s="1" t="s">
        <v>37</v>
      </c>
      <c r="F52" s="1">
        <v>26</v>
      </c>
      <c r="G52" s="3" t="s">
        <v>12</v>
      </c>
      <c r="H52" s="1"/>
      <c r="I52" s="1"/>
    </row>
    <row r="53" ht="15.6" spans="1:9">
      <c r="A53" s="1">
        <v>53</v>
      </c>
      <c r="B53" s="1"/>
      <c r="C53" s="2" t="s">
        <v>491</v>
      </c>
      <c r="D53" s="5" t="s">
        <v>492</v>
      </c>
      <c r="E53" s="1" t="s">
        <v>37</v>
      </c>
      <c r="F53" s="1">
        <v>26</v>
      </c>
      <c r="G53" s="3" t="s">
        <v>12</v>
      </c>
      <c r="H53" s="1"/>
      <c r="I53" s="1"/>
    </row>
    <row r="54" ht="171.6" spans="1:9">
      <c r="A54" s="1">
        <v>54</v>
      </c>
      <c r="B54" s="1" t="s">
        <v>421</v>
      </c>
      <c r="C54" s="2" t="s">
        <v>493</v>
      </c>
      <c r="D54" s="5" t="s">
        <v>494</v>
      </c>
      <c r="E54" s="1" t="s">
        <v>11</v>
      </c>
      <c r="F54" s="1">
        <v>2</v>
      </c>
      <c r="G54" s="3" t="s">
        <v>12</v>
      </c>
      <c r="H54" s="1"/>
      <c r="I54" s="1"/>
    </row>
    <row r="55" ht="16.8" spans="1:9">
      <c r="A55" s="1">
        <v>56</v>
      </c>
      <c r="B55" s="1"/>
      <c r="C55" s="1" t="s">
        <v>495</v>
      </c>
      <c r="D55" s="2" t="s">
        <v>496</v>
      </c>
      <c r="E55" s="1" t="s">
        <v>69</v>
      </c>
      <c r="F55" s="1">
        <v>13</v>
      </c>
      <c r="G55" s="3" t="s">
        <v>12</v>
      </c>
      <c r="H55" s="1"/>
      <c r="I55" s="1"/>
    </row>
    <row r="56" ht="16.8" spans="1:9">
      <c r="A56" s="1">
        <v>57</v>
      </c>
      <c r="B56" s="1"/>
      <c r="C56" s="1"/>
      <c r="D56" s="5" t="s">
        <v>497</v>
      </c>
      <c r="E56" s="6" t="s">
        <v>69</v>
      </c>
      <c r="F56" s="1">
        <v>1</v>
      </c>
      <c r="G56" s="3" t="s">
        <v>99</v>
      </c>
      <c r="H56" s="1"/>
      <c r="I56" s="1"/>
    </row>
    <row r="57" ht="16.8" spans="1:9">
      <c r="A57" s="1">
        <v>58</v>
      </c>
      <c r="B57" s="1"/>
      <c r="C57" s="1"/>
      <c r="D57" s="2" t="s">
        <v>498</v>
      </c>
      <c r="E57" s="1" t="s">
        <v>69</v>
      </c>
      <c r="F57" s="1">
        <v>13</v>
      </c>
      <c r="G57" s="3" t="s">
        <v>99</v>
      </c>
      <c r="H57" s="1"/>
      <c r="I57" s="1"/>
    </row>
    <row r="58" ht="16.8" spans="1:9">
      <c r="A58" s="1">
        <v>59</v>
      </c>
      <c r="B58" s="1" t="s">
        <v>421</v>
      </c>
      <c r="C58" s="2" t="s">
        <v>499</v>
      </c>
      <c r="D58" s="2" t="s">
        <v>500</v>
      </c>
      <c r="E58" s="1" t="s">
        <v>11</v>
      </c>
      <c r="F58" s="1">
        <v>1</v>
      </c>
      <c r="G58" s="3" t="s">
        <v>99</v>
      </c>
      <c r="H58" s="1"/>
      <c r="I58" s="1"/>
    </row>
    <row r="59" ht="15.6" spans="1:9">
      <c r="A59" s="1">
        <v>60</v>
      </c>
      <c r="B59" s="1"/>
      <c r="C59" s="2" t="s">
        <v>501</v>
      </c>
      <c r="D59" s="2" t="s">
        <v>502</v>
      </c>
      <c r="E59" s="1" t="s">
        <v>11</v>
      </c>
      <c r="F59" s="1">
        <v>1</v>
      </c>
      <c r="G59" s="3" t="s">
        <v>12</v>
      </c>
      <c r="H59" s="1"/>
      <c r="I59" s="1"/>
    </row>
    <row r="60" ht="62.4" spans="1:9">
      <c r="A60" s="1">
        <v>61</v>
      </c>
      <c r="B60" s="1" t="s">
        <v>421</v>
      </c>
      <c r="C60" s="2" t="s">
        <v>503</v>
      </c>
      <c r="D60" s="5" t="s">
        <v>504</v>
      </c>
      <c r="E60" s="1" t="s">
        <v>37</v>
      </c>
      <c r="F60" s="1">
        <v>1</v>
      </c>
      <c r="G60" s="3" t="s">
        <v>12</v>
      </c>
      <c r="H60" s="1"/>
      <c r="I60" s="1"/>
    </row>
    <row r="61" ht="46.8" spans="1:9">
      <c r="A61" s="1">
        <v>62</v>
      </c>
      <c r="B61" s="1"/>
      <c r="C61" s="2" t="s">
        <v>505</v>
      </c>
      <c r="D61" s="5" t="s">
        <v>506</v>
      </c>
      <c r="E61" s="1" t="s">
        <v>69</v>
      </c>
      <c r="F61" s="1">
        <v>26</v>
      </c>
      <c r="G61" s="3" t="s">
        <v>12</v>
      </c>
      <c r="H61" s="1"/>
      <c r="I61" s="1"/>
    </row>
    <row r="62" ht="31.2" spans="1:9">
      <c r="A62" s="1">
        <v>63</v>
      </c>
      <c r="B62" s="1"/>
      <c r="C62" s="2" t="s">
        <v>507</v>
      </c>
      <c r="D62" s="2" t="s">
        <v>508</v>
      </c>
      <c r="E62" s="1" t="s">
        <v>69</v>
      </c>
      <c r="F62" s="1">
        <v>26</v>
      </c>
      <c r="G62" s="7" t="s">
        <v>12</v>
      </c>
      <c r="H62" s="1"/>
      <c r="I62" s="1"/>
    </row>
    <row r="63" ht="202.8" spans="1:9">
      <c r="A63" s="1">
        <v>64</v>
      </c>
      <c r="B63" s="1" t="s">
        <v>421</v>
      </c>
      <c r="C63" s="2" t="s">
        <v>509</v>
      </c>
      <c r="D63" s="5" t="s">
        <v>510</v>
      </c>
      <c r="E63" s="1" t="s">
        <v>69</v>
      </c>
      <c r="F63" s="1">
        <v>26</v>
      </c>
      <c r="G63" s="3" t="s">
        <v>12</v>
      </c>
      <c r="H63" s="1"/>
      <c r="I63" s="1"/>
    </row>
    <row r="64" ht="109.2" spans="1:9">
      <c r="A64" s="1">
        <v>65</v>
      </c>
      <c r="B64" s="1"/>
      <c r="C64" s="2" t="s">
        <v>511</v>
      </c>
      <c r="D64" s="2" t="s">
        <v>512</v>
      </c>
      <c r="E64" s="1" t="s">
        <v>11</v>
      </c>
      <c r="F64" s="1">
        <v>1</v>
      </c>
      <c r="G64" s="3" t="s">
        <v>12</v>
      </c>
      <c r="H64" s="1"/>
      <c r="I64" s="1"/>
    </row>
    <row r="65" ht="93.6" spans="1:9">
      <c r="A65" s="1">
        <v>66</v>
      </c>
      <c r="B65" s="1" t="s">
        <v>421</v>
      </c>
      <c r="C65" s="2" t="s">
        <v>513</v>
      </c>
      <c r="D65" s="2" t="s">
        <v>514</v>
      </c>
      <c r="E65" s="1" t="s">
        <v>69</v>
      </c>
      <c r="F65" s="1">
        <v>13</v>
      </c>
      <c r="G65" s="3" t="s">
        <v>12</v>
      </c>
      <c r="H65" s="1"/>
      <c r="I65" s="1"/>
    </row>
    <row r="66" ht="31.2" spans="1:9">
      <c r="A66" s="1">
        <v>67</v>
      </c>
      <c r="B66" s="1"/>
      <c r="C66" s="2" t="s">
        <v>515</v>
      </c>
      <c r="D66" s="2" t="s">
        <v>516</v>
      </c>
      <c r="E66" s="1" t="s">
        <v>11</v>
      </c>
      <c r="F66" s="1">
        <v>1</v>
      </c>
      <c r="G66" s="3" t="s">
        <v>12</v>
      </c>
      <c r="H66" s="1"/>
      <c r="I66" s="1"/>
    </row>
    <row r="67" ht="15.6" spans="1:9">
      <c r="A67" s="1">
        <v>68</v>
      </c>
      <c r="B67" s="1"/>
      <c r="C67" s="2" t="s">
        <v>517</v>
      </c>
      <c r="D67" s="2" t="s">
        <v>518</v>
      </c>
      <c r="E67" s="1" t="s">
        <v>69</v>
      </c>
      <c r="F67" s="1">
        <v>1</v>
      </c>
      <c r="G67" s="3" t="s">
        <v>12</v>
      </c>
      <c r="H67" s="1"/>
      <c r="I67" s="1"/>
    </row>
    <row r="68" ht="46.8" spans="1:9">
      <c r="A68" s="1">
        <v>69</v>
      </c>
      <c r="B68" s="1"/>
      <c r="C68" s="2" t="s">
        <v>519</v>
      </c>
      <c r="D68" s="5" t="s">
        <v>520</v>
      </c>
      <c r="E68" s="1" t="s">
        <v>69</v>
      </c>
      <c r="F68" s="1">
        <v>26</v>
      </c>
      <c r="G68" s="3" t="s">
        <v>12</v>
      </c>
      <c r="H68" s="1"/>
      <c r="I68" s="1"/>
    </row>
    <row r="69" ht="78" spans="1:9">
      <c r="A69" s="1">
        <v>70</v>
      </c>
      <c r="B69" s="1" t="s">
        <v>421</v>
      </c>
      <c r="C69" s="2" t="s">
        <v>521</v>
      </c>
      <c r="D69" s="5" t="s">
        <v>522</v>
      </c>
      <c r="E69" s="1" t="s">
        <v>69</v>
      </c>
      <c r="F69" s="1">
        <v>1</v>
      </c>
      <c r="G69" s="3" t="s">
        <v>12</v>
      </c>
      <c r="H69" s="1"/>
      <c r="I69" s="1"/>
    </row>
    <row r="70" ht="31.2" spans="1:9">
      <c r="A70" s="1">
        <v>71</v>
      </c>
      <c r="B70" s="1" t="s">
        <v>421</v>
      </c>
      <c r="C70" s="2" t="s">
        <v>523</v>
      </c>
      <c r="D70" s="2" t="s">
        <v>524</v>
      </c>
      <c r="E70" s="1" t="s">
        <v>69</v>
      </c>
      <c r="F70" s="1">
        <v>13</v>
      </c>
      <c r="G70" s="3" t="s">
        <v>12</v>
      </c>
      <c r="H70" s="1"/>
      <c r="I70" s="1"/>
    </row>
    <row r="71" ht="62.4" spans="1:9">
      <c r="A71" s="1">
        <v>72</v>
      </c>
      <c r="B71" s="1" t="s">
        <v>421</v>
      </c>
      <c r="C71" s="2" t="s">
        <v>525</v>
      </c>
      <c r="D71" s="5" t="s">
        <v>526</v>
      </c>
      <c r="E71" s="1" t="s">
        <v>11</v>
      </c>
      <c r="F71" s="1">
        <v>26</v>
      </c>
      <c r="G71" s="3" t="s">
        <v>12</v>
      </c>
      <c r="H71" s="1"/>
      <c r="I71" s="1"/>
    </row>
    <row r="72" ht="15.6" spans="1:9">
      <c r="A72" s="1">
        <v>73</v>
      </c>
      <c r="B72" s="1"/>
      <c r="C72" s="2" t="s">
        <v>527</v>
      </c>
      <c r="D72" s="2" t="s">
        <v>528</v>
      </c>
      <c r="E72" s="1" t="s">
        <v>11</v>
      </c>
      <c r="F72" s="1">
        <v>1</v>
      </c>
      <c r="G72" s="3" t="s">
        <v>12</v>
      </c>
      <c r="H72" s="1"/>
      <c r="I72" s="1"/>
    </row>
    <row r="73" ht="15.6" spans="1:9">
      <c r="A73" s="1">
        <v>74</v>
      </c>
      <c r="B73" s="1" t="s">
        <v>421</v>
      </c>
      <c r="C73" s="1" t="s">
        <v>529</v>
      </c>
      <c r="D73" s="2" t="s">
        <v>530</v>
      </c>
      <c r="E73" s="1" t="s">
        <v>11</v>
      </c>
      <c r="F73" s="1">
        <v>1</v>
      </c>
      <c r="G73" s="3" t="s">
        <v>12</v>
      </c>
      <c r="H73" s="1"/>
      <c r="I73" s="1"/>
    </row>
    <row r="74" ht="15.6" spans="1:9">
      <c r="A74" s="1">
        <v>75</v>
      </c>
      <c r="B74" s="1"/>
      <c r="C74" s="1"/>
      <c r="D74" s="5" t="s">
        <v>531</v>
      </c>
      <c r="E74" s="1" t="s">
        <v>11</v>
      </c>
      <c r="F74" s="1">
        <v>1</v>
      </c>
      <c r="G74" s="3" t="s">
        <v>12</v>
      </c>
      <c r="H74" s="1"/>
      <c r="I74" s="1"/>
    </row>
    <row r="75" ht="31.2" spans="1:9">
      <c r="A75" s="1">
        <v>76</v>
      </c>
      <c r="B75" s="1" t="s">
        <v>421</v>
      </c>
      <c r="C75" s="2" t="s">
        <v>532</v>
      </c>
      <c r="D75" s="5" t="s">
        <v>533</v>
      </c>
      <c r="E75" s="1" t="s">
        <v>11</v>
      </c>
      <c r="F75" s="1">
        <v>2</v>
      </c>
      <c r="G75" s="3" t="s">
        <v>12</v>
      </c>
      <c r="H75" s="1"/>
      <c r="I75" s="1"/>
    </row>
    <row r="76" ht="46.8" spans="1:9">
      <c r="A76" s="1">
        <v>77</v>
      </c>
      <c r="B76" s="1" t="s">
        <v>421</v>
      </c>
      <c r="C76" s="2" t="s">
        <v>534</v>
      </c>
      <c r="D76" s="5" t="s">
        <v>535</v>
      </c>
      <c r="E76" s="1" t="s">
        <v>11</v>
      </c>
      <c r="F76" s="1">
        <v>26</v>
      </c>
      <c r="G76" s="3" t="s">
        <v>12</v>
      </c>
      <c r="H76" s="1"/>
      <c r="I76" s="1"/>
    </row>
    <row r="77" ht="31.2" spans="1:9">
      <c r="A77" s="1">
        <v>78</v>
      </c>
      <c r="B77" s="1"/>
      <c r="C77" s="2" t="s">
        <v>105</v>
      </c>
      <c r="D77" s="5" t="s">
        <v>536</v>
      </c>
      <c r="E77" s="6" t="s">
        <v>11</v>
      </c>
      <c r="F77" s="1">
        <v>26</v>
      </c>
      <c r="G77" s="3" t="s">
        <v>12</v>
      </c>
      <c r="H77" s="1"/>
      <c r="I77" s="1"/>
    </row>
    <row r="78" ht="15.6" spans="1:9">
      <c r="A78" s="1">
        <v>79</v>
      </c>
      <c r="B78" s="1"/>
      <c r="C78" s="2" t="s">
        <v>537</v>
      </c>
      <c r="D78" s="5" t="s">
        <v>538</v>
      </c>
      <c r="E78" s="1" t="s">
        <v>69</v>
      </c>
      <c r="F78" s="1">
        <v>1</v>
      </c>
      <c r="G78" s="3" t="s">
        <v>449</v>
      </c>
      <c r="H78" s="1"/>
      <c r="I78" s="1"/>
    </row>
    <row r="79" ht="46.8" spans="1:9">
      <c r="A79" s="1">
        <v>80</v>
      </c>
      <c r="B79" s="1"/>
      <c r="C79" s="2" t="s">
        <v>539</v>
      </c>
      <c r="D79" s="5" t="s">
        <v>540</v>
      </c>
      <c r="E79" s="1" t="s">
        <v>69</v>
      </c>
      <c r="F79" s="1">
        <v>1</v>
      </c>
      <c r="G79" s="3" t="s">
        <v>12</v>
      </c>
      <c r="H79" s="1"/>
      <c r="I79" s="1"/>
    </row>
    <row r="80" ht="78" spans="1:9">
      <c r="A80" s="1">
        <v>81</v>
      </c>
      <c r="B80" s="1"/>
      <c r="C80" s="2" t="s">
        <v>541</v>
      </c>
      <c r="D80" s="5" t="s">
        <v>542</v>
      </c>
      <c r="E80" s="1" t="s">
        <v>69</v>
      </c>
      <c r="F80" s="1">
        <v>1</v>
      </c>
      <c r="G80" s="3" t="s">
        <v>12</v>
      </c>
      <c r="H80" s="1"/>
      <c r="I80" s="1"/>
    </row>
    <row r="81" ht="15.6" spans="1:9">
      <c r="A81" s="1">
        <v>82</v>
      </c>
      <c r="B81" s="1"/>
      <c r="C81" s="2" t="s">
        <v>543</v>
      </c>
      <c r="D81" s="5" t="s">
        <v>544</v>
      </c>
      <c r="E81" s="1" t="s">
        <v>11</v>
      </c>
      <c r="F81" s="1">
        <v>1</v>
      </c>
      <c r="G81" s="3" t="s">
        <v>12</v>
      </c>
      <c r="H81" s="1"/>
      <c r="I81" s="1"/>
    </row>
    <row r="82" ht="48.6" spans="1:9">
      <c r="A82" s="1">
        <v>83</v>
      </c>
      <c r="B82" s="1"/>
      <c r="C82" s="2" t="s">
        <v>545</v>
      </c>
      <c r="D82" s="5" t="s">
        <v>546</v>
      </c>
      <c r="E82" s="1" t="s">
        <v>37</v>
      </c>
      <c r="F82" s="1">
        <v>2</v>
      </c>
      <c r="G82" s="3" t="s">
        <v>12</v>
      </c>
      <c r="H82" s="1"/>
      <c r="I82" s="1"/>
    </row>
    <row r="83" ht="78" spans="1:9">
      <c r="A83" s="1">
        <v>84</v>
      </c>
      <c r="B83" s="1"/>
      <c r="C83" s="2" t="s">
        <v>547</v>
      </c>
      <c r="D83" s="5" t="s">
        <v>548</v>
      </c>
      <c r="E83" s="1" t="s">
        <v>69</v>
      </c>
      <c r="F83" s="1">
        <v>1</v>
      </c>
      <c r="G83" s="3" t="s">
        <v>12</v>
      </c>
      <c r="H83" s="1"/>
      <c r="I83" s="1"/>
    </row>
    <row r="84" ht="46.8" spans="1:9">
      <c r="A84" s="1">
        <v>85</v>
      </c>
      <c r="B84" s="1"/>
      <c r="C84" s="2" t="s">
        <v>549</v>
      </c>
      <c r="D84" s="5" t="s">
        <v>550</v>
      </c>
      <c r="E84" s="1" t="s">
        <v>69</v>
      </c>
      <c r="F84" s="1">
        <v>1</v>
      </c>
      <c r="G84" s="3" t="s">
        <v>12</v>
      </c>
      <c r="H84" s="1"/>
      <c r="I84" s="1"/>
    </row>
  </sheetData>
  <mergeCells count="26">
    <mergeCell ref="A1:G1"/>
    <mergeCell ref="B2:B19"/>
    <mergeCell ref="B20:B21"/>
    <mergeCell ref="B22:B23"/>
    <mergeCell ref="B26:B28"/>
    <mergeCell ref="B29:B30"/>
    <mergeCell ref="B31:B32"/>
    <mergeCell ref="B34:B36"/>
    <mergeCell ref="B37:B38"/>
    <mergeCell ref="B39:B42"/>
    <mergeCell ref="B43:B46"/>
    <mergeCell ref="B47:B49"/>
    <mergeCell ref="B50:B53"/>
    <mergeCell ref="B55:B57"/>
    <mergeCell ref="B58:B59"/>
    <mergeCell ref="B60:B62"/>
    <mergeCell ref="B65:B66"/>
    <mergeCell ref="B67:B68"/>
    <mergeCell ref="B73:B74"/>
    <mergeCell ref="B76:B78"/>
    <mergeCell ref="B79:B80"/>
    <mergeCell ref="B81:B82"/>
    <mergeCell ref="C27:C28"/>
    <mergeCell ref="C47:C49"/>
    <mergeCell ref="C55:C57"/>
    <mergeCell ref="C73:C7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9"/>
  <sheetViews>
    <sheetView topLeftCell="A104" workbookViewId="0">
      <selection activeCell="F14" sqref="F14"/>
    </sheetView>
  </sheetViews>
  <sheetFormatPr defaultColWidth="8.88888888888889" defaultRowHeight="14.4" outlineLevelCol="6"/>
  <cols>
    <col min="3" max="3" width="14.5555555555556" customWidth="1"/>
    <col min="4" max="4" width="52.1111111111111" customWidth="1"/>
  </cols>
  <sheetData>
    <row r="1" ht="17.1" customHeight="1" spans="1:7">
      <c r="A1" s="1" t="s">
        <v>551</v>
      </c>
      <c r="B1" s="1"/>
      <c r="C1" s="1"/>
      <c r="D1" s="1"/>
      <c r="E1" s="1"/>
      <c r="F1" s="1"/>
      <c r="G1" s="1"/>
    </row>
    <row r="2" ht="15.6" spans="1:7">
      <c r="A2" s="1" t="s">
        <v>1</v>
      </c>
      <c r="B2" s="1"/>
      <c r="C2" s="1" t="s">
        <v>2</v>
      </c>
      <c r="D2" s="1" t="s">
        <v>249</v>
      </c>
      <c r="E2" s="1" t="s">
        <v>4</v>
      </c>
      <c r="F2" s="1" t="s">
        <v>5</v>
      </c>
      <c r="G2" s="1" t="s">
        <v>6</v>
      </c>
    </row>
    <row r="3" ht="78" spans="1:7">
      <c r="A3" s="1">
        <v>1</v>
      </c>
      <c r="B3" s="1" t="s">
        <v>552</v>
      </c>
      <c r="C3" s="2" t="s">
        <v>9</v>
      </c>
      <c r="D3" s="2" t="s">
        <v>10</v>
      </c>
      <c r="E3" s="2" t="s">
        <v>11</v>
      </c>
      <c r="F3" s="1">
        <v>1</v>
      </c>
      <c r="G3" s="3" t="s">
        <v>12</v>
      </c>
    </row>
    <row r="4" ht="249.6" spans="1:7">
      <c r="A4" s="1">
        <v>2</v>
      </c>
      <c r="B4" s="1" t="s">
        <v>553</v>
      </c>
      <c r="C4" s="2" t="s">
        <v>13</v>
      </c>
      <c r="D4" s="2" t="s">
        <v>554</v>
      </c>
      <c r="E4" s="2" t="s">
        <v>11</v>
      </c>
      <c r="F4" s="1">
        <v>1</v>
      </c>
      <c r="G4" s="3" t="s">
        <v>12</v>
      </c>
    </row>
    <row r="5" ht="156" spans="1:7">
      <c r="A5" s="1">
        <v>4</v>
      </c>
      <c r="B5" s="4"/>
      <c r="C5" s="2" t="s">
        <v>15</v>
      </c>
      <c r="D5" s="2" t="s">
        <v>16</v>
      </c>
      <c r="E5" s="2" t="s">
        <v>17</v>
      </c>
      <c r="F5" s="1">
        <v>1</v>
      </c>
      <c r="G5" s="3" t="s">
        <v>12</v>
      </c>
    </row>
    <row r="6" ht="156" spans="1:7">
      <c r="A6" s="1">
        <v>5</v>
      </c>
      <c r="B6" s="4"/>
      <c r="C6" s="5" t="s">
        <v>555</v>
      </c>
      <c r="D6" s="2" t="s">
        <v>556</v>
      </c>
      <c r="E6" s="2" t="s">
        <v>17</v>
      </c>
      <c r="F6" s="1">
        <v>1</v>
      </c>
      <c r="G6" s="3" t="s">
        <v>12</v>
      </c>
    </row>
    <row r="7" ht="171.6" spans="1:7">
      <c r="A7" s="1">
        <v>7</v>
      </c>
      <c r="B7" s="4"/>
      <c r="C7" s="2" t="s">
        <v>557</v>
      </c>
      <c r="D7" s="2" t="s">
        <v>558</v>
      </c>
      <c r="E7" s="2" t="s">
        <v>17</v>
      </c>
      <c r="F7" s="1">
        <v>1</v>
      </c>
      <c r="G7" s="3" t="s">
        <v>12</v>
      </c>
    </row>
    <row r="8" ht="156" spans="1:7">
      <c r="A8" s="1">
        <v>10</v>
      </c>
      <c r="B8" s="4"/>
      <c r="C8" s="5" t="s">
        <v>559</v>
      </c>
      <c r="D8" s="2" t="s">
        <v>560</v>
      </c>
      <c r="E8" s="2" t="s">
        <v>17</v>
      </c>
      <c r="F8" s="1">
        <v>1</v>
      </c>
      <c r="G8" s="3" t="s">
        <v>12</v>
      </c>
    </row>
    <row r="9" ht="156" spans="1:7">
      <c r="A9" s="1">
        <v>11</v>
      </c>
      <c r="B9" s="4"/>
      <c r="C9" s="2" t="s">
        <v>22</v>
      </c>
      <c r="D9" s="2" t="s">
        <v>561</v>
      </c>
      <c r="E9" s="2" t="s">
        <v>17</v>
      </c>
      <c r="F9" s="1">
        <v>1</v>
      </c>
      <c r="G9" s="3" t="s">
        <v>12</v>
      </c>
    </row>
    <row r="10" ht="46.8" spans="1:7">
      <c r="A10" s="1">
        <v>17</v>
      </c>
      <c r="B10" s="4"/>
      <c r="C10" s="2" t="s">
        <v>562</v>
      </c>
      <c r="D10" s="2" t="s">
        <v>563</v>
      </c>
      <c r="E10" s="2" t="s">
        <v>11</v>
      </c>
      <c r="F10" s="1">
        <v>1</v>
      </c>
      <c r="G10" s="3" t="s">
        <v>12</v>
      </c>
    </row>
    <row r="11" ht="109.2" spans="1:7">
      <c r="A11" s="1">
        <v>18</v>
      </c>
      <c r="B11" s="4"/>
      <c r="C11" s="2" t="s">
        <v>26</v>
      </c>
      <c r="D11" s="2" t="s">
        <v>564</v>
      </c>
      <c r="E11" s="2" t="s">
        <v>11</v>
      </c>
      <c r="F11" s="1">
        <v>1</v>
      </c>
      <c r="G11" s="3" t="s">
        <v>12</v>
      </c>
    </row>
    <row r="12" ht="31.2" spans="1:7">
      <c r="A12" s="1">
        <v>21</v>
      </c>
      <c r="B12" s="1" t="s">
        <v>565</v>
      </c>
      <c r="C12" s="5" t="s">
        <v>28</v>
      </c>
      <c r="D12" s="5" t="s">
        <v>566</v>
      </c>
      <c r="E12" s="2" t="s">
        <v>37</v>
      </c>
      <c r="F12" s="1">
        <v>1</v>
      </c>
      <c r="G12" s="3" t="s">
        <v>30</v>
      </c>
    </row>
    <row r="13" ht="15.6" spans="1:7">
      <c r="A13" s="1">
        <v>25</v>
      </c>
      <c r="B13" s="1" t="s">
        <v>565</v>
      </c>
      <c r="C13" s="5" t="s">
        <v>31</v>
      </c>
      <c r="D13" s="5" t="s">
        <v>32</v>
      </c>
      <c r="E13" s="2" t="s">
        <v>33</v>
      </c>
      <c r="F13" s="1">
        <v>1</v>
      </c>
      <c r="G13" s="3" t="s">
        <v>34</v>
      </c>
    </row>
    <row r="14" ht="62.4" spans="1:7">
      <c r="A14" s="1">
        <v>26</v>
      </c>
      <c r="B14" s="1"/>
      <c r="C14" s="2" t="s">
        <v>35</v>
      </c>
      <c r="D14" s="5" t="s">
        <v>567</v>
      </c>
      <c r="E14" s="2" t="s">
        <v>37</v>
      </c>
      <c r="F14" s="1">
        <v>1</v>
      </c>
      <c r="G14" s="3" t="s">
        <v>38</v>
      </c>
    </row>
    <row r="15" ht="15.6" spans="1:7">
      <c r="A15" s="1">
        <v>27</v>
      </c>
      <c r="B15" s="1"/>
      <c r="C15" s="5" t="s">
        <v>39</v>
      </c>
      <c r="D15" s="5" t="s">
        <v>568</v>
      </c>
      <c r="E15" s="2" t="s">
        <v>33</v>
      </c>
      <c r="F15" s="1">
        <v>52</v>
      </c>
      <c r="G15" s="3" t="s">
        <v>12</v>
      </c>
    </row>
    <row r="16" ht="15.6" spans="1:7">
      <c r="A16" s="1">
        <v>28</v>
      </c>
      <c r="B16" s="1"/>
      <c r="C16" s="2" t="s">
        <v>41</v>
      </c>
      <c r="D16" s="5" t="s">
        <v>569</v>
      </c>
      <c r="E16" s="2" t="s">
        <v>37</v>
      </c>
      <c r="F16" s="1">
        <v>52</v>
      </c>
      <c r="G16" s="3" t="s">
        <v>12</v>
      </c>
    </row>
    <row r="17" ht="31.2" spans="1:7">
      <c r="A17" s="1">
        <v>29</v>
      </c>
      <c r="B17" s="1"/>
      <c r="C17" s="2" t="s">
        <v>43</v>
      </c>
      <c r="D17" s="5" t="s">
        <v>570</v>
      </c>
      <c r="E17" s="2" t="s">
        <v>37</v>
      </c>
      <c r="F17" s="1">
        <v>52</v>
      </c>
      <c r="G17" s="3" t="s">
        <v>12</v>
      </c>
    </row>
    <row r="18" ht="15.6" spans="1:7">
      <c r="A18" s="1">
        <v>30</v>
      </c>
      <c r="B18" s="1"/>
      <c r="C18" s="2" t="s">
        <v>571</v>
      </c>
      <c r="D18" s="2" t="s">
        <v>572</v>
      </c>
      <c r="E18" s="2" t="s">
        <v>54</v>
      </c>
      <c r="F18" s="1">
        <v>52</v>
      </c>
      <c r="G18" s="3" t="s">
        <v>573</v>
      </c>
    </row>
    <row r="19" ht="31.2" spans="1:7">
      <c r="A19" s="1">
        <v>31</v>
      </c>
      <c r="B19" s="1"/>
      <c r="C19" s="5" t="s">
        <v>574</v>
      </c>
      <c r="D19" s="2" t="s">
        <v>575</v>
      </c>
      <c r="E19" s="2" t="s">
        <v>576</v>
      </c>
      <c r="F19" s="1">
        <v>16</v>
      </c>
      <c r="G19" s="3" t="s">
        <v>12</v>
      </c>
    </row>
    <row r="20" ht="46.8" spans="1:7">
      <c r="A20" s="1">
        <v>34</v>
      </c>
      <c r="B20" s="1" t="s">
        <v>577</v>
      </c>
      <c r="C20" s="2" t="s">
        <v>578</v>
      </c>
      <c r="D20" s="5" t="s">
        <v>579</v>
      </c>
      <c r="E20" s="2" t="s">
        <v>69</v>
      </c>
      <c r="F20" s="1">
        <v>26</v>
      </c>
      <c r="G20" s="3" t="s">
        <v>580</v>
      </c>
    </row>
    <row r="21" ht="109.2" spans="1:7">
      <c r="A21" s="1">
        <v>37</v>
      </c>
      <c r="B21" s="1"/>
      <c r="C21" s="2" t="s">
        <v>581</v>
      </c>
      <c r="D21" s="5" t="s">
        <v>582</v>
      </c>
      <c r="E21" s="2" t="s">
        <v>69</v>
      </c>
      <c r="F21" s="1">
        <v>1</v>
      </c>
      <c r="G21" s="3" t="s">
        <v>580</v>
      </c>
    </row>
    <row r="22" ht="31.2" spans="1:7">
      <c r="A22" s="1">
        <v>42</v>
      </c>
      <c r="B22" s="1"/>
      <c r="C22" s="2" t="s">
        <v>583</v>
      </c>
      <c r="D22" s="2" t="s">
        <v>584</v>
      </c>
      <c r="E22" s="2" t="s">
        <v>37</v>
      </c>
      <c r="F22" s="1">
        <v>26</v>
      </c>
      <c r="G22" s="3" t="s">
        <v>12</v>
      </c>
    </row>
    <row r="23" ht="15.6" spans="1:7">
      <c r="A23" s="1">
        <v>46</v>
      </c>
      <c r="B23" s="1"/>
      <c r="C23" s="2" t="s">
        <v>585</v>
      </c>
      <c r="D23" s="2" t="s">
        <v>586</v>
      </c>
      <c r="E23" s="2" t="s">
        <v>37</v>
      </c>
      <c r="F23" s="1">
        <v>1</v>
      </c>
      <c r="G23" s="3" t="s">
        <v>12</v>
      </c>
    </row>
    <row r="24" ht="31.2" spans="1:7">
      <c r="A24" s="1">
        <v>47</v>
      </c>
      <c r="B24" s="1"/>
      <c r="C24" s="2" t="s">
        <v>587</v>
      </c>
      <c r="D24" s="2" t="s">
        <v>588</v>
      </c>
      <c r="E24" s="2" t="s">
        <v>11</v>
      </c>
      <c r="F24" s="1">
        <v>26</v>
      </c>
      <c r="G24" s="3" t="s">
        <v>12</v>
      </c>
    </row>
    <row r="25" ht="31.2" spans="1:7">
      <c r="A25" s="1">
        <v>49</v>
      </c>
      <c r="B25" s="1"/>
      <c r="C25" s="5" t="s">
        <v>589</v>
      </c>
      <c r="D25" s="5" t="s">
        <v>590</v>
      </c>
      <c r="E25" s="2" t="s">
        <v>11</v>
      </c>
      <c r="F25" s="1">
        <v>1</v>
      </c>
      <c r="G25" s="3" t="s">
        <v>12</v>
      </c>
    </row>
    <row r="26" ht="15.6" spans="1:7">
      <c r="A26" s="1">
        <v>58</v>
      </c>
      <c r="B26" s="1"/>
      <c r="C26" s="5" t="s">
        <v>591</v>
      </c>
      <c r="D26" s="5" t="s">
        <v>592</v>
      </c>
      <c r="E26" s="2" t="s">
        <v>69</v>
      </c>
      <c r="F26" s="1">
        <v>1</v>
      </c>
      <c r="G26" s="3" t="s">
        <v>12</v>
      </c>
    </row>
    <row r="27" ht="46.8" spans="1:7">
      <c r="A27" s="1">
        <v>59</v>
      </c>
      <c r="B27" s="1"/>
      <c r="C27" s="2" t="s">
        <v>593</v>
      </c>
      <c r="D27" s="5" t="s">
        <v>594</v>
      </c>
      <c r="E27" s="2" t="s">
        <v>69</v>
      </c>
      <c r="F27" s="1">
        <v>1</v>
      </c>
      <c r="G27" s="3" t="s">
        <v>12</v>
      </c>
    </row>
    <row r="28" ht="46.8" spans="1:7">
      <c r="A28" s="1">
        <v>61</v>
      </c>
      <c r="B28" s="1" t="s">
        <v>595</v>
      </c>
      <c r="C28" s="5" t="s">
        <v>596</v>
      </c>
      <c r="D28" s="5" t="s">
        <v>597</v>
      </c>
      <c r="E28" s="2" t="s">
        <v>69</v>
      </c>
      <c r="F28" s="1">
        <v>1</v>
      </c>
      <c r="G28" s="3" t="s">
        <v>12</v>
      </c>
    </row>
    <row r="29" ht="31.2" spans="1:7">
      <c r="A29" s="1">
        <v>62</v>
      </c>
      <c r="B29" s="1"/>
      <c r="C29" s="2" t="s">
        <v>598</v>
      </c>
      <c r="D29" s="5" t="s">
        <v>599</v>
      </c>
      <c r="E29" s="2" t="s">
        <v>37</v>
      </c>
      <c r="F29" s="1">
        <v>1</v>
      </c>
      <c r="G29" s="3" t="s">
        <v>600</v>
      </c>
    </row>
    <row r="30" ht="202.8" spans="1:7">
      <c r="A30" s="1">
        <v>63</v>
      </c>
      <c r="B30" s="1"/>
      <c r="C30" s="5" t="s">
        <v>601</v>
      </c>
      <c r="D30" s="5" t="s">
        <v>602</v>
      </c>
      <c r="E30" s="2" t="s">
        <v>69</v>
      </c>
      <c r="F30" s="1">
        <v>1</v>
      </c>
      <c r="G30" s="3" t="s">
        <v>12</v>
      </c>
    </row>
    <row r="31" ht="15.6" spans="1:7">
      <c r="A31" s="1">
        <v>64</v>
      </c>
      <c r="B31" s="1"/>
      <c r="C31" s="2" t="s">
        <v>603</v>
      </c>
      <c r="D31" s="5" t="s">
        <v>604</v>
      </c>
      <c r="E31" s="2" t="s">
        <v>69</v>
      </c>
      <c r="F31" s="1">
        <v>1</v>
      </c>
      <c r="G31" s="3" t="s">
        <v>12</v>
      </c>
    </row>
    <row r="32" ht="31.2" spans="1:7">
      <c r="A32" s="1">
        <v>70</v>
      </c>
      <c r="B32" s="1" t="s">
        <v>595</v>
      </c>
      <c r="C32" s="5" t="s">
        <v>605</v>
      </c>
      <c r="D32" s="5" t="s">
        <v>606</v>
      </c>
      <c r="E32" s="2" t="s">
        <v>69</v>
      </c>
      <c r="F32" s="1">
        <v>9</v>
      </c>
      <c r="G32" s="3" t="s">
        <v>12</v>
      </c>
    </row>
    <row r="33" ht="31.2" spans="1:7">
      <c r="A33" s="1">
        <v>72</v>
      </c>
      <c r="B33" s="1"/>
      <c r="C33" s="2" t="s">
        <v>607</v>
      </c>
      <c r="D33" s="5" t="s">
        <v>608</v>
      </c>
      <c r="E33" s="2" t="s">
        <v>69</v>
      </c>
      <c r="F33" s="1">
        <v>13</v>
      </c>
      <c r="G33" s="3" t="s">
        <v>12</v>
      </c>
    </row>
    <row r="34" ht="31.2" spans="1:7">
      <c r="A34" s="1">
        <v>78</v>
      </c>
      <c r="B34" s="1"/>
      <c r="C34" s="5" t="s">
        <v>609</v>
      </c>
      <c r="D34" s="5" t="s">
        <v>610</v>
      </c>
      <c r="E34" s="2" t="s">
        <v>69</v>
      </c>
      <c r="F34" s="1">
        <v>1</v>
      </c>
      <c r="G34" s="3" t="s">
        <v>12</v>
      </c>
    </row>
    <row r="35" ht="31.2" spans="1:7">
      <c r="A35" s="1">
        <v>79</v>
      </c>
      <c r="B35" s="1"/>
      <c r="C35" s="5" t="s">
        <v>611</v>
      </c>
      <c r="D35" s="5" t="s">
        <v>612</v>
      </c>
      <c r="E35" s="2" t="s">
        <v>37</v>
      </c>
      <c r="F35" s="1">
        <v>1</v>
      </c>
      <c r="G35" s="3" t="s">
        <v>12</v>
      </c>
    </row>
    <row r="36" ht="31.2" spans="1:7">
      <c r="A36" s="1">
        <v>80</v>
      </c>
      <c r="B36" s="1" t="s">
        <v>595</v>
      </c>
      <c r="C36" s="2" t="s">
        <v>613</v>
      </c>
      <c r="D36" s="5" t="s">
        <v>614</v>
      </c>
      <c r="E36" s="2" t="s">
        <v>37</v>
      </c>
      <c r="F36" s="1">
        <v>1</v>
      </c>
      <c r="G36" s="3" t="s">
        <v>12</v>
      </c>
    </row>
    <row r="37" ht="31.2" spans="1:7">
      <c r="A37" s="1">
        <v>82</v>
      </c>
      <c r="B37" s="1"/>
      <c r="C37" s="5" t="s">
        <v>615</v>
      </c>
      <c r="D37" s="5" t="s">
        <v>616</v>
      </c>
      <c r="E37" s="2" t="s">
        <v>69</v>
      </c>
      <c r="F37" s="1">
        <v>1</v>
      </c>
      <c r="G37" s="3" t="s">
        <v>12</v>
      </c>
    </row>
    <row r="38" ht="15.6" spans="1:7">
      <c r="A38" s="1">
        <v>85</v>
      </c>
      <c r="B38" s="1" t="s">
        <v>617</v>
      </c>
      <c r="C38" s="5" t="s">
        <v>618</v>
      </c>
      <c r="D38" s="5" t="s">
        <v>619</v>
      </c>
      <c r="E38" s="2" t="s">
        <v>37</v>
      </c>
      <c r="F38" s="1">
        <v>26</v>
      </c>
      <c r="G38" s="3" t="s">
        <v>12</v>
      </c>
    </row>
    <row r="39" ht="46.8" spans="1:7">
      <c r="A39" s="1">
        <v>86</v>
      </c>
      <c r="B39" s="1"/>
      <c r="C39" s="5" t="s">
        <v>620</v>
      </c>
      <c r="D39" s="5" t="s">
        <v>621</v>
      </c>
      <c r="E39" s="2" t="s">
        <v>11</v>
      </c>
      <c r="F39" s="1">
        <v>26</v>
      </c>
      <c r="G39" s="3" t="s">
        <v>12</v>
      </c>
    </row>
    <row r="40" ht="15.6" spans="1:7">
      <c r="A40" s="1">
        <v>87</v>
      </c>
      <c r="B40" s="1"/>
      <c r="C40" s="2" t="s">
        <v>622</v>
      </c>
      <c r="D40" s="5" t="s">
        <v>623</v>
      </c>
      <c r="E40" s="2"/>
      <c r="F40" s="1">
        <v>26</v>
      </c>
      <c r="G40" s="3" t="s">
        <v>38</v>
      </c>
    </row>
    <row r="41" ht="15.6" spans="1:7">
      <c r="A41" s="1">
        <v>88</v>
      </c>
      <c r="B41" s="1"/>
      <c r="C41" s="2" t="s">
        <v>624</v>
      </c>
      <c r="D41" s="2" t="s">
        <v>625</v>
      </c>
      <c r="E41" s="2" t="s">
        <v>85</v>
      </c>
      <c r="F41" s="1">
        <v>26</v>
      </c>
      <c r="G41" s="3" t="s">
        <v>38</v>
      </c>
    </row>
    <row r="42" ht="31.2" spans="1:7">
      <c r="A42" s="1">
        <v>89</v>
      </c>
      <c r="B42" s="1"/>
      <c r="C42" s="2" t="s">
        <v>626</v>
      </c>
      <c r="D42" s="5" t="s">
        <v>627</v>
      </c>
      <c r="E42" s="2"/>
      <c r="F42" s="1">
        <v>26</v>
      </c>
      <c r="G42" s="3" t="s">
        <v>38</v>
      </c>
    </row>
    <row r="43" ht="15.6" spans="1:7">
      <c r="A43" s="1">
        <v>90</v>
      </c>
      <c r="B43" s="1" t="s">
        <v>617</v>
      </c>
      <c r="C43" s="5" t="s">
        <v>628</v>
      </c>
      <c r="D43" s="5" t="s">
        <v>629</v>
      </c>
      <c r="E43" s="2"/>
      <c r="F43" s="1">
        <v>26</v>
      </c>
      <c r="G43" s="3" t="s">
        <v>630</v>
      </c>
    </row>
    <row r="44" ht="15.6" spans="1:7">
      <c r="A44" s="1">
        <v>91</v>
      </c>
      <c r="B44" s="1"/>
      <c r="C44" s="5" t="s">
        <v>631</v>
      </c>
      <c r="D44" s="5" t="s">
        <v>632</v>
      </c>
      <c r="E44" s="2"/>
      <c r="F44" s="1">
        <v>26</v>
      </c>
      <c r="G44" s="3" t="s">
        <v>633</v>
      </c>
    </row>
    <row r="45" ht="15.6" spans="1:7">
      <c r="A45" s="1">
        <v>92</v>
      </c>
      <c r="B45" s="1"/>
      <c r="C45" s="2" t="s">
        <v>141</v>
      </c>
      <c r="D45" s="2" t="s">
        <v>623</v>
      </c>
      <c r="E45" s="2" t="s">
        <v>85</v>
      </c>
      <c r="F45" s="1">
        <v>26</v>
      </c>
      <c r="G45" s="3" t="s">
        <v>38</v>
      </c>
    </row>
    <row r="46" ht="15.6" spans="1:7">
      <c r="A46" s="1">
        <v>93</v>
      </c>
      <c r="B46" s="1"/>
      <c r="C46" s="5" t="s">
        <v>141</v>
      </c>
      <c r="D46" s="5" t="s">
        <v>634</v>
      </c>
      <c r="E46" s="2" t="s">
        <v>85</v>
      </c>
      <c r="F46" s="1">
        <v>26</v>
      </c>
      <c r="G46" s="3" t="s">
        <v>38</v>
      </c>
    </row>
    <row r="47" ht="15.6" spans="1:7">
      <c r="A47" s="1">
        <v>94</v>
      </c>
      <c r="B47" s="1"/>
      <c r="C47" s="2" t="s">
        <v>635</v>
      </c>
      <c r="D47" s="2" t="s">
        <v>636</v>
      </c>
      <c r="E47" s="2" t="s">
        <v>85</v>
      </c>
      <c r="F47" s="1">
        <v>26</v>
      </c>
      <c r="G47" s="3" t="s">
        <v>38</v>
      </c>
    </row>
    <row r="48" ht="15.6" spans="1:7">
      <c r="A48" s="1">
        <v>95</v>
      </c>
      <c r="B48" s="1"/>
      <c r="C48" s="5" t="s">
        <v>637</v>
      </c>
      <c r="D48" s="5" t="s">
        <v>638</v>
      </c>
      <c r="E48" s="2" t="s">
        <v>85</v>
      </c>
      <c r="F48" s="1">
        <v>26</v>
      </c>
      <c r="G48" s="3" t="s">
        <v>38</v>
      </c>
    </row>
    <row r="49" ht="15.6" spans="1:7">
      <c r="A49" s="1">
        <v>96</v>
      </c>
      <c r="B49" s="1"/>
      <c r="C49" s="2" t="s">
        <v>639</v>
      </c>
      <c r="D49" s="2" t="s">
        <v>640</v>
      </c>
      <c r="E49" s="2" t="s">
        <v>37</v>
      </c>
      <c r="F49" s="1">
        <v>26</v>
      </c>
      <c r="G49" s="3" t="s">
        <v>12</v>
      </c>
    </row>
    <row r="50" ht="15.6" spans="1:7">
      <c r="A50" s="1">
        <v>97</v>
      </c>
      <c r="B50" s="1"/>
      <c r="C50" s="2" t="s">
        <v>641</v>
      </c>
      <c r="D50" s="5" t="s">
        <v>642</v>
      </c>
      <c r="E50" s="2" t="s">
        <v>81</v>
      </c>
      <c r="F50" s="1">
        <v>26</v>
      </c>
      <c r="G50" s="3" t="s">
        <v>12</v>
      </c>
    </row>
    <row r="51" ht="15.6" spans="1:7">
      <c r="A51" s="1">
        <v>98</v>
      </c>
      <c r="B51" s="1"/>
      <c r="C51" s="2"/>
      <c r="D51" s="5" t="s">
        <v>643</v>
      </c>
      <c r="E51" s="2" t="s">
        <v>81</v>
      </c>
      <c r="F51" s="1">
        <v>26</v>
      </c>
      <c r="G51" s="3" t="s">
        <v>12</v>
      </c>
    </row>
    <row r="52" ht="15.6" spans="1:7">
      <c r="A52" s="1">
        <v>99</v>
      </c>
      <c r="B52" s="1"/>
      <c r="C52" s="2"/>
      <c r="D52" s="5" t="s">
        <v>644</v>
      </c>
      <c r="E52" s="2" t="s">
        <v>81</v>
      </c>
      <c r="F52" s="1">
        <v>26</v>
      </c>
      <c r="G52" s="3" t="s">
        <v>12</v>
      </c>
    </row>
    <row r="53" ht="15.6" spans="1:7">
      <c r="A53" s="1">
        <v>100</v>
      </c>
      <c r="B53" s="1"/>
      <c r="C53" s="2"/>
      <c r="D53" s="5" t="s">
        <v>645</v>
      </c>
      <c r="E53" s="2" t="s">
        <v>81</v>
      </c>
      <c r="F53" s="1">
        <v>26</v>
      </c>
      <c r="G53" s="3" t="s">
        <v>12</v>
      </c>
    </row>
    <row r="54" ht="15.6" spans="1:7">
      <c r="A54" s="1">
        <v>101</v>
      </c>
      <c r="B54" s="1"/>
      <c r="C54" s="2"/>
      <c r="D54" s="5" t="s">
        <v>646</v>
      </c>
      <c r="E54" s="2" t="s">
        <v>81</v>
      </c>
      <c r="F54" s="1">
        <v>26</v>
      </c>
      <c r="G54" s="3" t="s">
        <v>12</v>
      </c>
    </row>
    <row r="55" ht="31.2" spans="1:7">
      <c r="A55" s="1">
        <v>102</v>
      </c>
      <c r="B55" s="1"/>
      <c r="C55" s="2" t="s">
        <v>647</v>
      </c>
      <c r="D55" s="5" t="s">
        <v>648</v>
      </c>
      <c r="E55" s="2" t="s">
        <v>85</v>
      </c>
      <c r="F55" s="1">
        <v>26</v>
      </c>
      <c r="G55" s="3" t="s">
        <v>12</v>
      </c>
    </row>
    <row r="56" ht="31.2" spans="1:7">
      <c r="A56" s="1">
        <v>103</v>
      </c>
      <c r="B56" s="1"/>
      <c r="C56" s="2" t="s">
        <v>649</v>
      </c>
      <c r="D56" s="5" t="s">
        <v>650</v>
      </c>
      <c r="E56" s="2" t="s">
        <v>11</v>
      </c>
      <c r="F56" s="1">
        <v>26</v>
      </c>
      <c r="G56" s="3" t="s">
        <v>12</v>
      </c>
    </row>
    <row r="57" ht="15.6" spans="1:7">
      <c r="A57" s="1">
        <v>104</v>
      </c>
      <c r="B57" s="1"/>
      <c r="C57" s="5" t="s">
        <v>119</v>
      </c>
      <c r="D57" s="5" t="s">
        <v>651</v>
      </c>
      <c r="E57" s="2" t="s">
        <v>37</v>
      </c>
      <c r="F57" s="1">
        <v>26</v>
      </c>
      <c r="G57" s="3" t="s">
        <v>12</v>
      </c>
    </row>
    <row r="58" ht="31.2" spans="1:7">
      <c r="A58" s="1">
        <v>105</v>
      </c>
      <c r="B58" s="6" t="s">
        <v>617</v>
      </c>
      <c r="C58" s="2" t="s">
        <v>123</v>
      </c>
      <c r="D58" s="5" t="s">
        <v>652</v>
      </c>
      <c r="E58" s="2" t="s">
        <v>37</v>
      </c>
      <c r="F58" s="1">
        <v>26</v>
      </c>
      <c r="G58" s="3" t="s">
        <v>12</v>
      </c>
    </row>
    <row r="59" ht="15.6" spans="1:7">
      <c r="A59" s="1">
        <v>106</v>
      </c>
      <c r="B59" s="6"/>
      <c r="C59" s="5" t="s">
        <v>653</v>
      </c>
      <c r="D59" s="5" t="s">
        <v>654</v>
      </c>
      <c r="E59" s="2" t="s">
        <v>37</v>
      </c>
      <c r="F59" s="1">
        <v>26</v>
      </c>
      <c r="G59" s="3" t="s">
        <v>12</v>
      </c>
    </row>
    <row r="60" ht="15.6" spans="1:7">
      <c r="A60" s="1">
        <v>107</v>
      </c>
      <c r="B60" s="6"/>
      <c r="C60" s="5" t="s">
        <v>655</v>
      </c>
      <c r="D60" s="5" t="s">
        <v>656</v>
      </c>
      <c r="E60" s="2" t="s">
        <v>37</v>
      </c>
      <c r="F60" s="1">
        <v>26</v>
      </c>
      <c r="G60" s="3" t="s">
        <v>12</v>
      </c>
    </row>
    <row r="61" ht="15.6" spans="1:7">
      <c r="A61" s="1">
        <v>108</v>
      </c>
      <c r="B61" s="6"/>
      <c r="C61" s="5" t="s">
        <v>657</v>
      </c>
      <c r="D61" s="5" t="s">
        <v>658</v>
      </c>
      <c r="E61" s="2" t="s">
        <v>37</v>
      </c>
      <c r="F61" s="1">
        <v>26</v>
      </c>
      <c r="G61" s="3" t="s">
        <v>12</v>
      </c>
    </row>
    <row r="62" ht="15.6" spans="1:7">
      <c r="A62" s="1">
        <v>109</v>
      </c>
      <c r="B62" s="1" t="s">
        <v>659</v>
      </c>
      <c r="C62" s="5" t="s">
        <v>660</v>
      </c>
      <c r="D62" s="5" t="s">
        <v>661</v>
      </c>
      <c r="E62" s="2" t="s">
        <v>37</v>
      </c>
      <c r="F62" s="1">
        <v>26</v>
      </c>
      <c r="G62" s="3" t="s">
        <v>12</v>
      </c>
    </row>
    <row r="63" ht="15.6" spans="1:7">
      <c r="A63" s="1">
        <v>110</v>
      </c>
      <c r="B63" s="1"/>
      <c r="C63" s="5" t="s">
        <v>662</v>
      </c>
      <c r="D63" s="5" t="s">
        <v>663</v>
      </c>
      <c r="E63" s="2" t="s">
        <v>85</v>
      </c>
      <c r="F63" s="1">
        <v>26</v>
      </c>
      <c r="G63" s="3" t="s">
        <v>12</v>
      </c>
    </row>
    <row r="64" ht="15.6" spans="1:7">
      <c r="A64" s="1">
        <v>114</v>
      </c>
      <c r="B64" s="1"/>
      <c r="C64" s="5" t="s">
        <v>95</v>
      </c>
      <c r="D64" s="5" t="s">
        <v>664</v>
      </c>
      <c r="E64" s="2" t="s">
        <v>69</v>
      </c>
      <c r="F64" s="1">
        <v>26</v>
      </c>
      <c r="G64" s="3" t="s">
        <v>12</v>
      </c>
    </row>
    <row r="65" ht="15.6" spans="1:7">
      <c r="A65" s="1">
        <v>115</v>
      </c>
      <c r="B65" s="1"/>
      <c r="C65" s="5" t="s">
        <v>495</v>
      </c>
      <c r="D65" s="5" t="s">
        <v>665</v>
      </c>
      <c r="E65" s="2"/>
      <c r="F65" s="1">
        <v>26</v>
      </c>
      <c r="G65" s="3" t="s">
        <v>99</v>
      </c>
    </row>
    <row r="66" ht="15.6" spans="1:7">
      <c r="A66" s="1">
        <v>116</v>
      </c>
      <c r="B66" s="1"/>
      <c r="C66" s="5" t="s">
        <v>495</v>
      </c>
      <c r="D66" s="5" t="s">
        <v>666</v>
      </c>
      <c r="E66" s="2" t="s">
        <v>69</v>
      </c>
      <c r="F66" s="1">
        <v>1</v>
      </c>
      <c r="G66" s="3" t="s">
        <v>99</v>
      </c>
    </row>
    <row r="67" ht="31.2" spans="1:7">
      <c r="A67" s="1">
        <v>117</v>
      </c>
      <c r="B67" s="1"/>
      <c r="C67" s="2" t="s">
        <v>105</v>
      </c>
      <c r="D67" s="5" t="s">
        <v>667</v>
      </c>
      <c r="E67" s="2" t="s">
        <v>37</v>
      </c>
      <c r="F67" s="1">
        <v>26</v>
      </c>
      <c r="G67" s="3" t="s">
        <v>12</v>
      </c>
    </row>
    <row r="68" ht="15.6" spans="1:7">
      <c r="A68" s="1">
        <v>118</v>
      </c>
      <c r="B68" s="1"/>
      <c r="C68" s="2" t="s">
        <v>101</v>
      </c>
      <c r="D68" s="5" t="s">
        <v>102</v>
      </c>
      <c r="E68" s="2" t="s">
        <v>81</v>
      </c>
      <c r="F68" s="1">
        <v>52</v>
      </c>
      <c r="G68" s="3" t="s">
        <v>12</v>
      </c>
    </row>
    <row r="69" ht="15.6" spans="1:7">
      <c r="A69" s="1">
        <v>120</v>
      </c>
      <c r="B69" s="1"/>
      <c r="C69" s="5" t="s">
        <v>668</v>
      </c>
      <c r="D69" s="5" t="s">
        <v>669</v>
      </c>
      <c r="E69" s="2" t="s">
        <v>37</v>
      </c>
      <c r="F69" s="1">
        <v>26</v>
      </c>
      <c r="G69" s="3" t="s">
        <v>12</v>
      </c>
    </row>
    <row r="70" ht="15.6" spans="1:7">
      <c r="A70" s="1">
        <v>121</v>
      </c>
      <c r="B70" s="1" t="s">
        <v>659</v>
      </c>
      <c r="C70" s="2" t="s">
        <v>670</v>
      </c>
      <c r="D70" s="2" t="s">
        <v>671</v>
      </c>
      <c r="E70" s="2" t="s">
        <v>37</v>
      </c>
      <c r="F70" s="1">
        <v>26</v>
      </c>
      <c r="G70" s="3" t="s">
        <v>12</v>
      </c>
    </row>
    <row r="71" ht="15.6" spans="1:7">
      <c r="A71" s="1">
        <v>122</v>
      </c>
      <c r="B71" s="1"/>
      <c r="C71" s="5" t="s">
        <v>672</v>
      </c>
      <c r="D71" s="5" t="s">
        <v>673</v>
      </c>
      <c r="E71" s="2" t="s">
        <v>674</v>
      </c>
      <c r="F71" s="1">
        <v>26</v>
      </c>
      <c r="G71" s="3" t="s">
        <v>12</v>
      </c>
    </row>
    <row r="72" ht="46.8" spans="1:7">
      <c r="A72" s="1">
        <v>182</v>
      </c>
      <c r="B72" s="1" t="s">
        <v>675</v>
      </c>
      <c r="C72" s="2" t="s">
        <v>213</v>
      </c>
      <c r="D72" s="5" t="s">
        <v>676</v>
      </c>
      <c r="E72" s="2" t="s">
        <v>37</v>
      </c>
      <c r="F72" s="1">
        <v>2</v>
      </c>
      <c r="G72" s="3" t="s">
        <v>215</v>
      </c>
    </row>
    <row r="73" ht="15.6" spans="1:7">
      <c r="A73" s="1">
        <v>183</v>
      </c>
      <c r="B73" s="1"/>
      <c r="C73" s="2" t="s">
        <v>677</v>
      </c>
      <c r="D73" s="2" t="s">
        <v>678</v>
      </c>
      <c r="E73" s="2" t="s">
        <v>81</v>
      </c>
      <c r="F73" s="1">
        <v>15</v>
      </c>
      <c r="G73" s="3" t="s">
        <v>12</v>
      </c>
    </row>
    <row r="74" ht="15.6" spans="1:7">
      <c r="A74" s="1">
        <v>184</v>
      </c>
      <c r="B74" s="1"/>
      <c r="C74" s="2"/>
      <c r="D74" s="2" t="s">
        <v>679</v>
      </c>
      <c r="E74" s="2" t="s">
        <v>81</v>
      </c>
      <c r="F74" s="1">
        <v>15</v>
      </c>
      <c r="G74" s="3" t="s">
        <v>12</v>
      </c>
    </row>
    <row r="75" ht="15.6" spans="1:7">
      <c r="A75" s="1">
        <v>185</v>
      </c>
      <c r="B75" s="1"/>
      <c r="C75" s="2"/>
      <c r="D75" s="2" t="s">
        <v>207</v>
      </c>
      <c r="E75" s="2" t="s">
        <v>81</v>
      </c>
      <c r="F75" s="1">
        <v>15</v>
      </c>
      <c r="G75" s="3" t="s">
        <v>12</v>
      </c>
    </row>
    <row r="76" ht="15.6" spans="1:7">
      <c r="A76" s="1">
        <v>186</v>
      </c>
      <c r="B76" s="1"/>
      <c r="C76" s="5" t="s">
        <v>159</v>
      </c>
      <c r="D76" s="5" t="s">
        <v>680</v>
      </c>
      <c r="E76" s="2" t="s">
        <v>681</v>
      </c>
      <c r="F76" s="1">
        <v>1</v>
      </c>
      <c r="G76" s="3" t="s">
        <v>12</v>
      </c>
    </row>
    <row r="77" ht="46.8" spans="1:7">
      <c r="A77" s="1">
        <v>187</v>
      </c>
      <c r="B77" s="1" t="s">
        <v>675</v>
      </c>
      <c r="C77" s="2" t="s">
        <v>163</v>
      </c>
      <c r="D77" s="5" t="s">
        <v>682</v>
      </c>
      <c r="E77" s="2" t="s">
        <v>681</v>
      </c>
      <c r="F77" s="1">
        <v>0.5</v>
      </c>
      <c r="G77" s="3" t="s">
        <v>12</v>
      </c>
    </row>
    <row r="78" ht="15.6" spans="1:7">
      <c r="A78" s="1">
        <v>188</v>
      </c>
      <c r="B78" s="1"/>
      <c r="C78" s="2" t="s">
        <v>164</v>
      </c>
      <c r="D78" s="2" t="s">
        <v>683</v>
      </c>
      <c r="E78" s="2" t="s">
        <v>681</v>
      </c>
      <c r="F78" s="1">
        <v>1</v>
      </c>
      <c r="G78" s="3" t="s">
        <v>12</v>
      </c>
    </row>
    <row r="79" ht="62.4" spans="1:7">
      <c r="A79" s="1">
        <v>189</v>
      </c>
      <c r="B79" s="1"/>
      <c r="C79" s="2" t="s">
        <v>143</v>
      </c>
      <c r="D79" s="5" t="s">
        <v>684</v>
      </c>
      <c r="E79" s="2" t="s">
        <v>85</v>
      </c>
      <c r="F79" s="1">
        <v>18</v>
      </c>
      <c r="G79" s="3" t="s">
        <v>12</v>
      </c>
    </row>
    <row r="80" ht="31.2" spans="1:7">
      <c r="A80" s="1">
        <v>190</v>
      </c>
      <c r="B80" s="1"/>
      <c r="C80" s="5" t="s">
        <v>685</v>
      </c>
      <c r="D80" s="5" t="s">
        <v>686</v>
      </c>
      <c r="E80" s="2" t="s">
        <v>37</v>
      </c>
      <c r="F80" s="1">
        <v>26</v>
      </c>
      <c r="G80" s="3" t="s">
        <v>12</v>
      </c>
    </row>
    <row r="81" ht="31.2" spans="1:7">
      <c r="A81" s="1">
        <v>191</v>
      </c>
      <c r="B81" s="1"/>
      <c r="C81" s="2" t="s">
        <v>151</v>
      </c>
      <c r="D81" s="5" t="s">
        <v>687</v>
      </c>
      <c r="E81" s="2" t="s">
        <v>37</v>
      </c>
      <c r="F81" s="1">
        <v>26</v>
      </c>
      <c r="G81" s="3" t="s">
        <v>12</v>
      </c>
    </row>
    <row r="82" ht="31.2" spans="1:7">
      <c r="A82" s="1">
        <v>192</v>
      </c>
      <c r="B82" s="1"/>
      <c r="C82" s="5" t="s">
        <v>157</v>
      </c>
      <c r="D82" s="5" t="s">
        <v>688</v>
      </c>
      <c r="E82" s="2" t="s">
        <v>85</v>
      </c>
      <c r="F82" s="1">
        <v>26</v>
      </c>
      <c r="G82" s="3" t="s">
        <v>12</v>
      </c>
    </row>
    <row r="83" ht="15.6" spans="1:7">
      <c r="A83" s="1">
        <v>193</v>
      </c>
      <c r="B83" s="1"/>
      <c r="C83" s="2" t="s">
        <v>165</v>
      </c>
      <c r="D83" s="2" t="s">
        <v>689</v>
      </c>
      <c r="E83" s="2" t="s">
        <v>681</v>
      </c>
      <c r="F83" s="1">
        <v>1</v>
      </c>
      <c r="G83" s="3" t="s">
        <v>12</v>
      </c>
    </row>
    <row r="84" ht="31.2" spans="1:7">
      <c r="A84" s="1">
        <v>194</v>
      </c>
      <c r="B84" s="1"/>
      <c r="C84" s="5" t="s">
        <v>167</v>
      </c>
      <c r="D84" s="5" t="s">
        <v>690</v>
      </c>
      <c r="E84" s="2" t="s">
        <v>681</v>
      </c>
      <c r="F84" s="1">
        <v>1</v>
      </c>
      <c r="G84" s="3" t="s">
        <v>12</v>
      </c>
    </row>
    <row r="85" ht="31.2" spans="1:7">
      <c r="A85" s="1">
        <v>195</v>
      </c>
      <c r="B85" s="1"/>
      <c r="C85" s="2" t="s">
        <v>175</v>
      </c>
      <c r="D85" s="5" t="s">
        <v>691</v>
      </c>
      <c r="E85" s="2" t="s">
        <v>11</v>
      </c>
      <c r="F85" s="1">
        <v>26</v>
      </c>
      <c r="G85" s="3" t="s">
        <v>12</v>
      </c>
    </row>
    <row r="86" ht="31.2" spans="1:7">
      <c r="A86" s="1">
        <v>196</v>
      </c>
      <c r="B86" s="1"/>
      <c r="C86" s="2"/>
      <c r="D86" s="5" t="s">
        <v>692</v>
      </c>
      <c r="E86" s="2" t="s">
        <v>11</v>
      </c>
      <c r="F86" s="1">
        <v>26</v>
      </c>
      <c r="G86" s="3" t="s">
        <v>12</v>
      </c>
    </row>
    <row r="87" ht="15.6" spans="1:7">
      <c r="A87" s="1">
        <v>197</v>
      </c>
      <c r="B87" s="1"/>
      <c r="C87" s="2" t="s">
        <v>693</v>
      </c>
      <c r="D87" s="2" t="s">
        <v>694</v>
      </c>
      <c r="E87" s="2" t="s">
        <v>37</v>
      </c>
      <c r="F87" s="1">
        <v>15</v>
      </c>
      <c r="G87" s="3" t="s">
        <v>12</v>
      </c>
    </row>
    <row r="88" ht="15.6" spans="1:7">
      <c r="A88" s="1">
        <v>200</v>
      </c>
      <c r="B88" s="1"/>
      <c r="C88" s="2" t="s">
        <v>184</v>
      </c>
      <c r="D88" s="5" t="s">
        <v>695</v>
      </c>
      <c r="E88" s="2" t="s">
        <v>37</v>
      </c>
      <c r="F88" s="1">
        <v>15</v>
      </c>
      <c r="G88" s="3" t="s">
        <v>12</v>
      </c>
    </row>
    <row r="89" ht="31.2" spans="1:7">
      <c r="A89" s="1">
        <v>201</v>
      </c>
      <c r="B89" s="1"/>
      <c r="C89" s="5" t="s">
        <v>696</v>
      </c>
      <c r="D89" s="2" t="s">
        <v>697</v>
      </c>
      <c r="E89" s="2" t="s">
        <v>674</v>
      </c>
      <c r="F89" s="1">
        <v>26</v>
      </c>
      <c r="G89" s="3" t="s">
        <v>12</v>
      </c>
    </row>
    <row r="90" ht="15.6" spans="1:7">
      <c r="A90" s="1">
        <v>215</v>
      </c>
      <c r="B90" s="1"/>
      <c r="C90" s="5" t="s">
        <v>698</v>
      </c>
      <c r="D90" s="5" t="s">
        <v>699</v>
      </c>
      <c r="E90" s="2" t="s">
        <v>58</v>
      </c>
      <c r="F90" s="1">
        <v>9</v>
      </c>
      <c r="G90" s="3" t="s">
        <v>12</v>
      </c>
    </row>
    <row r="91" ht="15.6" spans="1:7">
      <c r="A91" s="1">
        <v>216</v>
      </c>
      <c r="B91" s="1"/>
      <c r="C91" s="5" t="s">
        <v>206</v>
      </c>
      <c r="D91" s="5" t="s">
        <v>700</v>
      </c>
      <c r="E91" s="2" t="s">
        <v>81</v>
      </c>
      <c r="F91" s="1">
        <v>26</v>
      </c>
      <c r="G91" s="3" t="s">
        <v>208</v>
      </c>
    </row>
    <row r="92" ht="15.6" spans="1:7">
      <c r="A92" s="1">
        <v>217</v>
      </c>
      <c r="B92" s="1"/>
      <c r="C92" s="5"/>
      <c r="D92" s="5" t="s">
        <v>701</v>
      </c>
      <c r="E92" s="2" t="s">
        <v>81</v>
      </c>
      <c r="F92" s="1">
        <v>26</v>
      </c>
      <c r="G92" s="3" t="s">
        <v>208</v>
      </c>
    </row>
    <row r="93" ht="15.6" spans="1:7">
      <c r="A93" s="1">
        <v>218</v>
      </c>
      <c r="B93" s="1"/>
      <c r="C93" s="5"/>
      <c r="D93" s="5" t="s">
        <v>702</v>
      </c>
      <c r="E93" s="2" t="s">
        <v>81</v>
      </c>
      <c r="F93" s="1">
        <v>26</v>
      </c>
      <c r="G93" s="3" t="s">
        <v>208</v>
      </c>
    </row>
    <row r="94" ht="15.6" spans="1:7">
      <c r="A94" s="1">
        <v>227</v>
      </c>
      <c r="B94" s="1"/>
      <c r="C94" s="5" t="s">
        <v>197</v>
      </c>
      <c r="D94" s="5" t="s">
        <v>703</v>
      </c>
      <c r="E94" s="2" t="s">
        <v>81</v>
      </c>
      <c r="F94" s="1">
        <v>100</v>
      </c>
      <c r="G94" s="3" t="s">
        <v>12</v>
      </c>
    </row>
    <row r="95" ht="31.2" spans="1:7">
      <c r="A95" s="1">
        <v>228</v>
      </c>
      <c r="B95" s="1" t="s">
        <v>675</v>
      </c>
      <c r="C95" s="2" t="s">
        <v>220</v>
      </c>
      <c r="D95" s="2" t="s">
        <v>704</v>
      </c>
      <c r="E95" s="2" t="s">
        <v>58</v>
      </c>
      <c r="F95" s="1">
        <v>10</v>
      </c>
      <c r="G95" s="3" t="s">
        <v>222</v>
      </c>
    </row>
    <row r="96" ht="46.8" spans="1:7">
      <c r="A96" s="1">
        <v>244</v>
      </c>
      <c r="B96" s="6" t="s">
        <v>705</v>
      </c>
      <c r="C96" s="2" t="s">
        <v>89</v>
      </c>
      <c r="D96" s="5" t="s">
        <v>90</v>
      </c>
      <c r="E96" s="2" t="s">
        <v>11</v>
      </c>
      <c r="F96" s="1">
        <v>2</v>
      </c>
      <c r="G96" s="3" t="s">
        <v>12</v>
      </c>
    </row>
    <row r="97" ht="15.6" spans="1:7">
      <c r="A97" s="1">
        <v>245</v>
      </c>
      <c r="B97" s="6"/>
      <c r="C97" s="5" t="s">
        <v>91</v>
      </c>
      <c r="D97" s="5" t="s">
        <v>92</v>
      </c>
      <c r="E97" s="2" t="s">
        <v>37</v>
      </c>
      <c r="F97" s="1">
        <v>1</v>
      </c>
      <c r="G97" s="3" t="s">
        <v>12</v>
      </c>
    </row>
    <row r="98" ht="62.4" spans="1:7">
      <c r="A98" s="1">
        <v>246</v>
      </c>
      <c r="B98" s="6"/>
      <c r="C98" s="2" t="s">
        <v>93</v>
      </c>
      <c r="D98" s="5" t="s">
        <v>706</v>
      </c>
      <c r="E98" s="2" t="s">
        <v>37</v>
      </c>
      <c r="F98" s="1">
        <v>1</v>
      </c>
      <c r="G98" s="3" t="s">
        <v>12</v>
      </c>
    </row>
    <row r="99" ht="15.6" spans="1:7">
      <c r="A99" s="1">
        <v>247</v>
      </c>
      <c r="B99" s="1" t="s">
        <v>705</v>
      </c>
      <c r="C99" s="2" t="s">
        <v>707</v>
      </c>
      <c r="D99" s="5" t="s">
        <v>708</v>
      </c>
      <c r="E99" s="2" t="s">
        <v>69</v>
      </c>
      <c r="F99" s="1">
        <v>1</v>
      </c>
      <c r="G99" s="3" t="s">
        <v>709</v>
      </c>
    </row>
    <row r="100" ht="31.2" spans="1:7">
      <c r="A100" s="1">
        <v>248</v>
      </c>
      <c r="B100" s="1"/>
      <c r="C100" s="2" t="s">
        <v>710</v>
      </c>
      <c r="D100" s="5" t="s">
        <v>711</v>
      </c>
      <c r="E100" s="2" t="s">
        <v>81</v>
      </c>
      <c r="F100" s="1">
        <v>1</v>
      </c>
      <c r="G100" s="3" t="s">
        <v>12</v>
      </c>
    </row>
    <row r="101" ht="46.8" spans="1:7">
      <c r="A101" s="1">
        <v>249</v>
      </c>
      <c r="B101" s="1"/>
      <c r="C101" s="2" t="s">
        <v>79</v>
      </c>
      <c r="D101" s="5" t="s">
        <v>712</v>
      </c>
      <c r="E101" s="2" t="s">
        <v>11</v>
      </c>
      <c r="F101" s="1">
        <v>1</v>
      </c>
      <c r="G101" s="3" t="s">
        <v>12</v>
      </c>
    </row>
    <row r="102" ht="46.8" spans="1:7">
      <c r="A102" s="1">
        <v>250</v>
      </c>
      <c r="B102" s="1"/>
      <c r="C102" s="2" t="s">
        <v>82</v>
      </c>
      <c r="D102" s="5" t="s">
        <v>712</v>
      </c>
      <c r="E102" s="2" t="s">
        <v>11</v>
      </c>
      <c r="F102" s="1">
        <v>1</v>
      </c>
      <c r="G102" s="3" t="s">
        <v>12</v>
      </c>
    </row>
    <row r="103" ht="46.8" spans="1:7">
      <c r="A103" s="1">
        <v>252</v>
      </c>
      <c r="B103" s="1"/>
      <c r="C103" s="2" t="s">
        <v>713</v>
      </c>
      <c r="D103" s="5" t="s">
        <v>714</v>
      </c>
      <c r="E103" s="2" t="s">
        <v>85</v>
      </c>
      <c r="F103" s="1">
        <v>1</v>
      </c>
      <c r="G103" s="3" t="s">
        <v>12</v>
      </c>
    </row>
    <row r="104" ht="62.4" spans="1:7">
      <c r="A104" s="1">
        <v>253</v>
      </c>
      <c r="B104" s="1"/>
      <c r="C104" s="2" t="s">
        <v>83</v>
      </c>
      <c r="D104" s="5" t="s">
        <v>715</v>
      </c>
      <c r="E104" s="2" t="s">
        <v>85</v>
      </c>
      <c r="F104" s="1">
        <v>1</v>
      </c>
      <c r="G104" s="3" t="s">
        <v>86</v>
      </c>
    </row>
    <row r="105" ht="46.8" spans="1:7">
      <c r="A105" s="1">
        <v>258</v>
      </c>
      <c r="B105" s="1" t="s">
        <v>716</v>
      </c>
      <c r="C105" s="2" t="s">
        <v>72</v>
      </c>
      <c r="D105" s="5" t="s">
        <v>73</v>
      </c>
      <c r="E105" s="2" t="s">
        <v>74</v>
      </c>
      <c r="F105" s="1">
        <v>4</v>
      </c>
      <c r="G105" s="3" t="s">
        <v>12</v>
      </c>
    </row>
    <row r="106" ht="31.2" spans="1:7">
      <c r="A106" s="1">
        <v>259</v>
      </c>
      <c r="B106" s="1"/>
      <c r="C106" s="2" t="s">
        <v>717</v>
      </c>
      <c r="D106" s="2" t="s">
        <v>718</v>
      </c>
      <c r="E106" s="2" t="s">
        <v>37</v>
      </c>
      <c r="F106" s="1">
        <v>12</v>
      </c>
      <c r="G106" s="3" t="s">
        <v>12</v>
      </c>
    </row>
    <row r="107" ht="15.6" spans="1:7">
      <c r="A107" s="1">
        <v>260</v>
      </c>
      <c r="B107" s="1"/>
      <c r="C107" s="2" t="s">
        <v>719</v>
      </c>
      <c r="D107" s="2" t="s">
        <v>720</v>
      </c>
      <c r="E107" s="2" t="s">
        <v>37</v>
      </c>
      <c r="F107" s="1">
        <v>5</v>
      </c>
      <c r="G107" s="3" t="s">
        <v>12</v>
      </c>
    </row>
    <row r="108" ht="15.6" spans="1:7">
      <c r="A108" s="1">
        <v>261</v>
      </c>
      <c r="B108" s="1"/>
      <c r="C108" s="2" t="s">
        <v>721</v>
      </c>
      <c r="D108" s="2" t="s">
        <v>722</v>
      </c>
      <c r="E108" s="2" t="s">
        <v>37</v>
      </c>
      <c r="F108" s="1">
        <v>5</v>
      </c>
      <c r="G108" s="3" t="s">
        <v>12</v>
      </c>
    </row>
    <row r="109" ht="15.6" spans="1:7">
      <c r="A109" s="1">
        <v>262</v>
      </c>
      <c r="B109" s="1"/>
      <c r="C109" s="2" t="s">
        <v>77</v>
      </c>
      <c r="D109" s="2" t="s">
        <v>723</v>
      </c>
      <c r="E109" s="2" t="s">
        <v>37</v>
      </c>
      <c r="F109" s="1">
        <v>2</v>
      </c>
      <c r="G109" s="3" t="s">
        <v>12</v>
      </c>
    </row>
  </sheetData>
  <mergeCells count="27">
    <mergeCell ref="A1:G1"/>
    <mergeCell ref="A2:B2"/>
    <mergeCell ref="B13:B19"/>
    <mergeCell ref="B20:B21"/>
    <mergeCell ref="B23:B25"/>
    <mergeCell ref="B26:B27"/>
    <mergeCell ref="B28:B31"/>
    <mergeCell ref="B32:B35"/>
    <mergeCell ref="B36:B37"/>
    <mergeCell ref="B38:B42"/>
    <mergeCell ref="B43:B57"/>
    <mergeCell ref="B58:B61"/>
    <mergeCell ref="B62:B69"/>
    <mergeCell ref="B70:B71"/>
    <mergeCell ref="B72:B76"/>
    <mergeCell ref="B77:B87"/>
    <mergeCell ref="B88:B89"/>
    <mergeCell ref="B90:B94"/>
    <mergeCell ref="B96:B98"/>
    <mergeCell ref="B99:B102"/>
    <mergeCell ref="B103:B104"/>
    <mergeCell ref="B105:B109"/>
    <mergeCell ref="C50:C54"/>
    <mergeCell ref="C73:C75"/>
    <mergeCell ref="C85:C86"/>
    <mergeCell ref="C91:C93"/>
    <mergeCell ref="E64:E6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化学</vt:lpstr>
      <vt:lpstr>物理电</vt:lpstr>
      <vt:lpstr>物理力</vt:lpstr>
      <vt:lpstr>生物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沁璇</cp:lastModifiedBy>
  <dcterms:created xsi:type="dcterms:W3CDTF">2026-08-10T11:36:00Z</dcterms:created>
  <dcterms:modified xsi:type="dcterms:W3CDTF">2026-08-11T09:45:15Z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7987D0E6C64742CE9EDFBE83013BD7BA_11</vt:lpwstr>
  </property>
  <property fmtid="{D5CDD505-2E9C-101B-9397-08002B2CF9AE}" pid="3" name="KSOProductBuildVer">
    <vt:lpwstr>2052-12.1.0.28043</vt:lpwstr>
  </property>
  <property fmtid="{D5CDD505-2E9C-101B-9397-08002B2CF9AE}" pid="4" name="CalculationRule">
    <vt:i4>1</vt:i4>
  </property>
</Properties>
</file>