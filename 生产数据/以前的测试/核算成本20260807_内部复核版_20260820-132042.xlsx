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windowWidth="22188" windowHeight="9060" tabRatio="924" firstSheet="2" activeTab="2" autoFilterDateGrouping="1"/>
  </bookViews>
  <sheets>
    <sheet name="高中物理仪器" sheetId="1" state="visible" r:id="rId1"/>
    <sheet name="高中化学仪器" sheetId="2" state="visible" r:id="rId2"/>
    <sheet name="高中生物仪器" sheetId="3" state="visible" r:id="rId3"/>
  </sheets>
  <externalReferences>
    <externalReference r:id="rId4"/>
    <externalReference r:id="rId5"/>
  </externalReferences>
  <definedNames>
    <definedName name="供货厂家和">#REF!</definedName>
    <definedName name="修改02">#REF!</definedName>
    <definedName name="修改03">#REF!</definedName>
    <definedName name="修改04">#REF!</definedName>
    <definedName name="修改05">#REF!</definedName>
    <definedName name="修改06">#REF!</definedName>
    <definedName name="修改07">#REF!</definedName>
    <definedName name="修改08">#REF!</definedName>
    <definedName name="修改09">#REF!</definedName>
    <definedName name="修改1">#REF!</definedName>
    <definedName name="修改10">#REF!</definedName>
    <definedName name="修改11">#REF!</definedName>
    <definedName name="修改13">#REF!</definedName>
    <definedName name="修改15">#REF!</definedName>
    <definedName name="修改17">#REF!</definedName>
    <definedName name="修改18">#REF!</definedName>
    <definedName name="修改19">#REF!</definedName>
    <definedName name="修改2">#REF!</definedName>
    <definedName name="修改20">#REF!</definedName>
    <definedName name="修改21">#REF!</definedName>
    <definedName name="修改22">#REF!</definedName>
    <definedName name="修改24">#REF!</definedName>
    <definedName name="修改25">#REF!</definedName>
    <definedName name="修改26">#REF!</definedName>
    <definedName name="修改29">#REF!</definedName>
    <definedName name="修改3">#REF!</definedName>
    <definedName name="修改30">#REF!</definedName>
    <definedName name="修改31">#REF!</definedName>
    <definedName name="修改32">#REF!</definedName>
    <definedName name="修改33">#REF!</definedName>
    <definedName name="修改34">#REF!</definedName>
    <definedName name="修改35">#REF!</definedName>
    <definedName name="修改4">#REF!</definedName>
    <definedName name="修改41">#REF!</definedName>
    <definedName name="修改5">[1]汇总表!$A$7:$K$7,[1]汇总表!$A$10:$K$11,[1]汇总表!$A$18:$K$18,[1]汇总表!$A$21:$K$22</definedName>
    <definedName name="修改6">#REF!</definedName>
    <definedName name="修改7">#REF!</definedName>
    <definedName name="修改8">#REF!</definedName>
    <definedName name="修改9">#REF!</definedName>
    <definedName name="修改9.2">#REF!</definedName>
    <definedName name="打开">[2]总表!#REF!</definedName>
    <definedName name="HTML_OBDlg4" hidden="1">TRUE</definedName>
    <definedName name="HTML_Header" hidden="1">"现金流量表（全部投资）"</definedName>
    <definedName name="HTML_LineAfter" hidden="1">TRUE</definedName>
  </definedNames>
  <calcPr calcId="191029" fullCalcOnLoad="1"/>
</workbook>
</file>

<file path=xl/styles.xml><?xml version="1.0" encoding="utf-8"?>
<styleSheet xmlns="http://schemas.openxmlformats.org/spreadsheetml/2006/main">
  <numFmts count="3">
    <numFmt numFmtId="164" formatCode="0.0_ "/>
    <numFmt numFmtId="165" formatCode="0_ "/>
    <numFmt numFmtId="166" formatCode="\ 0_ "/>
  </numFmts>
  <fonts count="71">
    <font>
      <name val="宋体"/>
      <charset val="134"/>
      <sz val="12"/>
    </font>
    <font>
      <name val="宋体"/>
      <charset val="134"/>
      <sz val="10"/>
    </font>
    <font>
      <name val="宋体"/>
      <charset val="134"/>
      <sz val="10"/>
      <scheme val="minor"/>
    </font>
    <font>
      <name val="宋体"/>
      <charset val="134"/>
      <sz val="11"/>
      <scheme val="minor"/>
    </font>
    <font>
      <name val="宋体"/>
      <charset val="134"/>
      <color theme="1"/>
      <sz val="10"/>
      <scheme val="minor"/>
    </font>
    <font>
      <name val="宋体"/>
      <charset val="134"/>
      <color theme="1"/>
      <sz val="10"/>
    </font>
    <font>
      <name val="宋体"/>
      <charset val="134"/>
      <b val="1"/>
      <sz val="10"/>
    </font>
    <font>
      <name val="宋体"/>
      <charset val="134"/>
      <color theme="1"/>
      <sz val="11"/>
      <scheme val="minor"/>
    </font>
    <font>
      <name val="宋体"/>
      <charset val="134"/>
      <b val="1"/>
      <color theme="1"/>
      <sz val="14"/>
    </font>
    <font>
      <name val="宋体"/>
      <charset val="134"/>
      <b val="1"/>
      <color theme="1"/>
      <sz val="10"/>
    </font>
    <font>
      <name val="宋体"/>
      <charset val="134"/>
      <color rgb="FFFF0000"/>
      <sz val="18"/>
    </font>
    <font>
      <name val="宋体"/>
      <charset val="134"/>
      <color rgb="FFFF0000"/>
      <sz val="10"/>
    </font>
    <font>
      <name val="SimSun"/>
      <charset val="134"/>
      <color rgb="FFFF0000"/>
      <sz val="10"/>
    </font>
    <font>
      <name val="宋体"/>
      <charset val="134"/>
      <color rgb="FFFF0000"/>
      <sz val="10"/>
      <scheme val="minor"/>
    </font>
    <font>
      <name val="宋体"/>
      <charset val="134"/>
      <color theme="1"/>
      <sz val="20"/>
    </font>
    <font>
      <name val="Calibri"/>
      <charset val="0"/>
      <sz val="10"/>
    </font>
    <font>
      <name val="Helvetica"/>
      <charset val="134"/>
      <color rgb="FF000000"/>
      <sz val="10.5"/>
    </font>
    <font>
      <name val="Times New Roman"/>
      <charset val="0"/>
      <sz val="10"/>
    </font>
    <font>
      <name val="宋体"/>
      <charset val="134"/>
      <color rgb="FF000000"/>
      <sz val="10.5"/>
    </font>
    <font>
      <name val="宋体"/>
      <charset val="134"/>
      <color rgb="FFFF0000"/>
      <sz val="11"/>
      <scheme val="minor"/>
    </font>
    <font>
      <name val="PingFang SC"/>
      <charset val="134"/>
      <color rgb="FF000000"/>
      <sz val="10.5"/>
    </font>
    <font>
      <name val="SimSun"/>
      <charset val="134"/>
      <color rgb="FF000000"/>
      <sz val="10"/>
    </font>
    <font>
      <name val="SimSun"/>
      <charset val="134"/>
      <sz val="10"/>
    </font>
    <font>
      <name val="宋体"/>
      <charset val="134"/>
      <color rgb="FF000000"/>
      <sz val="11"/>
      <u val="single"/>
    </font>
    <font>
      <name val="宋体"/>
      <charset val="134"/>
      <color rgb="FF000000"/>
      <sz val="10"/>
    </font>
    <font>
      <name val="宋体"/>
      <charset val="204"/>
      <color rgb="FF000000"/>
      <sz val="10"/>
    </font>
    <font>
      <name val="宋体"/>
      <charset val="204"/>
      <color rgb="FFFF0000"/>
      <sz val="10"/>
    </font>
    <font>
      <name val="宋体"/>
      <charset val="134"/>
      <sz val="9"/>
    </font>
    <font>
      <name val="宋体"/>
      <charset val="134"/>
      <color rgb="FFFF0000"/>
      <sz val="9"/>
    </font>
    <font>
      <name val="宋体"/>
      <charset val="134"/>
      <b val="1"/>
      <color theme="1"/>
      <sz val="10"/>
      <scheme val="minor"/>
    </font>
    <font>
      <name val="SimSun"/>
      <charset val="134"/>
      <i val="1"/>
      <sz val="10"/>
    </font>
    <font>
      <name val="SimSun"/>
      <charset val="134"/>
      <i val="1"/>
      <color rgb="FFFF0000"/>
      <sz val="10"/>
    </font>
    <font>
      <name val="宋体"/>
      <charset val="134"/>
      <color theme="1"/>
      <sz val="12"/>
    </font>
    <font>
      <name val="宋体"/>
      <charset val="134"/>
      <b val="1"/>
      <color theme="1"/>
      <sz val="12"/>
    </font>
    <font>
      <name val="仿宋"/>
      <charset val="134"/>
      <color rgb="FFFF0000"/>
      <sz val="10"/>
    </font>
    <font>
      <name val="宋体"/>
      <charset val="0"/>
      <sz val="10"/>
    </font>
    <font>
      <name val="新宋体"/>
      <charset val="134"/>
      <sz val="11"/>
    </font>
    <font>
      <name val="宋体"/>
      <charset val="134"/>
      <color theme="10"/>
      <sz val="12"/>
      <u val="single"/>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
      <name val="宋体"/>
      <charset val="134"/>
      <color theme="10"/>
      <sz val="11"/>
      <u val="single"/>
      <scheme val="minor"/>
    </font>
    <font>
      <name val="Times New Roman"/>
      <charset val="0"/>
      <sz val="12"/>
    </font>
    <font>
      <name val="宋体"/>
      <charset val="134"/>
      <color indexed="8"/>
      <sz val="10"/>
    </font>
    <font>
      <name val="宋体"/>
      <charset val="134"/>
      <color indexed="8"/>
      <sz val="11"/>
    </font>
    <font>
      <name val="SimSun"/>
      <charset val="134"/>
      <color rgb="FFFF0000"/>
      <sz val="10"/>
      <vertAlign val="superscript"/>
    </font>
    <font>
      <name val="宋体"/>
      <charset val="134"/>
      <color rgb="FFFF0000"/>
      <sz val="10"/>
      <vertAlign val="superscript"/>
    </font>
    <font>
      <name val="SimSun"/>
      <charset val="134"/>
      <sz val="10"/>
      <vertAlign val="superscript"/>
    </font>
    <font>
      <name val="宋体"/>
      <charset val="134"/>
      <color theme="1"/>
      <sz val="10"/>
      <vertAlign val="superscript"/>
      <scheme val="minor"/>
    </font>
    <font>
      <name val="SimSun"/>
      <charset val="134"/>
      <color rgb="FFFF0000"/>
      <sz val="10"/>
      <vertAlign val="subscript"/>
    </font>
    <font>
      <name val="宋体"/>
      <charset val="134"/>
      <color rgb="FFFF0000"/>
      <sz val="10"/>
      <vertAlign val="superscript"/>
      <scheme val="minor"/>
    </font>
    <font>
      <name val="宋体"/>
      <charset val="134"/>
      <color rgb="FFFF0000"/>
      <sz val="10"/>
      <vertAlign val="subscript"/>
    </font>
    <font>
      <name val="宋体"/>
      <charset val="134"/>
      <color theme="1"/>
      <sz val="10"/>
      <vertAlign val="superscript"/>
    </font>
    <font>
      <name val="宋体"/>
      <charset val="134"/>
      <color theme="1"/>
      <sz val="10"/>
      <vertAlign val="subscript"/>
    </font>
    <font>
      <name val="SimSun"/>
      <charset val="134"/>
      <sz val="10"/>
      <vertAlign val="subscript"/>
    </font>
    <font>
      <b val="1"/>
      <color rgb="00FFFFFF"/>
    </font>
  </fonts>
  <fills count="39">
    <fill>
      <patternFill/>
    </fill>
    <fill>
      <patternFill patternType="gray125"/>
    </fill>
    <fill>
      <patternFill patternType="solid">
        <fgColor theme="0"/>
        <bgColor indexed="64"/>
      </patternFill>
    </fill>
    <fill>
      <patternFill patternType="solid">
        <fgColor rgb="FFFFFF00"/>
        <bgColor indexed="64"/>
      </patternFill>
    </fill>
    <fill>
      <patternFill patternType="solid">
        <fgColor rgb="FFB4F6F7"/>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000F766E"/>
      </patternFill>
    </fill>
    <fill>
      <patternFill patternType="solid">
        <fgColor rgb="00E8F5EE"/>
      </patternFill>
    </fill>
    <fill>
      <patternFill patternType="solid">
        <fgColor rgb="00FFF4CC"/>
      </patternFill>
    </fill>
  </fills>
  <borders count="3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right style="thin">
        <color auto="1"/>
      </right>
      <top style="thin">
        <color auto="1"/>
      </top>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diagonal/>
    </border>
    <border>
      <left/>
      <right style="thin">
        <color auto="1"/>
      </right>
      <top style="thin">
        <color rgb="FF000000"/>
      </top>
      <bottom style="thin">
        <color auto="1"/>
      </bottom>
      <diagonal/>
    </border>
    <border>
      <left/>
      <right style="thin">
        <color auto="1"/>
      </right>
      <top/>
      <bottom/>
      <diagonal/>
    </border>
    <border>
      <left style="thin">
        <color auto="1"/>
      </left>
      <right/>
      <top/>
      <bottom style="thin">
        <color auto="1"/>
      </bottom>
      <diagonal/>
    </border>
    <border>
      <left/>
      <right style="thin">
        <color rgb="FF000000"/>
      </right>
      <top style="thin">
        <color auto="1"/>
      </top>
      <bottom style="thin">
        <color auto="1"/>
      </bottom>
      <diagonal/>
    </border>
    <border>
      <left/>
      <right/>
      <top style="thin">
        <color auto="1"/>
      </top>
      <bottom style="thin">
        <color auto="1"/>
      </bottom>
      <diagonal/>
    </border>
    <border>
      <left style="thin">
        <color rgb="FF000000"/>
      </left>
      <right style="thin">
        <color rgb="FF000000"/>
      </right>
      <top style="thin">
        <color rgb="FF000000"/>
      </top>
      <bottom style="thin">
        <color auto="1"/>
      </bottom>
      <diagonal/>
    </border>
    <border>
      <left/>
      <right/>
      <top style="thin">
        <color rgb="FF000000"/>
      </top>
      <bottom style="thin">
        <color rgb="FF000000"/>
      </bottom>
      <diagonal/>
    </border>
    <border>
      <left style="thin">
        <color auto="1"/>
      </left>
      <right style="thin">
        <color auto="1"/>
      </right>
      <top/>
      <bottom/>
      <diagonal/>
    </border>
    <border>
      <left style="thin">
        <color rgb="FF000000"/>
      </left>
      <right/>
      <top style="thin">
        <color rgb="FF000000"/>
      </top>
      <bottom style="thin">
        <color rgb="FF000000"/>
      </bottom>
      <diagonal/>
    </border>
    <border>
      <left style="thin">
        <color auto="1"/>
      </left>
      <right style="thin">
        <color auto="1"/>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style="thin">
        <color auto="1"/>
      </left>
      <right/>
      <top/>
      <bottom/>
      <diagonal/>
    </border>
  </borders>
  <cellStyleXfs count="84">
    <xf numFmtId="0" fontId="0" fillId="0" borderId="0" applyAlignment="1">
      <alignment vertical="center"/>
    </xf>
    <xf numFmtId="43" fontId="7" fillId="0" borderId="0" applyAlignment="1">
      <alignment vertical="center"/>
    </xf>
    <xf numFmtId="44" fontId="7" fillId="0" borderId="0" applyAlignment="1">
      <alignment vertical="center"/>
    </xf>
    <xf numFmtId="9" fontId="7" fillId="0" borderId="0" applyAlignment="1">
      <alignment vertical="center"/>
    </xf>
    <xf numFmtId="41" fontId="7" fillId="0" borderId="0" applyAlignment="1">
      <alignment vertical="center"/>
    </xf>
    <xf numFmtId="42" fontId="7" fillId="0" borderId="0" applyAlignment="1">
      <alignment vertical="center"/>
    </xf>
    <xf numFmtId="0" fontId="37" fillId="0" borderId="0" applyAlignment="1">
      <alignment vertical="center"/>
    </xf>
    <xf numFmtId="0" fontId="38" fillId="0" borderId="0" applyAlignment="1">
      <alignment vertical="center"/>
    </xf>
    <xf numFmtId="0" fontId="7" fillId="5" borderId="23" applyAlignment="1">
      <alignment vertical="center"/>
    </xf>
    <xf numFmtId="0" fontId="39" fillId="0" borderId="0" applyAlignment="1">
      <alignment vertical="center"/>
    </xf>
    <xf numFmtId="0" fontId="40" fillId="0" borderId="0" applyAlignment="1">
      <alignment vertical="center"/>
    </xf>
    <xf numFmtId="0" fontId="41" fillId="0" borderId="0" applyAlignment="1">
      <alignment vertical="center"/>
    </xf>
    <xf numFmtId="0" fontId="42" fillId="0" borderId="24" applyAlignment="1">
      <alignment vertical="center"/>
    </xf>
    <xf numFmtId="0" fontId="43" fillId="0" borderId="24" applyAlignment="1">
      <alignment vertical="center"/>
    </xf>
    <xf numFmtId="0" fontId="44" fillId="0" borderId="25" applyAlignment="1">
      <alignment vertical="center"/>
    </xf>
    <xf numFmtId="0" fontId="44" fillId="0" borderId="0" applyAlignment="1">
      <alignment vertical="center"/>
    </xf>
    <xf numFmtId="0" fontId="45" fillId="6" borderId="26" applyAlignment="1">
      <alignment vertical="center"/>
    </xf>
    <xf numFmtId="0" fontId="46" fillId="7" borderId="27" applyAlignment="1">
      <alignment vertical="center"/>
    </xf>
    <xf numFmtId="0" fontId="47" fillId="7" borderId="26" applyAlignment="1">
      <alignment vertical="center"/>
    </xf>
    <xf numFmtId="0" fontId="48" fillId="8" borderId="28" applyAlignment="1">
      <alignment vertical="center"/>
    </xf>
    <xf numFmtId="0" fontId="49" fillId="0" borderId="29" applyAlignment="1">
      <alignment vertical="center"/>
    </xf>
    <xf numFmtId="0" fontId="50" fillId="0" borderId="30" applyAlignment="1">
      <alignment vertical="center"/>
    </xf>
    <xf numFmtId="0" fontId="51" fillId="9" borderId="0" applyAlignment="1">
      <alignment vertical="center"/>
    </xf>
    <xf numFmtId="0" fontId="52" fillId="10" borderId="0" applyAlignment="1">
      <alignment vertical="center"/>
    </xf>
    <xf numFmtId="0" fontId="53" fillId="11" borderId="0" applyAlignment="1">
      <alignment vertical="center"/>
    </xf>
    <xf numFmtId="0" fontId="54" fillId="12" borderId="0" applyAlignment="1">
      <alignment vertical="center"/>
    </xf>
    <xf numFmtId="0" fontId="55" fillId="13" borderId="0" applyAlignment="1">
      <alignment vertical="center"/>
    </xf>
    <xf numFmtId="0" fontId="55" fillId="14" borderId="0" applyAlignment="1">
      <alignment vertical="center"/>
    </xf>
    <xf numFmtId="0" fontId="54" fillId="15" borderId="0" applyAlignment="1">
      <alignment vertical="center"/>
    </xf>
    <xf numFmtId="0" fontId="54" fillId="16" borderId="0" applyAlignment="1">
      <alignment vertical="center"/>
    </xf>
    <xf numFmtId="0" fontId="55" fillId="17" borderId="0" applyAlignment="1">
      <alignment vertical="center"/>
    </xf>
    <xf numFmtId="0" fontId="55" fillId="18" borderId="0" applyAlignment="1">
      <alignment vertical="center"/>
    </xf>
    <xf numFmtId="0" fontId="54" fillId="19" borderId="0" applyAlignment="1">
      <alignment vertical="center"/>
    </xf>
    <xf numFmtId="0" fontId="54" fillId="20" borderId="0" applyAlignment="1">
      <alignment vertical="center"/>
    </xf>
    <xf numFmtId="0" fontId="55" fillId="21" borderId="0" applyAlignment="1">
      <alignment vertical="center"/>
    </xf>
    <xf numFmtId="0" fontId="55" fillId="22" borderId="0" applyAlignment="1">
      <alignment vertical="center"/>
    </xf>
    <xf numFmtId="0" fontId="54" fillId="23" borderId="0" applyAlignment="1">
      <alignment vertical="center"/>
    </xf>
    <xf numFmtId="0" fontId="54" fillId="24" borderId="0" applyAlignment="1">
      <alignment vertical="center"/>
    </xf>
    <xf numFmtId="0" fontId="55" fillId="25" borderId="0" applyAlignment="1">
      <alignment vertical="center"/>
    </xf>
    <xf numFmtId="0" fontId="55" fillId="26" borderId="0" applyAlignment="1">
      <alignment vertical="center"/>
    </xf>
    <xf numFmtId="0" fontId="54" fillId="27" borderId="0" applyAlignment="1">
      <alignment vertical="center"/>
    </xf>
    <xf numFmtId="0" fontId="54" fillId="28" borderId="0" applyAlignment="1">
      <alignment vertical="center"/>
    </xf>
    <xf numFmtId="0" fontId="55" fillId="29" borderId="0" applyAlignment="1">
      <alignment vertical="center"/>
    </xf>
    <xf numFmtId="0" fontId="55" fillId="30" borderId="0" applyAlignment="1">
      <alignment vertical="center"/>
    </xf>
    <xf numFmtId="0" fontId="54" fillId="31" borderId="0" applyAlignment="1">
      <alignment vertical="center"/>
    </xf>
    <xf numFmtId="0" fontId="54" fillId="32" borderId="0" applyAlignment="1">
      <alignment vertical="center"/>
    </xf>
    <xf numFmtId="0" fontId="55" fillId="33" borderId="0" applyAlignment="1">
      <alignment vertical="center"/>
    </xf>
    <xf numFmtId="0" fontId="55" fillId="34" borderId="0" applyAlignment="1">
      <alignment vertical="center"/>
    </xf>
    <xf numFmtId="0" fontId="54" fillId="35" borderId="0" applyAlignment="1">
      <alignment vertical="center"/>
    </xf>
    <xf numFmtId="0" fontId="7" fillId="0" borderId="0" applyAlignment="1">
      <alignment vertical="center"/>
    </xf>
    <xf numFmtId="0" fontId="7" fillId="0" borderId="0" applyAlignment="1">
      <alignment vertical="center"/>
    </xf>
    <xf numFmtId="0" fontId="7" fillId="0" borderId="0" applyAlignment="1">
      <alignment vertical="center"/>
    </xf>
    <xf numFmtId="0" fontId="0" fillId="0" borderId="0" applyAlignment="1">
      <alignment vertical="center"/>
    </xf>
    <xf numFmtId="0" fontId="0" fillId="0" borderId="0" applyAlignment="1">
      <alignment vertical="center"/>
    </xf>
    <xf numFmtId="0" fontId="7" fillId="0" borderId="0" applyAlignment="1">
      <alignment vertical="center"/>
    </xf>
    <xf numFmtId="0" fontId="0" fillId="0" borderId="0" applyAlignment="1">
      <alignment vertical="center"/>
    </xf>
    <xf numFmtId="0" fontId="7" fillId="0" borderId="0" applyAlignment="1">
      <alignment vertical="center"/>
    </xf>
    <xf numFmtId="0" fontId="0" fillId="0" borderId="0" applyAlignment="1">
      <alignment vertical="center"/>
    </xf>
    <xf numFmtId="0" fontId="7" fillId="0" borderId="0" applyAlignment="1">
      <alignment vertical="center"/>
    </xf>
    <xf numFmtId="0" fontId="7" fillId="0" borderId="0" applyAlignment="1">
      <alignment vertical="center"/>
    </xf>
    <xf numFmtId="0" fontId="7" fillId="0" borderId="0" applyAlignment="1">
      <alignment vertical="center"/>
    </xf>
    <xf numFmtId="0" fontId="7" fillId="0" borderId="0" applyAlignment="1">
      <alignment vertical="center"/>
    </xf>
    <xf numFmtId="0" fontId="7" fillId="0" borderId="0" applyAlignment="1">
      <alignment vertical="center"/>
    </xf>
    <xf numFmtId="0" fontId="7" fillId="0" borderId="0" applyAlignment="1">
      <alignment vertical="center"/>
    </xf>
    <xf numFmtId="0" fontId="7" fillId="0" borderId="0" applyAlignment="1">
      <alignment vertical="center"/>
    </xf>
    <xf numFmtId="0" fontId="0" fillId="0" borderId="0" applyAlignment="1">
      <alignment vertical="center"/>
    </xf>
    <xf numFmtId="0" fontId="7" fillId="0" borderId="0" applyAlignment="1">
      <alignment vertical="center"/>
    </xf>
    <xf numFmtId="0" fontId="7" fillId="0" borderId="0"/>
    <xf numFmtId="0" fontId="7" fillId="0" borderId="0"/>
    <xf numFmtId="0" fontId="7" fillId="0" borderId="0" applyAlignment="1">
      <alignment vertical="center"/>
    </xf>
    <xf numFmtId="0" fontId="56" fillId="0" borderId="0" applyAlignment="1">
      <alignment vertical="center"/>
    </xf>
    <xf numFmtId="0" fontId="56" fillId="0" borderId="0" applyAlignment="1">
      <alignment vertical="center"/>
    </xf>
    <xf numFmtId="0" fontId="56" fillId="0" borderId="0" applyAlignment="1">
      <alignment vertical="center"/>
    </xf>
    <xf numFmtId="0" fontId="56" fillId="0" borderId="0" applyAlignment="1">
      <alignment vertical="center"/>
    </xf>
    <xf numFmtId="0" fontId="56" fillId="0" borderId="0"/>
    <xf numFmtId="43" fontId="0" fillId="0" borderId="0" applyAlignment="1">
      <alignment vertical="center"/>
    </xf>
    <xf numFmtId="0" fontId="7" fillId="0" borderId="0" applyAlignment="1">
      <alignment vertical="center"/>
    </xf>
    <xf numFmtId="0" fontId="57" fillId="0" borderId="0"/>
    <xf numFmtId="0" fontId="0" fillId="0" borderId="0"/>
    <xf numFmtId="0" fontId="7" fillId="0" borderId="0" applyAlignment="1">
      <alignment vertical="center"/>
    </xf>
    <xf numFmtId="0" fontId="58" fillId="0" borderId="0"/>
    <xf numFmtId="0" fontId="59" fillId="0" borderId="0" applyAlignment="1">
      <alignment vertical="center"/>
    </xf>
    <xf numFmtId="0" fontId="7" fillId="0" borderId="0" applyAlignment="1">
      <alignment vertical="center"/>
    </xf>
    <xf numFmtId="0" fontId="0" fillId="0" borderId="0"/>
  </cellStyleXfs>
  <cellXfs count="373">
    <xf numFmtId="0" fontId="0" fillId="0" borderId="0" applyAlignment="1" pivotButton="0" quotePrefix="0" xfId="0">
      <alignment vertical="center"/>
    </xf>
    <xf numFmtId="0" fontId="1" fillId="0" borderId="0" applyAlignment="1" pivotButton="0" quotePrefix="0" xfId="81">
      <alignment vertical="center"/>
    </xf>
    <xf numFmtId="0" fontId="1" fillId="0" borderId="0" applyAlignment="1" pivotButton="0" quotePrefix="0" xfId="81">
      <alignment horizontal="center" vertical="center"/>
    </xf>
    <xf numFmtId="0" fontId="1" fillId="0" borderId="0" applyAlignment="1" pivotButton="0" quotePrefix="0" xfId="0">
      <alignment vertical="center"/>
    </xf>
    <xf numFmtId="0" fontId="2" fillId="0" borderId="0" applyAlignment="1" pivotButton="0" quotePrefix="0" xfId="82">
      <alignment vertical="center"/>
    </xf>
    <xf numFmtId="0" fontId="1" fillId="0" borderId="0" applyAlignment="1" pivotButton="0" quotePrefix="0" xfId="0">
      <alignment vertical="center"/>
    </xf>
    <xf numFmtId="0" fontId="3" fillId="0" borderId="0" applyAlignment="1" pivotButton="0" quotePrefix="0" xfId="0">
      <alignment vertical="center"/>
    </xf>
    <xf numFmtId="0" fontId="1" fillId="2" borderId="0" applyAlignment="1" pivotButton="0" quotePrefix="0" xfId="81">
      <alignment vertical="center"/>
    </xf>
    <xf numFmtId="0" fontId="2" fillId="0" borderId="0" applyAlignment="1" pivotButton="0" quotePrefix="0" xfId="82">
      <alignment vertical="center"/>
    </xf>
    <xf numFmtId="0" fontId="4" fillId="0" borderId="0" applyAlignment="1" pivotButton="0" quotePrefix="0" xfId="82">
      <alignment vertical="center"/>
    </xf>
    <xf numFmtId="0" fontId="1" fillId="0" borderId="0" applyAlignment="1" pivotButton="0" quotePrefix="0" xfId="81">
      <alignment vertical="center"/>
    </xf>
    <xf numFmtId="0" fontId="5" fillId="0" borderId="0" applyAlignment="1" pivotButton="0" quotePrefix="0" xfId="81">
      <alignment vertical="center"/>
    </xf>
    <xf numFmtId="0" fontId="6" fillId="0" borderId="0" applyAlignment="1" pivotButton="0" quotePrefix="0" xfId="0">
      <alignment vertical="center"/>
    </xf>
    <xf numFmtId="0" fontId="7" fillId="0" borderId="0" applyAlignment="1" pivotButton="0" quotePrefix="0" xfId="0">
      <alignment vertical="center"/>
    </xf>
    <xf numFmtId="0" fontId="7" fillId="0" borderId="0" applyAlignment="1" pivotButton="0" quotePrefix="0" xfId="0">
      <alignment vertical="center" wrapText="1"/>
    </xf>
    <xf numFmtId="0" fontId="8" fillId="3" borderId="1" applyAlignment="1" pivotButton="0" quotePrefix="0" xfId="81">
      <alignment horizontal="center" vertical="center" wrapText="1"/>
    </xf>
    <xf numFmtId="0" fontId="8" fillId="0" borderId="1" applyAlignment="1" pivotButton="0" quotePrefix="0" xfId="81">
      <alignment horizontal="center" vertical="center" wrapText="1"/>
    </xf>
    <xf numFmtId="0" fontId="1" fillId="0" borderId="0" applyAlignment="1" pivotButton="0" quotePrefix="0" xfId="81">
      <alignment vertical="center" wrapText="1"/>
    </xf>
    <xf numFmtId="0" fontId="1" fillId="0" borderId="0" applyAlignment="1" pivotButton="0" quotePrefix="0" xfId="81">
      <alignment vertical="center" wrapText="1"/>
    </xf>
    <xf numFmtId="0" fontId="9" fillId="0" borderId="2" applyAlignment="1" pivotButton="0" quotePrefix="0" xfId="81">
      <alignment horizontal="center" vertical="center" wrapText="1"/>
    </xf>
    <xf numFmtId="0" fontId="9" fillId="0" borderId="2" applyAlignment="1" pivotButton="0" quotePrefix="0" xfId="81">
      <alignment horizontal="center" vertical="center" wrapText="1"/>
    </xf>
    <xf numFmtId="0" fontId="9" fillId="0" borderId="3" applyAlignment="1" pivotButton="0" quotePrefix="0" xfId="81">
      <alignment horizontal="center" vertical="center" wrapText="1"/>
    </xf>
    <xf numFmtId="0" fontId="1" fillId="0" borderId="2" applyAlignment="1" pivotButton="0" quotePrefix="0" xfId="81">
      <alignment horizontal="center" vertical="center"/>
    </xf>
    <xf numFmtId="0" fontId="10" fillId="4" borderId="1" applyAlignment="1" pivotButton="0" quotePrefix="0" xfId="81">
      <alignment horizontal="center" vertical="center" wrapText="1"/>
    </xf>
    <xf numFmtId="0" fontId="1" fillId="0" borderId="0" applyAlignment="1" pivotButton="0" quotePrefix="0" xfId="81">
      <alignment horizontal="center" vertical="center" wrapText="1"/>
    </xf>
    <xf numFmtId="0" fontId="5" fillId="0" borderId="4" applyAlignment="1" pivotButton="0" quotePrefix="0" xfId="81">
      <alignment horizontal="center" vertical="center" wrapText="1"/>
    </xf>
    <xf numFmtId="0" fontId="5" fillId="0" borderId="1" applyAlignment="1" pivotButton="0" quotePrefix="0" xfId="0">
      <alignment horizontal="center" vertical="center" wrapText="1"/>
    </xf>
    <xf numFmtId="0" fontId="5" fillId="0" borderId="5" applyAlignment="1" pivotButton="0" quotePrefix="0" xfId="53">
      <alignment horizontal="center" vertical="center" wrapText="1"/>
    </xf>
    <xf numFmtId="0" fontId="5" fillId="0" borderId="1" applyAlignment="1" pivotButton="0" quotePrefix="0" xfId="81">
      <alignment horizontal="left" vertical="center" wrapText="1"/>
    </xf>
    <xf numFmtId="0" fontId="5" fillId="0" borderId="1" applyAlignment="1" pivotButton="0" quotePrefix="0" xfId="81">
      <alignment horizontal="center" vertical="center" wrapText="1"/>
    </xf>
    <xf numFmtId="0" fontId="5" fillId="0" borderId="5" applyAlignment="1" pivotButton="0" quotePrefix="0" xfId="0">
      <alignment horizontal="center" vertical="center" wrapText="1"/>
    </xf>
    <xf numFmtId="0" fontId="5" fillId="0" borderId="1" applyAlignment="1" pivotButton="0" quotePrefix="0" xfId="81">
      <alignment horizontal="center" vertical="center" wrapText="1"/>
    </xf>
    <xf numFmtId="0" fontId="1" fillId="0" borderId="1" applyAlignment="1" pivotButton="0" quotePrefix="0" xfId="0">
      <alignment vertical="center"/>
    </xf>
    <xf numFmtId="0" fontId="11" fillId="0" borderId="1" applyAlignment="1" pivotButton="0" quotePrefix="0" xfId="81">
      <alignment horizontal="left" vertical="center" wrapText="1"/>
    </xf>
    <xf numFmtId="0" fontId="1" fillId="0" borderId="1" applyAlignment="1" pivotButton="0" quotePrefix="0" xfId="0">
      <alignment horizontal="center" vertical="center" wrapText="1"/>
    </xf>
    <xf numFmtId="0" fontId="1" fillId="0" borderId="0" applyAlignment="1" pivotButton="0" quotePrefix="0" xfId="0">
      <alignment vertical="center" wrapText="1"/>
    </xf>
    <xf numFmtId="0" fontId="5" fillId="0" borderId="1" applyAlignment="1" pivotButton="0" quotePrefix="0" xfId="53">
      <alignment horizontal="center" vertical="center" wrapText="1"/>
    </xf>
    <xf numFmtId="0" fontId="1" fillId="0" borderId="3" applyAlignment="1" pivotButton="0" quotePrefix="0" xfId="53">
      <alignment horizontal="center" vertical="center" wrapText="1"/>
    </xf>
    <xf numFmtId="164" fontId="1" fillId="0" borderId="1" applyAlignment="1" pivotButton="0" quotePrefix="0" xfId="0">
      <alignment horizontal="center" vertical="center" wrapText="1"/>
    </xf>
    <xf numFmtId="0" fontId="7" fillId="0" borderId="1" applyAlignment="1" pivotButton="0" quotePrefix="0" xfId="0">
      <alignment horizontal="center" vertical="center" wrapText="1"/>
    </xf>
    <xf numFmtId="0" fontId="12" fillId="0" borderId="1" applyAlignment="1" pivotButton="0" quotePrefix="0" xfId="0">
      <alignment horizontal="left" vertical="center" wrapText="1"/>
    </xf>
    <xf numFmtId="0" fontId="5" fillId="3" borderId="4" applyAlignment="1" pivotButton="0" quotePrefix="0" xfId="81">
      <alignment horizontal="center" vertical="center" wrapText="1"/>
    </xf>
    <xf numFmtId="0" fontId="4" fillId="3" borderId="1" applyAlignment="1" pivotButton="0" quotePrefix="0" xfId="0">
      <alignment horizontal="center" vertical="center"/>
    </xf>
    <xf numFmtId="0" fontId="4" fillId="3" borderId="3" applyAlignment="1" pivotButton="0" quotePrefix="0" xfId="0">
      <alignment horizontal="center" vertical="center" wrapText="1"/>
    </xf>
    <xf numFmtId="0" fontId="4" fillId="3" borderId="3" applyAlignment="1" pivotButton="0" quotePrefix="0" xfId="0">
      <alignment horizontal="left" vertical="center" wrapText="1"/>
    </xf>
    <xf numFmtId="0" fontId="4" fillId="3" borderId="1" applyAlignment="1" pivotButton="0" quotePrefix="0" xfId="82">
      <alignment horizontal="center" vertical="center" wrapText="1"/>
    </xf>
    <xf numFmtId="0" fontId="4" fillId="3" borderId="1" applyAlignment="1" pivotButton="0" quotePrefix="0" xfId="0">
      <alignment horizontal="center" vertical="center" wrapText="1"/>
    </xf>
    <xf numFmtId="0" fontId="13" fillId="3" borderId="1" applyAlignment="1" pivotButton="0" quotePrefix="0" xfId="0">
      <alignment horizontal="left" vertical="center" wrapText="1"/>
    </xf>
    <xf numFmtId="0" fontId="7" fillId="3" borderId="1" applyAlignment="1" pivotButton="0" quotePrefix="0" xfId="0">
      <alignment horizontal="center" vertical="center" wrapText="1"/>
    </xf>
    <xf numFmtId="0" fontId="2" fillId="0" borderId="0" applyAlignment="1" pivotButton="0" quotePrefix="0" xfId="82">
      <alignment vertical="center" wrapText="1"/>
    </xf>
    <xf numFmtId="0" fontId="5" fillId="3" borderId="1" applyAlignment="1" pivotButton="0" quotePrefix="0" xfId="0">
      <alignment horizontal="center" vertical="center" wrapText="1"/>
    </xf>
    <xf numFmtId="0" fontId="5" fillId="3" borderId="3" applyAlignment="1" pivotButton="0" quotePrefix="0" xfId="0">
      <alignment horizontal="center" vertical="center" wrapText="1"/>
    </xf>
    <xf numFmtId="0" fontId="5" fillId="3" borderId="1" applyAlignment="1" pivotButton="0" quotePrefix="0" xfId="81">
      <alignment horizontal="left" vertical="center" wrapText="1"/>
    </xf>
    <xf numFmtId="0" fontId="5" fillId="3" borderId="1" applyAlignment="1" pivotButton="0" quotePrefix="0" xfId="81">
      <alignment horizontal="center" vertical="center" wrapText="1"/>
    </xf>
    <xf numFmtId="0" fontId="11" fillId="3" borderId="1" applyAlignment="1" pivotButton="0" quotePrefix="0" xfId="81">
      <alignment horizontal="left" vertical="center" wrapText="1"/>
    </xf>
    <xf numFmtId="0" fontId="5" fillId="0" borderId="5" applyAlignment="1" pivotButton="0" quotePrefix="0" xfId="81">
      <alignment horizontal="center" vertical="center" wrapText="1"/>
    </xf>
    <xf numFmtId="0" fontId="1" fillId="0" borderId="1" applyAlignment="1" pivotButton="0" quotePrefix="0" xfId="81">
      <alignment vertical="center"/>
    </xf>
    <xf numFmtId="0" fontId="5" fillId="0" borderId="6" applyAlignment="1" pivotButton="0" quotePrefix="0" xfId="81">
      <alignment horizontal="center" vertical="center" wrapText="1"/>
    </xf>
    <xf numFmtId="0" fontId="5" fillId="0" borderId="7" applyAlignment="1" pivotButton="0" quotePrefix="0" xfId="81">
      <alignment horizontal="center" vertical="center" wrapText="1"/>
    </xf>
    <xf numFmtId="0" fontId="5" fillId="0" borderId="6" applyAlignment="1" pivotButton="0" quotePrefix="0" xfId="81">
      <alignment horizontal="center" vertical="center" wrapText="1"/>
    </xf>
    <xf numFmtId="0" fontId="1" fillId="0" borderId="1" applyAlignment="1" pivotButton="0" quotePrefix="0" xfId="0">
      <alignment horizontal="center" vertical="center"/>
    </xf>
    <xf numFmtId="0" fontId="1" fillId="2" borderId="1" applyAlignment="1" pivotButton="0" quotePrefix="0" xfId="53">
      <alignment horizontal="left" vertical="center" wrapText="1"/>
    </xf>
    <xf numFmtId="0" fontId="1" fillId="0" borderId="1" applyAlignment="1" pivotButton="0" quotePrefix="0" xfId="53">
      <alignment horizontal="center" vertical="center" wrapText="1"/>
    </xf>
    <xf numFmtId="0" fontId="1" fillId="2" borderId="1" applyAlignment="1" pivotButton="0" quotePrefix="0" xfId="63">
      <alignment horizontal="center" vertical="center" wrapText="1"/>
    </xf>
    <xf numFmtId="0" fontId="1" fillId="0" borderId="4" applyAlignment="1" pivotButton="0" quotePrefix="0" xfId="0">
      <alignment vertical="center"/>
    </xf>
    <xf numFmtId="0" fontId="11" fillId="0" borderId="1" applyAlignment="1" pivotButton="0" quotePrefix="0" xfId="53">
      <alignment horizontal="left" vertical="center" wrapText="1"/>
    </xf>
    <xf numFmtId="0" fontId="1" fillId="0" borderId="0" applyAlignment="1" pivotButton="0" quotePrefix="0" xfId="0">
      <alignment vertical="center" wrapText="1"/>
    </xf>
    <xf numFmtId="0" fontId="5" fillId="0" borderId="1" applyAlignment="1" pivotButton="0" quotePrefix="0" xfId="0">
      <alignment horizontal="center" vertical="center"/>
    </xf>
    <xf numFmtId="0" fontId="5" fillId="0" borderId="1" applyAlignment="1" pivotButton="0" quotePrefix="0" xfId="0">
      <alignment horizontal="left" vertical="center" wrapText="1"/>
    </xf>
    <xf numFmtId="0" fontId="5" fillId="0" borderId="1" applyAlignment="1" pivotButton="0" quotePrefix="0" xfId="63">
      <alignment horizontal="center" vertical="center" wrapText="1"/>
    </xf>
    <xf numFmtId="0" fontId="11" fillId="0" borderId="1" applyAlignment="1" pivotButton="0" quotePrefix="0" xfId="0">
      <alignment horizontal="left" vertical="center" wrapText="1"/>
    </xf>
    <xf numFmtId="0" fontId="5" fillId="3" borderId="1" applyAlignment="1" pivotButton="0" quotePrefix="0" xfId="0">
      <alignment horizontal="center" vertical="center"/>
    </xf>
    <xf numFmtId="0" fontId="5" fillId="3" borderId="5" applyAlignment="1" pivotButton="0" quotePrefix="0" xfId="53">
      <alignment horizontal="center" vertical="center" wrapText="1"/>
    </xf>
    <xf numFmtId="0" fontId="5" fillId="3" borderId="1" applyAlignment="1" pivotButton="0" quotePrefix="0" xfId="0">
      <alignment horizontal="left" vertical="center" wrapText="1"/>
    </xf>
    <xf numFmtId="0" fontId="5" fillId="3" borderId="1" applyAlignment="1" pivotButton="0" quotePrefix="0" xfId="63">
      <alignment horizontal="center" vertical="center" wrapText="1"/>
    </xf>
    <xf numFmtId="0" fontId="5" fillId="3" borderId="5" applyAlignment="1" pivotButton="0" quotePrefix="0" xfId="0">
      <alignment horizontal="center" vertical="center" wrapText="1"/>
    </xf>
    <xf numFmtId="0" fontId="1" fillId="3" borderId="1" applyAlignment="1" pivotButton="0" quotePrefix="0" xfId="0">
      <alignment vertical="center"/>
    </xf>
    <xf numFmtId="0" fontId="11" fillId="3" borderId="1" applyAlignment="1" pivotButton="0" quotePrefix="0" xfId="0">
      <alignment horizontal="left" vertical="center" wrapText="1"/>
    </xf>
    <xf numFmtId="0" fontId="1" fillId="3" borderId="2" applyAlignment="1" pivotButton="0" quotePrefix="0" xfId="0">
      <alignment horizontal="center" vertical="center" wrapText="1"/>
    </xf>
    <xf numFmtId="0" fontId="1" fillId="3" borderId="1" applyAlignment="1" pivotButton="0" quotePrefix="0" xfId="0">
      <alignment horizontal="center" vertical="center" wrapText="1"/>
    </xf>
    <xf numFmtId="0" fontId="1" fillId="3" borderId="1" applyAlignment="1" pivotButton="0" quotePrefix="0" xfId="0">
      <alignment horizontal="left" vertical="center" wrapText="1"/>
    </xf>
    <xf numFmtId="0" fontId="2" fillId="3" borderId="1" applyAlignment="1" pivotButton="0" quotePrefix="0" xfId="0">
      <alignment horizontal="center" vertical="center"/>
    </xf>
    <xf numFmtId="0" fontId="14" fillId="3" borderId="1" applyAlignment="1" pivotButton="0" quotePrefix="0" xfId="81">
      <alignment horizontal="center" vertical="center"/>
    </xf>
    <xf numFmtId="0" fontId="3" fillId="0" borderId="0" applyAlignment="1" pivotButton="0" quotePrefix="0" xfId="0">
      <alignment vertical="center" wrapText="1"/>
    </xf>
    <xf numFmtId="0" fontId="1" fillId="3" borderId="1" applyAlignment="1" pivotButton="0" quotePrefix="0" xfId="0">
      <alignment horizontal="center" vertical="center" wrapText="1"/>
    </xf>
    <xf numFmtId="0" fontId="1" fillId="3" borderId="3" applyAlignment="1" pivotButton="0" quotePrefix="0" xfId="0">
      <alignment horizontal="center" vertical="center" wrapText="1"/>
    </xf>
    <xf numFmtId="0" fontId="5" fillId="0" borderId="2" applyAlignment="1" pivotButton="0" quotePrefix="0" xfId="63">
      <alignment horizontal="center" vertical="center" wrapText="1"/>
    </xf>
    <xf numFmtId="0" fontId="5" fillId="0" borderId="3" applyAlignment="1" pivotButton="0" quotePrefix="0" xfId="0">
      <alignment horizontal="center" vertical="center" wrapText="1"/>
    </xf>
    <xf numFmtId="0" fontId="5" fillId="0" borderId="1" applyAlignment="1" pivotButton="0" quotePrefix="0" xfId="53">
      <alignment horizontal="left" vertical="center" wrapText="1"/>
    </xf>
    <xf numFmtId="0" fontId="5" fillId="2" borderId="5" applyAlignment="1" pivotButton="0" quotePrefix="0" xfId="53">
      <alignment horizontal="center" vertical="center" wrapText="1"/>
    </xf>
    <xf numFmtId="0" fontId="1" fillId="0" borderId="1" applyAlignment="1" pivotButton="0" quotePrefix="0" xfId="81">
      <alignment horizontal="left" vertical="center" wrapText="1"/>
    </xf>
    <xf numFmtId="0" fontId="1" fillId="0" borderId="1" applyAlignment="1" pivotButton="0" quotePrefix="0" xfId="81">
      <alignment horizontal="center" vertical="center" wrapText="1"/>
    </xf>
    <xf numFmtId="0" fontId="1" fillId="0" borderId="4" applyAlignment="1" pivotButton="0" quotePrefix="0" xfId="81">
      <alignment horizontal="center" vertical="center" wrapText="1"/>
    </xf>
    <xf numFmtId="0" fontId="1" fillId="0" borderId="1" applyAlignment="1" pivotButton="0" quotePrefix="0" xfId="81">
      <alignment horizontal="center" vertical="center" wrapText="1"/>
    </xf>
    <xf numFmtId="0" fontId="15" fillId="0" borderId="1" applyAlignment="1" pivotButton="0" quotePrefix="0" xfId="0">
      <alignment vertical="center" wrapText="1"/>
    </xf>
    <xf numFmtId="0" fontId="11" fillId="0" borderId="1" applyAlignment="1" pivotButton="0" quotePrefix="0" xfId="81">
      <alignment horizontal="center" vertical="center" wrapText="1"/>
    </xf>
    <xf numFmtId="0" fontId="1" fillId="0" borderId="1" applyAlignment="1" pivotButton="0" quotePrefix="0" xfId="81">
      <alignment horizontal="left" vertical="center" wrapText="1"/>
    </xf>
    <xf numFmtId="164" fontId="1" fillId="0" borderId="1" applyAlignment="1" pivotButton="0" quotePrefix="0" xfId="0">
      <alignment vertical="center" wrapText="1"/>
    </xf>
    <xf numFmtId="0" fontId="16" fillId="0" borderId="1" applyAlignment="1" pivotButton="0" quotePrefix="0" xfId="0">
      <alignment vertical="center" wrapText="1"/>
    </xf>
    <xf numFmtId="164" fontId="17" fillId="0" borderId="1" applyAlignment="1" pivotButton="0" quotePrefix="0" xfId="53">
      <alignment horizontal="left" vertical="center" wrapText="1"/>
    </xf>
    <xf numFmtId="0" fontId="18" fillId="0" borderId="1" applyAlignment="1" pivotButton="0" quotePrefix="0" xfId="0">
      <alignment vertical="center" wrapText="1"/>
    </xf>
    <xf numFmtId="0" fontId="19" fillId="0" borderId="1" applyAlignment="1" pivotButton="0" quotePrefix="0" xfId="0">
      <alignment vertical="center" wrapText="1"/>
    </xf>
    <xf numFmtId="164" fontId="5" fillId="0" borderId="1" applyAlignment="1" pivotButton="0" quotePrefix="0" xfId="0">
      <alignment vertical="center" wrapText="1"/>
    </xf>
    <xf numFmtId="0" fontId="4" fillId="0" borderId="1" applyAlignment="1" pivotButton="0" quotePrefix="0" xfId="0">
      <alignment horizontal="center" vertical="center"/>
    </xf>
    <xf numFmtId="0" fontId="5" fillId="0" borderId="3" applyAlignment="1" pivotButton="0" quotePrefix="0" xfId="53">
      <alignment horizontal="center" vertical="center" wrapText="1"/>
    </xf>
    <xf numFmtId="0" fontId="4" fillId="0" borderId="1" applyAlignment="1" pivotButton="0" quotePrefix="0" xfId="0">
      <alignment horizontal="left" vertical="center" wrapText="1"/>
    </xf>
    <xf numFmtId="0" fontId="5" fillId="2" borderId="1" applyAlignment="1" pivotButton="0" quotePrefix="0" xfId="53">
      <alignment horizontal="center" vertical="center" wrapText="1"/>
    </xf>
    <xf numFmtId="0" fontId="5" fillId="0" borderId="4" applyAlignment="1" pivotButton="0" quotePrefix="0" xfId="0">
      <alignment vertical="center"/>
    </xf>
    <xf numFmtId="0" fontId="4" fillId="0" borderId="1" applyAlignment="1" pivotButton="0" quotePrefix="0" xfId="0">
      <alignment horizontal="center" vertical="center" wrapText="1"/>
    </xf>
    <xf numFmtId="0" fontId="13" fillId="0" borderId="1" applyAlignment="1" pivotButton="0" quotePrefix="0" xfId="0">
      <alignment horizontal="left" vertical="center" wrapText="1"/>
    </xf>
    <xf numFmtId="0" fontId="20" fillId="0" borderId="1" applyAlignment="1" pivotButton="0" quotePrefix="0" xfId="0">
      <alignment horizontal="right" vertical="center" wrapText="1"/>
    </xf>
    <xf numFmtId="0" fontId="4" fillId="0" borderId="4" applyAlignment="1" pivotButton="0" quotePrefix="0" xfId="0">
      <alignment vertical="center"/>
    </xf>
    <xf numFmtId="0" fontId="5" fillId="0" borderId="4" applyAlignment="1" pivotButton="0" quotePrefix="0" xfId="0">
      <alignment horizontal="center" vertical="center" wrapText="1"/>
    </xf>
    <xf numFmtId="165" fontId="21" fillId="0" borderId="1" applyAlignment="1" pivotButton="0" quotePrefix="0" xfId="0">
      <alignment horizontal="center" vertical="center" wrapText="1"/>
    </xf>
    <xf numFmtId="0" fontId="22" fillId="0" borderId="8" applyAlignment="1" pivotButton="0" quotePrefix="0" xfId="0">
      <alignment horizontal="center" vertical="center" wrapText="1"/>
    </xf>
    <xf numFmtId="0" fontId="22" fillId="0" borderId="9" applyAlignment="1" pivotButton="0" quotePrefix="0" xfId="0">
      <alignment horizontal="left" vertical="center" wrapText="1"/>
    </xf>
    <xf numFmtId="165" fontId="21" fillId="0" borderId="9" applyAlignment="1" pivotButton="0" quotePrefix="0" xfId="0">
      <alignment horizontal="center" vertical="center" wrapText="1"/>
    </xf>
    <xf numFmtId="0" fontId="22" fillId="0" borderId="9" applyAlignment="1" pivotButton="0" quotePrefix="0" xfId="0">
      <alignment horizontal="center" vertical="center" wrapText="1"/>
    </xf>
    <xf numFmtId="0" fontId="22" fillId="0" borderId="10" applyAlignment="1" pivotButton="0" quotePrefix="0" xfId="0">
      <alignment horizontal="center" vertical="center" wrapText="1"/>
    </xf>
    <xf numFmtId="0" fontId="4" fillId="0" borderId="5" applyAlignment="1" pivotButton="0" quotePrefix="0" xfId="0">
      <alignment horizontal="center" vertical="center" wrapText="1"/>
    </xf>
    <xf numFmtId="0" fontId="4" fillId="0" borderId="5" applyAlignment="1" pivotButton="0" quotePrefix="0" xfId="82">
      <alignment horizontal="center" vertical="center" wrapText="1"/>
    </xf>
    <xf numFmtId="0" fontId="4" fillId="0" borderId="1" applyAlignment="1" pivotButton="0" quotePrefix="0" xfId="82">
      <alignment horizontal="center" vertical="center" wrapText="1"/>
    </xf>
    <xf numFmtId="0" fontId="2" fillId="0" borderId="1" applyAlignment="1" pivotButton="0" quotePrefix="0" xfId="82">
      <alignment vertical="center"/>
    </xf>
    <xf numFmtId="0" fontId="23" fillId="0" borderId="1" applyAlignment="1" pivotButton="0" quotePrefix="0" xfId="0">
      <alignment vertical="center" wrapText="1"/>
    </xf>
    <xf numFmtId="0" fontId="5" fillId="2" borderId="1" applyAlignment="1" pivotButton="0" quotePrefix="0" xfId="0">
      <alignment horizontal="center" vertical="center" wrapText="1"/>
    </xf>
    <xf numFmtId="0" fontId="5" fillId="2" borderId="5" applyAlignment="1" pivotButton="0" quotePrefix="0" xfId="0">
      <alignment horizontal="center" vertical="center" wrapText="1"/>
    </xf>
    <xf numFmtId="0" fontId="5" fillId="2" borderId="1" applyAlignment="1" pivotButton="0" quotePrefix="0" xfId="81">
      <alignment horizontal="left" vertical="center" wrapText="1"/>
    </xf>
    <xf numFmtId="0" fontId="5" fillId="2" borderId="1" applyAlignment="1" pivotButton="0" quotePrefix="0" xfId="81">
      <alignment horizontal="center" vertical="center" wrapText="1"/>
    </xf>
    <xf numFmtId="0" fontId="1" fillId="2" borderId="0" applyAlignment="1" pivotButton="0" quotePrefix="0" xfId="81">
      <alignment vertical="center" wrapText="1"/>
    </xf>
    <xf numFmtId="0" fontId="4" fillId="0" borderId="11" applyAlignment="1" pivotButton="0" quotePrefix="0" xfId="0">
      <alignment horizontal="center" vertical="center" wrapText="1"/>
    </xf>
    <xf numFmtId="0" fontId="5" fillId="0" borderId="3" applyAlignment="1" pivotButton="0" quotePrefix="0" xfId="0">
      <alignment horizontal="left" vertical="center" wrapText="1"/>
    </xf>
    <xf numFmtId="0" fontId="4" fillId="0" borderId="1" applyAlignment="1" pivotButton="0" quotePrefix="0" xfId="82">
      <alignment horizontal="center" vertical="center" wrapText="1"/>
    </xf>
    <xf numFmtId="0" fontId="2" fillId="0" borderId="1" applyAlignment="1" pivotButton="0" quotePrefix="0" xfId="82">
      <alignment horizontal="center" vertical="center" wrapText="1"/>
    </xf>
    <xf numFmtId="0" fontId="2" fillId="0" borderId="0" applyAlignment="1" pivotButton="0" quotePrefix="0" xfId="82">
      <alignment vertical="center" wrapText="1"/>
    </xf>
    <xf numFmtId="0" fontId="2" fillId="0" borderId="1" applyAlignment="1" pivotButton="0" quotePrefix="0" xfId="82">
      <alignment horizontal="center" vertical="center" wrapText="1"/>
    </xf>
    <xf numFmtId="0" fontId="4" fillId="0" borderId="1" applyAlignment="1" pivotButton="0" quotePrefix="0" xfId="82">
      <alignment vertical="center"/>
    </xf>
    <xf numFmtId="0" fontId="4" fillId="0" borderId="0" applyAlignment="1" pivotButton="0" quotePrefix="0" xfId="82">
      <alignment vertical="center" wrapText="1"/>
    </xf>
    <xf numFmtId="0" fontId="5" fillId="0" borderId="5" applyAlignment="1" pivotButton="0" quotePrefix="0" xfId="81">
      <alignment horizontal="center" vertical="center" wrapText="1"/>
    </xf>
    <xf numFmtId="0" fontId="5" fillId="0" borderId="3" applyAlignment="1" pivotButton="0" quotePrefix="0" xfId="81">
      <alignment horizontal="left" vertical="center" wrapText="1"/>
    </xf>
    <xf numFmtId="0" fontId="4" fillId="0" borderId="3" applyAlignment="1" pivotButton="0" quotePrefix="0" xfId="0">
      <alignment horizontal="left" vertical="center" wrapText="1"/>
    </xf>
    <xf numFmtId="0" fontId="4" fillId="0" borderId="3" applyAlignment="1" pivotButton="0" quotePrefix="0" xfId="0">
      <alignment horizontal="center" vertical="center" wrapText="1"/>
    </xf>
    <xf numFmtId="0" fontId="5" fillId="0" borderId="1" applyAlignment="1" pivotButton="0" quotePrefix="0" xfId="81">
      <alignment horizontal="left" vertical="center" wrapText="1"/>
    </xf>
    <xf numFmtId="0" fontId="4" fillId="0" borderId="4" applyAlignment="1" pivotButton="0" quotePrefix="0" xfId="82">
      <alignment horizontal="center" vertical="center" wrapText="1"/>
    </xf>
    <xf numFmtId="0" fontId="5" fillId="0" borderId="12" applyAlignment="1" pivotButton="0" quotePrefix="0" xfId="0">
      <alignment horizontal="center" vertical="center" wrapText="1"/>
    </xf>
    <xf numFmtId="0" fontId="4" fillId="0" borderId="4" applyAlignment="1" pivotButton="0" quotePrefix="0" xfId="82">
      <alignment horizontal="center" vertical="center" wrapText="1"/>
    </xf>
    <xf numFmtId="0" fontId="24" fillId="0" borderId="1" applyAlignment="1" pivotButton="0" quotePrefix="0" xfId="0">
      <alignment horizontal="left" vertical="center" wrapText="1"/>
    </xf>
    <xf numFmtId="0" fontId="5" fillId="0" borderId="1" applyAlignment="1" pivotButton="0" quotePrefix="0" xfId="81">
      <alignment horizontal="center" vertical="center"/>
    </xf>
    <xf numFmtId="0" fontId="5" fillId="0" borderId="1" applyAlignment="1" pivotButton="0" quotePrefix="0" xfId="0">
      <alignment vertical="center"/>
    </xf>
    <xf numFmtId="0" fontId="4" fillId="0" borderId="5" applyAlignment="1" pivotButton="0" quotePrefix="0" xfId="0">
      <alignment horizontal="left" vertical="center" wrapText="1"/>
    </xf>
    <xf numFmtId="0" fontId="1" fillId="0" borderId="3" applyAlignment="1" pivotButton="0" quotePrefix="0" xfId="0">
      <alignment horizontal="center" vertical="center" wrapText="1"/>
    </xf>
    <xf numFmtId="0" fontId="1" fillId="0" borderId="5" applyAlignment="1" pivotButton="0" quotePrefix="0" xfId="81">
      <alignment horizontal="left" vertical="center" wrapText="1"/>
    </xf>
    <xf numFmtId="0" fontId="1" fillId="0" borderId="4" applyAlignment="1" pivotButton="0" quotePrefix="0" xfId="81">
      <alignment horizontal="center" vertical="center" wrapText="1"/>
    </xf>
    <xf numFmtId="0" fontId="1" fillId="0" borderId="5" applyAlignment="1" pivotButton="0" quotePrefix="0" xfId="81">
      <alignment horizontal="center" vertical="center" wrapText="1"/>
    </xf>
    <xf numFmtId="0" fontId="5" fillId="0" borderId="3" applyAlignment="1" pivotButton="0" quotePrefix="0" xfId="81">
      <alignment horizontal="center" vertical="center" wrapText="1"/>
    </xf>
    <xf numFmtId="0" fontId="5" fillId="0" borderId="1" applyAlignment="1" pivotButton="0" quotePrefix="0" xfId="81">
      <alignment horizontal="center" vertical="center"/>
    </xf>
    <xf numFmtId="0" fontId="5" fillId="0" borderId="1" applyAlignment="1" pivotButton="0" quotePrefix="0" xfId="81">
      <alignment vertical="center"/>
    </xf>
    <xf numFmtId="0" fontId="5" fillId="0" borderId="0" applyAlignment="1" pivotButton="0" quotePrefix="0" xfId="81">
      <alignment vertical="center" wrapText="1"/>
    </xf>
    <xf numFmtId="0" fontId="1" fillId="0" borderId="1" applyAlignment="1" pivotButton="0" quotePrefix="0" xfId="81">
      <alignment horizontal="center" vertical="center"/>
    </xf>
    <xf numFmtId="165" fontId="24" fillId="2" borderId="1" applyAlignment="1" pivotButton="0" quotePrefix="0" xfId="0">
      <alignment horizontal="center" vertical="center"/>
    </xf>
    <xf numFmtId="0" fontId="1" fillId="2" borderId="5" applyAlignment="1" pivotButton="0" quotePrefix="0" xfId="0">
      <alignment horizontal="center" vertical="center" wrapText="1"/>
    </xf>
    <xf numFmtId="0" fontId="1" fillId="2" borderId="1" applyAlignment="1" pivotButton="0" quotePrefix="0" xfId="0">
      <alignment horizontal="left" vertical="center" wrapText="1"/>
    </xf>
    <xf numFmtId="165" fontId="24" fillId="0" borderId="1" applyAlignment="1" pivotButton="0" quotePrefix="0" xfId="0">
      <alignment horizontal="center" vertical="center"/>
    </xf>
    <xf numFmtId="0" fontId="1" fillId="2" borderId="1" applyAlignment="1" pivotButton="0" quotePrefix="0" xfId="0">
      <alignment horizontal="center" vertical="center"/>
    </xf>
    <xf numFmtId="165" fontId="24" fillId="0" borderId="1" applyAlignment="1" pivotButton="0" quotePrefix="0" xfId="0">
      <alignment horizontal="center" vertical="center" wrapText="1"/>
    </xf>
    <xf numFmtId="0" fontId="11" fillId="0" borderId="1" applyAlignment="1" pivotButton="0" quotePrefix="0" xfId="0">
      <alignment horizontal="left" vertical="center" wrapText="1"/>
    </xf>
    <xf numFmtId="0" fontId="25" fillId="2" borderId="1" applyAlignment="1" pivotButton="0" quotePrefix="0" xfId="0">
      <alignment horizontal="left" vertical="center" wrapText="1"/>
    </xf>
    <xf numFmtId="166" fontId="24" fillId="2" borderId="1" applyAlignment="1" pivotButton="0" quotePrefix="0" xfId="0">
      <alignment horizontal="center" vertical="center"/>
    </xf>
    <xf numFmtId="166" fontId="24" fillId="0" borderId="1" applyAlignment="1" pivotButton="0" quotePrefix="0" xfId="0">
      <alignment horizontal="center" vertical="center" wrapText="1"/>
    </xf>
    <xf numFmtId="0" fontId="26" fillId="0" borderId="1" applyAlignment="1" pivotButton="0" quotePrefix="0" xfId="0">
      <alignment horizontal="left" vertical="center" wrapText="1"/>
    </xf>
    <xf numFmtId="0" fontId="5" fillId="3" borderId="2" applyAlignment="1" pivotButton="0" quotePrefix="0" xfId="0">
      <alignment horizontal="left" vertical="center" wrapText="1"/>
    </xf>
    <xf numFmtId="0" fontId="5" fillId="3" borderId="2" applyAlignment="1" pivotButton="0" quotePrefix="0" xfId="0">
      <alignment horizontal="center" vertical="center"/>
    </xf>
    <xf numFmtId="0" fontId="1" fillId="3" borderId="1" applyAlignment="1" pivotButton="0" quotePrefix="0" xfId="0">
      <alignment horizontal="center" vertical="center"/>
    </xf>
    <xf numFmtId="0" fontId="5" fillId="3" borderId="6" applyAlignment="1" pivotButton="0" quotePrefix="0" xfId="0">
      <alignment horizontal="center" vertical="center"/>
    </xf>
    <xf numFmtId="0" fontId="5" fillId="3" borderId="6" applyAlignment="1" pivotButton="0" quotePrefix="0" xfId="0">
      <alignment horizontal="center" vertical="center" wrapText="1"/>
    </xf>
    <xf numFmtId="0" fontId="9" fillId="0" borderId="13" applyAlignment="1" pivotButton="0" quotePrefix="0" xfId="0">
      <alignment horizontal="center" vertical="center"/>
    </xf>
    <xf numFmtId="0" fontId="9" fillId="0" borderId="1" applyAlignment="1" pivotButton="0" quotePrefix="0" xfId="0">
      <alignment horizontal="center" vertical="center" wrapText="1"/>
    </xf>
    <xf numFmtId="0" fontId="9" fillId="0" borderId="3" applyAlignment="1" pivotButton="0" quotePrefix="0" xfId="0">
      <alignment horizontal="center" vertical="center" wrapText="1"/>
    </xf>
    <xf numFmtId="0" fontId="9" fillId="0" borderId="2" applyAlignment="1" pivotButton="0" quotePrefix="0" xfId="0">
      <alignment horizontal="left" vertical="center" wrapText="1"/>
    </xf>
    <xf numFmtId="0" fontId="9" fillId="0" borderId="2" applyAlignment="1" pivotButton="0" quotePrefix="0" xfId="0">
      <alignment horizontal="center" vertical="center"/>
    </xf>
    <xf numFmtId="0" fontId="9" fillId="0" borderId="3" applyAlignment="1" pivotButton="0" quotePrefix="0" xfId="0">
      <alignment horizontal="center" vertical="center"/>
    </xf>
    <xf numFmtId="0" fontId="9" fillId="0" borderId="1" applyAlignment="1" pivotButton="0" quotePrefix="0" xfId="0">
      <alignment horizontal="center" vertical="center"/>
    </xf>
    <xf numFmtId="0" fontId="9" fillId="0" borderId="1" applyAlignment="1" pivotButton="0" quotePrefix="0" xfId="0">
      <alignment horizontal="center" vertical="center" wrapText="1"/>
    </xf>
    <xf numFmtId="0" fontId="6" fillId="0" borderId="1" applyAlignment="1" pivotButton="0" quotePrefix="0" xfId="0">
      <alignment vertical="center"/>
    </xf>
    <xf numFmtId="0" fontId="6" fillId="0" borderId="0" applyAlignment="1" pivotButton="0" quotePrefix="0" xfId="0">
      <alignment vertical="center" wrapText="1"/>
    </xf>
    <xf numFmtId="0" fontId="5" fillId="0" borderId="0" applyAlignment="1" pivotButton="0" quotePrefix="0" xfId="81">
      <alignment vertical="center"/>
    </xf>
    <xf numFmtId="0" fontId="5" fillId="0" borderId="0" applyAlignment="1" pivotButton="0" quotePrefix="0" xfId="81">
      <alignment horizontal="center" vertical="center"/>
    </xf>
    <xf numFmtId="0" fontId="5" fillId="0" borderId="0" applyAlignment="1" pivotButton="0" quotePrefix="0" xfId="0">
      <alignment vertical="center"/>
    </xf>
    <xf numFmtId="0" fontId="1" fillId="2" borderId="0" applyAlignment="1" pivotButton="0" quotePrefix="0" xfId="0">
      <alignment vertical="center"/>
    </xf>
    <xf numFmtId="0" fontId="4" fillId="2" borderId="0" applyAlignment="1" pivotButton="0" quotePrefix="0" xfId="82">
      <alignment vertical="center"/>
    </xf>
    <xf numFmtId="0" fontId="1" fillId="0" borderId="0" applyAlignment="1" pivotButton="0" quotePrefix="0" xfId="81">
      <alignment vertical="center"/>
    </xf>
    <xf numFmtId="0" fontId="5" fillId="0" borderId="0" applyAlignment="1" pivotButton="0" quotePrefix="0" xfId="0">
      <alignment vertical="center"/>
    </xf>
    <xf numFmtId="0" fontId="2" fillId="0" borderId="0" applyAlignment="1" pivotButton="0" quotePrefix="0" xfId="82">
      <alignment vertical="center"/>
    </xf>
    <xf numFmtId="0" fontId="2" fillId="0" borderId="0" applyAlignment="1" pivotButton="0" quotePrefix="0" xfId="82">
      <alignment vertical="center"/>
    </xf>
    <xf numFmtId="0" fontId="4" fillId="0" borderId="0" applyAlignment="1" pivotButton="0" quotePrefix="0" xfId="82">
      <alignment vertical="center"/>
    </xf>
    <xf numFmtId="0" fontId="4" fillId="0" borderId="0" applyAlignment="1" pivotButton="0" quotePrefix="0" xfId="82">
      <alignment vertical="center"/>
    </xf>
    <xf numFmtId="0" fontId="1" fillId="0" borderId="0" applyAlignment="1" pivotButton="0" quotePrefix="0" xfId="81">
      <alignment vertical="center"/>
    </xf>
    <xf numFmtId="0" fontId="5" fillId="0" borderId="0" applyAlignment="1" pivotButton="0" quotePrefix="0" xfId="81">
      <alignment vertical="center"/>
    </xf>
    <xf numFmtId="0" fontId="9" fillId="0" borderId="0" applyAlignment="1" pivotButton="0" quotePrefix="0" xfId="0">
      <alignment vertical="center"/>
    </xf>
    <xf numFmtId="0" fontId="8" fillId="3" borderId="0" applyAlignment="1" pivotButton="0" quotePrefix="0" xfId="81">
      <alignment horizontal="center" vertical="center"/>
    </xf>
    <xf numFmtId="0" fontId="8" fillId="0" borderId="0" applyAlignment="1" pivotButton="0" quotePrefix="0" xfId="81">
      <alignment horizontal="center" vertical="center"/>
    </xf>
    <xf numFmtId="0" fontId="9" fillId="0" borderId="4" applyAlignment="1" pivotButton="0" quotePrefix="0" xfId="81">
      <alignment horizontal="center" vertical="center" wrapText="1"/>
    </xf>
    <xf numFmtId="0" fontId="9" fillId="0" borderId="1" applyAlignment="1" pivotButton="0" quotePrefix="0" xfId="81">
      <alignment horizontal="center" vertical="center" wrapText="1"/>
    </xf>
    <xf numFmtId="0" fontId="9" fillId="0" borderId="5" applyAlignment="1" pivotButton="0" quotePrefix="0" xfId="81">
      <alignment horizontal="center" vertical="center" wrapText="1"/>
    </xf>
    <xf numFmtId="0" fontId="9" fillId="0" borderId="1" applyAlignment="1" pivotButton="0" quotePrefix="0" xfId="81">
      <alignment horizontal="center" vertical="center" wrapText="1"/>
    </xf>
    <xf numFmtId="0" fontId="5" fillId="2" borderId="5" applyAlignment="1" pivotButton="0" quotePrefix="0" xfId="0">
      <alignment horizontal="center" vertical="center"/>
    </xf>
    <xf numFmtId="0" fontId="27" fillId="3" borderId="1" applyAlignment="1" pivotButton="0" quotePrefix="0" xfId="0">
      <alignment horizontal="left" vertical="center" wrapText="1"/>
    </xf>
    <xf numFmtId="0" fontId="5" fillId="3" borderId="1" applyAlignment="1" pivotButton="0" quotePrefix="0" xfId="81">
      <alignment horizontal="center" vertical="center"/>
    </xf>
    <xf numFmtId="0" fontId="3" fillId="3" borderId="1" applyAlignment="1" pivotButton="0" quotePrefix="0" xfId="0">
      <alignment vertical="center"/>
    </xf>
    <xf numFmtId="0" fontId="28" fillId="3" borderId="1" applyAlignment="1" pivotButton="0" quotePrefix="0" xfId="0">
      <alignment horizontal="left" vertical="center" wrapText="1"/>
    </xf>
    <xf numFmtId="0" fontId="27" fillId="3" borderId="1" applyAlignment="1" pivotButton="0" quotePrefix="0" xfId="0">
      <alignment horizontal="left" vertical="top" wrapText="1"/>
    </xf>
    <xf numFmtId="0" fontId="28" fillId="3" borderId="1" applyAlignment="1" pivotButton="0" quotePrefix="0" xfId="0">
      <alignment horizontal="left" vertical="top" wrapText="1"/>
    </xf>
    <xf numFmtId="0" fontId="7" fillId="0" borderId="1" applyAlignment="1" pivotButton="0" quotePrefix="0" xfId="0">
      <alignment vertical="center"/>
    </xf>
    <xf numFmtId="0" fontId="22" fillId="0" borderId="3" applyAlignment="1" pivotButton="0" quotePrefix="0" xfId="0">
      <alignment horizontal="center" vertical="center" wrapText="1"/>
    </xf>
    <xf numFmtId="0" fontId="22" fillId="0" borderId="1" applyAlignment="1" pivotButton="0" quotePrefix="0" xfId="0">
      <alignment horizontal="left" vertical="center" wrapText="1"/>
    </xf>
    <xf numFmtId="0" fontId="5" fillId="2" borderId="1" applyAlignment="1" pivotButton="0" quotePrefix="0" xfId="0">
      <alignment horizontal="center" vertical="center"/>
    </xf>
    <xf numFmtId="0" fontId="5" fillId="2" borderId="3" applyAlignment="1" pivotButton="0" quotePrefix="0" xfId="53">
      <alignment horizontal="center" vertical="center" wrapText="1"/>
    </xf>
    <xf numFmtId="0" fontId="4" fillId="0" borderId="1" applyAlignment="1" pivotButton="0" quotePrefix="0" xfId="82">
      <alignment vertical="center"/>
    </xf>
    <xf numFmtId="0" fontId="4" fillId="0" borderId="1" applyAlignment="1" pivotButton="0" quotePrefix="0" xfId="0">
      <alignment vertical="center"/>
    </xf>
    <xf numFmtId="0" fontId="5" fillId="0" borderId="5" applyAlignment="1" pivotButton="0" quotePrefix="0" xfId="0">
      <alignment horizontal="center" vertical="center"/>
    </xf>
    <xf numFmtId="0" fontId="5" fillId="0" borderId="1" applyAlignment="1" pivotButton="0" quotePrefix="0" xfId="81">
      <alignment vertical="center"/>
    </xf>
    <xf numFmtId="0" fontId="1" fillId="0" borderId="1" applyAlignment="1" pivotButton="0" quotePrefix="0" xfId="81">
      <alignment vertical="center"/>
    </xf>
    <xf numFmtId="0" fontId="5" fillId="3" borderId="5" applyAlignment="1" pivotButton="0" quotePrefix="0" xfId="81">
      <alignment horizontal="center" vertical="center" wrapText="1"/>
    </xf>
    <xf numFmtId="0" fontId="5" fillId="3" borderId="4" applyAlignment="1" pivotButton="0" quotePrefix="0" xfId="81">
      <alignment horizontal="center" vertical="center"/>
    </xf>
    <xf numFmtId="0" fontId="5" fillId="3" borderId="1" applyAlignment="1" pivotButton="0" quotePrefix="0" xfId="81">
      <alignment vertical="center" wrapText="1"/>
    </xf>
    <xf numFmtId="0" fontId="5" fillId="3" borderId="1" applyAlignment="1" pivotButton="0" quotePrefix="0" xfId="81">
      <alignment vertical="center"/>
    </xf>
    <xf numFmtId="0" fontId="5" fillId="3" borderId="4" applyAlignment="1" pivotButton="0" quotePrefix="0" xfId="0">
      <alignment horizontal="center" vertical="center" wrapText="1"/>
    </xf>
    <xf numFmtId="0" fontId="5" fillId="3" borderId="1" applyAlignment="1" pivotButton="0" quotePrefix="0" xfId="0">
      <alignment vertical="center"/>
    </xf>
    <xf numFmtId="0" fontId="5" fillId="0" borderId="5" applyAlignment="1" pivotButton="0" quotePrefix="0" xfId="81">
      <alignment horizontal="left" vertical="center" wrapText="1"/>
    </xf>
    <xf numFmtId="0" fontId="5" fillId="0" borderId="0" applyAlignment="1" pivotButton="0" quotePrefix="0" xfId="0">
      <alignment horizontal="left" vertical="center"/>
    </xf>
    <xf numFmtId="0" fontId="2" fillId="0" borderId="1" applyAlignment="1" pivotButton="0" quotePrefix="0" xfId="82">
      <alignment vertical="center"/>
    </xf>
    <xf numFmtId="0" fontId="4" fillId="0" borderId="7" applyAlignment="1" pivotButton="0" quotePrefix="0" xfId="0">
      <alignment horizontal="center" vertical="center" wrapText="1"/>
    </xf>
    <xf numFmtId="0" fontId="1" fillId="0" borderId="1" applyAlignment="1" pivotButton="0" quotePrefix="0" xfId="81">
      <alignment horizontal="center" vertical="center"/>
    </xf>
    <xf numFmtId="0" fontId="29" fillId="0" borderId="1" applyAlignment="1" pivotButton="0" quotePrefix="0" xfId="82">
      <alignment horizontal="center" vertical="center" wrapText="1"/>
    </xf>
    <xf numFmtId="0" fontId="5" fillId="0" borderId="14" applyAlignment="1" pivotButton="0" quotePrefix="0" xfId="81">
      <alignment horizontal="center" vertical="center" wrapText="1"/>
    </xf>
    <xf numFmtId="0" fontId="21" fillId="0" borderId="9" applyAlignment="1" pivotButton="0" quotePrefix="0" xfId="0">
      <alignment horizontal="left" vertical="center" wrapText="1"/>
    </xf>
    <xf numFmtId="0" fontId="30" fillId="0" borderId="9" applyAlignment="1" pivotButton="0" quotePrefix="0" xfId="0">
      <alignment horizontal="left" vertical="center" wrapText="1"/>
    </xf>
    <xf numFmtId="0" fontId="31" fillId="0" borderId="1" applyAlignment="1" pivotButton="0" quotePrefix="0" xfId="0">
      <alignment horizontal="left" vertical="center" wrapText="1"/>
    </xf>
    <xf numFmtId="0" fontId="5" fillId="0" borderId="11" applyAlignment="1" pivotButton="0" quotePrefix="0" xfId="0">
      <alignment horizontal="center" vertical="center" wrapText="1"/>
    </xf>
    <xf numFmtId="0" fontId="22" fillId="0" borderId="14" applyAlignment="1" pivotButton="0" quotePrefix="0" xfId="0">
      <alignment horizontal="center" vertical="center" wrapText="1"/>
    </xf>
    <xf numFmtId="0" fontId="24" fillId="0" borderId="0" applyAlignment="1" pivotButton="0" quotePrefix="0" xfId="0">
      <alignment horizontal="left" vertical="center"/>
    </xf>
    <xf numFmtId="0" fontId="1" fillId="2" borderId="1" applyAlignment="1" pivotButton="0" quotePrefix="0" xfId="0">
      <alignment horizontal="center" vertical="center" wrapText="1"/>
    </xf>
    <xf numFmtId="0" fontId="1" fillId="2" borderId="3" applyAlignment="1" pivotButton="0" quotePrefix="0" xfId="0">
      <alignment horizontal="center" vertical="center" wrapText="1"/>
    </xf>
    <xf numFmtId="0" fontId="1" fillId="2" borderId="1" applyAlignment="1" pivotButton="0" quotePrefix="0" xfId="0">
      <alignment horizontal="left" vertical="center" wrapText="1"/>
    </xf>
    <xf numFmtId="0" fontId="1" fillId="2" borderId="5" applyAlignment="1" pivotButton="0" quotePrefix="0" xfId="0">
      <alignment horizontal="center" vertical="center" wrapText="1"/>
    </xf>
    <xf numFmtId="0" fontId="1" fillId="0" borderId="5" applyAlignment="1" pivotButton="0" quotePrefix="0" xfId="0">
      <alignment horizontal="center" vertical="center"/>
    </xf>
    <xf numFmtId="0" fontId="1" fillId="3" borderId="1" applyAlignment="1" pivotButton="0" quotePrefix="0" xfId="81">
      <alignment vertical="center"/>
    </xf>
    <xf numFmtId="0" fontId="9" fillId="0" borderId="4" applyAlignment="1" pivotButton="0" quotePrefix="0" xfId="0">
      <alignment horizontal="center" vertical="center"/>
    </xf>
    <xf numFmtId="0" fontId="9" fillId="0" borderId="5" applyAlignment="1" pivotButton="0" quotePrefix="0" xfId="0">
      <alignment horizontal="center" vertical="center" wrapText="1"/>
    </xf>
    <xf numFmtId="0" fontId="9" fillId="0" borderId="1" applyAlignment="1" pivotButton="0" quotePrefix="0" xfId="0">
      <alignment horizontal="left" vertical="center" wrapText="1"/>
    </xf>
    <xf numFmtId="0" fontId="9" fillId="0" borderId="1" applyAlignment="1" pivotButton="0" quotePrefix="0" xfId="0">
      <alignment vertical="center"/>
    </xf>
    <xf numFmtId="0" fontId="5" fillId="2" borderId="0" applyAlignment="1" pivotButton="0" quotePrefix="0" xfId="0">
      <alignment vertical="center"/>
    </xf>
    <xf numFmtId="0" fontId="4" fillId="0" borderId="0" applyAlignment="1" pivotButton="0" quotePrefix="0" xfId="82">
      <alignment vertical="center"/>
    </xf>
    <xf numFmtId="0" fontId="32" fillId="0" borderId="0" applyAlignment="1" pivotButton="0" quotePrefix="0" xfId="81">
      <alignment vertical="center"/>
    </xf>
    <xf numFmtId="0" fontId="33" fillId="0" borderId="0" applyAlignment="1" pivotButton="0" quotePrefix="0" xfId="0">
      <alignment vertical="center"/>
    </xf>
    <xf numFmtId="0" fontId="8" fillId="3" borderId="4" applyAlignment="1" pivotButton="0" quotePrefix="0" xfId="81">
      <alignment horizontal="center" vertical="center" wrapText="1"/>
    </xf>
    <xf numFmtId="0" fontId="8" fillId="3" borderId="15" applyAlignment="1" pivotButton="0" quotePrefix="0" xfId="81">
      <alignment horizontal="center" vertical="center" wrapText="1"/>
    </xf>
    <xf numFmtId="0" fontId="8" fillId="3" borderId="5" applyAlignment="1" pivotButton="0" quotePrefix="0" xfId="81">
      <alignment horizontal="center" vertical="center" wrapText="1"/>
    </xf>
    <xf numFmtId="0" fontId="5" fillId="0" borderId="0" applyAlignment="1" pivotButton="0" quotePrefix="0" xfId="81">
      <alignment vertical="center"/>
    </xf>
    <xf numFmtId="0" fontId="5" fillId="0" borderId="2" applyAlignment="1" pivotButton="0" quotePrefix="0" xfId="81">
      <alignment horizontal="center" vertical="center"/>
    </xf>
    <xf numFmtId="0" fontId="1" fillId="0" borderId="5" applyAlignment="1" pivotButton="0" quotePrefix="0" xfId="0">
      <alignment horizontal="center" vertical="center" wrapText="1"/>
    </xf>
    <xf numFmtId="0" fontId="1" fillId="0" borderId="3" applyAlignment="1" pivotButton="0" quotePrefix="0" xfId="81">
      <alignment horizontal="center" vertical="center" wrapText="1"/>
    </xf>
    <xf numFmtId="0" fontId="4" fillId="0" borderId="4" applyAlignment="1" pivotButton="0" quotePrefix="0" xfId="0">
      <alignment horizontal="center" vertical="center"/>
    </xf>
    <xf numFmtId="0" fontId="4" fillId="0" borderId="6" applyAlignment="1" pivotButton="0" quotePrefix="0" xfId="0">
      <alignment horizontal="center" vertical="center" wrapText="1"/>
    </xf>
    <xf numFmtId="0" fontId="4" fillId="0" borderId="1" applyAlignment="1" pivotButton="0" quotePrefix="0" xfId="82">
      <alignment horizontal="center" vertical="center"/>
    </xf>
    <xf numFmtId="0" fontId="5" fillId="3" borderId="1" applyAlignment="1" pivotButton="0" quotePrefix="0" xfId="53">
      <alignment horizontal="center" vertical="center" wrapText="1"/>
    </xf>
    <xf numFmtId="0" fontId="5" fillId="0" borderId="1" applyAlignment="1" pivotButton="0" quotePrefix="0" xfId="81">
      <alignment vertical="center" wrapText="1"/>
    </xf>
    <xf numFmtId="165" fontId="21" fillId="0" borderId="8" applyAlignment="1" pivotButton="0" quotePrefix="0" xfId="0">
      <alignment horizontal="center" vertical="center" wrapText="1"/>
    </xf>
    <xf numFmtId="0" fontId="1" fillId="3" borderId="1" applyAlignment="1" pivotButton="0" quotePrefix="0" xfId="0">
      <alignment horizontal="center" vertical="center"/>
    </xf>
    <xf numFmtId="0" fontId="1" fillId="3" borderId="1" applyAlignment="1" pivotButton="0" quotePrefix="0" xfId="0">
      <alignment vertical="center" wrapText="1"/>
    </xf>
    <xf numFmtId="0" fontId="2" fillId="3" borderId="1" applyAlignment="1" pivotButton="0" quotePrefix="0" xfId="0">
      <alignment horizontal="left" vertical="center" wrapText="1"/>
    </xf>
    <xf numFmtId="0" fontId="22" fillId="0" borderId="16" applyAlignment="1" pivotButton="0" quotePrefix="0" xfId="0">
      <alignment horizontal="center" vertical="center" wrapText="1"/>
    </xf>
    <xf numFmtId="0" fontId="5" fillId="0" borderId="2" applyAlignment="1" pivotButton="0" quotePrefix="0" xfId="81">
      <alignment horizontal="center" vertical="center" wrapText="1"/>
    </xf>
    <xf numFmtId="165" fontId="21" fillId="0" borderId="17" applyAlignment="1" pivotButton="0" quotePrefix="0" xfId="0">
      <alignment horizontal="center" vertical="center" wrapText="1"/>
    </xf>
    <xf numFmtId="0" fontId="22" fillId="0" borderId="1" applyAlignment="1" pivotButton="0" quotePrefix="0" xfId="0">
      <alignment horizontal="center" vertical="center" wrapText="1"/>
    </xf>
    <xf numFmtId="0" fontId="21" fillId="0" borderId="1" applyAlignment="1" pivotButton="0" quotePrefix="0" xfId="0">
      <alignment horizontal="left" vertical="center" wrapText="1"/>
    </xf>
    <xf numFmtId="165" fontId="21" fillId="0" borderId="15" applyAlignment="1" pivotButton="0" quotePrefix="0" xfId="0">
      <alignment horizontal="center" vertical="center" wrapText="1"/>
    </xf>
    <xf numFmtId="0" fontId="4" fillId="2" borderId="1" applyAlignment="1" pivotButton="0" quotePrefix="0" xfId="0">
      <alignment vertical="center" wrapText="1"/>
    </xf>
    <xf numFmtId="0" fontId="4" fillId="0" borderId="15" applyAlignment="1" pivotButton="0" quotePrefix="0" xfId="0">
      <alignment horizontal="center" vertical="center"/>
    </xf>
    <xf numFmtId="0" fontId="4" fillId="0" borderId="1" applyAlignment="1" pivotButton="0" quotePrefix="0" xfId="0">
      <alignment vertical="center" wrapText="1"/>
    </xf>
    <xf numFmtId="0" fontId="5" fillId="3" borderId="5" applyAlignment="1" pivotButton="0" quotePrefix="0" xfId="0">
      <alignment horizontal="center" vertical="center"/>
    </xf>
    <xf numFmtId="0" fontId="4" fillId="3" borderId="1" applyAlignment="1" pivotButton="0" quotePrefix="0" xfId="0">
      <alignment vertical="center" wrapText="1"/>
    </xf>
    <xf numFmtId="0" fontId="4" fillId="3" borderId="5" applyAlignment="1" pivotButton="0" quotePrefix="0" xfId="0">
      <alignment horizontal="center" vertical="center"/>
    </xf>
    <xf numFmtId="0" fontId="34" fillId="3" borderId="1" applyAlignment="1" pivotButton="0" quotePrefix="0" xfId="0">
      <alignment horizontal="left" vertical="center" wrapText="1"/>
    </xf>
    <xf numFmtId="0" fontId="35" fillId="0" borderId="1" applyAlignment="1" pivotButton="0" quotePrefix="0" xfId="0">
      <alignment horizontal="center" vertical="center" wrapText="1"/>
    </xf>
    <xf numFmtId="0" fontId="4" fillId="0" borderId="5" applyAlignment="1" pivotButton="0" quotePrefix="0" xfId="0">
      <alignment horizontal="center" vertical="center"/>
    </xf>
    <xf numFmtId="0" fontId="5" fillId="0" borderId="15" applyAlignment="1" pivotButton="0" quotePrefix="0" xfId="81">
      <alignment horizontal="center" vertical="center" wrapText="1"/>
    </xf>
    <xf numFmtId="0" fontId="5" fillId="0" borderId="15" applyAlignment="1" pivotButton="0" quotePrefix="0" xfId="0">
      <alignment horizontal="center" vertical="center" wrapText="1"/>
    </xf>
    <xf numFmtId="0" fontId="5" fillId="3" borderId="15" applyAlignment="1" pivotButton="0" quotePrefix="0" xfId="81">
      <alignment horizontal="center" vertical="center" wrapText="1"/>
    </xf>
    <xf numFmtId="0" fontId="5" fillId="3" borderId="5" applyAlignment="1" pivotButton="0" quotePrefix="0" xfId="81">
      <alignment horizontal="left" vertical="center" wrapText="1"/>
    </xf>
    <xf numFmtId="0" fontId="4" fillId="0" borderId="0" applyAlignment="1" pivotButton="0" quotePrefix="0" xfId="0">
      <alignment vertical="center" wrapText="1"/>
    </xf>
    <xf numFmtId="0" fontId="4" fillId="0" borderId="5" applyAlignment="1" pivotButton="0" quotePrefix="0" xfId="0">
      <alignment vertical="center" wrapText="1"/>
    </xf>
    <xf numFmtId="0" fontId="4" fillId="3" borderId="15" applyAlignment="1" pivotButton="0" quotePrefix="0" xfId="0">
      <alignment horizontal="center" vertical="center"/>
    </xf>
    <xf numFmtId="0" fontId="5" fillId="3" borderId="5" applyAlignment="1" pivotButton="0" quotePrefix="0" xfId="0">
      <alignment horizontal="left" vertical="center" wrapText="1"/>
    </xf>
    <xf numFmtId="0" fontId="5" fillId="0" borderId="6" applyAlignment="1" pivotButton="0" quotePrefix="0" xfId="0">
      <alignment horizontal="center" vertical="center" wrapText="1"/>
    </xf>
    <xf numFmtId="0" fontId="5" fillId="0" borderId="5" applyAlignment="1" pivotButton="0" quotePrefix="0" xfId="0">
      <alignment horizontal="left" vertical="center" wrapText="1"/>
    </xf>
    <xf numFmtId="0" fontId="5" fillId="0" borderId="18" applyAlignment="1" pivotButton="0" quotePrefix="0" xfId="0">
      <alignment horizontal="center" vertical="center" wrapText="1"/>
    </xf>
    <xf numFmtId="0" fontId="2" fillId="0" borderId="5" applyAlignment="1" pivotButton="0" quotePrefix="0" xfId="0">
      <alignment horizontal="center" vertical="center"/>
    </xf>
    <xf numFmtId="0" fontId="1" fillId="0" borderId="1" applyAlignment="1" pivotButton="0" quotePrefix="0" xfId="0">
      <alignment horizontal="left" vertical="center" wrapText="1"/>
    </xf>
    <xf numFmtId="0" fontId="1" fillId="0" borderId="1" applyAlignment="1" pivotButton="0" quotePrefix="0" xfId="81">
      <alignment vertical="center" wrapText="1"/>
    </xf>
    <xf numFmtId="0" fontId="2" fillId="0" borderId="1" applyAlignment="1" pivotButton="0" quotePrefix="0" xfId="0">
      <alignment horizontal="center" vertical="center"/>
    </xf>
    <xf numFmtId="0" fontId="1" fillId="3" borderId="1" applyAlignment="1" pivotButton="0" quotePrefix="0" xfId="81">
      <alignment horizontal="center" vertical="center" wrapText="1"/>
    </xf>
    <xf numFmtId="0" fontId="5" fillId="0" borderId="2" applyAlignment="1" pivotButton="0" quotePrefix="0" xfId="0">
      <alignment horizontal="center" vertical="center" wrapText="1"/>
    </xf>
    <xf numFmtId="0" fontId="5" fillId="0" borderId="1" applyAlignment="1" pivotButton="0" quotePrefix="0" xfId="0">
      <alignment vertical="center" wrapText="1"/>
    </xf>
    <xf numFmtId="0" fontId="36" fillId="0" borderId="1" applyAlignment="1" pivotButton="0" quotePrefix="0" xfId="0">
      <alignment horizontal="center" vertical="center" wrapText="1"/>
    </xf>
    <xf numFmtId="165" fontId="21" fillId="0" borderId="19" applyAlignment="1" pivotButton="0" quotePrefix="0" xfId="0">
      <alignment horizontal="center" vertical="center" wrapText="1"/>
    </xf>
    <xf numFmtId="0" fontId="22" fillId="0" borderId="20" applyAlignment="1" pivotButton="0" quotePrefix="0" xfId="0">
      <alignment horizontal="center" vertical="center" wrapText="1"/>
    </xf>
    <xf numFmtId="0" fontId="22" fillId="0" borderId="2" applyAlignment="1" pivotButton="0" quotePrefix="0" xfId="0">
      <alignment horizontal="center" vertical="center" wrapText="1"/>
    </xf>
    <xf numFmtId="0" fontId="5" fillId="0" borderId="18" applyAlignment="1" pivotButton="0" quotePrefix="0" xfId="81">
      <alignment horizontal="center" vertical="center" wrapText="1"/>
    </xf>
    <xf numFmtId="0" fontId="5" fillId="3" borderId="2" applyAlignment="1" pivotButton="0" quotePrefix="0" xfId="0">
      <alignment horizontal="center" vertical="center" wrapText="1"/>
    </xf>
    <xf numFmtId="0" fontId="1" fillId="0" borderId="1" applyAlignment="1" pivotButton="0" quotePrefix="0" xfId="0">
      <alignment vertical="center" wrapText="1"/>
    </xf>
    <xf numFmtId="0" fontId="5" fillId="3" borderId="1" applyAlignment="1" pivotButton="0" quotePrefix="0" xfId="0">
      <alignment vertical="center" wrapText="1"/>
    </xf>
    <xf numFmtId="0" fontId="4" fillId="3" borderId="6" applyAlignment="1" pivotButton="0" quotePrefix="0" xfId="0">
      <alignment horizontal="center" vertical="center"/>
    </xf>
    <xf numFmtId="0" fontId="4" fillId="3" borderId="0" applyAlignment="1" pivotButton="0" quotePrefix="0" xfId="0">
      <alignment vertical="center" wrapText="1"/>
    </xf>
    <xf numFmtId="0" fontId="4" fillId="3" borderId="1" applyAlignment="1" pivotButton="0" quotePrefix="0" xfId="0">
      <alignment vertical="center"/>
    </xf>
    <xf numFmtId="0" fontId="32" fillId="0" borderId="1" applyAlignment="1" pivotButton="0" quotePrefix="0" xfId="81">
      <alignment vertical="center"/>
    </xf>
    <xf numFmtId="0" fontId="1" fillId="3" borderId="5" applyAlignment="1" pivotButton="0" quotePrefix="0" xfId="0">
      <alignment horizontal="center" vertical="center" wrapText="1"/>
    </xf>
    <xf numFmtId="0" fontId="1" fillId="3" borderId="3" applyAlignment="1" pivotButton="0" quotePrefix="0" xfId="53">
      <alignment horizontal="center" vertical="center" wrapText="1"/>
    </xf>
    <xf numFmtId="0" fontId="1" fillId="3" borderId="1" applyAlignment="1" pivotButton="0" quotePrefix="0" xfId="81">
      <alignment horizontal="left" vertical="center" wrapText="1"/>
    </xf>
    <xf numFmtId="0" fontId="32" fillId="3" borderId="1" applyAlignment="1" pivotButton="0" quotePrefix="0" xfId="81">
      <alignment vertical="center"/>
    </xf>
    <xf numFmtId="0" fontId="4" fillId="0" borderId="7" applyAlignment="1" pivotButton="0" quotePrefix="0" xfId="0">
      <alignment horizontal="center" vertical="center"/>
    </xf>
    <xf numFmtId="165" fontId="21" fillId="0" borderId="5" applyAlignment="1" pivotButton="0" quotePrefix="0" xfId="0">
      <alignment horizontal="center" vertical="center" wrapText="1"/>
    </xf>
    <xf numFmtId="0" fontId="21" fillId="0" borderId="1" applyAlignment="1" pivotButton="0" quotePrefix="0" xfId="0">
      <alignment horizontal="center" vertical="center" wrapText="1"/>
    </xf>
    <xf numFmtId="0" fontId="5" fillId="3" borderId="2" applyAlignment="1" pivotButton="0" quotePrefix="0" xfId="81">
      <alignment horizontal="center" vertical="center" wrapText="1"/>
    </xf>
    <xf numFmtId="0" fontId="5" fillId="0" borderId="4" applyAlignment="1" pivotButton="0" quotePrefix="0" xfId="81">
      <alignment horizontal="center" vertical="center" wrapText="1"/>
    </xf>
    <xf numFmtId="0" fontId="5" fillId="3" borderId="15" applyAlignment="1" pivotButton="0" quotePrefix="0" xfId="0">
      <alignment horizontal="center" vertical="center"/>
    </xf>
    <xf numFmtId="0" fontId="5" fillId="3" borderId="0" applyAlignment="1" pivotButton="0" quotePrefix="0" xfId="0">
      <alignment horizontal="center" vertical="center"/>
    </xf>
    <xf numFmtId="0" fontId="5" fillId="3" borderId="15" applyAlignment="1" pivotButton="0" quotePrefix="0" xfId="0">
      <alignment horizontal="center" vertical="center" wrapText="1"/>
    </xf>
    <xf numFmtId="0" fontId="5" fillId="0" borderId="4" applyAlignment="1" pivotButton="0" quotePrefix="0" xfId="81">
      <alignment horizontal="center" vertical="center"/>
    </xf>
    <xf numFmtId="0" fontId="22" fillId="0" borderId="21" applyAlignment="1" pivotButton="0" quotePrefix="0" xfId="0">
      <alignment horizontal="center" vertical="center" wrapText="1"/>
    </xf>
    <xf numFmtId="0" fontId="21" fillId="0" borderId="22" applyAlignment="1" pivotButton="0" quotePrefix="0" xfId="0">
      <alignment horizontal="center" vertical="center" wrapText="1"/>
    </xf>
    <xf numFmtId="0" fontId="5" fillId="0" borderId="1" applyAlignment="1" pivotButton="0" quotePrefix="0" xfId="81">
      <alignment vertical="center"/>
    </xf>
    <xf numFmtId="165" fontId="21" fillId="3" borderId="9" applyAlignment="1" pivotButton="0" quotePrefix="0" xfId="0">
      <alignment horizontal="center" vertical="center" wrapText="1"/>
    </xf>
    <xf numFmtId="0" fontId="22" fillId="3" borderId="22" applyAlignment="1" pivotButton="0" quotePrefix="0" xfId="0">
      <alignment horizontal="center" vertical="center" wrapText="1"/>
    </xf>
    <xf numFmtId="0" fontId="22" fillId="3" borderId="9" applyAlignment="1" pivotButton="0" quotePrefix="0" xfId="0">
      <alignment horizontal="left" vertical="center" wrapText="1"/>
    </xf>
    <xf numFmtId="0" fontId="22" fillId="3" borderId="9" applyAlignment="1" pivotButton="0" quotePrefix="0" xfId="0">
      <alignment horizontal="center" vertical="center" wrapText="1"/>
    </xf>
    <xf numFmtId="165" fontId="21" fillId="3" borderId="1" applyAlignment="1" pivotButton="0" quotePrefix="0" xfId="0">
      <alignment horizontal="center" vertical="center" wrapText="1"/>
    </xf>
    <xf numFmtId="0" fontId="12" fillId="3" borderId="1" applyAlignment="1" pivotButton="0" quotePrefix="0" xfId="0">
      <alignment horizontal="left" vertical="center" wrapText="1"/>
    </xf>
    <xf numFmtId="0" fontId="22" fillId="3" borderId="1" applyAlignment="1" pivotButton="0" quotePrefix="0" xfId="0">
      <alignment horizontal="left" vertical="center" wrapText="1"/>
    </xf>
    <xf numFmtId="0" fontId="0" fillId="3" borderId="1" applyAlignment="1" pivotButton="0" quotePrefix="0" xfId="81">
      <alignment vertical="center"/>
    </xf>
    <xf numFmtId="0" fontId="7" fillId="3" borderId="1" applyAlignment="1" pivotButton="0" quotePrefix="0" xfId="0">
      <alignment vertical="center"/>
    </xf>
    <xf numFmtId="0" fontId="5" fillId="0" borderId="1" applyAlignment="1" pivotButton="0" quotePrefix="0" xfId="81">
      <alignment vertical="center" wrapText="1"/>
    </xf>
    <xf numFmtId="0" fontId="4" fillId="3" borderId="2" applyAlignment="1" pivotButton="0" quotePrefix="0" xfId="0">
      <alignment vertical="center" wrapText="1"/>
    </xf>
    <xf numFmtId="0" fontId="0" fillId="0" borderId="15" pivotButton="0" quotePrefix="0" xfId="0"/>
    <xf numFmtId="0" fontId="0" fillId="0" borderId="5" pivotButton="0" quotePrefix="0" xfId="0"/>
    <xf numFmtId="0" fontId="70" fillId="36" borderId="0" applyAlignment="1" pivotButton="0" quotePrefix="0" xfId="0">
      <alignment horizontal="center" vertical="center" wrapText="1"/>
    </xf>
    <xf numFmtId="0" fontId="0" fillId="37" borderId="0" applyAlignment="1" pivotButton="0" quotePrefix="0" xfId="0">
      <alignment vertical="center" wrapText="1"/>
    </xf>
    <xf numFmtId="164" fontId="1" fillId="0" borderId="1" applyAlignment="1" pivotButton="0" quotePrefix="0" xfId="0">
      <alignment horizontal="center" vertical="center" wrapText="1"/>
    </xf>
    <xf numFmtId="165" fontId="21" fillId="0" borderId="9" applyAlignment="1" pivotButton="0" quotePrefix="0" xfId="0">
      <alignment horizontal="center" vertical="center" wrapText="1"/>
    </xf>
    <xf numFmtId="165" fontId="21" fillId="0" borderId="1" applyAlignment="1" pivotButton="0" quotePrefix="0" xfId="0">
      <alignment horizontal="center" vertical="center" wrapText="1"/>
    </xf>
    <xf numFmtId="165" fontId="21" fillId="0" borderId="8" applyAlignment="1" pivotButton="0" quotePrefix="0" xfId="0">
      <alignment horizontal="center" vertical="center" wrapText="1"/>
    </xf>
    <xf numFmtId="165" fontId="21" fillId="0" borderId="17" applyAlignment="1" pivotButton="0" quotePrefix="0" xfId="0">
      <alignment horizontal="center" vertical="center" wrapText="1"/>
    </xf>
    <xf numFmtId="165" fontId="21" fillId="0" borderId="15" applyAlignment="1" pivotButton="0" quotePrefix="0" xfId="0">
      <alignment horizontal="center" vertical="center" wrapText="1"/>
    </xf>
    <xf numFmtId="165" fontId="21" fillId="0" borderId="19" applyAlignment="1" pivotButton="0" quotePrefix="0" xfId="0">
      <alignment horizontal="center" vertical="center" wrapText="1"/>
    </xf>
    <xf numFmtId="165" fontId="21" fillId="0" borderId="5" applyAlignment="1" pivotButton="0" quotePrefix="0" xfId="0">
      <alignment horizontal="center" vertical="center" wrapText="1"/>
    </xf>
    <xf numFmtId="165" fontId="21" fillId="3" borderId="9" applyAlignment="1" pivotButton="0" quotePrefix="0" xfId="0">
      <alignment horizontal="center" vertical="center" wrapText="1"/>
    </xf>
    <xf numFmtId="165" fontId="21" fillId="3" borderId="1" applyAlignment="1" pivotButton="0" quotePrefix="0" xfId="0">
      <alignment horizontal="center" vertical="center" wrapText="1"/>
    </xf>
    <xf numFmtId="0" fontId="0" fillId="38" borderId="0" applyAlignment="1" pivotButton="0" quotePrefix="0" xfId="0">
      <alignment vertical="center" wrapText="1"/>
    </xf>
    <xf numFmtId="164" fontId="1" fillId="0" borderId="1" applyAlignment="1" pivotButton="0" quotePrefix="0" xfId="0">
      <alignment vertical="center" wrapText="1"/>
    </xf>
    <xf numFmtId="165" fontId="24" fillId="0" borderId="1" applyAlignment="1" pivotButton="0" quotePrefix="0" xfId="0">
      <alignment horizontal="center" vertical="center"/>
    </xf>
    <xf numFmtId="165" fontId="24" fillId="0" borderId="1" applyAlignment="1" pivotButton="0" quotePrefix="0" xfId="0">
      <alignment horizontal="center" vertical="center" wrapText="1"/>
    </xf>
    <xf numFmtId="0" fontId="70" fillId="36" borderId="0" applyAlignment="1" pivotButton="0" quotePrefix="0" xfId="81">
      <alignment horizontal="center" vertical="center" wrapText="1"/>
    </xf>
    <xf numFmtId="0" fontId="1" fillId="37" borderId="0" applyAlignment="1" pivotButton="0" quotePrefix="0" xfId="0">
      <alignment vertical="center" wrapText="1"/>
    </xf>
    <xf numFmtId="0" fontId="2" fillId="37" borderId="0" applyAlignment="1" pivotButton="0" quotePrefix="0" xfId="82">
      <alignment vertical="center" wrapText="1"/>
    </xf>
    <xf numFmtId="0" fontId="0" fillId="0" borderId="2" pivotButton="0" quotePrefix="0" xfId="0"/>
    <xf numFmtId="0" fontId="1" fillId="37" borderId="0" applyAlignment="1" pivotButton="0" quotePrefix="0" xfId="81">
      <alignment vertical="center" wrapText="1"/>
    </xf>
    <xf numFmtId="0" fontId="3" fillId="37" borderId="0" applyAlignment="1" pivotButton="0" quotePrefix="0" xfId="0">
      <alignment vertical="center" wrapText="1"/>
    </xf>
    <xf numFmtId="164" fontId="17" fillId="0" borderId="1" applyAlignment="1" pivotButton="0" quotePrefix="0" xfId="53">
      <alignment horizontal="left" vertical="center" wrapText="1"/>
    </xf>
    <xf numFmtId="164" fontId="5" fillId="0" borderId="1" applyAlignment="1" pivotButton="0" quotePrefix="0" xfId="0">
      <alignment vertical="center" wrapText="1"/>
    </xf>
    <xf numFmtId="0" fontId="4" fillId="37" borderId="0" applyAlignment="1" pivotButton="0" quotePrefix="0" xfId="82">
      <alignment vertical="center" wrapText="1"/>
    </xf>
    <xf numFmtId="0" fontId="5" fillId="37" borderId="0" applyAlignment="1" pivotButton="0" quotePrefix="0" xfId="81">
      <alignment vertical="center" wrapText="1"/>
    </xf>
    <xf numFmtId="165" fontId="24" fillId="2" borderId="1" applyAlignment="1" pivotButton="0" quotePrefix="0" xfId="0">
      <alignment horizontal="center" vertical="center"/>
    </xf>
    <xf numFmtId="166" fontId="24" fillId="2" borderId="1" applyAlignment="1" pivotButton="0" quotePrefix="0" xfId="0">
      <alignment horizontal="center" vertical="center"/>
    </xf>
    <xf numFmtId="166" fontId="24" fillId="0" borderId="1" applyAlignment="1" pivotButton="0" quotePrefix="0" xfId="0">
      <alignment horizontal="center" vertical="center" wrapText="1"/>
    </xf>
  </cellXfs>
  <cellStyles count="84">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 name="常规 2 2" xfId="50"/>
    <cellStyle name="常规 2 2 2" xfId="51"/>
    <cellStyle name="常规 2 2 3" xfId="52"/>
    <cellStyle name="常规 3" xfId="53"/>
    <cellStyle name="常规 3 2" xfId="54"/>
    <cellStyle name="常规 3 3" xfId="55"/>
    <cellStyle name="常规 3 3 2" xfId="56"/>
    <cellStyle name="常规 3 3 2 2" xfId="57"/>
    <cellStyle name="常规 3 3 2 3" xfId="58"/>
    <cellStyle name="常规 4" xfId="59"/>
    <cellStyle name="常规 4 2" xfId="60"/>
    <cellStyle name="常规 5" xfId="61"/>
    <cellStyle name="常规 5 2" xfId="62"/>
    <cellStyle name="常规 6" xfId="63"/>
    <cellStyle name="常规 6 2" xfId="64"/>
    <cellStyle name="常规 6 3" xfId="65"/>
    <cellStyle name="常规 7" xfId="66"/>
    <cellStyle name="常规 7 2" xfId="67"/>
    <cellStyle name="常规 8" xfId="68"/>
    <cellStyle name="常规 9" xfId="69"/>
    <cellStyle name="超链接 2" xfId="70"/>
    <cellStyle name="超链接 2 2" xfId="71"/>
    <cellStyle name="超链接 3" xfId="72"/>
    <cellStyle name="超链接 3 2" xfId="73"/>
    <cellStyle name="超链接 4" xfId="74"/>
    <cellStyle name="千位分隔 2" xfId="75"/>
    <cellStyle name="常规 7 3" xfId="76"/>
    <cellStyle name="样式 1" xfId="77"/>
    <cellStyle name="常规_Sheet1" xfId="78"/>
    <cellStyle name="常规 49" xfId="79"/>
    <cellStyle name="常规_Sheet1_2" xfId="80"/>
    <cellStyle name="常规 10 10 2 2" xfId="81"/>
    <cellStyle name="常规 2 12" xfId="82"/>
    <cellStyle name="常规_Sheet2" xfId="83"/>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externalLink" Target="/xl/externalLinks/externalLink1.xml" Id="rId4" /><Relationship Type="http://schemas.openxmlformats.org/officeDocument/2006/relationships/externalLink" Target="/xl/externalLinks/externalLink2.xml" Id="rId5" /><Relationship Type="http://schemas.openxmlformats.org/officeDocument/2006/relationships/styles" Target="styles.xml" Id="rId6" /><Relationship Type="http://schemas.openxmlformats.org/officeDocument/2006/relationships/theme" Target="theme/theme1.xml" Id="rId7" /></Relationships>
</file>

<file path=xl/externalLinks/_rels/externalLink1.xml.rels><Relationships xmlns="http://schemas.openxmlformats.org/package/2006/relationships"><Relationship Type="http://schemas.openxmlformats.org/officeDocument/2006/relationships/externalLinkPath" Target="\2018&#24180;&#24037;&#20316;&#25991;&#20214;-&#26446;&#21516;&#36816;\01%20&#36164;&#26009;\1-1%20&#26631;&#20934;&#26041;&#26696;\&#65288;&#24453;&#23457;&#65289;DF-06-04-191028-&#29702;&#21270;&#29983;&#25506;&#31350;&#23454;&#39564;&#23460;.xlsx" TargetMode="External" Id="rId1" /></Relationships>
</file>

<file path=xl/externalLinks/_rels/externalLink2.xml.rels><Relationships xmlns="http://schemas.openxmlformats.org/package/2006/relationships"><Relationship Type="http://schemas.openxmlformats.org/officeDocument/2006/relationships/externalLinkPath" Target="\&#26700;&#38754;\2025&#24517;&#35201;&#25991;&#20214;\&#20986;&#21378;&#20215;&#26041;&#26696;\&#20256;&#24863;&#22120;+&#21019;&#23458;\&#22270;&#24418;&#25968;&#25454;&#37319;&#38598;&#20998;&#26512;&#20202;&#29256;&#26412;&#26041;&#26696;\02.10&#39640;&#20013;56&#24231;&#25968;&#23383;&#21270;&#25506;&#31350;&#26041;&#26696;.xlsx" TargetMode="External" Id="rId1" /></Relationships>
</file>

<file path=xl/externalLinks/externalLink1.xml><?xml version="1.0" encoding="utf-8"?>
<externalLink xmlns:r="http://schemas.openxmlformats.org/officeDocument/2006/relationships" xmlns="http://schemas.openxmlformats.org/spreadsheetml/2006/main">
  <externalBook r:id="rId1">
    <sheetNames>
      <sheetName val="汇总表"/>
      <sheetName val="1-1化学探（常规）"/>
      <sheetName val="1-2生物探（常规）"/>
      <sheetName val="1-3物理探（常规）"/>
      <sheetName val="2-1化学探（吊装）"/>
      <sheetName val="2-2生物探 （吊装）"/>
      <sheetName val="2-3物理探 （吊装-加水）"/>
      <sheetName val="2-4物理探 （吊装-无水）"/>
      <sheetName val="2-5化学探 （吊装）"/>
      <sheetName val="2-6生物探 （吊装）"/>
      <sheetName val="2-7物理探 （吊装-加水）"/>
      <sheetName val="2-8物理探 （吊装）"/>
      <sheetName val="3-1化学探（常规）"/>
      <sheetName val="3-2生物探（常规）"/>
      <sheetName val="3-3物理探（常规） "/>
      <sheetName val="4-1化学探（吊装） "/>
      <sheetName val="4-2生物探 （吊装） "/>
      <sheetName val="4-3物理探 （吊装-加水） "/>
      <sheetName val="4-4物理探 （吊装-无水） "/>
      <sheetName val="4-5化学探 （吊装） "/>
      <sheetName val="4-6生物探 （吊装） "/>
      <sheetName val="4-7物理探 （吊装-加水） "/>
      <sheetName val="4-8物理探 （吊装） "/>
      <sheetName val="5-1化学探究实验室"/>
      <sheetName val="5-2生物探究实验室"/>
      <sheetName val="5-3物理探究实验室"/>
      <sheetName val="附表1 修改记录表"/>
      <sheetName val="附表2 修改数据对照表"/>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externalLinks/externalLink2.xml><?xml version="1.0" encoding="utf-8"?>
<externalLink xmlns:r="http://schemas.openxmlformats.org/officeDocument/2006/relationships" xmlns="http://schemas.openxmlformats.org/spreadsheetml/2006/main">
  <externalBook r:id="rId1">
    <sheetNames>
      <sheetName val="总表"/>
      <sheetName val="物理数字化探究教室"/>
      <sheetName val="化学数字化探究教室"/>
      <sheetName val="生物数字化探究教室"/>
      <sheetName val="生化数字化探究教室"/>
    </sheetNames>
    <sheetDataSet>
      <sheetData sheetId="0" refreshError="1"/>
      <sheetData sheetId="1" refreshError="1"/>
      <sheetData sheetId="2" refreshError="1"/>
      <sheetData sheetId="3" refreshError="1"/>
      <sheetData sheetId="4"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AB241"/>
  <sheetViews>
    <sheetView workbookViewId="0">
      <selection activeCell="I2" sqref="I2:L2"/>
    </sheetView>
  </sheetViews>
  <sheetFormatPr baseColWidth="8" defaultColWidth="8" defaultRowHeight="41" customHeight="1"/>
  <cols>
    <col width="9.800000000000001" customWidth="1" style="13" min="1" max="1"/>
    <col width="12.3333333333333" customWidth="1" style="13" min="2" max="2"/>
    <col width="15.0833333333333" customWidth="1" style="13" min="3" max="3"/>
    <col width="10" customWidth="1" style="13" min="4" max="4"/>
    <col width="8" customWidth="1" style="13" min="5" max="6"/>
    <col width="15.8" customWidth="1" style="13" min="7" max="7"/>
    <col width="5.5" customWidth="1" style="13" min="8" max="8"/>
    <col width="15.8" customWidth="1" style="13" min="9" max="9"/>
    <col width="15.1" customWidth="1" style="13" min="10" max="10"/>
    <col width="10.3" customWidth="1" style="13" min="11" max="11"/>
    <col width="13.3" customWidth="1" style="13" min="12" max="12"/>
    <col width="8" customWidth="1" style="13" min="13" max="16384"/>
  </cols>
  <sheetData>
    <row r="1" customFormat="1" s="257">
      <c r="A1" s="15" t="inlineStr">
        <is>
          <t>高中物理新课标仪器（依据：教育部JY/T 0654—2025《普通高中物理教学装备配置标准》）</t>
        </is>
      </c>
      <c r="B1" s="342" t="n"/>
      <c r="C1" s="342" t="n"/>
      <c r="D1" s="342" t="n"/>
      <c r="E1" s="342" t="n"/>
      <c r="F1" s="342" t="n"/>
      <c r="G1" s="342" t="n"/>
      <c r="H1" s="343" t="n"/>
      <c r="I1" s="257" t="n"/>
      <c r="J1" s="257" t="n"/>
      <c r="K1" s="257" t="n"/>
      <c r="L1" s="257" t="n"/>
    </row>
    <row r="2" customFormat="1" s="185">
      <c r="A2" s="20" t="inlineStr">
        <is>
          <t>序号</t>
        </is>
      </c>
      <c r="B2" s="20" t="inlineStr">
        <is>
          <t>分类代码</t>
        </is>
      </c>
      <c r="C2" s="20" t="inlineStr">
        <is>
          <t>器材名称</t>
        </is>
      </c>
      <c r="D2" s="20" t="inlineStr">
        <is>
          <t>规格、品名、教学性能要求</t>
        </is>
      </c>
      <c r="E2" s="20" t="inlineStr">
        <is>
          <t>数量</t>
        </is>
      </c>
      <c r="F2" s="20" t="inlineStr">
        <is>
          <t>单位</t>
        </is>
      </c>
      <c r="G2" s="20" t="inlineStr">
        <is>
          <t>产品图片</t>
        </is>
      </c>
      <c r="H2" s="258" t="inlineStr">
        <is>
          <t>备注</t>
        </is>
      </c>
      <c r="I2" s="23" t="inlineStr">
        <is>
          <t>中标</t>
        </is>
      </c>
      <c r="J2" s="342" t="n"/>
      <c r="K2" s="342" t="n"/>
      <c r="L2" s="343" t="n"/>
      <c r="M2" s="344" t="inlineStr">
        <is>
          <t>数量</t>
        </is>
      </c>
      <c r="N2" s="344" t="inlineStr">
        <is>
          <t>确认单价</t>
        </is>
      </c>
      <c r="O2" s="344" t="inlineStr">
        <is>
          <t>总价</t>
        </is>
      </c>
      <c r="P2" s="344" t="inlineStr">
        <is>
          <t>单位</t>
        </is>
      </c>
      <c r="Q2" s="344" t="inlineStr">
        <is>
          <t>品牌</t>
        </is>
      </c>
      <c r="R2" s="344" t="inlineStr">
        <is>
          <t>制造商</t>
        </is>
      </c>
      <c r="S2" s="344" t="inlineStr">
        <is>
          <t>型号</t>
        </is>
      </c>
      <c r="T2" s="344" t="inlineStr">
        <is>
          <t>参数</t>
        </is>
      </c>
      <c r="U2" s="344" t="inlineStr">
        <is>
          <t>报价2单价</t>
        </is>
      </c>
      <c r="V2" s="344" t="inlineStr">
        <is>
          <t>报价2制造商</t>
        </is>
      </c>
      <c r="W2" s="344" t="inlineStr">
        <is>
          <t>报价3单价</t>
        </is>
      </c>
      <c r="X2" s="344" t="inlineStr">
        <is>
          <t>报价3制造商</t>
        </is>
      </c>
      <c r="Y2" s="344" t="inlineStr">
        <is>
          <t>匹配状态</t>
        </is>
      </c>
      <c r="Z2" s="344" t="inlineStr">
        <is>
          <t>匹配分</t>
        </is>
      </c>
      <c r="AA2" s="344" t="inlineStr">
        <is>
          <t>风险提示</t>
        </is>
      </c>
      <c r="AB2" s="344" t="inlineStr">
        <is>
          <t>历史来源</t>
        </is>
      </c>
    </row>
    <row r="3" customFormat="1" s="190">
      <c r="A3" s="106" t="n">
        <v>1</v>
      </c>
      <c r="B3" s="30" t="n">
        <v>30802000110</v>
      </c>
      <c r="C3" s="104" t="inlineStr">
        <is>
          <t>工作服</t>
        </is>
      </c>
      <c r="D3" s="141" t="inlineStr">
        <is>
          <t>棉</t>
        </is>
      </c>
      <c r="E3" s="31" t="n">
        <v>49</v>
      </c>
      <c r="F3" s="26" t="inlineStr">
        <is>
          <t>件</t>
        </is>
      </c>
      <c r="G3" s="31">
        <f>_xlfn.DISPIMG("ID_53B4D7D8EFC64D29B814BDC4BAEAF75D",1)</f>
        <v/>
      </c>
      <c r="H3" s="147" t="n"/>
      <c r="I3" s="26" t="n">
        <v>30802000110</v>
      </c>
      <c r="J3" s="33" t="inlineStr">
        <is>
          <t>棉制品</t>
        </is>
      </c>
      <c r="K3" s="39" t="inlineStr">
        <is>
          <t>乐百仕</t>
        </is>
      </c>
      <c r="L3" s="39" t="inlineStr">
        <is>
          <t>江苏乐百仕教育科技有限公司</t>
        </is>
      </c>
      <c r="M3" s="345" t="n">
        <v>49</v>
      </c>
      <c r="N3" s="345" t="n">
        <v>29</v>
      </c>
      <c r="O3" s="345" t="n">
        <v>1421</v>
      </c>
      <c r="P3" s="345" t="inlineStr">
        <is>
          <t>件</t>
        </is>
      </c>
      <c r="Q3" s="345" t="inlineStr"/>
      <c r="R3" s="345" t="inlineStr"/>
      <c r="S3" s="345" t="inlineStr"/>
      <c r="T3" s="345" t="inlineStr"/>
      <c r="U3" s="345" t="n">
        <v>29</v>
      </c>
      <c r="V3" s="345" t="inlineStr"/>
      <c r="W3" s="345" t="n">
        <v>31.9</v>
      </c>
      <c r="X3" s="345" t="inlineStr"/>
      <c r="Y3" s="345" t="inlineStr">
        <is>
          <t>confirmed</t>
        </is>
      </c>
      <c r="Z3" s="345" t="n">
        <v>100</v>
      </c>
      <c r="AA3" s="345" t="inlineStr"/>
      <c r="AB3" s="345" t="inlineStr">
        <is>
          <t>赛特尔25年.xls｜初中新课标物理｜第4行</t>
        </is>
      </c>
    </row>
    <row r="4" customFormat="1" s="190">
      <c r="A4" s="106" t="n">
        <v>3</v>
      </c>
      <c r="B4" s="30" t="n">
        <v>30802000504</v>
      </c>
      <c r="C4" s="104" t="inlineStr">
        <is>
          <t>机械危害防护手套</t>
        </is>
      </c>
      <c r="D4" s="141" t="inlineStr">
        <is>
          <t>性能等级应符合 GB 24541－2022 的3级及以上</t>
        </is>
      </c>
      <c r="E4" s="31" t="n">
        <v>49</v>
      </c>
      <c r="F4" s="26" t="inlineStr">
        <is>
          <t>副</t>
        </is>
      </c>
      <c r="G4" s="31">
        <f>_xlfn.DISPIMG("ID_DE177CCF87F64D8EB4A84D7E5AFE175B",1)</f>
        <v/>
      </c>
      <c r="H4" s="147" t="n"/>
      <c r="I4" s="26" t="n">
        <v>30802000504</v>
      </c>
      <c r="J4" s="33" t="inlineStr">
        <is>
          <t>防割手套，3级</t>
        </is>
      </c>
      <c r="K4" s="93" t="inlineStr">
        <is>
          <t>勤帆</t>
        </is>
      </c>
      <c r="L4" s="93" t="inlineStr">
        <is>
          <t>佛山市勤帆手套有限公司</t>
        </is>
      </c>
      <c r="M4" s="345" t="n">
        <v>49</v>
      </c>
      <c r="N4" s="345" t="n">
        <v>30</v>
      </c>
      <c r="O4" s="345" t="n">
        <v>1470</v>
      </c>
      <c r="P4" s="345" t="inlineStr">
        <is>
          <t>副</t>
        </is>
      </c>
      <c r="Q4" s="345" t="inlineStr"/>
      <c r="R4" s="345" t="inlineStr"/>
      <c r="S4" s="345" t="inlineStr"/>
      <c r="T4" s="345" t="inlineStr"/>
      <c r="U4" s="345" t="inlineStr"/>
      <c r="V4" s="345" t="inlineStr"/>
      <c r="W4" s="345" t="inlineStr"/>
      <c r="X4" s="345" t="inlineStr"/>
      <c r="Y4" s="345" t="inlineStr">
        <is>
          <t>confirmed</t>
        </is>
      </c>
      <c r="Z4" s="345" t="n">
        <v>0</v>
      </c>
      <c r="AA4" s="345" t="inlineStr">
        <is>
          <t>匹配到商品档案但无历史价格记录</t>
        </is>
      </c>
      <c r="AB4" s="345" t="inlineStr">
        <is>
          <t>赛特尔25年.xls｜初中新课标物理｜第6行</t>
        </is>
      </c>
    </row>
    <row r="5" customFormat="1" s="190">
      <c r="A5" s="106" t="n">
        <v>4</v>
      </c>
      <c r="B5" s="30" t="n">
        <v>30802000550</v>
      </c>
      <c r="C5" s="104" t="inlineStr">
        <is>
          <t>绝缘手套</t>
        </is>
      </c>
      <c r="D5" s="141" t="inlineStr">
        <is>
          <t>电压不高于380V的低压防护</t>
        </is>
      </c>
      <c r="E5" s="31" t="n">
        <v>13</v>
      </c>
      <c r="F5" s="26" t="inlineStr">
        <is>
          <t>副</t>
        </is>
      </c>
      <c r="G5" s="31">
        <f>_xlfn.DISPIMG("ID_A3A0D3F7E6114766AD48C91911B9108B",1)</f>
        <v/>
      </c>
      <c r="H5" s="147" t="n"/>
      <c r="I5" s="26" t="n">
        <v>30802000550</v>
      </c>
      <c r="J5" s="33" t="inlineStr">
        <is>
          <t>性能：电压不高于380V的低压防护</t>
        </is>
      </c>
      <c r="K5" s="34" t="inlineStr">
        <is>
          <t>金能电力</t>
        </is>
      </c>
      <c r="L5" s="34" t="inlineStr">
        <is>
          <t>河北金能电力科技股份有限公司</t>
        </is>
      </c>
      <c r="M5" s="345" t="n">
        <v>13</v>
      </c>
      <c r="N5" s="345" t="n">
        <v>30</v>
      </c>
      <c r="O5" s="345" t="n">
        <v>390</v>
      </c>
      <c r="P5" s="345" t="inlineStr">
        <is>
          <t>副</t>
        </is>
      </c>
      <c r="Q5" s="345" t="inlineStr"/>
      <c r="R5" s="345" t="inlineStr"/>
      <c r="S5" s="345" t="inlineStr"/>
      <c r="T5" s="345" t="inlineStr"/>
      <c r="U5" s="345" t="inlineStr"/>
      <c r="V5" s="345" t="inlineStr"/>
      <c r="W5" s="345" t="inlineStr"/>
      <c r="X5" s="345" t="inlineStr"/>
      <c r="Y5" s="345" t="inlineStr">
        <is>
          <t>confirmed</t>
        </is>
      </c>
      <c r="Z5" s="345" t="n">
        <v>0</v>
      </c>
      <c r="AA5" s="345" t="inlineStr">
        <is>
          <t>匹配到商品档案但无历史价格记录</t>
        </is>
      </c>
      <c r="AB5" s="345" t="inlineStr">
        <is>
          <t>赛特尔25年.xls｜初中新课标物理｜第6行</t>
        </is>
      </c>
    </row>
    <row r="6" customFormat="1" s="190">
      <c r="A6" s="106" t="n">
        <v>5</v>
      </c>
      <c r="B6" s="30" t="n">
        <v>30802000560</v>
      </c>
      <c r="C6" s="104" t="inlineStr">
        <is>
          <t>绝缘手套</t>
        </is>
      </c>
      <c r="D6" s="141" t="inlineStr">
        <is>
          <t>适用于直流电压高于 10 kV 的高压防护，电气绝缘性能应不低于级别 3</t>
        </is>
      </c>
      <c r="E6" s="31" t="n">
        <v>1</v>
      </c>
      <c r="F6" s="26" t="inlineStr">
        <is>
          <t>副</t>
        </is>
      </c>
      <c r="G6" s="31">
        <f>_xlfn.DISPIMG("ID_9CA4747A4E15473EB8BEEF02ACE1DA77",1)</f>
        <v/>
      </c>
      <c r="H6" s="147" t="n"/>
      <c r="I6" s="26" t="n">
        <v>30802000560</v>
      </c>
      <c r="J6" s="33" t="inlineStr">
        <is>
          <t>性能：适用于直流电压高于 10 kV 的高压防护，电气绝缘性能应不低于级别 3</t>
        </is>
      </c>
      <c r="K6" s="34" t="inlineStr">
        <is>
          <t>金能电力</t>
        </is>
      </c>
      <c r="L6" s="34" t="inlineStr">
        <is>
          <t>河北金能电力科技股份有限公司</t>
        </is>
      </c>
      <c r="M6" s="345" t="n">
        <v>1</v>
      </c>
      <c r="N6" s="345" t="n">
        <v>30</v>
      </c>
      <c r="O6" s="345" t="n">
        <v>30</v>
      </c>
      <c r="P6" s="345" t="inlineStr">
        <is>
          <t>副</t>
        </is>
      </c>
      <c r="Q6" s="345" t="inlineStr"/>
      <c r="R6" s="345" t="inlineStr"/>
      <c r="S6" s="345" t="inlineStr"/>
      <c r="T6" s="345" t="inlineStr"/>
      <c r="U6" s="345" t="inlineStr"/>
      <c r="V6" s="345" t="inlineStr"/>
      <c r="W6" s="345" t="inlineStr"/>
      <c r="X6" s="345" t="inlineStr"/>
      <c r="Y6" s="345" t="inlineStr">
        <is>
          <t>confirmed</t>
        </is>
      </c>
      <c r="Z6" s="345" t="n">
        <v>0</v>
      </c>
      <c r="AA6" s="345" t="inlineStr">
        <is>
          <t>匹配到商品档案但无历史价格记录</t>
        </is>
      </c>
      <c r="AB6" s="345" t="inlineStr">
        <is>
          <t>赛特尔25年.xls｜初中新课标物理｜第6行</t>
        </is>
      </c>
    </row>
    <row r="7" customFormat="1" s="190">
      <c r="A7" s="106" t="n">
        <v>6</v>
      </c>
      <c r="B7" s="30" t="n">
        <v>30802002701</v>
      </c>
      <c r="C7" s="104" t="inlineStr">
        <is>
          <t>绝缘鞋</t>
        </is>
      </c>
      <c r="D7" s="141" t="inlineStr">
        <is>
          <t>全橡胶，在测试电压为 20 kV 时，泄漏电流应≤8 mA</t>
        </is>
      </c>
      <c r="E7" s="31" t="n">
        <v>1</v>
      </c>
      <c r="F7" s="26" t="inlineStr">
        <is>
          <t>双</t>
        </is>
      </c>
      <c r="G7" s="31">
        <f>_xlfn.DISPIMG("ID_8F6F5E6721CB444E81461C3A688173E8",1)</f>
        <v/>
      </c>
      <c r="H7" s="147" t="n"/>
      <c r="I7" s="26" t="n">
        <v>30802002701</v>
      </c>
      <c r="J7" s="33" t="inlineStr">
        <is>
          <t>全橡胶，在测试电压为 20 kV 时，泄漏电流应≤8 mA</t>
        </is>
      </c>
      <c r="K7" s="34" t="inlineStr">
        <is>
          <t>金能电力</t>
        </is>
      </c>
      <c r="L7" s="34" t="inlineStr">
        <is>
          <t>河北金能电力科技股份有限公司</t>
        </is>
      </c>
      <c r="M7" s="345" t="n">
        <v>1</v>
      </c>
      <c r="N7" s="345" t="n">
        <v>170</v>
      </c>
      <c r="O7" s="345" t="n">
        <v>170</v>
      </c>
      <c r="P7" s="345" t="inlineStr">
        <is>
          <t>双</t>
        </is>
      </c>
      <c r="Q7" s="345" t="inlineStr"/>
      <c r="R7" s="345" t="inlineStr"/>
      <c r="S7" s="345" t="inlineStr"/>
      <c r="T7" s="345" t="inlineStr"/>
      <c r="U7" s="345" t="inlineStr"/>
      <c r="V7" s="345" t="inlineStr"/>
      <c r="W7" s="345" t="inlineStr"/>
      <c r="X7" s="345" t="inlineStr"/>
      <c r="Y7" s="345" t="inlineStr">
        <is>
          <t>confirmed</t>
        </is>
      </c>
      <c r="Z7" s="345" t="n">
        <v>0</v>
      </c>
      <c r="AA7" s="345" t="inlineStr">
        <is>
          <t>匹配到商品档案但无历史价格记录</t>
        </is>
      </c>
      <c r="AB7" s="345" t="inlineStr">
        <is>
          <t>赛特尔25年.xls｜初中物理｜第90行</t>
        </is>
      </c>
    </row>
    <row r="8" customFormat="1" s="5">
      <c r="A8" s="106" t="n">
        <v>7</v>
      </c>
      <c r="B8" s="259" t="n">
        <v>30802005210</v>
      </c>
      <c r="C8" s="37" t="inlineStr">
        <is>
          <t>套袖</t>
        </is>
      </c>
      <c r="D8" s="96" t="inlineStr">
        <is>
          <t>棉</t>
        </is>
      </c>
      <c r="E8" s="93" t="n">
        <v>49</v>
      </c>
      <c r="F8" s="34" t="inlineStr">
        <is>
          <t>套</t>
        </is>
      </c>
      <c r="G8" s="93">
        <f>_xlfn.DISPIMG("ID_AF385C1B4B1C44708F0DFD36496FCAFC",1)</f>
        <v/>
      </c>
      <c r="H8" s="32" t="n"/>
      <c r="I8" s="34" t="n">
        <v>30802005210</v>
      </c>
      <c r="J8" s="33" t="inlineStr">
        <is>
          <t>棉制品</t>
        </is>
      </c>
      <c r="K8" s="39" t="inlineStr">
        <is>
          <t>乐百仕</t>
        </is>
      </c>
      <c r="L8" s="39" t="inlineStr">
        <is>
          <t>江苏乐百仕教育科技有限公司</t>
        </is>
      </c>
      <c r="M8" s="345" t="n">
        <v>49</v>
      </c>
      <c r="N8" s="345" t="n">
        <v>4</v>
      </c>
      <c r="O8" s="345" t="n">
        <v>196</v>
      </c>
      <c r="P8" s="345" t="inlineStr">
        <is>
          <t>套</t>
        </is>
      </c>
      <c r="Q8" s="345" t="inlineStr"/>
      <c r="R8" s="345" t="inlineStr"/>
      <c r="S8" s="345" t="inlineStr"/>
      <c r="T8" s="345" t="inlineStr">
        <is>
          <t>棉</t>
        </is>
      </c>
      <c r="U8" s="345" t="inlineStr"/>
      <c r="V8" s="345" t="inlineStr"/>
      <c r="W8" s="345" t="inlineStr"/>
      <c r="X8" s="345" t="inlineStr"/>
      <c r="Y8" s="345" t="inlineStr">
        <is>
          <t>confirmed</t>
        </is>
      </c>
      <c r="Z8" s="345" t="n">
        <v>100</v>
      </c>
      <c r="AA8" s="345" t="inlineStr"/>
      <c r="AB8" s="345" t="inlineStr">
        <is>
          <t>赛特尔25年.xls｜初中新课标物理｜第7行</t>
        </is>
      </c>
    </row>
    <row r="9" customFormat="1" s="5">
      <c r="A9" s="106" t="n">
        <v>8</v>
      </c>
      <c r="B9" s="30" t="n">
        <v>30802000201</v>
      </c>
      <c r="C9" s="104" t="inlineStr">
        <is>
          <t>激光防护镜</t>
        </is>
      </c>
      <c r="D9" s="141" t="inlineStr">
        <is>
          <t>激光类实验用，需与激光波长匹配</t>
        </is>
      </c>
      <c r="E9" s="31" t="n">
        <v>13</v>
      </c>
      <c r="F9" s="26" t="inlineStr">
        <is>
          <t>个</t>
        </is>
      </c>
      <c r="G9" s="31">
        <f>_xlfn.DISPIMG("ID_439A687BFC2A4014963D8C2DAD82789E",1)</f>
        <v/>
      </c>
      <c r="H9" s="32" t="n"/>
      <c r="I9" s="26" t="n">
        <v>30802000201</v>
      </c>
      <c r="J9" s="33" t="inlineStr">
        <is>
          <t>性能：激光类实验用，需与激光波长匹配</t>
        </is>
      </c>
      <c r="K9" s="39" t="inlineStr">
        <is>
          <t>乐百仕</t>
        </is>
      </c>
      <c r="L9" s="39" t="inlineStr">
        <is>
          <t>江苏乐百仕教育科技有限公司</t>
        </is>
      </c>
      <c r="M9" s="345" t="n">
        <v>13</v>
      </c>
      <c r="N9" s="345" t="n">
        <v>36</v>
      </c>
      <c r="O9" s="345" t="n">
        <v>468</v>
      </c>
      <c r="P9" s="345" t="inlineStr">
        <is>
          <t>个</t>
        </is>
      </c>
      <c r="Q9" s="345" t="inlineStr"/>
      <c r="R9" s="345" t="inlineStr"/>
      <c r="S9" s="345" t="inlineStr"/>
      <c r="T9" s="345" t="inlineStr">
        <is>
          <t>激光类实验用</t>
        </is>
      </c>
      <c r="U9" s="345" t="inlineStr"/>
      <c r="V9" s="345" t="inlineStr"/>
      <c r="W9" s="345" t="inlineStr"/>
      <c r="X9" s="345" t="inlineStr"/>
      <c r="Y9" s="345" t="inlineStr">
        <is>
          <t>confirmed</t>
        </is>
      </c>
      <c r="Z9" s="345" t="n">
        <v>100</v>
      </c>
      <c r="AA9" s="345" t="inlineStr"/>
      <c r="AB9" s="345" t="inlineStr">
        <is>
          <t>赛特尔25年.xls｜初中新课标物理｜第8行</t>
        </is>
      </c>
    </row>
    <row r="10" customFormat="1" s="190">
      <c r="A10" s="106" t="n">
        <v>9</v>
      </c>
      <c r="B10" s="30" t="n">
        <v>30802000203</v>
      </c>
      <c r="C10" s="104" t="inlineStr">
        <is>
          <t>护目镜</t>
        </is>
      </c>
      <c r="D10" s="141" t="inlineStr">
        <is>
          <t>防机械冲击</t>
        </is>
      </c>
      <c r="E10" s="31" t="n">
        <v>49</v>
      </c>
      <c r="F10" s="26" t="inlineStr">
        <is>
          <t>个</t>
        </is>
      </c>
      <c r="G10" s="31">
        <f>_xlfn.DISPIMG("ID_ED308159D204466EB9147D2376187997",1)</f>
        <v/>
      </c>
      <c r="H10" s="147" t="n"/>
      <c r="I10" s="26" t="n">
        <v>30802000203</v>
      </c>
      <c r="J10" s="33" t="inlineStr">
        <is>
          <t>性能：防机械冲击</t>
        </is>
      </c>
      <c r="K10" s="39" t="inlineStr">
        <is>
          <t>乐百仕</t>
        </is>
      </c>
      <c r="L10" s="39" t="inlineStr">
        <is>
          <t>江苏乐百仕教育科技有限公司</t>
        </is>
      </c>
      <c r="M10" s="345" t="n">
        <v>49</v>
      </c>
      <c r="N10" s="345" t="n">
        <v>6</v>
      </c>
      <c r="O10" s="345" t="n">
        <v>294</v>
      </c>
      <c r="P10" s="345" t="inlineStr">
        <is>
          <t>个</t>
        </is>
      </c>
      <c r="Q10" s="345" t="inlineStr"/>
      <c r="R10" s="345" t="inlineStr"/>
      <c r="S10" s="345" t="inlineStr"/>
      <c r="T10" s="345" t="inlineStr"/>
      <c r="U10" s="345" t="n">
        <v>6</v>
      </c>
      <c r="V10" s="345" t="inlineStr"/>
      <c r="W10" s="345" t="n">
        <v>6.5</v>
      </c>
      <c r="X10" s="345" t="inlineStr"/>
      <c r="Y10" s="345" t="inlineStr">
        <is>
          <t>confirmed</t>
        </is>
      </c>
      <c r="Z10" s="345" t="n">
        <v>100</v>
      </c>
      <c r="AA10" s="345" t="inlineStr"/>
      <c r="AB10" s="345" t="inlineStr">
        <is>
          <t>高中理化生报价.xlsx｜凯迪｜第1342行</t>
        </is>
      </c>
    </row>
    <row r="11" customFormat="1" s="5">
      <c r="A11" s="106" t="n">
        <v>12</v>
      </c>
      <c r="B11" s="30" t="n">
        <v>30802000802</v>
      </c>
      <c r="C11" s="104" t="inlineStr">
        <is>
          <t>简易急救箱</t>
        </is>
      </c>
      <c r="D11" s="141" t="inlineStr">
        <is>
          <t>箱内包括：烧伤药膏1瓶，医用酒精 50 mL，碘伏 50 mL，创可贴 10 条，胶布 1 卷，绷带5 卷，卫生棉签 1 包，剪刀 1 把，镊子 1 把，止血带 1 根（长度≥30 cm）等</t>
        </is>
      </c>
      <c r="E11" s="31" t="n">
        <v>1</v>
      </c>
      <c r="F11" s="26" t="inlineStr">
        <is>
          <t>个</t>
        </is>
      </c>
      <c r="G11" s="31">
        <f>_xlfn.DISPIMG("ID_BE1A0994B87547C5845443DBEAD02DD2",1)</f>
        <v/>
      </c>
      <c r="H11" s="32" t="n"/>
      <c r="I11" s="26" t="n">
        <v>30802000802</v>
      </c>
      <c r="J11" s="33" t="inlineStr">
        <is>
          <t>箱内包括：烧伤药膏1瓶，医用酒精 50 mL，碘伏 50 mL，创可贴 10 条，胶布 1 卷，绷带5 卷，卫生棉签 1 包，剪刀 1 把，镊子 1 把，止血带 1 根（长度≥30 cm）等</t>
        </is>
      </c>
      <c r="K11" s="37" t="inlineStr">
        <is>
          <t>和美</t>
        </is>
      </c>
      <c r="L11" s="346" t="inlineStr">
        <is>
          <t>江苏和美电子科技有限公司</t>
        </is>
      </c>
      <c r="M11" s="345" t="n">
        <v>1</v>
      </c>
      <c r="N11" s="345" t="n">
        <v>80</v>
      </c>
      <c r="O11" s="345" t="n">
        <v>80</v>
      </c>
      <c r="P11" s="345" t="inlineStr">
        <is>
          <t>个</t>
        </is>
      </c>
      <c r="Q11" s="345" t="inlineStr"/>
      <c r="R11" s="345" t="inlineStr"/>
      <c r="S11" s="345" t="inlineStr"/>
      <c r="T11" s="345" t="inlineStr"/>
      <c r="U11" s="345" t="inlineStr"/>
      <c r="V11" s="345" t="inlineStr"/>
      <c r="W11" s="345" t="inlineStr"/>
      <c r="X11" s="345" t="inlineStr"/>
      <c r="Y11" s="345" t="inlineStr">
        <is>
          <t>confirmed</t>
        </is>
      </c>
      <c r="Z11" s="345" t="n">
        <v>0</v>
      </c>
      <c r="AA11" s="345" t="inlineStr">
        <is>
          <t>没有找到可靠候选</t>
        </is>
      </c>
      <c r="AB11" s="345" t="inlineStr">
        <is>
          <t>赛特尔25年.xls｜初中化学｜第278行</t>
        </is>
      </c>
    </row>
    <row r="12" customFormat="1" s="190">
      <c r="A12" s="106" t="n">
        <v>13</v>
      </c>
      <c r="B12" s="30" t="n">
        <v>30802001301</v>
      </c>
      <c r="C12" s="104" t="inlineStr">
        <is>
          <t>灭火毯</t>
        </is>
      </c>
      <c r="D12" s="141" t="inlineStr">
        <is>
          <t>玻璃纤维材质，应有涂覆层，1800mm×1200mm</t>
        </is>
      </c>
      <c r="E12" s="31" t="n">
        <v>1</v>
      </c>
      <c r="F12" s="26" t="inlineStr">
        <is>
          <t>条</t>
        </is>
      </c>
      <c r="G12" s="31">
        <f>_xlfn.DISPIMG("ID_E70E379C2CD64CF183E605D44799F52F",1)</f>
        <v/>
      </c>
      <c r="H12" s="147" t="n"/>
      <c r="I12" s="26" t="n">
        <v>30802001301</v>
      </c>
      <c r="J12" s="33" t="inlineStr">
        <is>
          <t>玻璃纤维材质，应有涂覆层，1800mm×1200mm</t>
        </is>
      </c>
      <c r="K12" s="34" t="inlineStr">
        <is>
          <t>坦安</t>
        </is>
      </c>
      <c r="L12" s="34" t="inlineStr">
        <is>
          <t>济南坦安新材料科技有限公司</t>
        </is>
      </c>
      <c r="M12" s="345" t="n">
        <v>1</v>
      </c>
      <c r="N12" s="345" t="n">
        <v>48</v>
      </c>
      <c r="O12" s="345" t="n">
        <v>48</v>
      </c>
      <c r="P12" s="345" t="inlineStr">
        <is>
          <t>条</t>
        </is>
      </c>
      <c r="Q12" s="345" t="inlineStr"/>
      <c r="R12" s="345" t="inlineStr"/>
      <c r="S12" s="345" t="inlineStr"/>
      <c r="T12" s="345" t="inlineStr">
        <is>
          <t>玻璃纤维材质， 1200 mm×1800 mm</t>
        </is>
      </c>
      <c r="U12" s="345" t="inlineStr"/>
      <c r="V12" s="345" t="inlineStr"/>
      <c r="W12" s="345" t="inlineStr"/>
      <c r="X12" s="345" t="inlineStr"/>
      <c r="Y12" s="345" t="inlineStr">
        <is>
          <t>confirmed</t>
        </is>
      </c>
      <c r="Z12" s="345" t="n">
        <v>0</v>
      </c>
      <c r="AA12" s="345" t="inlineStr">
        <is>
          <t>没有找到可靠候选</t>
        </is>
      </c>
      <c r="AB12" s="345" t="inlineStr">
        <is>
          <t>赛特尔25年.xls｜初中新课标生物｜第6行</t>
        </is>
      </c>
    </row>
    <row r="13" customFormat="1" s="257">
      <c r="A13" s="106" t="n">
        <v>14</v>
      </c>
      <c r="B13" s="31" t="n">
        <v>30199002002</v>
      </c>
      <c r="C13" s="31" t="inlineStr">
        <is>
          <t>仪器车</t>
        </is>
      </c>
      <c r="D13" s="141" t="inlineStr">
        <is>
          <t>600 mm×400 mm×1000 mm，橡胶包车轮，车轮Φ75 mm，厚 25 mm；2 轮带刹车，车轮固定时车架扭动量（上部）≤20 mm；钢材制作，载重≥60 kg</t>
        </is>
      </c>
      <c r="E13" s="31" t="n">
        <v>2</v>
      </c>
      <c r="F13" s="31" t="inlineStr">
        <is>
          <t>辆</t>
        </is>
      </c>
      <c r="G13" s="31">
        <f>_xlfn.DISPIMG("ID_E6691B46BD9A4F7680E03D8D06890E2B",1)</f>
        <v/>
      </c>
      <c r="H13" s="330" t="n"/>
      <c r="I13" s="31" t="n">
        <v>30199002002</v>
      </c>
      <c r="J13" s="33" t="inlineStr">
        <is>
          <t>尺寸：600 mm×400 mm×1000 mm，橡胶包车轮，车轮Φ75 mm，厚 25 mm；2 轮带刹车，车轮固定时车架扭动量（上部）≤20 mm；钢材制作，载重≥60 kg</t>
        </is>
      </c>
      <c r="K13" s="39" t="inlineStr">
        <is>
          <t>乐百仕</t>
        </is>
      </c>
      <c r="L13" s="39" t="inlineStr">
        <is>
          <t>江苏乐百仕教育科技有限公司</t>
        </is>
      </c>
      <c r="M13" s="345" t="n">
        <v>2</v>
      </c>
      <c r="N13" s="345" t="n">
        <v>0</v>
      </c>
      <c r="O13" s="345" t="n">
        <v>0</v>
      </c>
      <c r="P13" s="345" t="inlineStr">
        <is>
          <t>辆</t>
        </is>
      </c>
      <c r="Q13" s="345" t="inlineStr"/>
      <c r="R13" s="345" t="inlineStr"/>
      <c r="S13" s="345" t="inlineStr"/>
      <c r="T13" s="345" t="inlineStr"/>
      <c r="U13" s="345" t="n">
        <v>175</v>
      </c>
      <c r="V13" s="345" t="inlineStr"/>
      <c r="W13" s="345" t="n">
        <v>260</v>
      </c>
      <c r="X13" s="345" t="inlineStr"/>
      <c r="Y13" s="345" t="inlineStr">
        <is>
          <t>confirmed</t>
        </is>
      </c>
      <c r="Z13" s="345" t="n">
        <v>100</v>
      </c>
      <c r="AA13" s="345" t="inlineStr">
        <is>
          <t>同分多价：最高分候选存在不同历史价格</t>
        </is>
      </c>
      <c r="AB13" s="345" t="inlineStr">
        <is>
          <t>高中理化生报价.xlsx｜凯迪｜第1605行</t>
        </is>
      </c>
    </row>
    <row r="14" customFormat="1" s="257">
      <c r="A14" s="106" t="n">
        <v>15</v>
      </c>
      <c r="B14" s="26" t="n">
        <v>30199020201</v>
      </c>
      <c r="C14" s="87" t="inlineStr">
        <is>
          <t>小托盘</t>
        </is>
      </c>
      <c r="D14" s="141" t="inlineStr">
        <is>
          <t>250 mm×350 mm×60 mm</t>
        </is>
      </c>
      <c r="E14" s="31" t="n">
        <v>13</v>
      </c>
      <c r="F14" s="26" t="inlineStr">
        <is>
          <t>个</t>
        </is>
      </c>
      <c r="G14" s="31">
        <f>_xlfn.DISPIMG("ID_2BA7BBF4CD924C6CB6DCEBA51911540C",1)</f>
        <v/>
      </c>
      <c r="H14" s="330" t="n"/>
      <c r="I14" s="26" t="n">
        <v>30199020201</v>
      </c>
      <c r="J14" s="33" t="inlineStr">
        <is>
          <t>尺寸：250 mm×350 mm×60 mm</t>
        </is>
      </c>
      <c r="K14" s="39" t="inlineStr">
        <is>
          <t>乐百仕</t>
        </is>
      </c>
      <c r="L14" s="39" t="inlineStr">
        <is>
          <t>江苏乐百仕教育科技有限公司</t>
        </is>
      </c>
      <c r="M14" s="345" t="n">
        <v>13</v>
      </c>
      <c r="N14" s="345" t="n">
        <v>12</v>
      </c>
      <c r="O14" s="345" t="n">
        <v>156</v>
      </c>
      <c r="P14" s="345" t="inlineStr">
        <is>
          <t>个</t>
        </is>
      </c>
      <c r="Q14" s="345" t="inlineStr"/>
      <c r="R14" s="345" t="inlineStr"/>
      <c r="S14" s="345" t="inlineStr"/>
      <c r="T14" s="345" t="inlineStr"/>
      <c r="U14" s="345" t="n">
        <v>20</v>
      </c>
      <c r="V14" s="345" t="inlineStr"/>
      <c r="W14" s="345" t="n">
        <v>22</v>
      </c>
      <c r="X14" s="345" t="inlineStr"/>
      <c r="Y14" s="345" t="inlineStr">
        <is>
          <t>confirmed</t>
        </is>
      </c>
      <c r="Z14" s="345" t="n">
        <v>57.1</v>
      </c>
      <c r="AA14" s="345" t="inlineStr">
        <is>
          <t>价格分歧&gt;30%：历史报价分歧较大，需人工核对；同分多价：最高分候选存在不同历史价格</t>
        </is>
      </c>
      <c r="AB14" s="345" t="inlineStr">
        <is>
          <t>赛特尔25年.xls｜初中新课标生物｜第36行</t>
        </is>
      </c>
    </row>
    <row r="15" customFormat="1" s="257">
      <c r="A15" s="106" t="n">
        <v>16</v>
      </c>
      <c r="B15" s="26" t="n">
        <v>30199020202</v>
      </c>
      <c r="C15" s="87" t="inlineStr">
        <is>
          <t>大托盘</t>
        </is>
      </c>
      <c r="D15" s="141" t="inlineStr">
        <is>
          <t>350 mm×470 mm×80 mm</t>
        </is>
      </c>
      <c r="E15" s="31" t="n">
        <v>13</v>
      </c>
      <c r="F15" s="26" t="inlineStr">
        <is>
          <t>个</t>
        </is>
      </c>
      <c r="G15" s="31">
        <f>_xlfn.DISPIMG("ID_2C445A521A0941C0BEC5720A77264AFE",1)</f>
        <v/>
      </c>
      <c r="H15" s="330" t="n"/>
      <c r="I15" s="26" t="n">
        <v>30199020202</v>
      </c>
      <c r="J15" s="33" t="inlineStr">
        <is>
          <t>尺寸：350 mm×470 mm×80 mm</t>
        </is>
      </c>
      <c r="K15" s="39" t="inlineStr">
        <is>
          <t>乐百仕</t>
        </is>
      </c>
      <c r="L15" s="39" t="inlineStr">
        <is>
          <t>江苏乐百仕教育科技有限公司</t>
        </is>
      </c>
      <c r="M15" s="345" t="n">
        <v>13</v>
      </c>
      <c r="N15" s="345" t="n">
        <v>12</v>
      </c>
      <c r="O15" s="345" t="n">
        <v>156</v>
      </c>
      <c r="P15" s="345" t="inlineStr">
        <is>
          <t>个</t>
        </is>
      </c>
      <c r="Q15" s="345" t="inlineStr"/>
      <c r="R15" s="345" t="inlineStr"/>
      <c r="S15" s="345" t="inlineStr"/>
      <c r="T15" s="345" t="inlineStr"/>
      <c r="U15" s="345" t="n">
        <v>20</v>
      </c>
      <c r="V15" s="345" t="inlineStr"/>
      <c r="W15" s="345" t="n">
        <v>22</v>
      </c>
      <c r="X15" s="345" t="inlineStr"/>
      <c r="Y15" s="345" t="inlineStr">
        <is>
          <t>confirmed</t>
        </is>
      </c>
      <c r="Z15" s="345" t="n">
        <v>57.1</v>
      </c>
      <c r="AA15" s="345" t="inlineStr">
        <is>
          <t>价格分歧&gt;30%：历史报价分歧较大，需人工核对；同分多价：最高分候选存在不同历史价格</t>
        </is>
      </c>
      <c r="AB15" s="345" t="inlineStr">
        <is>
          <t>赛特尔25年.xls｜初中新课标生物｜第36行</t>
        </is>
      </c>
    </row>
    <row r="16" customFormat="1" s="195">
      <c r="A16" s="106" t="n">
        <v>17</v>
      </c>
      <c r="B16" s="26" t="n">
        <v>30199020301</v>
      </c>
      <c r="C16" s="87" t="inlineStr">
        <is>
          <t>提盒</t>
        </is>
      </c>
      <c r="D16" s="141" t="inlineStr">
        <is>
          <t>承重大于3 kg</t>
        </is>
      </c>
      <c r="E16" s="31" t="n">
        <v>4</v>
      </c>
      <c r="F16" s="26" t="inlineStr">
        <is>
          <t>个</t>
        </is>
      </c>
      <c r="G16" s="31">
        <f>_xlfn.DISPIMG("ID_D0E1B324BE11497FA4D98A761A9FFAAA",1)</f>
        <v/>
      </c>
      <c r="H16" s="220" t="n"/>
      <c r="I16" s="26" t="n">
        <v>30199020301</v>
      </c>
      <c r="J16" s="33" t="inlineStr">
        <is>
          <t>性能：承重大于3 kg</t>
        </is>
      </c>
      <c r="K16" s="39" t="inlineStr">
        <is>
          <t>乐百仕</t>
        </is>
      </c>
      <c r="L16" s="39" t="inlineStr">
        <is>
          <t>江苏乐百仕教育科技有限公司</t>
        </is>
      </c>
      <c r="M16" s="345" t="n">
        <v>4</v>
      </c>
      <c r="N16" s="345" t="n">
        <v>95</v>
      </c>
      <c r="O16" s="345" t="n">
        <v>380</v>
      </c>
      <c r="P16" s="345" t="inlineStr">
        <is>
          <t>个</t>
        </is>
      </c>
      <c r="Q16" s="345" t="inlineStr"/>
      <c r="R16" s="345" t="inlineStr"/>
      <c r="S16" s="345" t="inlineStr"/>
      <c r="T16" s="345" t="inlineStr">
        <is>
          <t>承重大于 3 kg</t>
        </is>
      </c>
      <c r="U16" s="345" t="inlineStr"/>
      <c r="V16" s="345" t="inlineStr"/>
      <c r="W16" s="345" t="inlineStr"/>
      <c r="X16" s="345" t="inlineStr"/>
      <c r="Y16" s="345" t="inlineStr">
        <is>
          <t>confirmed</t>
        </is>
      </c>
      <c r="Z16" s="345" t="n">
        <v>100</v>
      </c>
      <c r="AA16" s="345" t="inlineStr"/>
      <c r="AB16" s="345" t="inlineStr">
        <is>
          <t>赛特尔25年.xls｜初中新课标物理｜第18行</t>
        </is>
      </c>
    </row>
    <row r="17" customFormat="1" s="195">
      <c r="A17" s="106" t="n">
        <v>20</v>
      </c>
      <c r="B17" s="26" t="n">
        <v>30820060211</v>
      </c>
      <c r="C17" s="87" t="inlineStr">
        <is>
          <t>登高梯</t>
        </is>
      </c>
      <c r="D17" s="227" t="inlineStr">
        <is>
          <t>自立式踏板梯，铝合金，承重150kg以上</t>
        </is>
      </c>
      <c r="E17" s="31" t="n">
        <v>1</v>
      </c>
      <c r="F17" s="26" t="inlineStr">
        <is>
          <t>个</t>
        </is>
      </c>
      <c r="G17" s="31">
        <f>_xlfn.DISPIMG("ID_A14B0BC2BC6242E3AEACBF4281254F74",1)</f>
        <v/>
      </c>
      <c r="H17" s="220" t="n"/>
      <c r="I17" s="26" t="n">
        <v>30820060211</v>
      </c>
      <c r="J17" s="33" t="inlineStr">
        <is>
          <t>性能：自立式踏板梯，铝合金，承重150kg以上</t>
        </is>
      </c>
      <c r="K17" s="39" t="inlineStr">
        <is>
          <t>乐百仕</t>
        </is>
      </c>
      <c r="L17" s="39" t="inlineStr">
        <is>
          <t>江苏乐百仕教育科技有限公司</t>
        </is>
      </c>
      <c r="M17" s="345" t="n">
        <v>1</v>
      </c>
      <c r="N17" s="345" t="n">
        <v>0.32</v>
      </c>
      <c r="O17" s="345" t="n">
        <v>0.32</v>
      </c>
      <c r="P17" s="345" t="inlineStr">
        <is>
          <t>个</t>
        </is>
      </c>
      <c r="Q17" s="345" t="inlineStr"/>
      <c r="R17" s="345" t="inlineStr"/>
      <c r="S17" s="345" t="inlineStr"/>
      <c r="T17" s="345" t="inlineStr">
        <is>
          <t>试剂</t>
        </is>
      </c>
      <c r="U17" s="345" t="inlineStr"/>
      <c r="V17" s="345" t="inlineStr"/>
      <c r="W17" s="345" t="inlineStr"/>
      <c r="X17" s="345" t="inlineStr"/>
      <c r="Y17" s="345" t="inlineStr">
        <is>
          <t>confirmed</t>
        </is>
      </c>
      <c r="Z17" s="345" t="n">
        <v>0</v>
      </c>
      <c r="AA17" s="345" t="inlineStr">
        <is>
          <t>匹配到商品档案但无历史价格记录</t>
        </is>
      </c>
      <c r="AB17" s="345" t="inlineStr">
        <is>
          <t>赛特尔25年.xls｜高中生物｜第254行</t>
        </is>
      </c>
    </row>
    <row r="18" customFormat="1" s="195">
      <c r="A18" s="106" t="n">
        <v>21</v>
      </c>
      <c r="B18" s="26" t="n">
        <v>30801000201</v>
      </c>
      <c r="C18" s="87" t="inlineStr">
        <is>
          <t>一字槽
螺钉旋
具</t>
        </is>
      </c>
      <c r="D18" s="227" t="inlineStr">
        <is>
          <t>Φ6mm，长150 mm；Φ3 mm，长75mm；工作部带磁性，全长范围内硬度不低于56HRC</t>
        </is>
      </c>
      <c r="E18" s="31" t="n">
        <v>13</v>
      </c>
      <c r="F18" s="26" t="inlineStr">
        <is>
          <t>套</t>
        </is>
      </c>
      <c r="G18" s="31">
        <f>_xlfn.DISPIMG("ID_31F8EAB2F77849688BF7E776D8FABE67",1)</f>
        <v/>
      </c>
      <c r="H18" s="220" t="n"/>
      <c r="I18" s="26" t="n">
        <v>30801000201</v>
      </c>
      <c r="J18" s="33" t="inlineStr">
        <is>
          <t>尺寸：Φ6mm，长150 mm；Φ3 mm，长75mm；工作部带磁性，全长范围内硬度不低于56HRC</t>
        </is>
      </c>
      <c r="K18" s="39" t="inlineStr">
        <is>
          <t>乐百仕</t>
        </is>
      </c>
      <c r="L18" s="39" t="inlineStr">
        <is>
          <t>江苏乐百仕教育科技有限公司</t>
        </is>
      </c>
      <c r="M18" s="345" t="n">
        <v>13</v>
      </c>
      <c r="N18" s="345" t="n">
        <v>130</v>
      </c>
      <c r="O18" s="345" t="n">
        <v>1690</v>
      </c>
      <c r="P18" s="345" t="inlineStr">
        <is>
          <t>套</t>
        </is>
      </c>
      <c r="Q18" s="345" t="inlineStr"/>
      <c r="R18" s="345" t="inlineStr"/>
      <c r="S18" s="345" t="inlineStr"/>
      <c r="T18" s="345" t="inlineStr">
        <is>
          <t>电动</t>
        </is>
      </c>
      <c r="U18" s="345" t="inlineStr"/>
      <c r="V18" s="345" t="inlineStr"/>
      <c r="W18" s="345" t="inlineStr"/>
      <c r="X18" s="345" t="inlineStr"/>
      <c r="Y18" s="345" t="inlineStr">
        <is>
          <t>confirmed</t>
        </is>
      </c>
      <c r="Z18" s="345" t="n">
        <v>0</v>
      </c>
      <c r="AA18" s="345" t="inlineStr">
        <is>
          <t>匹配到商品档案但无历史价格记录</t>
        </is>
      </c>
      <c r="AB18" s="345" t="inlineStr">
        <is>
          <t>赛特尔25年.xls｜小学新课标科学｜第198行</t>
        </is>
      </c>
    </row>
    <row r="19" customFormat="1" s="195">
      <c r="A19" s="106" t="n">
        <v>22</v>
      </c>
      <c r="B19" s="31" t="n">
        <v>30801000301</v>
      </c>
      <c r="C19" s="31" t="inlineStr">
        <is>
          <t>十字槽
螺钉旋
具</t>
        </is>
      </c>
      <c r="D19" s="227" t="inlineStr">
        <is>
          <t>Φ6mm，长150mm；Φ3mm，长75mm；工作部带磁性，硬度不低于 54HRC；其余部分硬度不低于50HRC</t>
        </is>
      </c>
      <c r="E19" s="31" t="n">
        <v>13</v>
      </c>
      <c r="F19" s="26" t="inlineStr">
        <is>
          <t>套</t>
        </is>
      </c>
      <c r="G19" s="31">
        <f>_xlfn.DISPIMG("ID_CD39458BF9C246C7B600F292F46D23B1",1)</f>
        <v/>
      </c>
      <c r="H19" s="220" t="n"/>
      <c r="I19" s="31" t="n">
        <v>30801000301</v>
      </c>
      <c r="J19" s="33" t="inlineStr">
        <is>
          <t>尺寸：Φ6mm，长150mm；Φ3mm，长75mm；工作部带磁性，硬度不低于 54HRC；其余部分硬度不低于50HRC</t>
        </is>
      </c>
      <c r="K19" s="39" t="inlineStr">
        <is>
          <t>乐百仕</t>
        </is>
      </c>
      <c r="L19" s="39" t="inlineStr">
        <is>
          <t>江苏乐百仕教育科技有限公司</t>
        </is>
      </c>
      <c r="M19" s="345" t="n">
        <v>13</v>
      </c>
      <c r="N19" s="345" t="n">
        <v>130</v>
      </c>
      <c r="O19" s="345" t="n">
        <v>1690</v>
      </c>
      <c r="P19" s="345" t="inlineStr">
        <is>
          <t>套</t>
        </is>
      </c>
      <c r="Q19" s="345" t="inlineStr"/>
      <c r="R19" s="345" t="inlineStr"/>
      <c r="S19" s="345" t="inlineStr"/>
      <c r="T19" s="345" t="inlineStr">
        <is>
          <t>电动</t>
        </is>
      </c>
      <c r="U19" s="345" t="inlineStr"/>
      <c r="V19" s="345" t="inlineStr"/>
      <c r="W19" s="345" t="inlineStr"/>
      <c r="X19" s="345" t="inlineStr"/>
      <c r="Y19" s="345" t="inlineStr">
        <is>
          <t>confirmed</t>
        </is>
      </c>
      <c r="Z19" s="345" t="n">
        <v>0</v>
      </c>
      <c r="AA19" s="345" t="inlineStr">
        <is>
          <t>匹配到商品档案但无历史价格记录</t>
        </is>
      </c>
      <c r="AB19" s="345" t="inlineStr">
        <is>
          <t>赛特尔25年.xls｜小学新课标科学｜第198行</t>
        </is>
      </c>
    </row>
    <row r="20" customFormat="1" s="195">
      <c r="A20" s="106" t="n">
        <v>23</v>
      </c>
      <c r="B20" s="31" t="n">
        <v>30801000251</v>
      </c>
      <c r="C20" s="153" t="inlineStr">
        <is>
          <t>内六角花形螺钉旋具</t>
        </is>
      </c>
      <c r="D20" s="138" t="inlineStr">
        <is>
          <t>螺杆直径 1.37mm～8.79mm，硬度不低于 50HRC</t>
        </is>
      </c>
      <c r="E20" s="31" t="n">
        <v>13</v>
      </c>
      <c r="F20" s="26" t="inlineStr">
        <is>
          <t>套</t>
        </is>
      </c>
      <c r="G20" s="31">
        <f>_xlfn.DISPIMG("ID_E97C037104D34CD39874847FA53F6514",1)</f>
        <v/>
      </c>
      <c r="H20" s="220" t="n"/>
      <c r="I20" s="31" t="n">
        <v>30801000251</v>
      </c>
      <c r="J20" s="33" t="inlineStr">
        <is>
          <t>性能：螺杆直径 1.37mm～8.79mm，硬度不低于 50HRC</t>
        </is>
      </c>
      <c r="K20" s="39" t="inlineStr">
        <is>
          <t>乐百仕</t>
        </is>
      </c>
      <c r="L20" s="39" t="inlineStr">
        <is>
          <t>江苏乐百仕教育科技有限公司</t>
        </is>
      </c>
      <c r="M20" s="345" t="n">
        <v>13</v>
      </c>
      <c r="N20" s="345" t="n">
        <v>130</v>
      </c>
      <c r="O20" s="345" t="n">
        <v>1690</v>
      </c>
      <c r="P20" s="345" t="inlineStr">
        <is>
          <t>套</t>
        </is>
      </c>
      <c r="Q20" s="345" t="inlineStr"/>
      <c r="R20" s="345" t="inlineStr"/>
      <c r="S20" s="345" t="inlineStr"/>
      <c r="T20" s="345" t="inlineStr">
        <is>
          <t>电动</t>
        </is>
      </c>
      <c r="U20" s="345" t="inlineStr"/>
      <c r="V20" s="345" t="inlineStr"/>
      <c r="W20" s="345" t="inlineStr"/>
      <c r="X20" s="345" t="inlineStr"/>
      <c r="Y20" s="345" t="inlineStr">
        <is>
          <t>confirmed</t>
        </is>
      </c>
      <c r="Z20" s="345" t="n">
        <v>0</v>
      </c>
      <c r="AA20" s="345" t="inlineStr">
        <is>
          <t>匹配到商品档案但无历史价格记录</t>
        </is>
      </c>
      <c r="AB20" s="345" t="inlineStr">
        <is>
          <t>赛特尔25年.xls｜小学新课标科学｜第198行</t>
        </is>
      </c>
    </row>
    <row r="21" customFormat="1" s="192">
      <c r="A21" s="106" t="n">
        <v>32</v>
      </c>
      <c r="B21" s="103" t="n">
        <v>30801001310</v>
      </c>
      <c r="C21" s="140" t="inlineStr">
        <is>
          <t>剥线钳</t>
        </is>
      </c>
      <c r="D21" s="139" t="inlineStr">
        <is>
          <t>可用于剥离线芯直径为 0.5 mm～2.5 mm 的导线；刃口闭合状态间隙应不大于 0.3 mm，刃口错位应不大于 0.2 mm；剥线刃口硬度不应低于 40 HRC；剪切刃口硬度应为 50HRC～59 HRC</t>
        </is>
      </c>
      <c r="E21" s="131" t="n">
        <v>1</v>
      </c>
      <c r="F21" s="131" t="inlineStr">
        <is>
          <t>把</t>
        </is>
      </c>
      <c r="G21" s="131">
        <f>_xlfn.DISPIMG("ID_0D3E51CFF5624C95A1CBC12A00330E95",1)</f>
        <v/>
      </c>
      <c r="H21" s="229" t="n"/>
      <c r="I21" s="103" t="n">
        <v>30801001310</v>
      </c>
      <c r="J21" s="109" t="inlineStr">
        <is>
          <t>性能：可用于剥离线芯直径为 0.5 mm～2.5 mm 的导线；刃口闭合状态间隙应不大于 0.3 mm，刃口错位应不大于 0.2 mm；剥线刃口硬度不应低于 40 HRC；剪切刃口硬度应为 50HRC～59 HRC</t>
        </is>
      </c>
      <c r="K21" s="39" t="inlineStr">
        <is>
          <t>乐百仕</t>
        </is>
      </c>
      <c r="L21" s="39" t="inlineStr">
        <is>
          <t>江苏乐百仕教育科技有限公司</t>
        </is>
      </c>
      <c r="M21" s="345" t="n">
        <v>1</v>
      </c>
      <c r="N21" s="345" t="n">
        <v>12</v>
      </c>
      <c r="O21" s="345" t="n">
        <v>12</v>
      </c>
      <c r="P21" s="345" t="inlineStr">
        <is>
          <t>把</t>
        </is>
      </c>
      <c r="Q21" s="345" t="inlineStr"/>
      <c r="R21" s="345" t="inlineStr"/>
      <c r="S21" s="345" t="inlineStr"/>
      <c r="T21" s="345" t="inlineStr"/>
      <c r="U21" s="345" t="n">
        <v>14</v>
      </c>
      <c r="V21" s="345" t="inlineStr"/>
      <c r="W21" s="345" t="inlineStr"/>
      <c r="X21" s="345" t="inlineStr"/>
      <c r="Y21" s="345" t="inlineStr">
        <is>
          <t>confirmed</t>
        </is>
      </c>
      <c r="Z21" s="345" t="n">
        <v>100</v>
      </c>
      <c r="AA21" s="345" t="inlineStr">
        <is>
          <t>同分多价：最高分候选存在不同历史价格</t>
        </is>
      </c>
      <c r="AB21" s="345" t="inlineStr">
        <is>
          <t>高中理化生报价.xlsx｜凯迪｜第1859行</t>
        </is>
      </c>
    </row>
    <row r="22" customFormat="1" s="195">
      <c r="A22" s="106" t="n">
        <v>33</v>
      </c>
      <c r="B22" s="31" t="n">
        <v>30801001411</v>
      </c>
      <c r="C22" s="31" t="inlineStr">
        <is>
          <t>钢丝钳</t>
        </is>
      </c>
      <c r="D22" s="227" t="inlineStr">
        <is>
          <t>160 mm，抗弯强度 1120 N，扭力矩 15 N·m，15°；剪切性能Φ1.6 mm 钢丝，580 N；夹持面硬度不低于 44 HRC；PVC 手柄，在不大于 18 N 的力作用下撑开角度不小于22°</t>
        </is>
      </c>
      <c r="E22" s="31" t="n">
        <v>1</v>
      </c>
      <c r="F22" s="26" t="inlineStr">
        <is>
          <t>把</t>
        </is>
      </c>
      <c r="G22" s="31">
        <f>_xlfn.DISPIMG("ID_A58E61C3CAD9442EA1E4347340FB5307",1)</f>
        <v/>
      </c>
      <c r="H22" s="220" t="n"/>
      <c r="I22" s="31" t="n">
        <v>30801001411</v>
      </c>
      <c r="J22" s="33" t="inlineStr">
        <is>
          <t>性能：160 mm，抗弯强度 1120 N，扭力矩 15 N·m，15°；剪切性能Φ1.6 mm 钢丝，580 N；夹持面硬度不低于 44 HRC；PVC 手柄，在不大于 18 N 的力作用下撑开角度不小于22°</t>
        </is>
      </c>
      <c r="K22" s="39" t="inlineStr">
        <is>
          <t>乐百仕</t>
        </is>
      </c>
      <c r="L22" s="39" t="inlineStr">
        <is>
          <t>江苏乐百仕教育科技有限公司</t>
        </is>
      </c>
      <c r="M22" s="345" t="n">
        <v>1</v>
      </c>
      <c r="N22" s="345" t="n">
        <v>12</v>
      </c>
      <c r="O22" s="345" t="n">
        <v>12</v>
      </c>
      <c r="P22" s="345" t="inlineStr">
        <is>
          <t>把</t>
        </is>
      </c>
      <c r="Q22" s="345" t="inlineStr"/>
      <c r="R22" s="345" t="inlineStr"/>
      <c r="S22" s="345" t="inlineStr"/>
      <c r="T22" s="345" t="inlineStr"/>
      <c r="U22" s="345" t="n">
        <v>13.2</v>
      </c>
      <c r="V22" s="345" t="inlineStr"/>
      <c r="W22" s="345" t="n">
        <v>22</v>
      </c>
      <c r="X22" s="345" t="inlineStr"/>
      <c r="Y22" s="345" t="inlineStr">
        <is>
          <t>confirmed</t>
        </is>
      </c>
      <c r="Z22" s="345" t="n">
        <v>100</v>
      </c>
      <c r="AA22" s="345" t="inlineStr">
        <is>
          <t>价格分歧&gt;30%：历史报价分歧较大，需人工核对；同分多价：最高分候选存在不同历史价格</t>
        </is>
      </c>
      <c r="AB22" s="345" t="inlineStr">
        <is>
          <t>赛特尔25年.xls｜初中新课标生物｜第47行</t>
        </is>
      </c>
    </row>
    <row r="23" customFormat="1" s="195">
      <c r="A23" s="106" t="n">
        <v>34</v>
      </c>
      <c r="B23" s="31" t="n">
        <v>30801000401</v>
      </c>
      <c r="C23" s="31" t="inlineStr">
        <is>
          <t>尖嘴钳</t>
        </is>
      </c>
      <c r="D23" s="141" t="inlineStr">
        <is>
          <t>160 mm，抗弯强度710N，剪切性能Φ1.6mm 钢丝，570 N；在不大于 18 N 的力作用下撑开角度不小于22°，硬度不低于44HRC，PVC手柄</t>
        </is>
      </c>
      <c r="E23" s="31" t="n">
        <v>1</v>
      </c>
      <c r="F23" s="26" t="inlineStr">
        <is>
          <t>把</t>
        </is>
      </c>
      <c r="G23" s="31">
        <f>_xlfn.DISPIMG("ID_081F0554223042A0AB020C2681624F70",1)</f>
        <v/>
      </c>
      <c r="H23" s="220" t="n"/>
      <c r="I23" s="31" t="n">
        <v>30801000401</v>
      </c>
      <c r="J23" s="33" t="inlineStr">
        <is>
          <t>尺寸：160 mm，抗弯强度710N，剪切性能Φ1.6mm 钢丝，570 N；在不大于 18 N 的力作用下撑开角度不小于22°，硬度不低于44HRC，PVC手柄</t>
        </is>
      </c>
      <c r="K23" s="39" t="inlineStr">
        <is>
          <t>乐百仕</t>
        </is>
      </c>
      <c r="L23" s="39" t="inlineStr">
        <is>
          <t>江苏乐百仕教育科技有限公司</t>
        </is>
      </c>
      <c r="M23" s="345" t="n">
        <v>1</v>
      </c>
      <c r="N23" s="345" t="n">
        <v>12</v>
      </c>
      <c r="O23" s="345" t="n">
        <v>12</v>
      </c>
      <c r="P23" s="345" t="inlineStr">
        <is>
          <t>把</t>
        </is>
      </c>
      <c r="Q23" s="345" t="inlineStr"/>
      <c r="R23" s="345" t="inlineStr"/>
      <c r="S23" s="345" t="inlineStr"/>
      <c r="T23" s="345" t="inlineStr"/>
      <c r="U23" s="345" t="n">
        <v>12</v>
      </c>
      <c r="V23" s="345" t="inlineStr"/>
      <c r="W23" s="345" t="n">
        <v>13.2</v>
      </c>
      <c r="X23" s="345" t="inlineStr"/>
      <c r="Y23" s="345" t="inlineStr">
        <is>
          <t>confirmed</t>
        </is>
      </c>
      <c r="Z23" s="345" t="n">
        <v>66.7</v>
      </c>
      <c r="AA23" s="345" t="inlineStr"/>
      <c r="AB23" s="345" t="inlineStr">
        <is>
          <t>赛特尔25年.xls｜初中新课标物理｜第33行</t>
        </is>
      </c>
    </row>
    <row r="24" customFormat="1" s="195">
      <c r="A24" s="106" t="n">
        <v>36</v>
      </c>
      <c r="B24" s="93" t="n">
        <v>30801006902</v>
      </c>
      <c r="C24" s="93" t="inlineStr">
        <is>
          <t>斜嘴钳</t>
        </is>
      </c>
      <c r="D24" s="96" t="inlineStr">
        <is>
          <t>长度 140 mm；钳口长22mm；剪切钢丝直径 1.6 mm；抗弯强度 1000 N；刃口硬度不低于55HRC</t>
        </is>
      </c>
      <c r="E24" s="93" t="n">
        <v>1</v>
      </c>
      <c r="F24" s="34" t="inlineStr">
        <is>
          <t>把</t>
        </is>
      </c>
      <c r="G24" s="93">
        <f>_xlfn.DISPIMG("ID_AA51D742DFBC4C0380EE99958D037AAD",1)</f>
        <v/>
      </c>
      <c r="H24" s="220" t="n"/>
      <c r="I24" s="93" t="n">
        <v>30801006902</v>
      </c>
      <c r="J24" s="33" t="inlineStr">
        <is>
          <t>长度尺寸： 140 mm；钳口长22mm；剪切钢丝直径 1.6 mm；抗弯强度 1000 N；刃口硬度不低于55HRC</t>
        </is>
      </c>
      <c r="K24" s="39" t="inlineStr">
        <is>
          <t>乐百仕</t>
        </is>
      </c>
      <c r="L24" s="39" t="inlineStr">
        <is>
          <t>江苏乐百仕教育科技有限公司</t>
        </is>
      </c>
      <c r="M24" s="345" t="n">
        <v>1</v>
      </c>
      <c r="N24" s="345" t="n">
        <v>20</v>
      </c>
      <c r="O24" s="345" t="n">
        <v>20</v>
      </c>
      <c r="P24" s="345" t="inlineStr">
        <is>
          <t>把</t>
        </is>
      </c>
      <c r="Q24" s="345" t="inlineStr"/>
      <c r="R24" s="345" t="inlineStr"/>
      <c r="S24" s="345" t="inlineStr"/>
      <c r="T24" s="345" t="inlineStr">
        <is>
          <t>230mm×80mm</t>
        </is>
      </c>
      <c r="U24" s="345" t="inlineStr"/>
      <c r="V24" s="345" t="inlineStr"/>
      <c r="W24" s="345" t="inlineStr"/>
      <c r="X24" s="345" t="inlineStr"/>
      <c r="Y24" s="345" t="inlineStr">
        <is>
          <t>confirmed</t>
        </is>
      </c>
      <c r="Z24" s="345" t="n">
        <v>66.7</v>
      </c>
      <c r="AA24" s="345" t="inlineStr"/>
      <c r="AB24" s="345" t="inlineStr">
        <is>
          <t>赛特尔25年.xls｜高中通用技术｜第136行</t>
        </is>
      </c>
    </row>
    <row r="25" customFormat="1" s="195">
      <c r="A25" s="106" t="n">
        <v>40</v>
      </c>
      <c r="B25" s="93" t="n">
        <v>30801012601</v>
      </c>
      <c r="C25" s="93" t="inlineStr">
        <is>
          <t>砂纸</t>
        </is>
      </c>
      <c r="D25" s="96" t="inlineStr">
        <is>
          <t>A4，P120、P240、P360、P400 等</t>
        </is>
      </c>
      <c r="E25" s="93" t="n">
        <v>20</v>
      </c>
      <c r="F25" s="34" t="inlineStr">
        <is>
          <t>张</t>
        </is>
      </c>
      <c r="G25" s="93">
        <f>_xlfn.DISPIMG("ID_C48BA0ADDF464EA3B6CFF080BE49E99A",1)</f>
        <v/>
      </c>
      <c r="H25" s="220" t="n"/>
      <c r="I25" s="93" t="n">
        <v>30801012601</v>
      </c>
      <c r="J25" s="33" t="inlineStr">
        <is>
          <t>A4，P120、P240、P360、P400 等</t>
        </is>
      </c>
      <c r="K25" s="39" t="inlineStr">
        <is>
          <t>乐百仕</t>
        </is>
      </c>
      <c r="L25" s="39" t="inlineStr">
        <is>
          <t>江苏乐百仕教育科技有限公司</t>
        </is>
      </c>
      <c r="M25" s="345" t="n">
        <v>20</v>
      </c>
      <c r="N25" s="345" t="n">
        <v>0.6</v>
      </c>
      <c r="O25" s="345" t="n">
        <v>12</v>
      </c>
      <c r="P25" s="345" t="inlineStr">
        <is>
          <t>张</t>
        </is>
      </c>
      <c r="Q25" s="345" t="inlineStr"/>
      <c r="R25" s="345" t="inlineStr"/>
      <c r="S25" s="345" t="inlineStr"/>
      <c r="T25" s="345" t="inlineStr">
        <is>
          <t>干磨砂纸，P36～P50、P150～P220、P1000～P2000</t>
        </is>
      </c>
      <c r="U25" s="345" t="inlineStr"/>
      <c r="V25" s="345" t="inlineStr"/>
      <c r="W25" s="345" t="inlineStr"/>
      <c r="X25" s="345" t="inlineStr"/>
      <c r="Y25" s="345" t="inlineStr">
        <is>
          <t>confirmed</t>
        </is>
      </c>
      <c r="Z25" s="345" t="n">
        <v>100</v>
      </c>
      <c r="AA25" s="345" t="inlineStr"/>
      <c r="AB25" s="345" t="inlineStr">
        <is>
          <t>赛特尔25年.xls｜初中新课标物理｜第39行</t>
        </is>
      </c>
    </row>
    <row r="26" customFormat="1" s="195">
      <c r="A26" s="106" t="n">
        <v>49</v>
      </c>
      <c r="B26" s="31" t="n">
        <v>30801003105</v>
      </c>
      <c r="C26" s="31" t="inlineStr">
        <is>
          <t>民用剪刀</t>
        </is>
      </c>
      <c r="D26" s="141" t="inlineStr">
        <is>
          <t>不小于123mm</t>
        </is>
      </c>
      <c r="E26" s="31" t="n">
        <v>1</v>
      </c>
      <c r="F26" s="26" t="inlineStr">
        <is>
          <t>把</t>
        </is>
      </c>
      <c r="G26" s="31">
        <f>_xlfn.DISPIMG("ID_4D8C2AEDA1B4466C82520F54976DAEF8",1)</f>
        <v/>
      </c>
      <c r="H26" s="220" t="n"/>
      <c r="I26" s="31" t="n">
        <v>30801003105</v>
      </c>
      <c r="J26" s="33" t="inlineStr">
        <is>
          <t>尺寸：不小于123mm</t>
        </is>
      </c>
      <c r="K26" s="39" t="inlineStr">
        <is>
          <t>乐百仕</t>
        </is>
      </c>
      <c r="L26" s="39" t="inlineStr">
        <is>
          <t>江苏乐百仕教育科技有限公司</t>
        </is>
      </c>
      <c r="M26" s="345" t="n">
        <v>1</v>
      </c>
      <c r="N26" s="345" t="n">
        <v>7</v>
      </c>
      <c r="O26" s="345" t="n">
        <v>7</v>
      </c>
      <c r="P26" s="345" t="inlineStr">
        <is>
          <t>把</t>
        </is>
      </c>
      <c r="Q26" s="345" t="inlineStr">
        <is>
          <t>群信</t>
        </is>
      </c>
      <c r="R26" s="345" t="inlineStr"/>
      <c r="S26" s="345" t="inlineStr"/>
      <c r="T26" s="345" t="inlineStr">
        <is>
          <t>81032</t>
        </is>
      </c>
      <c r="U26" s="345" t="n">
        <v>65</v>
      </c>
      <c r="V26" s="345" t="inlineStr"/>
      <c r="W26" s="345" t="inlineStr"/>
      <c r="X26" s="345" t="inlineStr"/>
      <c r="Y26" s="345" t="inlineStr">
        <is>
          <t>confirmed</t>
        </is>
      </c>
      <c r="Z26" s="345" t="n">
        <v>100</v>
      </c>
      <c r="AA26" s="345" t="inlineStr">
        <is>
          <t>价格分歧&gt;30%：历史报价分歧较大，需人工核对；同分多价：最高分候选存在不同历史价格</t>
        </is>
      </c>
      <c r="AB26" s="345" t="inlineStr">
        <is>
          <t>赛特尔25年.xls｜初中新课标物理｜第47行</t>
        </is>
      </c>
    </row>
    <row r="27" customFormat="1" s="195">
      <c r="A27" s="106" t="n">
        <v>52</v>
      </c>
      <c r="B27" s="347" t="n">
        <v>30801002402</v>
      </c>
      <c r="C27" s="59" t="inlineStr">
        <is>
          <t>电烙铁套装</t>
        </is>
      </c>
      <c r="D27" s="115" t="inlineStr">
        <is>
          <t>20 W，内热式，橡胶线，含烙铁架</t>
        </is>
      </c>
      <c r="E27" s="31" t="n">
        <v>1</v>
      </c>
      <c r="F27" s="26" t="inlineStr">
        <is>
          <t>套</t>
        </is>
      </c>
      <c r="G27" s="31">
        <f>_xlfn.DISPIMG("ID_82564705102847A88A07615C7CB9C222",1)</f>
        <v/>
      </c>
      <c r="H27" s="220" t="n"/>
      <c r="I27" s="348" t="n">
        <v>30801002402</v>
      </c>
      <c r="J27" s="40" t="inlineStr">
        <is>
          <t>20 W，内热式，橡胶线，含烙铁架</t>
        </is>
      </c>
      <c r="K27" s="39" t="inlineStr">
        <is>
          <t>乐百仕</t>
        </is>
      </c>
      <c r="L27" s="39" t="inlineStr">
        <is>
          <t>江苏乐百仕教育科技有限公司</t>
        </is>
      </c>
      <c r="M27" s="345" t="n">
        <v>1</v>
      </c>
      <c r="N27" s="345" t="n">
        <v>0.11</v>
      </c>
      <c r="O27" s="345" t="n">
        <v>0.11</v>
      </c>
      <c r="P27" s="345" t="inlineStr">
        <is>
          <t>套</t>
        </is>
      </c>
      <c r="Q27" s="345" t="inlineStr"/>
      <c r="R27" s="345" t="inlineStr"/>
      <c r="S27" s="345" t="inlineStr"/>
      <c r="T27" s="345" t="inlineStr">
        <is>
          <t>试剂</t>
        </is>
      </c>
      <c r="U27" s="345" t="inlineStr"/>
      <c r="V27" s="345" t="inlineStr"/>
      <c r="W27" s="345" t="inlineStr"/>
      <c r="X27" s="345" t="inlineStr"/>
      <c r="Y27" s="345" t="inlineStr">
        <is>
          <t>confirmed</t>
        </is>
      </c>
      <c r="Z27" s="345" t="n">
        <v>0</v>
      </c>
      <c r="AA27" s="345" t="inlineStr">
        <is>
          <t>没有找到可靠候选</t>
        </is>
      </c>
      <c r="AB27" s="345" t="inlineStr">
        <is>
          <t>赛特尔25年.xls｜高中化学｜第312行</t>
        </is>
      </c>
    </row>
    <row r="28" customFormat="1" s="195">
      <c r="A28" s="106" t="n">
        <v>54</v>
      </c>
      <c r="B28" s="93" t="n">
        <v>30801061001</v>
      </c>
      <c r="C28" s="260" t="inlineStr">
        <is>
          <t>焊锡膏</t>
        </is>
      </c>
      <c r="D28" s="96" t="inlineStr">
        <is>
          <t>中性</t>
        </is>
      </c>
      <c r="E28" s="93" t="n">
        <v>1</v>
      </c>
      <c r="F28" s="34" t="inlineStr">
        <is>
          <t>盒</t>
        </is>
      </c>
      <c r="G28" s="93">
        <f>_xlfn.DISPIMG("ID_3E2DB56A2992471B873D2B645ACE34C8",1)</f>
        <v/>
      </c>
      <c r="H28" s="220" t="n"/>
      <c r="I28" s="93" t="n">
        <v>30801061001</v>
      </c>
      <c r="J28" s="33" t="inlineStr">
        <is>
          <t>性能：中性</t>
        </is>
      </c>
      <c r="K28" s="39" t="inlineStr">
        <is>
          <t>乐百仕</t>
        </is>
      </c>
      <c r="L28" s="39" t="inlineStr">
        <is>
          <t>江苏乐百仕教育科技有限公司</t>
        </is>
      </c>
      <c r="M28" s="345" t="n">
        <v>1</v>
      </c>
      <c r="N28" s="345" t="n">
        <v>12</v>
      </c>
      <c r="O28" s="345" t="n">
        <v>12</v>
      </c>
      <c r="P28" s="345" t="inlineStr">
        <is>
          <t>盒</t>
        </is>
      </c>
      <c r="Q28" s="345" t="inlineStr"/>
      <c r="R28" s="345" t="inlineStr"/>
      <c r="S28" s="345" t="inlineStr"/>
      <c r="T28" s="345" t="inlineStr">
        <is>
          <t>中性</t>
        </is>
      </c>
      <c r="U28" s="345" t="inlineStr"/>
      <c r="V28" s="345" t="inlineStr"/>
      <c r="W28" s="345" t="inlineStr"/>
      <c r="X28" s="345" t="inlineStr"/>
      <c r="Y28" s="345" t="inlineStr">
        <is>
          <t>confirmed</t>
        </is>
      </c>
      <c r="Z28" s="345" t="n">
        <v>100</v>
      </c>
      <c r="AA28" s="345" t="inlineStr"/>
      <c r="AB28" s="345" t="inlineStr">
        <is>
          <t>赛特尔25年.xls｜初中新课标物理｜第52行</t>
        </is>
      </c>
    </row>
    <row r="29" customFormat="1" s="195">
      <c r="A29" s="106" t="n">
        <v>55</v>
      </c>
      <c r="B29" s="93" t="n">
        <v>30801061101</v>
      </c>
      <c r="C29" s="260" t="inlineStr">
        <is>
          <t>焊锡丝</t>
        </is>
      </c>
      <c r="D29" s="96" t="inlineStr">
        <is>
          <t>无铅，100g</t>
        </is>
      </c>
      <c r="E29" s="93" t="n">
        <v>450</v>
      </c>
      <c r="F29" s="34" t="inlineStr">
        <is>
          <t>g</t>
        </is>
      </c>
      <c r="G29" s="93">
        <f>_xlfn.DISPIMG("ID_CCC65C62283F40F7B7C8D81A549B4B95",1)</f>
        <v/>
      </c>
      <c r="H29" s="220" t="n"/>
      <c r="I29" s="93" t="n">
        <v>30801061101</v>
      </c>
      <c r="J29" s="33" t="inlineStr">
        <is>
          <t>性能：无铅，100g</t>
        </is>
      </c>
      <c r="K29" s="39" t="inlineStr">
        <is>
          <t>乐百仕</t>
        </is>
      </c>
      <c r="L29" s="39" t="inlineStr">
        <is>
          <t>江苏乐百仕教育科技有限公司</t>
        </is>
      </c>
      <c r="M29" s="345" t="n">
        <v>450</v>
      </c>
      <c r="N29" s="345" t="n">
        <v>0.35</v>
      </c>
      <c r="O29" s="345" t="n">
        <v>157.5</v>
      </c>
      <c r="P29" s="345" t="inlineStr">
        <is>
          <t>g</t>
        </is>
      </c>
      <c r="Q29" s="345" t="inlineStr"/>
      <c r="R29" s="345" t="inlineStr"/>
      <c r="S29" s="345" t="inlineStr"/>
      <c r="T29" s="345" t="inlineStr">
        <is>
          <t>无铅</t>
        </is>
      </c>
      <c r="U29" s="345" t="inlineStr"/>
      <c r="V29" s="345" t="inlineStr"/>
      <c r="W29" s="345" t="inlineStr"/>
      <c r="X29" s="345" t="inlineStr"/>
      <c r="Y29" s="345" t="inlineStr">
        <is>
          <t>confirmed</t>
        </is>
      </c>
      <c r="Z29" s="345" t="n">
        <v>100</v>
      </c>
      <c r="AA29" s="345" t="inlineStr"/>
      <c r="AB29" s="345" t="inlineStr">
        <is>
          <t>赛特尔25年.xls｜初中新课标物理｜第53行</t>
        </is>
      </c>
    </row>
    <row r="30" customFormat="1" s="195">
      <c r="A30" s="106" t="n">
        <v>56</v>
      </c>
      <c r="B30" s="93" t="n">
        <v>30801061201</v>
      </c>
      <c r="C30" s="260" t="inlineStr">
        <is>
          <t>松香</t>
        </is>
      </c>
      <c r="D30" s="96" t="inlineStr">
        <is>
          <t>助焊,24g</t>
        </is>
      </c>
      <c r="E30" s="93" t="n">
        <v>100</v>
      </c>
      <c r="F30" s="34" t="inlineStr">
        <is>
          <t>g</t>
        </is>
      </c>
      <c r="G30" s="93">
        <f>_xlfn.DISPIMG("ID_3934BD30B814470680DB01E7A8613F6F",1)</f>
        <v/>
      </c>
      <c r="H30" s="220" t="n"/>
      <c r="I30" s="93" t="n">
        <v>30801061201</v>
      </c>
      <c r="J30" s="33" t="inlineStr">
        <is>
          <t>性能：助焊,24g</t>
        </is>
      </c>
      <c r="K30" s="39" t="inlineStr">
        <is>
          <t>乐百仕</t>
        </is>
      </c>
      <c r="L30" s="39" t="inlineStr">
        <is>
          <t>江苏乐百仕教育科技有限公司</t>
        </is>
      </c>
      <c r="M30" s="345" t="n">
        <v>100</v>
      </c>
      <c r="N30" s="345" t="n">
        <v>0.12</v>
      </c>
      <c r="O30" s="345" t="n">
        <v>12</v>
      </c>
      <c r="P30" s="345" t="inlineStr">
        <is>
          <t>g</t>
        </is>
      </c>
      <c r="Q30" s="345" t="inlineStr"/>
      <c r="R30" s="345" t="inlineStr"/>
      <c r="S30" s="345" t="inlineStr"/>
      <c r="T30" s="345" t="inlineStr">
        <is>
          <t>助焊</t>
        </is>
      </c>
      <c r="U30" s="345" t="inlineStr"/>
      <c r="V30" s="345" t="inlineStr"/>
      <c r="W30" s="345" t="inlineStr"/>
      <c r="X30" s="345" t="inlineStr"/>
      <c r="Y30" s="345" t="inlineStr">
        <is>
          <t>confirmed</t>
        </is>
      </c>
      <c r="Z30" s="345" t="n">
        <v>100</v>
      </c>
      <c r="AA30" s="345" t="inlineStr"/>
      <c r="AB30" s="345" t="inlineStr">
        <is>
          <t>赛特尔25年.xls｜初中新课标物理｜第54行</t>
        </is>
      </c>
    </row>
    <row r="31" customFormat="1" s="257">
      <c r="A31" s="106" t="n">
        <v>63</v>
      </c>
      <c r="B31" s="26" t="n">
        <v>30199000402</v>
      </c>
      <c r="C31" s="87" t="inlineStr">
        <is>
          <t>打孔器</t>
        </is>
      </c>
      <c r="D31" s="141" t="inlineStr">
        <is>
          <t>齿口式，材质为不锈钢管、钢管或黄铜管，每组不少于 4 支，外径分别为 5.0 mm、6.5mm、8.0 mm、9.5 mm，并配一支带柄金属通扦</t>
        </is>
      </c>
      <c r="E31" s="31" t="n">
        <v>1</v>
      </c>
      <c r="F31" s="26" t="inlineStr">
        <is>
          <t>套</t>
        </is>
      </c>
      <c r="G31" s="31">
        <f>_xlfn.DISPIMG("ID_29C12B9229564E96A2F02D55FF38EF02",1)</f>
        <v/>
      </c>
      <c r="H31" s="330" t="n"/>
      <c r="I31" s="26" t="n">
        <v>30199000402</v>
      </c>
      <c r="J31" s="33" t="inlineStr">
        <is>
          <t>性能：齿口式，材质为不锈钢管、钢管或黄铜管，每组不少于 4 支，外径分别为 5.0 mm、6.5mm、8.0 mm、9.5 mm，并配一支带柄金属通扦</t>
        </is>
      </c>
      <c r="K31" s="39" t="inlineStr">
        <is>
          <t>乐百仕</t>
        </is>
      </c>
      <c r="L31" s="39" t="inlineStr">
        <is>
          <t>江苏乐百仕教育科技有限公司</t>
        </is>
      </c>
      <c r="M31" s="345" t="n">
        <v>1</v>
      </c>
      <c r="N31" s="345" t="n">
        <v>6</v>
      </c>
      <c r="O31" s="345" t="n">
        <v>6</v>
      </c>
      <c r="P31" s="345" t="inlineStr">
        <is>
          <t>套</t>
        </is>
      </c>
      <c r="Q31" s="345" t="inlineStr"/>
      <c r="R31" s="345" t="inlineStr"/>
      <c r="S31" s="345" t="inlineStr"/>
      <c r="T31" s="345" t="inlineStr"/>
      <c r="U31" s="345" t="inlineStr"/>
      <c r="V31" s="345" t="inlineStr"/>
      <c r="W31" s="345" t="inlineStr"/>
      <c r="X31" s="345" t="inlineStr"/>
      <c r="Y31" s="345" t="inlineStr">
        <is>
          <t>confirmed</t>
        </is>
      </c>
      <c r="Z31" s="345" t="n">
        <v>0</v>
      </c>
      <c r="AA31" s="345" t="inlineStr">
        <is>
          <t>没有找到可靠候选</t>
        </is>
      </c>
      <c r="AB31" s="345" t="inlineStr">
        <is>
          <t>赛特尔25年.xls｜初中新课标生物｜第38行</t>
        </is>
      </c>
    </row>
    <row r="32" customFormat="1" s="257">
      <c r="A32" s="106" t="n">
        <v>64</v>
      </c>
      <c r="B32" s="26" t="n">
        <v>30199000501</v>
      </c>
      <c r="C32" s="87" t="inlineStr">
        <is>
          <t>打孔夹板</t>
        </is>
      </c>
      <c r="D32" s="141" t="inlineStr">
        <is>
          <t>锥形孔，锥度 1：10；硬木或硬塑料制</t>
        </is>
      </c>
      <c r="E32" s="31" t="n">
        <v>1</v>
      </c>
      <c r="F32" s="26" t="inlineStr">
        <is>
          <t>个</t>
        </is>
      </c>
      <c r="G32" s="31">
        <f>_xlfn.DISPIMG("ID_11571BB40C4249829340F1B61B449447",1)</f>
        <v/>
      </c>
      <c r="H32" s="330" t="n"/>
      <c r="I32" s="26" t="n">
        <v>30199000501</v>
      </c>
      <c r="J32" s="33" t="inlineStr">
        <is>
          <t>性能：锥形孔，锥度 1：10；硬木或硬塑料制</t>
        </is>
      </c>
      <c r="K32" s="39" t="inlineStr">
        <is>
          <t>乐百仕</t>
        </is>
      </c>
      <c r="L32" s="39" t="inlineStr">
        <is>
          <t>江苏乐百仕教育科技有限公司</t>
        </is>
      </c>
      <c r="M32" s="345" t="n">
        <v>1</v>
      </c>
      <c r="N32" s="345" t="n">
        <v>6</v>
      </c>
      <c r="O32" s="345" t="n">
        <v>6</v>
      </c>
      <c r="P32" s="345" t="inlineStr">
        <is>
          <t>个</t>
        </is>
      </c>
      <c r="Q32" s="345" t="inlineStr"/>
      <c r="R32" s="345" t="inlineStr"/>
      <c r="S32" s="345" t="inlineStr"/>
      <c r="T32" s="345" t="inlineStr"/>
      <c r="U32" s="345" t="inlineStr"/>
      <c r="V32" s="345" t="inlineStr"/>
      <c r="W32" s="345" t="inlineStr"/>
      <c r="X32" s="345" t="inlineStr"/>
      <c r="Y32" s="345" t="inlineStr">
        <is>
          <t>confirmed</t>
        </is>
      </c>
      <c r="Z32" s="345" t="n">
        <v>100</v>
      </c>
      <c r="AA32" s="345" t="inlineStr"/>
      <c r="AB32" s="345" t="inlineStr">
        <is>
          <t>赛特尔25年.xls｜初中新课标生物｜第39行</t>
        </is>
      </c>
    </row>
    <row r="33" customFormat="1" s="195">
      <c r="A33" s="106" t="n">
        <v>66</v>
      </c>
      <c r="B33" s="34" t="n">
        <v>30801013001</v>
      </c>
      <c r="C33" s="149" t="inlineStr">
        <is>
          <t>锥子</t>
        </is>
      </c>
      <c r="D33" s="96" t="inlineStr">
        <is>
          <t>锥头长77mm，锥杆直径渐变</t>
        </is>
      </c>
      <c r="E33" s="93" t="n">
        <v>1</v>
      </c>
      <c r="F33" s="34" t="inlineStr">
        <is>
          <t>个</t>
        </is>
      </c>
      <c r="G33" s="93">
        <f>_xlfn.DISPIMG("ID_4FA99E7631C34A8E8DD4D83B32F0459D",1)</f>
        <v/>
      </c>
      <c r="H33" s="220" t="n"/>
      <c r="I33" s="34" t="n">
        <v>30801013001</v>
      </c>
      <c r="J33" s="33" t="inlineStr">
        <is>
          <t>性能：锥头长77mm，锥杆直径渐变</t>
        </is>
      </c>
      <c r="K33" s="39" t="inlineStr">
        <is>
          <t>乐百仕</t>
        </is>
      </c>
      <c r="L33" s="39" t="inlineStr">
        <is>
          <t>江苏乐百仕教育科技有限公司</t>
        </is>
      </c>
      <c r="M33" s="345" t="n">
        <v>1</v>
      </c>
      <c r="N33" s="345" t="n">
        <v>10</v>
      </c>
      <c r="O33" s="345" t="n">
        <v>10</v>
      </c>
      <c r="P33" s="345" t="inlineStr">
        <is>
          <t>个</t>
        </is>
      </c>
      <c r="Q33" s="345" t="inlineStr"/>
      <c r="R33" s="345" t="inlineStr"/>
      <c r="S33" s="345" t="inlineStr"/>
      <c r="T33" s="345" t="inlineStr">
        <is>
          <t>锥头长 77 mm，锥杆直径渐变</t>
        </is>
      </c>
      <c r="U33" s="345" t="inlineStr"/>
      <c r="V33" s="345" t="inlineStr"/>
      <c r="W33" s="345" t="inlineStr"/>
      <c r="X33" s="345" t="inlineStr"/>
      <c r="Y33" s="345" t="inlineStr">
        <is>
          <t>confirmed</t>
        </is>
      </c>
      <c r="Z33" s="345" t="n">
        <v>100</v>
      </c>
      <c r="AA33" s="345" t="inlineStr"/>
      <c r="AB33" s="345" t="inlineStr">
        <is>
          <t>赛特尔25年.xls｜初中新课标物理｜第63行</t>
        </is>
      </c>
    </row>
    <row r="34" customFormat="1" s="195">
      <c r="A34" s="106" t="n">
        <v>67</v>
      </c>
      <c r="B34" s="26" t="n">
        <v>30605000501</v>
      </c>
      <c r="C34" s="87" t="inlineStr">
        <is>
          <t>镊子</t>
        </is>
      </c>
      <c r="D34" s="68" t="inlineStr">
        <is>
          <t>不锈钢，长125 mm，镊子前部应有防滑脱锯齿状，直头、弯头各 1 把</t>
        </is>
      </c>
      <c r="E34" s="31" t="n">
        <v>2</v>
      </c>
      <c r="F34" s="26" t="inlineStr">
        <is>
          <t>个</t>
        </is>
      </c>
      <c r="G34" s="31">
        <f>_xlfn.DISPIMG("ID_B627F9A722624249907D58EE53606D54",1)</f>
        <v/>
      </c>
      <c r="H34" s="220" t="n"/>
      <c r="I34" s="26" t="n">
        <v>30605000501</v>
      </c>
      <c r="J34" s="164" t="inlineStr">
        <is>
          <t>性能：不锈钢，长125 mm，镊子前部应有防滑脱锯齿状，直头、弯头各 1 把</t>
        </is>
      </c>
      <c r="K34" s="39" t="inlineStr">
        <is>
          <t>乐百仕</t>
        </is>
      </c>
      <c r="L34" s="39" t="inlineStr">
        <is>
          <t>江苏乐百仕教育科技有限公司</t>
        </is>
      </c>
      <c r="M34" s="345" t="n">
        <v>2</v>
      </c>
      <c r="N34" s="345" t="n">
        <v>2.5</v>
      </c>
      <c r="O34" s="345" t="n">
        <v>5</v>
      </c>
      <c r="P34" s="345" t="inlineStr">
        <is>
          <t>个</t>
        </is>
      </c>
      <c r="Q34" s="345" t="inlineStr"/>
      <c r="R34" s="345" t="inlineStr"/>
      <c r="S34" s="345" t="inlineStr"/>
      <c r="T34" s="345" t="inlineStr"/>
      <c r="U34" s="345" t="n">
        <v>2.5</v>
      </c>
      <c r="V34" s="345" t="inlineStr"/>
      <c r="W34" s="345" t="n">
        <v>2.75</v>
      </c>
      <c r="X34" s="345" t="inlineStr"/>
      <c r="Y34" s="345" t="inlineStr">
        <is>
          <t>confirmed</t>
        </is>
      </c>
      <c r="Z34" s="345" t="n">
        <v>100</v>
      </c>
      <c r="AA34" s="345" t="inlineStr"/>
      <c r="AB34" s="345" t="inlineStr">
        <is>
          <t>赛特尔25年.xls｜初中新课标化学｜第138行</t>
        </is>
      </c>
    </row>
    <row r="35" customFormat="1" s="257">
      <c r="A35" s="106" t="n">
        <v>68</v>
      </c>
      <c r="B35" s="31" t="n">
        <v>30199002201</v>
      </c>
      <c r="C35" s="31" t="inlineStr">
        <is>
          <t>水平尺</t>
        </is>
      </c>
      <c r="D35" s="141" t="inlineStr">
        <is>
          <t>三水泡型，水平面工作长度150mm或230m</t>
        </is>
      </c>
      <c r="E35" s="31" t="n">
        <v>1</v>
      </c>
      <c r="F35" s="31" t="inlineStr">
        <is>
          <t>把</t>
        </is>
      </c>
      <c r="G35" s="31">
        <f>_xlfn.DISPIMG("ID_5B34D3D2CDE04DABB2F14E7F5353BEAB",1)</f>
        <v/>
      </c>
      <c r="H35" s="330" t="n"/>
      <c r="I35" s="31" t="n">
        <v>30199002201</v>
      </c>
      <c r="J35" s="33" t="inlineStr">
        <is>
          <t>性能：三水泡型，水平面工作长度150mm或230m</t>
        </is>
      </c>
      <c r="K35" s="39" t="inlineStr">
        <is>
          <t>乐百仕</t>
        </is>
      </c>
      <c r="L35" s="39" t="inlineStr">
        <is>
          <t>江苏乐百仕教育科技有限公司</t>
        </is>
      </c>
      <c r="M35" s="345" t="n">
        <v>1</v>
      </c>
      <c r="N35" s="345" t="n">
        <v>14</v>
      </c>
      <c r="O35" s="345" t="n">
        <v>14</v>
      </c>
      <c r="P35" s="345" t="inlineStr">
        <is>
          <t>把</t>
        </is>
      </c>
      <c r="Q35" s="345" t="inlineStr">
        <is>
          <t>群信</t>
        </is>
      </c>
      <c r="R35" s="345" t="inlineStr"/>
      <c r="S35" s="345" t="inlineStr">
        <is>
          <t>81038</t>
        </is>
      </c>
      <c r="T35" s="345" t="inlineStr">
        <is>
          <t>81038</t>
        </is>
      </c>
      <c r="U35" s="345" t="inlineStr"/>
      <c r="V35" s="345" t="inlineStr"/>
      <c r="W35" s="345" t="inlineStr"/>
      <c r="X35" s="345" t="inlineStr"/>
      <c r="Y35" s="345" t="inlineStr">
        <is>
          <t>confirmed</t>
        </is>
      </c>
      <c r="Z35" s="345" t="n">
        <v>0</v>
      </c>
      <c r="AA35" s="345" t="inlineStr">
        <is>
          <t>没有找到可靠候选</t>
        </is>
      </c>
      <c r="AB35" s="345" t="inlineStr">
        <is>
          <t>高中理化生报价.xlsx｜凯迪｜第458行</t>
        </is>
      </c>
    </row>
    <row r="36" customFormat="1" s="251">
      <c r="A36" s="106" t="n">
        <v>70</v>
      </c>
      <c r="B36" s="261" t="n">
        <v>30801000101</v>
      </c>
      <c r="C36" s="262" t="inlineStr">
        <is>
          <t>低压测电器</t>
        </is>
      </c>
      <c r="D36" s="139" t="inlineStr">
        <is>
          <t>笔式，氖泡式，测电极长≤10 mm，测量范围 100 V～500 V，辉光应稳定不闪烁</t>
        </is>
      </c>
      <c r="E36" s="131" t="n">
        <v>1</v>
      </c>
      <c r="F36" s="131" t="inlineStr">
        <is>
          <t>支</t>
        </is>
      </c>
      <c r="G36" s="131">
        <f>_xlfn.DISPIMG("ID_E4942EE079DC47A5872A9D05382AFA8E",1)</f>
        <v/>
      </c>
      <c r="H36" s="263" t="n"/>
      <c r="I36" s="103" t="n">
        <v>30801000101</v>
      </c>
      <c r="J36" s="109" t="inlineStr">
        <is>
          <t>性能：笔式，氖泡式，测电极长≤10 mm，测量范围： 100 V～500 V，辉光应稳定不闪烁</t>
        </is>
      </c>
      <c r="K36" s="39" t="inlineStr">
        <is>
          <t>乐百仕</t>
        </is>
      </c>
      <c r="L36" s="39" t="inlineStr">
        <is>
          <t>江苏乐百仕教育科技有限公司</t>
        </is>
      </c>
      <c r="M36" s="345" t="n">
        <v>1</v>
      </c>
      <c r="N36" s="345" t="n">
        <v>4</v>
      </c>
      <c r="O36" s="345" t="n">
        <v>4</v>
      </c>
      <c r="P36" s="345" t="inlineStr">
        <is>
          <t>支</t>
        </is>
      </c>
      <c r="Q36" s="345" t="inlineStr"/>
      <c r="R36" s="345" t="inlineStr"/>
      <c r="S36" s="345" t="inlineStr"/>
      <c r="T36" s="345" t="inlineStr">
        <is>
          <t>螺钉旋具式，测量范围 100 V～500 V，起辉电压 50 V～90 V，起辉后辉光应稳定不闪烁；绝缘电阻：常态≥20 MΩ，潮态≥2 MΩ；电气强度：常态 2500 V，潮态 2000 V；兼作螺钉旋具的旋杆端部硬度测 3 点，至少 2 点不低于 HRC48</t>
        </is>
      </c>
      <c r="U36" s="345" t="inlineStr"/>
      <c r="V36" s="345" t="inlineStr"/>
      <c r="W36" s="345" t="inlineStr"/>
      <c r="X36" s="345" t="inlineStr"/>
      <c r="Y36" s="345" t="inlineStr">
        <is>
          <t>confirmed</t>
        </is>
      </c>
      <c r="Z36" s="345" t="n">
        <v>0</v>
      </c>
      <c r="AA36" s="345" t="inlineStr">
        <is>
          <t>没有找到可靠候选</t>
        </is>
      </c>
      <c r="AB36" s="345" t="inlineStr">
        <is>
          <t>赛特尔25年.xls｜初中新课标物理｜第429行</t>
        </is>
      </c>
    </row>
    <row r="37" customFormat="1" s="257">
      <c r="A37" s="106" t="n">
        <v>75</v>
      </c>
      <c r="B37" s="26" t="n">
        <v>30101000602</v>
      </c>
      <c r="C37" s="87" t="inlineStr">
        <is>
          <t>三脚架</t>
        </is>
      </c>
      <c r="D37" s="141" t="inlineStr">
        <is>
          <t>铁制（可拆卸），环内径 75 mm，高 150 mm</t>
        </is>
      </c>
      <c r="E37" s="31" t="n">
        <v>1</v>
      </c>
      <c r="F37" s="31" t="inlineStr">
        <is>
          <t>个</t>
        </is>
      </c>
      <c r="G37" s="31">
        <f>_xlfn.DISPIMG("ID_86AC0E3482004A91AF7ECBBE7558F92A",1)</f>
        <v/>
      </c>
      <c r="H37" s="330" t="n"/>
      <c r="I37" s="26" t="n">
        <v>30101000602</v>
      </c>
      <c r="J37" s="33" t="inlineStr">
        <is>
          <t>性能：铁制（可拆卸），环内径 75 mm，高 150 mm</t>
        </is>
      </c>
      <c r="K37" s="39" t="inlineStr">
        <is>
          <t>乐百仕</t>
        </is>
      </c>
      <c r="L37" s="39" t="inlineStr">
        <is>
          <t>江苏乐百仕教育科技有限公司</t>
        </is>
      </c>
      <c r="M37" s="345" t="n">
        <v>1</v>
      </c>
      <c r="N37" s="345" t="n">
        <v>5</v>
      </c>
      <c r="O37" s="345" t="n">
        <v>5</v>
      </c>
      <c r="P37" s="345" t="inlineStr">
        <is>
          <t>个</t>
        </is>
      </c>
      <c r="Q37" s="345" t="inlineStr"/>
      <c r="R37" s="345" t="inlineStr"/>
      <c r="S37" s="345" t="inlineStr"/>
      <c r="T37" s="345" t="inlineStr"/>
      <c r="U37" s="345" t="n">
        <v>5</v>
      </c>
      <c r="V37" s="345" t="inlineStr"/>
      <c r="W37" s="345" t="n">
        <v>5.5</v>
      </c>
      <c r="X37" s="345" t="inlineStr"/>
      <c r="Y37" s="345" t="inlineStr">
        <is>
          <t>confirmed</t>
        </is>
      </c>
      <c r="Z37" s="345" t="n">
        <v>100</v>
      </c>
      <c r="AA37" s="345" t="inlineStr"/>
      <c r="AB37" s="345" t="inlineStr">
        <is>
          <t>赛特尔25年.xls｜初中新课标生物｜第78行</t>
        </is>
      </c>
    </row>
    <row r="38" customFormat="1" s="257">
      <c r="A38" s="106" t="n">
        <v>76</v>
      </c>
      <c r="B38" s="26" t="n">
        <v>30307309601</v>
      </c>
      <c r="C38" s="87" t="inlineStr">
        <is>
          <t>电 磁 实
验 用 旋
转架</t>
        </is>
      </c>
      <c r="D38" s="141" t="inlineStr">
        <is>
          <t>由底座、转轴和转台等组成。转台应采用静电绝缘材料制成，转台内应有凹槽；凹槽宽度应≥15 mm，凹槽深度应≥8 mm，凹槽长度应≥35 mm；转台应能作 360°旋转</t>
        </is>
      </c>
      <c r="E38" s="31" t="n">
        <v>13</v>
      </c>
      <c r="F38" s="31" t="inlineStr">
        <is>
          <t>个</t>
        </is>
      </c>
      <c r="G38" s="31">
        <f>_xlfn.DISPIMG("ID_CF2C571D11184014B46065730EBF55FE",1)</f>
        <v/>
      </c>
      <c r="H38" s="330" t="n"/>
      <c r="I38" s="26" t="n">
        <v>30307309601</v>
      </c>
      <c r="J38" s="33" t="inlineStr">
        <is>
          <t>由底座、转轴和转台等组成。转台应采用静电绝缘材料制成，转台内应有凹槽；凹槽宽度应≥15 mm，凹槽深度应≥8 mm，凹槽长度应≥35 mm；转台应能作 360°旋转</t>
        </is>
      </c>
      <c r="K38" s="39" t="inlineStr">
        <is>
          <t>乐百仕</t>
        </is>
      </c>
      <c r="L38" s="39" t="inlineStr">
        <is>
          <t>江苏乐百仕教育科技有限公司</t>
        </is>
      </c>
      <c r="M38" s="345" t="n">
        <v>13</v>
      </c>
      <c r="N38" s="345" t="n">
        <v>5</v>
      </c>
      <c r="O38" s="345" t="n">
        <v>65</v>
      </c>
      <c r="P38" s="345" t="inlineStr">
        <is>
          <t>个</t>
        </is>
      </c>
      <c r="Q38" s="345" t="inlineStr"/>
      <c r="R38" s="345" t="inlineStr"/>
      <c r="S38" s="345" t="inlineStr"/>
      <c r="T38" s="345" t="inlineStr"/>
      <c r="U38" s="345" t="inlineStr"/>
      <c r="V38" s="345" t="inlineStr"/>
      <c r="W38" s="345" t="inlineStr"/>
      <c r="X38" s="345" t="inlineStr"/>
      <c r="Y38" s="345" t="inlineStr">
        <is>
          <t>confirmed</t>
        </is>
      </c>
      <c r="Z38" s="345" t="n">
        <v>0</v>
      </c>
      <c r="AA38" s="345" t="inlineStr">
        <is>
          <t>没有找到可靠候选</t>
        </is>
      </c>
      <c r="AB38" s="345" t="inlineStr">
        <is>
          <t>赛特尔25年.xls｜初中物理｜第33行</t>
        </is>
      </c>
    </row>
    <row r="39" customFormat="1" s="195">
      <c r="A39" s="106" t="n">
        <v>77</v>
      </c>
      <c r="B39" s="26" t="n">
        <v>30101000803</v>
      </c>
      <c r="C39" s="26" t="inlineStr">
        <is>
          <t>试管架</t>
        </is>
      </c>
      <c r="D39" s="141" t="inlineStr">
        <is>
          <t>木制或塑料制，8 孔，孔径 21 mm，立柱黏结牢固</t>
        </is>
      </c>
      <c r="E39" s="31" t="n">
        <v>4</v>
      </c>
      <c r="F39" s="26" t="inlineStr">
        <is>
          <t>个</t>
        </is>
      </c>
      <c r="G39" s="31">
        <f>_xlfn.DISPIMG("ID_7102D03F7636430AABAEC9F4CDE70A81",1)</f>
        <v/>
      </c>
      <c r="H39" s="220" t="n"/>
      <c r="I39" s="26" t="n">
        <v>30101000803</v>
      </c>
      <c r="J39" s="33" t="inlineStr">
        <is>
          <t>性能：木制或塑料制，8 孔，孔径 21 mm，立柱黏结牢固</t>
        </is>
      </c>
      <c r="K39" s="39" t="inlineStr">
        <is>
          <t>乐百仕</t>
        </is>
      </c>
      <c r="L39" s="39" t="inlineStr">
        <is>
          <t>江苏乐百仕教育科技有限公司</t>
        </is>
      </c>
      <c r="M39" s="345" t="n">
        <v>4</v>
      </c>
      <c r="N39" s="345" t="n">
        <v>0.5</v>
      </c>
      <c r="O39" s="345" t="n">
        <v>2</v>
      </c>
      <c r="P39" s="345" t="inlineStr">
        <is>
          <t>个</t>
        </is>
      </c>
      <c r="Q39" s="345" t="inlineStr"/>
      <c r="R39" s="345" t="inlineStr"/>
      <c r="S39" s="345" t="inlineStr"/>
      <c r="T39" s="345" t="inlineStr"/>
      <c r="U39" s="345" t="n">
        <v>0.7</v>
      </c>
      <c r="V39" s="345" t="inlineStr"/>
      <c r="W39" s="345" t="n">
        <v>6</v>
      </c>
      <c r="X39" s="345" t="inlineStr"/>
      <c r="Y39" s="345" t="inlineStr">
        <is>
          <t>confirmed</t>
        </is>
      </c>
      <c r="Z39" s="345" t="n">
        <v>100</v>
      </c>
      <c r="AA39" s="345" t="inlineStr">
        <is>
          <t>价格分歧&gt;30%：历史报价分歧较大，需人工核对；同分多价：最高分候选存在不同历史价格</t>
        </is>
      </c>
      <c r="AB39" s="345" t="inlineStr">
        <is>
          <t>高中理化生报价.xlsx｜凯迪｜第1803行</t>
        </is>
      </c>
    </row>
    <row r="40" customFormat="1" s="195">
      <c r="A40" s="106" t="n">
        <v>78</v>
      </c>
      <c r="B40" s="26" t="n">
        <v>30101000901</v>
      </c>
      <c r="C40" s="87" t="inlineStr">
        <is>
          <t>漏斗架</t>
        </is>
      </c>
      <c r="D40" s="141" t="inlineStr">
        <is>
          <t>木制或塑料制</t>
        </is>
      </c>
      <c r="E40" s="31" t="n">
        <v>1</v>
      </c>
      <c r="F40" s="26" t="inlineStr">
        <is>
          <t>个</t>
        </is>
      </c>
      <c r="G40" s="31">
        <f>_xlfn.DISPIMG("ID_6BCE8C6D1DCA427DB266A15E9EB8C434",1)</f>
        <v/>
      </c>
      <c r="H40" s="220" t="n"/>
      <c r="I40" s="26" t="n">
        <v>30101000901</v>
      </c>
      <c r="J40" s="33" t="inlineStr">
        <is>
          <t>性能：木制</t>
        </is>
      </c>
      <c r="K40" s="39" t="inlineStr">
        <is>
          <t>乐百仕</t>
        </is>
      </c>
      <c r="L40" s="39" t="inlineStr">
        <is>
          <t>江苏乐百仕教育科技有限公司</t>
        </is>
      </c>
      <c r="M40" s="345" t="n">
        <v>1</v>
      </c>
      <c r="N40" s="345" t="n">
        <v>4</v>
      </c>
      <c r="O40" s="345" t="n">
        <v>4</v>
      </c>
      <c r="P40" s="345" t="inlineStr">
        <is>
          <t>个</t>
        </is>
      </c>
      <c r="Q40" s="345" t="inlineStr"/>
      <c r="R40" s="345" t="inlineStr"/>
      <c r="S40" s="345" t="inlineStr"/>
      <c r="T40" s="345" t="inlineStr"/>
      <c r="U40" s="345" t="n">
        <v>6</v>
      </c>
      <c r="V40" s="345" t="inlineStr"/>
      <c r="W40" s="345" t="n">
        <v>11</v>
      </c>
      <c r="X40" s="345" t="inlineStr"/>
      <c r="Y40" s="345" t="inlineStr">
        <is>
          <t>confirmed</t>
        </is>
      </c>
      <c r="Z40" s="345" t="n">
        <v>100</v>
      </c>
      <c r="AA40" s="345" t="inlineStr">
        <is>
          <t>价格分歧&gt;30%：历史报价分歧较大，需人工核对；同分多价：最高分候选存在不同历史价格</t>
        </is>
      </c>
      <c r="AB40" s="345" t="inlineStr">
        <is>
          <t>赛特尔25年.xls｜初中生物｜第226行</t>
        </is>
      </c>
    </row>
    <row r="41" customFormat="1" s="195">
      <c r="A41" s="264" t="n">
        <v>79</v>
      </c>
      <c r="B41" s="50" t="n">
        <v>30101007301</v>
      </c>
      <c r="C41" s="51" t="inlineStr">
        <is>
          <t>多向转接头</t>
        </is>
      </c>
      <c r="D41" s="52" t="inlineStr">
        <is>
          <t>双向交叉，孔内径适应于方座支架</t>
        </is>
      </c>
      <c r="E41" s="53" t="n">
        <v>13</v>
      </c>
      <c r="F41" s="50" t="inlineStr">
        <is>
          <t>个</t>
        </is>
      </c>
      <c r="G41" s="53">
        <f>_xlfn.DISPIMG("ID_72FB2EF795494986B756C98145B8E764",1)</f>
        <v/>
      </c>
      <c r="H41" s="245" t="n"/>
      <c r="I41" s="50" t="n">
        <v>30101007301</v>
      </c>
      <c r="J41" s="54" t="inlineStr">
        <is>
          <t>性能：双向交叉，孔内径适应于方座支架</t>
        </is>
      </c>
      <c r="K41" s="48" t="inlineStr">
        <is>
          <t>乐百仕</t>
        </is>
      </c>
      <c r="L41" s="48" t="inlineStr">
        <is>
          <t>江苏乐百仕教育科技有限公司</t>
        </is>
      </c>
      <c r="M41" s="345" t="n">
        <v>13</v>
      </c>
      <c r="N41" s="345" t="n">
        <v>7</v>
      </c>
      <c r="O41" s="345" t="n">
        <v>91</v>
      </c>
      <c r="P41" s="345" t="inlineStr">
        <is>
          <t>个</t>
        </is>
      </c>
      <c r="Q41" s="345" t="inlineStr"/>
      <c r="R41" s="345" t="inlineStr"/>
      <c r="S41" s="345" t="inlineStr"/>
      <c r="T41" s="345" t="inlineStr"/>
      <c r="U41" s="345" t="inlineStr"/>
      <c r="V41" s="345" t="inlineStr"/>
      <c r="W41" s="345" t="inlineStr"/>
      <c r="X41" s="345" t="inlineStr"/>
      <c r="Y41" s="345" t="inlineStr">
        <is>
          <t>confirmed</t>
        </is>
      </c>
      <c r="Z41" s="345" t="n">
        <v>0</v>
      </c>
      <c r="AA41" s="345" t="inlineStr">
        <is>
          <t>匹配到商品档案但无历史价格记录</t>
        </is>
      </c>
      <c r="AB41" s="345" t="inlineStr">
        <is>
          <t>赛特尔25年.xls｜初中数学｜第12行</t>
        </is>
      </c>
    </row>
    <row r="42" customFormat="1" s="195">
      <c r="A42" s="106" t="n">
        <v>80</v>
      </c>
      <c r="B42" s="31" t="n">
        <v>30101000110</v>
      </c>
      <c r="C42" s="31" t="inlineStr">
        <is>
          <t>物理支架</t>
        </is>
      </c>
      <c r="D42" s="141" t="inlineStr">
        <is>
          <t>立杆Φ12 mm×500 mm、Φ12 mm×700 mm 各1 根；A 形座 2 个，质量分别不小于 1.5 kg和 3.0 kg；平行夹 2 个、垂直夹 2 个、烧瓶夹 1 个、万向夹 1 个、台边夹 1 个、大铁环1 个、圆托盘 1 个、绝缘杆 1 个、吊杆 1 个、吊钩 4 个</t>
        </is>
      </c>
      <c r="E42" s="31" t="n">
        <v>1</v>
      </c>
      <c r="F42" s="31" t="inlineStr">
        <is>
          <t>套</t>
        </is>
      </c>
      <c r="G42" s="31">
        <f>_xlfn.DISPIMG("ID_45A4C7A26B5346A8BB5A3219C6F941AC",1)</f>
        <v/>
      </c>
      <c r="H42" s="220" t="n"/>
      <c r="I42" s="31" t="n">
        <v>30101000110</v>
      </c>
      <c r="J42" s="33" t="inlineStr">
        <is>
          <t>尺寸：立杆Φ12 mm×500 mm、Φ12 mm×700 mm 各1 根；A 形座 2 个，质量分别不小于 1.5 kg和 3.0 kg；平行夹 2 个、垂直夹 2 个、烧瓶夹 1 个、万向夹 1 个、台边夹 1 个、大铁环1 个、圆托盘 1 个、绝缘杆 1 个、吊杆 1 个、吊钩 4 个</t>
        </is>
      </c>
      <c r="K42" s="39" t="inlineStr">
        <is>
          <t>乐百仕</t>
        </is>
      </c>
      <c r="L42" s="39" t="inlineStr">
        <is>
          <t>江苏乐百仕教育科技有限公司</t>
        </is>
      </c>
      <c r="M42" s="345" t="n">
        <v>1</v>
      </c>
      <c r="N42" s="345" t="n">
        <v>90</v>
      </c>
      <c r="O42" s="345" t="n">
        <v>90</v>
      </c>
      <c r="P42" s="345" t="inlineStr">
        <is>
          <t>套</t>
        </is>
      </c>
      <c r="Q42" s="345" t="inlineStr"/>
      <c r="R42" s="345" t="inlineStr"/>
      <c r="S42" s="345" t="inlineStr"/>
      <c r="T42" s="345" t="inlineStr"/>
      <c r="U42" s="345" t="inlineStr"/>
      <c r="V42" s="345" t="inlineStr"/>
      <c r="W42" s="345" t="inlineStr"/>
      <c r="X42" s="345" t="inlineStr"/>
      <c r="Y42" s="345" t="inlineStr">
        <is>
          <t>confirmed</t>
        </is>
      </c>
      <c r="Z42" s="345" t="n">
        <v>100</v>
      </c>
      <c r="AA42" s="345" t="inlineStr"/>
      <c r="AB42" s="345" t="inlineStr">
        <is>
          <t>赛特尔25年.xls｜初中新课标物理｜第107行</t>
        </is>
      </c>
    </row>
    <row r="43" customFormat="1" s="195">
      <c r="A43" s="106" t="n">
        <v>81</v>
      </c>
      <c r="B43" s="31" t="n">
        <v>30101000210</v>
      </c>
      <c r="C43" s="31" t="inlineStr">
        <is>
          <t>方座支架</t>
        </is>
      </c>
      <c r="D43" s="141" t="inlineStr">
        <is>
          <t>由方形座、立杆、烧瓶夹、大小铁环、垂直夹（2 只）、平行夹、吊杆等组成；立杆长 600 mm，方形座长 210 mm，宽 135mm，烧瓶夹夹口内壁有耐热不低于120℃的缓压层</t>
        </is>
      </c>
      <c r="E43" s="31" t="n">
        <v>13</v>
      </c>
      <c r="F43" s="31" t="inlineStr">
        <is>
          <t>套</t>
        </is>
      </c>
      <c r="G43" s="340">
        <f>_xlfn.DISPIMG("ID_B4A1DF758A014355BF82F837473553E4",1)</f>
        <v/>
      </c>
      <c r="H43" s="220" t="n"/>
      <c r="I43" s="31" t="n">
        <v>30101000210</v>
      </c>
      <c r="J43" s="33" t="inlineStr">
        <is>
          <t>由方形座、立杆、烧瓶夹、大小铁环、垂直夹（2 只）、平行夹、吊杆等组成；立杆长 600 mm，方形座长 210 mm，宽 135mm，烧瓶夹夹口内壁有耐热不低于120℃的缓压层</t>
        </is>
      </c>
      <c r="K43" s="39" t="inlineStr">
        <is>
          <t>乐百仕</t>
        </is>
      </c>
      <c r="L43" s="39" t="inlineStr">
        <is>
          <t>江苏乐百仕教育科技有限公司</t>
        </is>
      </c>
      <c r="M43" s="345" t="n">
        <v>13</v>
      </c>
      <c r="N43" s="345" t="n">
        <v>36</v>
      </c>
      <c r="O43" s="345" t="n">
        <v>468</v>
      </c>
      <c r="P43" s="345" t="inlineStr">
        <is>
          <t>套</t>
        </is>
      </c>
      <c r="Q43" s="345" t="inlineStr"/>
      <c r="R43" s="345" t="inlineStr"/>
      <c r="S43" s="345" t="inlineStr"/>
      <c r="T43" s="345" t="inlineStr"/>
      <c r="U43" s="345" t="inlineStr"/>
      <c r="V43" s="345" t="inlineStr"/>
      <c r="W43" s="345" t="inlineStr"/>
      <c r="X43" s="345" t="inlineStr"/>
      <c r="Y43" s="345" t="inlineStr">
        <is>
          <t>confirmed</t>
        </is>
      </c>
      <c r="Z43" s="345" t="n">
        <v>0</v>
      </c>
      <c r="AA43" s="345" t="inlineStr">
        <is>
          <t>匹配到商品档案但无历史价格记录</t>
        </is>
      </c>
      <c r="AB43" s="345" t="inlineStr">
        <is>
          <t>赛特尔25年.xls｜初中新课标物理｜第108行</t>
        </is>
      </c>
    </row>
    <row r="44" customFormat="1" s="195">
      <c r="A44" s="106" t="n">
        <v>82</v>
      </c>
      <c r="B44" s="31" t="n">
        <v>30101000310</v>
      </c>
      <c r="C44" s="31" t="inlineStr">
        <is>
          <t>多功能实验支架</t>
        </is>
      </c>
      <c r="D44" s="141" t="inlineStr">
        <is>
          <t>组合座架1个，最小组合支承面积应不小于560 mm×10 mm；滑块式垂直夹 5个、烧瓶夹1个、万向夹1个、大铁环1个、方托盘 1 个、绝缘环2个、吊钩4个</t>
        </is>
      </c>
      <c r="E44" s="31" t="n">
        <v>1</v>
      </c>
      <c r="F44" s="31" t="inlineStr">
        <is>
          <t>套</t>
        </is>
      </c>
      <c r="G44" s="340">
        <f>_xlfn.DISPIMG("ID_4411D23D7B9C48D88052BC16F11528BD",1)</f>
        <v/>
      </c>
      <c r="H44" s="220" t="n"/>
      <c r="I44" s="31" t="n">
        <v>30101000310</v>
      </c>
      <c r="J44" s="33" t="inlineStr">
        <is>
          <t>组合座架1个，最小组合支承面积应不小于560 mm×10 mm；滑块式垂直夹 5个、烧瓶夹1个、万向夹1个、大铁环1个、方托盘 1 个、绝缘环2个、吊钩4个</t>
        </is>
      </c>
      <c r="K44" s="39" t="inlineStr">
        <is>
          <t>乐百仕</t>
        </is>
      </c>
      <c r="L44" s="39" t="inlineStr">
        <is>
          <t>江苏乐百仕教育科技有限公司</t>
        </is>
      </c>
      <c r="M44" s="345" t="n">
        <v>1</v>
      </c>
      <c r="N44" s="345" t="n">
        <v>135</v>
      </c>
      <c r="O44" s="345" t="n">
        <v>135</v>
      </c>
      <c r="P44" s="345" t="inlineStr">
        <is>
          <t>套</t>
        </is>
      </c>
      <c r="Q44" s="345" t="inlineStr"/>
      <c r="R44" s="345" t="inlineStr"/>
      <c r="S44" s="345" t="inlineStr"/>
      <c r="T44" s="345" t="inlineStr">
        <is>
          <t>组合座架 1 个，最小组合支承面积应不小于560 mm×10 mm；滑块式垂直夹 5 个、烧瓶夹1 个、万向夹 1 个、大铁环 1 个、方托盘 1个、绝缘环 2 个、吊钩 4 个</t>
        </is>
      </c>
      <c r="U44" s="345" t="inlineStr"/>
      <c r="V44" s="345" t="inlineStr"/>
      <c r="W44" s="345" t="inlineStr"/>
      <c r="X44" s="345" t="inlineStr"/>
      <c r="Y44" s="345" t="inlineStr">
        <is>
          <t>confirmed</t>
        </is>
      </c>
      <c r="Z44" s="345" t="n">
        <v>100</v>
      </c>
      <c r="AA44" s="345" t="inlineStr"/>
      <c r="AB44" s="345" t="inlineStr">
        <is>
          <t>赛特尔25年.xls｜初中新课标物理｜第109行</t>
        </is>
      </c>
    </row>
    <row r="45" customFormat="1" s="257">
      <c r="A45" s="106" t="n">
        <v>83</v>
      </c>
      <c r="B45" s="31" t="n">
        <v>30101000401</v>
      </c>
      <c r="C45" s="31" t="inlineStr">
        <is>
          <t>升降台</t>
        </is>
      </c>
      <c r="D45" s="141" t="inlineStr">
        <is>
          <t>不锈钢台面，上台面有效面积不小于 140mm×140 mm，下台面有效面积不小于 160mm×160 mm，厚度不低于 1 mm；升降范围 85 mm～235 mm，连续可调；上下台面的平面度误差应≤2 mm，升降过程中任一位置的平行度误差≤3 mm；额定载重量≥10 kg</t>
        </is>
      </c>
      <c r="E45" s="31" t="n">
        <v>1</v>
      </c>
      <c r="F45" s="31" t="inlineStr">
        <is>
          <t>台</t>
        </is>
      </c>
      <c r="G45" s="31">
        <f>_xlfn.DISPIMG("ID_4357FEFEB7C242BA90C6CF4A5375A0CB",1)</f>
        <v/>
      </c>
      <c r="H45" s="330" t="n"/>
      <c r="I45" s="31" t="n">
        <v>30101000401</v>
      </c>
      <c r="J45" s="33" t="inlineStr">
        <is>
          <t>不锈钢台面，上台面有效面积不小于 140mm×140 mm，下台面有效面积不小于 160mm×160 mm，厚度不低于 1 mm；升降范围 85 mm～235 mm，连续可调；上下台面的平面度误差应≤2 mm，升降过程中任一位置的平行度误差≤3 mm；额定载重量≥10 kg</t>
        </is>
      </c>
      <c r="K45" s="39" t="inlineStr">
        <is>
          <t>乐百仕</t>
        </is>
      </c>
      <c r="L45" s="39" t="inlineStr">
        <is>
          <t>江苏乐百仕教育科技有限公司</t>
        </is>
      </c>
      <c r="M45" s="345" t="n">
        <v>1</v>
      </c>
      <c r="N45" s="345" t="n">
        <v>55</v>
      </c>
      <c r="O45" s="345" t="n">
        <v>55</v>
      </c>
      <c r="P45" s="345" t="inlineStr">
        <is>
          <t>台</t>
        </is>
      </c>
      <c r="Q45" s="345" t="inlineStr"/>
      <c r="R45" s="345" t="inlineStr"/>
      <c r="S45" s="345" t="inlineStr"/>
      <c r="T45" s="345" t="inlineStr"/>
      <c r="U45" s="345" t="n">
        <v>65</v>
      </c>
      <c r="V45" s="345" t="inlineStr"/>
      <c r="W45" s="345" t="n">
        <v>80</v>
      </c>
      <c r="X45" s="345" t="inlineStr"/>
      <c r="Y45" s="345" t="inlineStr">
        <is>
          <t>confirmed</t>
        </is>
      </c>
      <c r="Z45" s="345" t="n">
        <v>100</v>
      </c>
      <c r="AA45" s="345" t="inlineStr">
        <is>
          <t>价格分歧&gt;30%：历史报价分歧较大，需人工核对；同分多价：最高分候选存在不同历史价格</t>
        </is>
      </c>
      <c r="AB45" s="345" t="inlineStr">
        <is>
          <t>高中理化生报价.xlsx｜凯迪｜第497行</t>
        </is>
      </c>
    </row>
    <row r="46" customFormat="1" s="257">
      <c r="A46" s="106" t="n">
        <v>84</v>
      </c>
      <c r="B46" s="349" t="n">
        <v>30203000301</v>
      </c>
      <c r="C46" s="117" t="inlineStr">
        <is>
          <t>电火花计时器</t>
        </is>
      </c>
      <c r="D46" s="115" t="inlineStr">
        <is>
          <t>包括单频率电火花计时器、重锤、弓形夹、纸带、备用墨粉纸（不少于 30 张）等。交流电压 220 V±22 V，单频率 50 Hz，电火花能击穿 10 mm 的空气间隙。实验效果：重力加速度实验值与当地重力加速度的相对误差应不大于 3%。高压脉冲端子应有当心触电警告文字</t>
        </is>
      </c>
      <c r="E46" s="347" t="n">
        <v>13</v>
      </c>
      <c r="F46" s="117" t="inlineStr">
        <is>
          <t>个</t>
        </is>
      </c>
      <c r="G46" s="31">
        <f>_xlfn.DISPIMG("ID_AEFBF96511BA4A4A91597A9C5ECDFE5F",1)</f>
        <v/>
      </c>
      <c r="H46" s="31" t="n"/>
      <c r="I46" s="348" t="n">
        <v>30203000301</v>
      </c>
      <c r="J46" s="40" t="inlineStr">
        <is>
          <t>包括单频率电火花计时器、重锤、弓形夹、纸带、备用墨粉纸（不少于 30 张）等。交流电压 220 V±22 V，单频率 50 Hz，电火花能击穿 10 mm 的空气间隙。实验效果：重力加速度实验值与当地重力加速度的相对误差应不大于 3%。高压脉冲端子应有当心触电警告文字</t>
        </is>
      </c>
      <c r="K46" s="39" t="inlineStr">
        <is>
          <t>乐百仕</t>
        </is>
      </c>
      <c r="L46" s="39" t="inlineStr">
        <is>
          <t>江苏乐百仕教育科技有限公司</t>
        </is>
      </c>
      <c r="M46" s="345" t="n">
        <v>13</v>
      </c>
      <c r="N46" s="345" t="n">
        <v>38</v>
      </c>
      <c r="O46" s="345" t="n">
        <v>494</v>
      </c>
      <c r="P46" s="345" t="inlineStr">
        <is>
          <t>个</t>
        </is>
      </c>
      <c r="Q46" s="345" t="inlineStr">
        <is>
          <t>群信</t>
        </is>
      </c>
      <c r="R46" s="345" t="inlineStr"/>
      <c r="S46" s="345" t="inlineStr">
        <is>
          <t>12005</t>
        </is>
      </c>
      <c r="T46" s="345" t="inlineStr">
        <is>
          <t>12005</t>
        </is>
      </c>
      <c r="U46" s="345" t="inlineStr"/>
      <c r="V46" s="345" t="inlineStr"/>
      <c r="W46" s="345" t="inlineStr"/>
      <c r="X46" s="345" t="inlineStr"/>
      <c r="Y46" s="345" t="inlineStr">
        <is>
          <t>confirmed</t>
        </is>
      </c>
      <c r="Z46" s="345" t="n">
        <v>100</v>
      </c>
      <c r="AA46" s="345" t="inlineStr"/>
      <c r="AB46" s="345" t="inlineStr">
        <is>
          <t>高中理化生报价.xlsx｜凯迪｜第66行</t>
        </is>
      </c>
    </row>
    <row r="47" customFormat="1" s="257">
      <c r="A47" s="264" t="n">
        <v>86</v>
      </c>
      <c r="B47" s="221" t="n">
        <v>30203000410</v>
      </c>
      <c r="C47" s="53" t="inlineStr">
        <is>
          <t>电磁打点计时器</t>
        </is>
      </c>
      <c r="D47" s="52" t="inlineStr">
        <is>
          <t>磁电式，单频率：50 Hz，连续打 50 点应无漏点、重合点，点迹清晰，附固定夹</t>
        </is>
      </c>
      <c r="E47" s="53" t="n">
        <v>13</v>
      </c>
      <c r="F47" s="53" t="inlineStr">
        <is>
          <t>套</t>
        </is>
      </c>
      <c r="G47" s="223">
        <f>_xlfn.DISPIMG("ID_B25800435FBD4D7CA2B3F400750A4A8A",1)</f>
        <v/>
      </c>
      <c r="H47" s="53" t="n"/>
      <c r="I47" s="53" t="n">
        <v>30203000410</v>
      </c>
      <c r="J47" s="54" t="inlineStr">
        <is>
          <t>磁电式，单频率：50 Hz，连续打 50 点应无漏点、重合点，点迹清晰，附固定夹</t>
        </is>
      </c>
      <c r="K47" s="48" t="inlineStr">
        <is>
          <t>乐百仕</t>
        </is>
      </c>
      <c r="L47" s="48" t="inlineStr">
        <is>
          <t>江苏乐百仕教育科技有限公司</t>
        </is>
      </c>
      <c r="M47" s="345" t="n">
        <v>13</v>
      </c>
      <c r="N47" s="345" t="n">
        <v>34</v>
      </c>
      <c r="O47" s="345" t="n">
        <v>442</v>
      </c>
      <c r="P47" s="345" t="inlineStr">
        <is>
          <t>套</t>
        </is>
      </c>
      <c r="Q47" s="345" t="inlineStr">
        <is>
          <t>群信</t>
        </is>
      </c>
      <c r="R47" s="345" t="inlineStr"/>
      <c r="S47" s="345" t="inlineStr">
        <is>
          <t>12006</t>
        </is>
      </c>
      <c r="T47" s="345" t="inlineStr">
        <is>
          <t>12006</t>
        </is>
      </c>
      <c r="U47" s="345" t="inlineStr"/>
      <c r="V47" s="345" t="inlineStr"/>
      <c r="W47" s="345" t="inlineStr"/>
      <c r="X47" s="345" t="inlineStr"/>
      <c r="Y47" s="345" t="inlineStr">
        <is>
          <t>confirmed</t>
        </is>
      </c>
      <c r="Z47" s="345" t="n">
        <v>0</v>
      </c>
      <c r="AA47" s="345" t="inlineStr">
        <is>
          <t>没有找到可靠候选</t>
        </is>
      </c>
      <c r="AB47" s="345" t="inlineStr">
        <is>
          <t>高中理化生报价.xlsx｜凯迪｜第67行</t>
        </is>
      </c>
    </row>
    <row r="48" customFormat="1" s="257">
      <c r="A48" s="106" t="n">
        <v>87</v>
      </c>
      <c r="B48" s="137" t="n">
        <v>30307106301</v>
      </c>
      <c r="C48" s="31" t="inlineStr">
        <is>
          <t>演示斜面小车</t>
        </is>
      </c>
      <c r="D48" s="141" t="inlineStr">
        <is>
          <t>斜面板长≥1200 mm，一端应有滑轮、缓冲或捕获小车的装置；斜面板工作面平面度误差应小于 2 mm；附摩擦材料丁腈橡胶、砂纸等，有摩擦材料的固定夹</t>
        </is>
      </c>
      <c r="E48" s="31" t="n">
        <v>1</v>
      </c>
      <c r="F48" s="31" t="inlineStr">
        <is>
          <t>套</t>
        </is>
      </c>
      <c r="G48" s="340">
        <f>_xlfn.DISPIMG("ID_5704E6D1AFBB4BC2BF20DBD5A44BC258",1)</f>
        <v/>
      </c>
      <c r="H48" s="31" t="n"/>
      <c r="I48" s="31" t="n">
        <v>30307106301</v>
      </c>
      <c r="J48" s="33" t="inlineStr">
        <is>
          <t>斜面板长≥1200 mm，一端应有滑轮、缓冲或捕获小车的装置；斜面板工作面平面度误差应小于 2 mm；附摩擦材料丁腈橡胶、砂纸等，有摩擦材料的固定夹</t>
        </is>
      </c>
      <c r="K48" s="39" t="inlineStr">
        <is>
          <t>乐百仕</t>
        </is>
      </c>
      <c r="L48" s="39" t="inlineStr">
        <is>
          <t>江苏乐百仕教育科技有限公司</t>
        </is>
      </c>
      <c r="M48" s="345" t="n">
        <v>1</v>
      </c>
      <c r="N48" s="345" t="n">
        <v>70</v>
      </c>
      <c r="O48" s="345" t="n">
        <v>70</v>
      </c>
      <c r="P48" s="345" t="inlineStr">
        <is>
          <t>套</t>
        </is>
      </c>
      <c r="Q48" s="345" t="inlineStr">
        <is>
          <t>群信</t>
        </is>
      </c>
      <c r="R48" s="345" t="inlineStr"/>
      <c r="S48" s="345" t="inlineStr">
        <is>
          <t>21053</t>
        </is>
      </c>
      <c r="T48" s="345" t="inlineStr">
        <is>
          <t>21053</t>
        </is>
      </c>
      <c r="U48" s="345" t="inlineStr"/>
      <c r="V48" s="345" t="inlineStr"/>
      <c r="W48" s="345" t="inlineStr"/>
      <c r="X48" s="345" t="inlineStr"/>
      <c r="Y48" s="345" t="inlineStr">
        <is>
          <t>confirmed</t>
        </is>
      </c>
      <c r="Z48" s="345" t="n">
        <v>100</v>
      </c>
      <c r="AA48" s="345" t="inlineStr"/>
      <c r="AB48" s="345" t="inlineStr">
        <is>
          <t>高中理化生报价.xlsx｜凯迪｜第138行</t>
        </is>
      </c>
    </row>
    <row r="49" customFormat="1" s="257">
      <c r="A49" s="106" t="n">
        <v>88</v>
      </c>
      <c r="B49" s="137" t="n">
        <v>30307106110</v>
      </c>
      <c r="C49" s="31" t="inlineStr">
        <is>
          <t>演示轨道小车</t>
        </is>
      </c>
      <c r="D49" s="141" t="inlineStr">
        <is>
          <t>由铝合金轨道、小车及配件组成，应有调节轨道倾斜度的装置，轨道始端应有固定及释放小车的装置，终端有捕捉小车的装置。轨道的有效运动长度≥900mm，轨道轨面的直线度误差不大于有效长度的 0.03%；可进行打点计时法测量加速度、滑动摩擦与滚动摩擦、物质的惯性、弹性碰撞、非弹性碰撞等实验；测量加速度相对误差≤8%</t>
        </is>
      </c>
      <c r="E49" s="31" t="n">
        <v>1</v>
      </c>
      <c r="F49" s="31" t="inlineStr">
        <is>
          <t>套</t>
        </is>
      </c>
      <c r="G49" s="340">
        <f>_xlfn.DISPIMG("ID_44416EC83AC84CC4A3084F31126A057B",1)</f>
        <v/>
      </c>
      <c r="H49" s="31" t="n"/>
      <c r="I49" s="31" t="n">
        <v>30307106110</v>
      </c>
      <c r="J49" s="33" t="inlineStr">
        <is>
          <t>由铝合金轨道、小车及配件组成，应有调节轨道倾斜度的装置，轨道始端应有固定及释放小车的装置，终端有捕捉小车的装置。轨道的有效运动长度≥900mm，轨道轨面的直线度误差不大于有效长度的 0.03%；可进行打点计时法测量加速度、滑动摩擦与滚动摩擦、物质的惯性、弹性碰撞、非弹性碰撞等实验；测量加速度相对误差≤8%</t>
        </is>
      </c>
      <c r="K49" s="39" t="inlineStr">
        <is>
          <t>乐百仕</t>
        </is>
      </c>
      <c r="L49" s="39" t="inlineStr">
        <is>
          <t>江苏乐百仕教育科技有限公司</t>
        </is>
      </c>
      <c r="M49" s="345" t="n">
        <v>1</v>
      </c>
      <c r="N49" s="345" t="n">
        <v>55</v>
      </c>
      <c r="O49" s="345" t="n">
        <v>55</v>
      </c>
      <c r="P49" s="345" t="inlineStr">
        <is>
          <t>套</t>
        </is>
      </c>
      <c r="Q49" s="345" t="inlineStr">
        <is>
          <t>群信</t>
        </is>
      </c>
      <c r="R49" s="345" t="inlineStr"/>
      <c r="S49" s="345" t="inlineStr">
        <is>
          <t>21051</t>
        </is>
      </c>
      <c r="T49" s="345" t="inlineStr">
        <is>
          <t>21051</t>
        </is>
      </c>
      <c r="U49" s="345" t="inlineStr"/>
      <c r="V49" s="345" t="inlineStr"/>
      <c r="W49" s="345" t="inlineStr"/>
      <c r="X49" s="345" t="inlineStr"/>
      <c r="Y49" s="345" t="inlineStr">
        <is>
          <t>confirmed</t>
        </is>
      </c>
      <c r="Z49" s="345" t="n">
        <v>100</v>
      </c>
      <c r="AA49" s="345" t="inlineStr"/>
      <c r="AB49" s="345" t="inlineStr">
        <is>
          <t>高中理化生报价.xlsx｜凯迪｜第137行</t>
        </is>
      </c>
    </row>
    <row r="50" customFormat="1" s="257">
      <c r="A50" s="106" t="n">
        <v>90</v>
      </c>
      <c r="B50" s="349" t="n">
        <v>30307106401</v>
      </c>
      <c r="C50" s="117" t="inlineStr">
        <is>
          <t>斜面小车</t>
        </is>
      </c>
      <c r="D50" s="115" t="inlineStr">
        <is>
          <t>包括斜面、小车、摩擦块、支撑杆、砝码桶和摩擦材料等，与教学支架配套使用；斜面板≥915 mm×100 mm×20mm，一端应有滑轮、缓冲或捕获小车的装置；斜面板工作面平面度误差应小于 2 mm；摩擦材料宜采用丁腈橡胶、硅胶、聚苯乙烯胶体等，砂纸、棉布等仍可用</t>
        </is>
      </c>
      <c r="E50" s="347" t="n">
        <v>13</v>
      </c>
      <c r="F50" s="117" t="inlineStr">
        <is>
          <t>套</t>
        </is>
      </c>
      <c r="G50" s="31">
        <f>_xlfn.DISPIMG("ID_40639DE65E224A0CB26392761E6FAE4A",1)</f>
        <v/>
      </c>
      <c r="H50" s="31" t="n"/>
      <c r="I50" s="348" t="n">
        <v>30307106401</v>
      </c>
      <c r="J50" s="40" t="inlineStr">
        <is>
          <t>包括斜面、小车、摩擦块、支撑杆、砝码桶和摩擦材料等，与教学支架配套使用；斜面板≥915 mm×100 mm×20mm，一端应有滑轮、缓冲或捕获小车的装置；斜面板工作面平面度误差应小于 2 mm；摩擦材料宜采用丁腈橡胶、硅胶、聚苯乙烯胶体等，砂纸、棉布等仍可用</t>
        </is>
      </c>
      <c r="K50" s="39" t="inlineStr">
        <is>
          <t>乐百仕</t>
        </is>
      </c>
      <c r="L50" s="39" t="inlineStr">
        <is>
          <t>江苏乐百仕教育科技有限公司</t>
        </is>
      </c>
      <c r="M50" s="345" t="n">
        <v>13</v>
      </c>
      <c r="N50" s="345" t="n">
        <v>46</v>
      </c>
      <c r="O50" s="345" t="n">
        <v>598</v>
      </c>
      <c r="P50" s="345" t="inlineStr">
        <is>
          <t>套</t>
        </is>
      </c>
      <c r="Q50" s="345" t="inlineStr">
        <is>
          <t>群信</t>
        </is>
      </c>
      <c r="R50" s="345" t="inlineStr"/>
      <c r="S50" s="345" t="inlineStr">
        <is>
          <t>21054</t>
        </is>
      </c>
      <c r="T50" s="345" t="inlineStr">
        <is>
          <t>21054</t>
        </is>
      </c>
      <c r="U50" s="345" t="n">
        <v>60</v>
      </c>
      <c r="V50" s="345" t="inlineStr"/>
      <c r="W50" s="345" t="inlineStr"/>
      <c r="X50" s="345" t="inlineStr"/>
      <c r="Y50" s="345" t="inlineStr">
        <is>
          <t>confirmed</t>
        </is>
      </c>
      <c r="Z50" s="345" t="n">
        <v>100</v>
      </c>
      <c r="AA50" s="345" t="inlineStr">
        <is>
          <t>同分多价：最高分候选存在不同历史价格</t>
        </is>
      </c>
      <c r="AB50" s="345" t="inlineStr">
        <is>
          <t>高中理化生报价.xlsx｜凯迪｜第139行</t>
        </is>
      </c>
    </row>
    <row r="51" customFormat="1" s="257">
      <c r="A51" s="106" t="n">
        <v>91</v>
      </c>
      <c r="B51" s="349" t="n">
        <v>30307106210</v>
      </c>
      <c r="C51" s="117" t="inlineStr">
        <is>
          <t>轨道小车</t>
        </is>
      </c>
      <c r="D51" s="115" t="inlineStr">
        <is>
          <t>车拖纸带打点式；由轨道、1 辆小车及配件组成，应配有打点纸带，应有调节轨道倾斜度的装置，轨道始端应有固定及释放小车的装置、固定计时器的平台，终端有捕捉小车的装置；轨道的有效运动长度≥600 mm，轨道轨面的直线度误差不大于有效长度的 0.03%；安装计时器后，记录纸带应能平行轨道运动；在倾斜度1:50的轨道上小车应能从静止开始运动</t>
        </is>
      </c>
      <c r="E51" s="347" t="n">
        <v>13</v>
      </c>
      <c r="F51" s="117" t="inlineStr">
        <is>
          <t>套</t>
        </is>
      </c>
      <c r="G51" s="31">
        <f>_xlfn.DISPIMG("ID_CFF1F7AA509844D6917B4E9235D8FE88",1)</f>
        <v/>
      </c>
      <c r="H51" s="31" t="n"/>
      <c r="I51" s="348" t="n">
        <v>30307106210</v>
      </c>
      <c r="J51" s="40" t="inlineStr">
        <is>
          <t>车拖纸带打点式；由轨道、1 辆小车及配件组成，应配有打点纸带，应有调节轨道倾斜度的装置，轨道始端应有固定及释放小车的装置、固定计时器的平台，终端有捕捉小车的装置；轨道的有效运动长度≥600 mm，轨道轨面的直线度误差不大于有效长度的 0.03%；安装计时器后，记录纸带应能平行轨道运动；在倾斜度1:50的轨道上小车应能从静止开始运动</t>
        </is>
      </c>
      <c r="K51" s="39" t="inlineStr">
        <is>
          <t>乐百仕</t>
        </is>
      </c>
      <c r="L51" s="39" t="inlineStr">
        <is>
          <t>江苏乐百仕教育科技有限公司</t>
        </is>
      </c>
      <c r="M51" s="345" t="n">
        <v>13</v>
      </c>
      <c r="N51" s="345" t="n">
        <v>55</v>
      </c>
      <c r="O51" s="345" t="n">
        <v>715</v>
      </c>
      <c r="P51" s="345" t="inlineStr">
        <is>
          <t>套</t>
        </is>
      </c>
      <c r="Q51" s="345" t="inlineStr">
        <is>
          <t>群信</t>
        </is>
      </c>
      <c r="R51" s="345" t="inlineStr"/>
      <c r="S51" s="345" t="inlineStr">
        <is>
          <t>21051</t>
        </is>
      </c>
      <c r="T51" s="345" t="inlineStr">
        <is>
          <t>21051</t>
        </is>
      </c>
      <c r="U51" s="345" t="inlineStr"/>
      <c r="V51" s="345" t="inlineStr"/>
      <c r="W51" s="345" t="inlineStr"/>
      <c r="X51" s="345" t="inlineStr"/>
      <c r="Y51" s="345" t="inlineStr">
        <is>
          <t>confirmed</t>
        </is>
      </c>
      <c r="Z51" s="345" t="n">
        <v>100</v>
      </c>
      <c r="AA51" s="345" t="inlineStr"/>
      <c r="AB51" s="345" t="inlineStr">
        <is>
          <t>高中理化生报价.xlsx｜凯迪｜第137行</t>
        </is>
      </c>
    </row>
    <row r="52" customFormat="1" s="257">
      <c r="A52" s="264" t="n">
        <v>93</v>
      </c>
      <c r="B52" s="84" t="n">
        <v>30307115001</v>
      </c>
      <c r="C52" s="84" t="inlineStr">
        <is>
          <t>直线运动实验箱</t>
        </is>
      </c>
      <c r="D52" s="80" t="inlineStr">
        <is>
          <t>含力学轨道（含轨道、轨道支撑杆、小车刹车夹、仪器托架、可移动接头、单接头、单接头连接杆、小车停车钩、万向水平仪等）、实验小车、光电门连接线（红色、黄色、蓝色）、钓鱼线、砝码桶、电火花计时器、光电门支撑杆、打点计时器夹具、小车组件盒（含弹性碰撞和非弹性碰撞材料）、小车多用架、固定针、小橡皮筋、橡皮泥、金属槽码、挡光片组、插头定滑轮、钢直尺、光电门、电子天平、数字计时器等</t>
        </is>
      </c>
      <c r="E52" s="267" t="n">
        <v>1</v>
      </c>
      <c r="F52" s="84" t="inlineStr">
        <is>
          <t>套</t>
        </is>
      </c>
      <c r="G52" s="53">
        <f>_xlfn.DISPIMG("ID_7871CC5C47A14D838FCD5A2BB5FA067E",1)</f>
        <v/>
      </c>
      <c r="H52" s="224" t="n"/>
      <c r="I52" s="84" t="n">
        <v>30307115001</v>
      </c>
      <c r="J52" s="77" t="inlineStr">
        <is>
          <t>含力学轨道（含轨道、轨道支撑杆、小车刹车夹、仪器托架、可移动接头、单接头、单接头连接杆、小车停车钩、万向水平仪等）、实验小车、光电门连接线（红色、黄色、蓝色）、钓鱼线、砝码桶、电火花计时器、光电门支撑杆、打点计时器夹具、小车组件盒（含弹性碰撞和非弹性碰撞材料）、小车多用架、固定针、小橡皮筋、橡皮泥、金属槽码、挡光片组、插头定滑轮、钢直尺、光电门、电子天平、数字计时器等</t>
        </is>
      </c>
      <c r="K52" s="48" t="inlineStr">
        <is>
          <t>乐百仕</t>
        </is>
      </c>
      <c r="L52" s="48" t="inlineStr">
        <is>
          <t>江苏乐百仕教育科技有限公司</t>
        </is>
      </c>
      <c r="M52" s="345" t="n">
        <v>1</v>
      </c>
      <c r="N52" s="345" t="n">
        <v>62</v>
      </c>
      <c r="O52" s="345" t="n">
        <v>62</v>
      </c>
      <c r="P52" s="345" t="inlineStr">
        <is>
          <t>套</t>
        </is>
      </c>
      <c r="Q52" s="345" t="inlineStr"/>
      <c r="R52" s="345" t="inlineStr"/>
      <c r="S52" s="345" t="inlineStr"/>
      <c r="T52" s="345" t="inlineStr"/>
      <c r="U52" s="345" t="inlineStr"/>
      <c r="V52" s="345" t="inlineStr"/>
      <c r="W52" s="345" t="inlineStr"/>
      <c r="X52" s="345" t="inlineStr"/>
      <c r="Y52" s="345" t="inlineStr">
        <is>
          <t>confirmed</t>
        </is>
      </c>
      <c r="Z52" s="345" t="n">
        <v>0</v>
      </c>
      <c r="AA52" s="345" t="inlineStr">
        <is>
          <t>没有找到可靠候选</t>
        </is>
      </c>
      <c r="AB52" s="345" t="inlineStr">
        <is>
          <t>赛特尔25年.xls｜初中新课标物理｜第204行</t>
        </is>
      </c>
    </row>
    <row r="53" customFormat="1" s="6">
      <c r="A53" s="264" t="n">
        <v>94</v>
      </c>
      <c r="B53" s="84" t="inlineStr">
        <is>
          <t>JXC-101</t>
        </is>
      </c>
      <c r="C53" s="84" t="inlineStr">
        <is>
          <t>机械运动与物理模型</t>
        </is>
      </c>
      <c r="D53" s="205" t="inlineStr">
        <is>
          <t>箱体规格：450×320×170mm(±10mm)。
材质：PC材料箱盖，增强型ZQ-ABS树脂材料箱体，增强型PP材质活动卡扣；结构：整体采用加厚增强型扣盖卡扣式设计，箱体为上下面耦合卡槽定位，内置活动式上下双层内衬，嵌入式专槽定位，方便器材取用保管；叠加方式：既可叠加组合摆放，也可放置于仪器柜或货架。
主要配置及特征参数：
电磁打点计时器（交直流6V，144×70×39.5mm）1套、电子秒表计时器1个、钢直尺（不锈钢，30cm）1个、多功能数字计时器（ABS工程塑料，220×140×38mm，可充电）1个、充电器1个、光电门A（ABS塑料，93×82×23mm）1个、光电门B（ABS塑料，93×82×23mm）1个、4mm红色香蕉导线3根、4mm黑色香蕉导线3根、4mm黄色香蕉导线2根、单摆半圆角度仪（带角度，φ3*200mm）1个、双孔单摆悬臂杆（不锈钢，L=200mm D=10mm）1个、单摆球组（含塑料球和金属球，65×45×30mm）1套、钓鱼线1盒、剪刀1个、圆片复写纸1袋、重锤（33*48mm）1个、打点计时器夹具（12mm内孔，工字夹10cm）1个、打点计时器纸带（白色）1卷、X型支座（可拼接）1套、双向转接头（铝合金，30×30×65mm）2个、手紧螺丝M6×60mm 1个、600mm支撑杆（2根/套，单根杆长 300mm，杆与杆可以螺纹对接）1套。
核心产品技术指标：
电磁打点计时器：
规格：尺寸144×70×39.5mm，工作电压交直流6V～16V，打点频率：50Hz，频率误差：≤0.2Hz；材质：工程塑料、ABS塑料、金属；工艺：塑料注塑成型，SMT-PCBA加工处理；功能描述：①、打点频率由微电脑精确控制；②支持交流电输入和直流电输入两种电源，能够使用学生电源或电池盒供电，6V～16V交直流电压通用，无极性设计，更方便实验教学。
多功能数字计时器：
规格：尺寸220×140×38mm（±5mm）；材质：ABS工程塑料，环氧玻纤；工艺：表面丝印、内部SMT-PCBA焊接；功能描述：①、塑料壳体符合人体工学设计，内置电池，可以通过面板充电口充电；②、192×64LCD大屏幕能够精确显示单通道与双通道测量值；③、具有2路光电门接口和1路电磁铁接口，6个4mm香蕉插座输入端，可单通道使用光电门，也可以双通道使用光电门进行数据检测；④、一键开关，具有运行指示灯，电源指示灯；⑤、具有以下功能：按键：模式/上翻/下翻/复位/开始/停止；⑥、具有计时模式1、计时模式2、周期模式、单摆模式、加速度、自由落体、碰撞模式、振动模式、计时功能、延时设置多模式切换功能；⑦、时间测量精度：0.01 ms，在不同模式下可分别显示包括通过时间、挡光时间、速度、周期、平均周期、平均频率、计数、单摆周期、平均单摆周期、平均单摆频率、周期数、10 个挡光间隔时间、10 周振动、n 次振动时间总和等多种数据；⑧、能够存储不少于 20 组数据；⑨、电磁铁可调释放延时补偿；⑩最多能够存储20 组数据；⑪ 、可用于匀加速运动、自由落体、圆周运动、牛顿第二定律、摆、碰撞等实验。
光电门A、光电门B：
规格：尺寸93×82×23mm（±5mm），4个M6固定螺母，工作电压DC5V，电流最大0.25A，灵敏度小于等于0.01mS，具有3个4mm香蕉插座输入端；材质：ABS塑料；功能描述：配合多功能数字计时器进行计时、计数、周期等。
单摆半圆角度仪：
规格：直径200mm，厚度3mm，半圆形；材质：铝合金；工艺：细喷砂本色阳极化，双色丝印角度盘；功能描述：用于单摆实验器，提供角度指示；
双孔单摆悬臂杆：
规格：直径10mm，长度200mm，带3mm孔2个，间隔30mm；材质：304不锈钢；工艺：精加工；功能描述：配合双向转接头，作为1个或2个单摆的悬臂杆。
X型支座：
材质：黑色增强尼龙、镀锌圆钢，确保强度且耐酸耐碱；工艺：塑料注塑成型、表面镀锌处理；产品结构：90度角双臂，半轴长165.5mm，底座高度24mm，顶部带φ10扩展孔，匍氏耦合对接挂钩、φ10凹凸式双轨插孔，自锁紧双下压扣，多功能杆插孔、斜顶式M6螺丝锁紧孔,底部配重盖采用超声波焊接技术；功能描述：对偶插接式构造能够进行多种结构拓展：①、两件对插呈X型可作为常规铁架台底座；②、可对接不同长度的支撑杆组成不同种类的支撑座；③、可作为光学实验导轨；④、拓展为其他产品的轨道座；⑤、级联底座作为配重等。
双向转接头：
规格：30×30×65mm；材质：铝合金；工艺：精密压铸、电泳发黑；功能描述：①、两端固定口90°正交垂直，中间穿孔可以轴向固定；②、附带2个M6×25mm的防滑手紧螺丝，可以固定所有用到与支撑杆有关的实验设备。
▲可完成的基本实验活动：（需提供第三方检测机构出具的检测报告予以证明可完成以下实验内容）
1.测量做直线运动物体的瞬时速度；
2.探究匀变速直线运动的特点；
3.测量匀变速直线运动物体的加速度；
4.探究自由落体运动的规律；
5.测量自由落体加速度；
9.探究加速度与物体受力、物体质量的关系；
12.验证机械能守恒定律；
34.探究碰撞中的不变量；
35.验证动量守恒定律；
36.探究弹性碰撞和非弹性碰撞的特点；
39.探究单摆周期与摆长之间的关系；
40.用单摆测量重力加速度的大小。</t>
        </is>
      </c>
      <c r="E53" s="81" t="n">
        <v>1</v>
      </c>
      <c r="F53" s="84" t="inlineStr">
        <is>
          <t>套</t>
        </is>
      </c>
      <c r="G53" s="81">
        <f>_xlfn.DISPIMG("ID_92F92B94D9644E9CA6964FA14D9D0ED2",1)</f>
        <v/>
      </c>
      <c r="H53" s="207" t="n"/>
      <c r="I53" s="84" t="inlineStr">
        <is>
          <t>JXC-101</t>
        </is>
      </c>
      <c r="J53" s="208" t="inlineStr">
        <is>
          <t>箱体大小：450×320×170mm(±20mm)。
材质：PC材料箱盖，增强型ZQ-ABS树脂材料箱体，增强型PP材质活动卡扣；结构：整体采用加厚增强型扣盖卡扣式设计，箱体为上下面耦合卡槽定位，内置活动式上下双层内衬，嵌入式专槽定位，方便器材取用保管；叠加方式：既可叠加组合摆放，也可放置于仪器柜或货架。
主要配置及特征参数：
电磁打点计时器（交直流6V，144×70×39.5mm）1套、电子秒表计时器1个、钢直尺（不锈钢，30cm）1个、多功能数字计时器（ABS工程塑料，220×140×38mm，可充电）1个、充电器1个、光电门A（ABS塑料，93×82×23mm）1个、光电门B（ABS塑料，93×82×23mm）1个、4mm红色香蕉导线3根、4mm黑色香蕉导线3根、4mm黄色香蕉导线2根、单摆半圆角度仪（带角度，φ3*200mm）1个、双孔单摆悬臂杆（不锈钢，L=200mm D=10mm）1个、单摆球组（含塑料球和金属球，65×45×30mm）1套、钓鱼线1盒、剪刀1个、圆片复写纸1袋、重锤（33*48mm）1个、打点计时器夹具（12mm内孔，工字夹10cm）1个、打点计时器纸带（白色）1卷、X型支座（可拼接）1套、双向转接头（铝合金，30×30×65mm）2个、手紧螺丝M6×60mm 1个、600mm支撑杆（2根/套，单根杆长 300mm，杆与杆可以螺纹对接）1套。
核心产品技术指标：
电磁打点计时器：
规格：尺寸144×70×39.5mm，工作电压交直流6V～16V，打点频率：50Hz，频率误差：≤0.2Hz；材质：工程塑料、ABS塑料、金属；工艺：塑料注塑成型，SMT-PCBA加工处理；功能描述：①、打点频率由微电脑精确控制；②支持交流电输入和直流电输入两种电源，能够使用学生电源或电池盒供电，6V～16V交直流电压通用，无极性设计，更方便实验教学。
多功能数字计时器：
规格：尺寸220×140×38mm（±5mm）；材质：ABS工程塑料，环氧玻纤；工艺：表面丝印、内部SMT-PCBA焊接；功能描述：①、塑料壳体符合人体工学设计，内置电池，可以通过面板充电口充电；②、192×64LCD大屏幕能够精确显示单通道与双通道测量值；③、具有2路光电门接口和1路电磁铁接口，6个4mm香蕉插座输入端，可单通道使用光电门，也可以双通道使用光电门进行数据检测；④、一键开关，具有运行指示灯，电源指示灯；⑤、具有以下功能：按键：模式/上翻/下翻/复位/开始/停止；⑥、具有计时模式1、计时模式2、周期模式、单摆模式、加速度、自由落体、碰撞模式、振动模式、计时功能、延时设置多模式切换功能；⑦、时间测量精度：0.01 ms，在不同模式下可分别显示包括通过时间、挡光时间、速度、周期、平均周期、平均频率、计数、单摆周期、平均单摆周期、平均单摆频率、周期数、10 个挡光间隔时间、10 周振动、n 次振动时间总和等多种数据；⑧、能够存储不少于 20 组数据；⑨、电磁铁可调释放延时补偿；⑩最多能够存储20 组数据；⑪ 、可用于匀加速运动、自由落体、圆周运动、牛顿第二定律、摆、碰撞等实验。
光电门A、光电门B：
规格：尺寸93×82×23mm（±5mm），4个M6固定螺母，工作电压DC5V，电流最大0.25A，灵敏度小于等于0.01mS，具有3个4mm香蕉插座输入端；材质：ABS塑料；功能描述：配合多功能数字计时器进行计时、计数、周期等。
单摆半圆角度仪：
规格：直径200mm，厚度3mm，半圆形；材质：铝合金；工艺：细喷砂本色阳极化，双色丝印角度盘；功能描述：用于单摆实验器，提供角度指示；
双孔单摆悬臂杆：
规格：直径10mm，长度200mm，带3mm孔2个，间隔30mm；材质：304不锈钢；工艺：精加工；功能描述：配合双向转接头，作为1个或2个单摆的悬臂杆。
X型支座：
材质：黑色增强尼龙、镀锌圆钢，确保强度且耐酸耐碱；工艺：塑料注塑成型、表面镀锌处理；产品结构：90度角双臂，半轴长165.5mm，底座高度24mm，顶部带φ10扩展孔，匍氏耦合对接挂钩、φ10凹凸式双轨插孔，自锁紧双下压扣，多功能杆插孔、斜顶式M6螺丝锁紧孔,底部配重盖采用超声波焊接技术；功能描述：对偶插接式构造能够进行多种结构拓展：①、两件对插呈X型可作为常规铁架台底座；②、可对接不同长度的支撑杆组成不同种类的支撑座；③、可作为光学实验导轨；④、拓展为其他产品的轨道座；⑤、级联底座作为配重等。
双向转接头：
规格：30×30×65mm；材质：铝合金；工艺：精密压铸、电泳发黑；功能描述：①、两端固定口90°正交垂直，中间穿孔可以轴向固定；②、附带2个M6×25mm的防滑手紧螺丝，可以固定所有用到与支撑杆有关的实验设备。
▲可完成的基本实验活动：（需提供第三方检测机构出具的检测报告予以证明可完成以下实验内容）
1.测量做直线运动物体的瞬时速度；
2.探究匀变速直线运动的特点；
3.测量匀变速直线运动物体的加速度；
4.探究自由落体运动的规律；
5.测量自由落体加速度；
9.探究加速度与物体受力、物体质量的关系；
12.验证机械能守恒定律；
34.探究碰撞中的不变量；
35.验证动量守恒定律；
36.探究弹性碰撞和非弹性碰撞的特点；
39.探究单摆周期与摆长之间的关系；
40.用单摆测量重力加速度的大小。</t>
        </is>
      </c>
      <c r="K53" s="48" t="inlineStr">
        <is>
          <t>乐百仕</t>
        </is>
      </c>
      <c r="L53" s="48" t="inlineStr">
        <is>
          <t>江苏乐百仕教育科技有限公司</t>
        </is>
      </c>
      <c r="M53" s="345" t="n">
        <v>1</v>
      </c>
      <c r="N53" s="345" t="n">
        <v>35</v>
      </c>
      <c r="O53" s="345" t="n">
        <v>35</v>
      </c>
      <c r="P53" s="345" t="inlineStr">
        <is>
          <t>套</t>
        </is>
      </c>
      <c r="Q53" s="345" t="inlineStr"/>
      <c r="R53" s="345" t="inlineStr"/>
      <c r="S53" s="345" t="inlineStr">
        <is>
          <t>3</t>
        </is>
      </c>
      <c r="T53" s="345" t="inlineStr"/>
      <c r="U53" s="345" t="inlineStr"/>
      <c r="V53" s="345" t="inlineStr"/>
      <c r="W53" s="345" t="inlineStr"/>
      <c r="X53" s="345" t="inlineStr"/>
      <c r="Y53" s="345" t="inlineStr">
        <is>
          <t>confirmed</t>
        </is>
      </c>
      <c r="Z53" s="345" t="n">
        <v>0</v>
      </c>
      <c r="AA53" s="345" t="inlineStr">
        <is>
          <t>没有找到可靠候选</t>
        </is>
      </c>
      <c r="AB53" s="345" t="inlineStr">
        <is>
          <t>赛特尔25年.xls｜初中物理｜第328行</t>
        </is>
      </c>
    </row>
    <row r="54" customFormat="1" s="66">
      <c r="A54" s="264" t="n">
        <v>95</v>
      </c>
      <c r="B54" s="84" t="inlineStr">
        <is>
          <t>JXC-104</t>
        </is>
      </c>
      <c r="C54" s="84" t="inlineStr">
        <is>
          <t>相互作用与运动定律</t>
        </is>
      </c>
      <c r="D54" s="205" t="inlineStr">
        <is>
          <t>箱体规格：450×320×170mm(±10mm)。
材质：PC材料箱盖，增强型ZQ-ABS树脂材料箱体，增强型PP材质活动卡扣；结构：整体采用加厚增强型扣盖卡扣式设计，箱体为上下面耦合卡槽定位，内置活动式上下双层内衬，嵌入式专槽定位，方便器材取用保管；叠加方式：既可叠加组合摆放，也可放置于仪器柜或货架。
主要配置及特征参数：
力的平行四边形定则演示仪（355*255*15mm，含平板、吸盘、橡皮筋、圆环等）1套、胡克定律实验仪（刻度板尺寸350×80×3mm；材质：铝合金、不锈钢；工艺：细喷砂本色阳极化，表面双色丝印处理）1套、X型支座（可拼接）1套、600mm支撑杆（2根/套，单根杆长 300mm，杆与杆可以螺纹对接）1套、螺旋弹簧组（由拉力极限分别为 4.9N、2.94N、1.96N、0.98N和0.49N 的5种弹簧组成）1套、M4×45螺丝和蝶形螺母1套、钩码组（50g×10个）1盒、5N圆筒测力计2个、圆筒测力计夹（不锈钢，白色，带杆100mm*12mm）2个、钓鱼线1盒、剪刀1个、橡皮筋6个、绘图套尺（含量角器、三角尺、直尺）1套、图钉1盒、手紧螺丝M6×15mm 2个等。
核心产品技术指标：
力的平行四边形定则演示仪：
平板、吸盘、橡皮筋、圆环等。
平板：
尺寸规格：355*255*15mm（±5mm）；材质工艺：优质橘黄色亚克力；功能描述：为整个器材提供牢固稳定的平台，安装吸盘，使得具备防滑的特点。
吸盘：
尺寸规格：m5，吸面38mm，（±5mm）；材质工艺：透明塑料；功能描述：增强仪器的防滑能力，避免在使用中仪器晃动。
胡克定律实验仪：
产品组成：刻度板、专用ABS固定件、指针弹簧组、弹簧调节螺丝、槽码钩、紧固件。
规格：刻度板尺寸350×80×3mm；材质：铝合金、不锈钢；工艺：细喷砂本色阳极化，表面双色丝印处理；功能描述：可选择5种不同的指针弹簧，探究弹簧伸长量跟力的关系。
X型支座：
材质：黑色增强尼龙、镀锌圆钢，确保强度且耐酸耐碱；工艺：塑料注塑成型、表面镀锌处理；产品结构：90度角双臂，半轴长165.5mm，底座高度24mm，顶部带φ10扩展孔，匍氏耦合对接挂钩、φ10凹凸式双轨插孔，自锁紧双下压扣，多功能杆插孔、斜顶式M6螺丝锁紧孔,底部配重盖采用超声波焊接技术；功能描述：Half-Half对偶插接式构造能够进行多种结构拓展：①、两件对插呈X型可作为常规铁架台底座；②、可对接不同长度的支撑杆组成不同种类的支撑座；③、可作为光学实验导轨；④、拓展为其他产品的轨道座；⑤、级联底座作为配重等。
▲可完成的基本实验活动：（需提供第三方检测机构出具的检测报告予以证明可完成以下实验内容）
6.探究弹簧弹力与形变量的关系；
7.探究两个互成角度的力的合成规律；
10.探究牛顿第三定律；
11.研究超重和失重现象。</t>
        </is>
      </c>
      <c r="E54" s="81" t="n">
        <v>1</v>
      </c>
      <c r="F54" s="84" t="inlineStr">
        <is>
          <t>箱</t>
        </is>
      </c>
      <c r="G54" s="76">
        <f>_xlfn.DISPIMG("ID_56174B87FA244EF0B95D00904DF798F3",1)</f>
        <v/>
      </c>
      <c r="H54" s="268" t="n"/>
      <c r="I54" s="84" t="inlineStr">
        <is>
          <t>JXC-104</t>
        </is>
      </c>
      <c r="J54" s="208" t="inlineStr">
        <is>
          <t>箱体大小：450×320×170mm(±20mm)。
材质：PC材料箱盖，增强型ZQ-ABS树脂材料箱体，增强型PP材质活动卡扣；结构：整体采用加厚增强型扣盖卡扣式设计，箱体为上下面耦合卡槽定位，内置活动式上下双层内衬，嵌入式专槽定位，方便器材取用保管；叠加方式：既可叠加组合摆放，也可放置于仪器柜或货架。
主要配置及特征参数：
力的平行四边形定则演示仪（355*255*15mm，含平板、吸盘、橡皮筋、圆环等）1套、胡克定律实验仪（刻度板尺寸350×80×3mm；材质：铝合金、不锈钢；工艺：细喷砂本色阳极化，表面双色丝印处理）1套、X型支座（可拼接）1套、600mm支撑杆（2根/套，单根杆长 300mm，杆与杆可以螺纹对接）1套、螺旋弹簧组（由拉力极限分别为 4.9N、2.94N、1.96N、0.98N和0.49N 的5种弹簧组成）1套、M4×45螺丝和蝶形螺母1套、钩码组（50g×10个）1盒、5N圆筒测力计2个、圆筒测力计夹（不锈钢，白色，带杆100mm*12mm）2个、钓鱼线1盒、剪刀1个、橡皮筋6个、绘图套尺（含量角器、三角尺、直尺）1套、图钉1盒、手紧螺丝M6×15mm 2个等。
核心产品技术指标：
力的平行四边形定则演示仪：
平板、吸盘、橡皮筋、圆环等。
平板：
尺寸规格：355*255*15mm（±5mm）；材质工艺：优质橘黄色亚克力；功能描述：为整个器材提供牢固稳定的平台，安装吸盘，使得具备防滑的特点。
吸盘：
尺寸规格：m5，吸面38mm，（±5mm）；材质工艺：透明塑料；功能描述：增强仪器的防滑能力，避免在使用中仪器晃动。
胡克定律实验仪：
产品组成：刻度板、专用ABS固定件、指针弹簧组、弹簧调节螺丝、槽码钩、紧固件。
规格：刻度板尺寸350×80×3mm；材质：铝合金、不锈钢；工艺：细喷砂本色阳极化，表面双色丝印处理；功能描述：可选择5种不同的指针弹簧，探究弹簧伸长量跟力的关系。
X型支座：
材质：黑色增强尼龙、镀锌圆钢，确保强度且耐酸耐碱；工艺：塑料注塑成型、表面镀锌处理；产品结构：90度角双臂，半轴长165.5mm，底座高度24mm，顶部带φ10扩展孔，匍氏耦合对接挂钩、φ10凹凸式双轨插孔，自锁紧双下压扣，多功能杆插孔、斜顶式M6螺丝锁紧孔,底部配重盖采用超声波焊接技术；功能描述：Half-Half对偶插接式构造能够进行多种结构拓展：①、两件对插呈X型可作为常规铁架台底座；②、可对接不同长度的支撑杆组成不同种类的支撑座；③、可作为光学实验导轨；④、拓展为其他产品的轨道座；⑤、级联底座作为配重等。
▲可完成的基本实验活动：（需提供第三方检测机构出具的检测报告予以证明可完成以下实验内容）
6.探究弹簧弹力与形变量的关系；
7.探究两个互成角度的力的合成规律；
10.探究牛顿第三定律；
11.研究超重和失重现象。</t>
        </is>
      </c>
      <c r="K54" s="48" t="inlineStr">
        <is>
          <t>乐百仕</t>
        </is>
      </c>
      <c r="L54" s="48" t="inlineStr">
        <is>
          <t>江苏乐百仕教育科技有限公司</t>
        </is>
      </c>
      <c r="M54" s="345" t="n">
        <v>1</v>
      </c>
      <c r="N54" s="345" t="n">
        <v>240</v>
      </c>
      <c r="O54" s="345" t="n">
        <v>240</v>
      </c>
      <c r="P54" s="345" t="inlineStr">
        <is>
          <t>箱</t>
        </is>
      </c>
      <c r="Q54" s="345" t="inlineStr">
        <is>
          <t>群信</t>
        </is>
      </c>
      <c r="R54" s="345" t="inlineStr"/>
      <c r="S54" s="345" t="inlineStr">
        <is>
          <t>24033</t>
        </is>
      </c>
      <c r="T54" s="345" t="inlineStr">
        <is>
          <t>24033</t>
        </is>
      </c>
      <c r="U54" s="345" t="inlineStr"/>
      <c r="V54" s="345" t="inlineStr"/>
      <c r="W54" s="345" t="inlineStr"/>
      <c r="X54" s="345" t="inlineStr"/>
      <c r="Y54" s="345" t="inlineStr">
        <is>
          <t>confirmed</t>
        </is>
      </c>
      <c r="Z54" s="345" t="n">
        <v>0</v>
      </c>
      <c r="AA54" s="345" t="inlineStr">
        <is>
          <t>匹配到商品档案但无历史价格记录</t>
        </is>
      </c>
      <c r="AB54" s="345" t="inlineStr">
        <is>
          <t>高中理化生报价.xlsx｜凯迪｜第269行</t>
        </is>
      </c>
    </row>
    <row r="55" customFormat="1" s="6">
      <c r="A55" s="264" t="n">
        <v>96</v>
      </c>
      <c r="B55" s="84" t="inlineStr">
        <is>
          <t>JXC-105</t>
        </is>
      </c>
      <c r="C55" s="84" t="inlineStr">
        <is>
          <t>曲线运动与万有引力定律</t>
        </is>
      </c>
      <c r="D55" s="205" t="inlineStr">
        <is>
          <t>箱体规格：450×320×170mm(±10mm)。
材质：炭黑色优质PC材料箱盖，橙色增强型ABS树脂材料箱体，紫色增强型尼龙材料活动卡扣；结构：整体采用加厚增强型扣盖卡扣式设计，箱体为上下面耦合卡槽定位，内置活动式内衬，嵌入式专槽定位，方便器材取用保管；叠加方式：既可叠加组合摆放，也可放置于仪器柜或货架。
主要配置及特征参数：
平抛和碰撞实验器（黑色哑光烤漆，350×260×22mm）1套、一体式跨轨专用电磁继电器组件（40×40×24mm，DC6V）1套、铝型材轨道1条、磁贴4个、复写纸（255×185mm）2张、条形磁铁（180mm×12mm×22mm）1个、镀镍钢球（φ22mm）2个、向心力实验器（245×110×30mm，由底座、转动轴承、立柱、横杆、平衡锤、重锤、配重锤、半径指示器、弹簧及弹簧位置调节杆、周期测定片等组成）1套、电子秒表计时器1个、蜡块运动实验器（1m）1个、无孔红色硅胶塞（16×20.9×27mm）1个、红色蜡块1个、4mm红黑香蕉导线各1根、L型支架1个、垫片1个、M4×30mm螺丝和碟形螺母2套、手紧螺丝M6×10mm3个、M6碟形螺母2个等。
核心产品技术指标：
平抛和碰撞实验器：
由主体钣金、格栅板、小球释放轨道、钣金底座、调节螺丝、水平泡等组成。
主体钣金：
尺寸规格：350×260×22（±5mm）；材质工艺：Q235A,精密模具一次冲压成型；表面处理工艺：黑色哑光烤漆；功能描述：为器材提供安装固定的主体框架。表面粘贴刻度尺，具有快速准确的测量长度的功能，提高实验的准确度。
钣金底座：
尺寸规格：270×90×20（±5mm）；材质工艺：Q235A,精密模具一次冲压成型；表面处理工艺：黑色哑光烤漆；功能描述：为器材提供安装底座。
一体式跨轨专用电磁继电器组件：
规格：40×40×24mm，输入电压：DC6V，输入电流：约0.5A，4mm接线端子2个，M4手紧螺丝1个；材质：PMMA，钢；工艺：精加工，钢镀镍；功能描述：①、可跨骑到平抛导轨上，通过手紧螺丝锁紧定位；②、一体式结构，避免冗杂的线缆，降低故障率；③、电磁吸附小球，保证初始释放速度为零，能够摆脱常规手动控制小球造成的人为初速误差。
红色硅胶塞：
规格：无孔；横截面尺寸：23号胶塞：16×20.9×27mm；材质：优质红色硅胶；工艺：采用先进精密硅胶注塑技术一次成型无毛边、无合缝线，硬度适中、易插拔不阻涩；功能描述：用于实验中玻璃仪器的密封或与玻璃导管、温度计等配合使用，满足多种不同实验的密封及导气需求。耐高温、耐酸碱。
▲可完成的基本实验活动：（需提供第三方检测机构出具的检测报告予以证明可完成以下实验内容）
14.探究物体做曲线运动的条件；
15.探究平抛运动的特点；
16.探究运动的合成与分解；
17.探究向心力大小与半径、角速度、质量的关系。</t>
        </is>
      </c>
      <c r="E55" s="81" t="n">
        <v>1</v>
      </c>
      <c r="F55" s="84" t="inlineStr">
        <is>
          <t>箱</t>
        </is>
      </c>
      <c r="G55" s="81">
        <f>_xlfn.DISPIMG("ID_2AD67425ACA8489AB0DEB243FFA3D0E5",1)</f>
        <v/>
      </c>
      <c r="H55" s="207" t="n"/>
      <c r="I55" s="84" t="inlineStr">
        <is>
          <t>JXC-105</t>
        </is>
      </c>
      <c r="J55" s="208" t="inlineStr">
        <is>
          <t>箱体大小：450×320×170mm(±20mm)。
材质：炭黑色优质PC材料箱盖，橙色增强型ABS树脂材料箱体，紫色增强型尼龙材料活动卡扣；结构：整体采用加厚增强型扣盖卡扣式设计，箱体为上下面耦合卡槽定位，内置活动式内衬，嵌入式专槽定位，方便器材取用保管；叠加方式：既可叠加组合摆放，也可放置于仪器柜或货架。
主要配置及特征参数：
平抛和碰撞实验器（黑色哑光烤漆，350×260×22mm）1套、一体式跨轨专用电磁继电器组件（40×40×24mm，DC6V）1套、铝型材轨道1条、磁贴4个、复写纸（255×185mm）2张、条形磁铁（180mm×12mm×22mm）1个、镀镍钢球（φ22mm）2个、向心力实验器（245×110×30mm，由底座、转动轴承、立柱、横杆、平衡锤、重锤、配重锤、半径指示器、弹簧及弹簧位置调节杆、周期测定片等组成）1套、电子秒表计时器1个、蜡块运动实验器（1m）1个、无孔红色硅胶塞（16×20.9×27mm）1个、红色蜡块1个、4mm红黑香蕉导线各1根、L型支架1个、垫片1个、M4×30mm螺丝和碟形螺母2套、手紧螺丝M6×10mm3个、M6碟形螺母2个等。
核心产品技术指标：
平抛和碰撞实验器：
由主体钣金、格栅板、小球释放轨道、钣金底座、调节螺丝、水平泡等组成。
主体钣金：
尺寸规格：350×260×22（±5mm）；材质工艺：Q235A,精密模具一次冲压成型；表面处理工艺：黑色哑光烤漆；功能描述：为器材提供安装固定的主体框架。表面粘贴刻度尺，具有快速准确的测量长度的功能，提高实验的准确度。
钣金底座：
尺寸规格：270×90×20（±5mm）；材质工艺：Q235A,精密模具一次冲压成型；表面处理工艺：黑色哑光烤漆；功能描述：为器材提供安装底座。
一体式跨轨专用电磁继电器组件：
规格：40×40×24mm，输入电压：DC6V，输入电流：约0.5A，4mm接线端子2个，M4手紧螺丝1个；材质：PMMA，钢；工艺：精加工，钢镀镍；功能描述：①、可跨骑到平抛导轨上，通过手紧螺丝锁紧定位；②、一体式结构，避免冗杂的线缆，降低故障率；③、电磁吸附小球，保证初始释放速度为零，能够摆脱常规手动控制小球造成的人为初速误差。
红色硅胶塞：
规格：无孔；横截面尺寸：23号胶塞：16×20.9×27mm；材质：优质红色硅胶；工艺：采用先进精密硅胶注塑技术一次成型无毛边、无合缝线，硬度适中、易插拔不阻涩；功能描述：用于实验中玻璃仪器的密封或与玻璃导管、温度计等配合使用，满足多种不同实验的密封及导气需求。耐高温、耐酸碱。
▲可完成的基本实验活动：（需提供第三方检测机构出具的检测报告予以证明可完成以下实验内容）
14.探究物体做曲线运动的条件；
15.探究平抛运动的特点；
16.探究运动的合成与分解；
17.探究向心力大小与半径、角速度、质量的关系。</t>
        </is>
      </c>
      <c r="K55" s="48" t="inlineStr">
        <is>
          <t>乐百仕</t>
        </is>
      </c>
      <c r="L55" s="48" t="inlineStr">
        <is>
          <t>江苏乐百仕教育科技有限公司</t>
        </is>
      </c>
      <c r="M55" s="345" t="n">
        <v>1</v>
      </c>
      <c r="N55" s="345" t="n">
        <v>350</v>
      </c>
      <c r="O55" s="345" t="n">
        <v>350</v>
      </c>
      <c r="P55" s="345" t="inlineStr">
        <is>
          <t>箱</t>
        </is>
      </c>
      <c r="Q55" s="345" t="inlineStr"/>
      <c r="R55" s="345" t="inlineStr"/>
      <c r="S55" s="345" t="inlineStr"/>
      <c r="T55" s="345" t="inlineStr">
        <is>
          <t>包含但不限于支架杆、带钩横棒、固定夹、底座、塑料球、钢球、细线、小车、秒表、钩码、弹簧等</t>
        </is>
      </c>
      <c r="U55" s="345" t="inlineStr"/>
      <c r="V55" s="345" t="inlineStr"/>
      <c r="W55" s="345" t="inlineStr"/>
      <c r="X55" s="345" t="inlineStr"/>
      <c r="Y55" s="345" t="inlineStr">
        <is>
          <t>confirmed</t>
        </is>
      </c>
      <c r="Z55" s="345" t="n">
        <v>0</v>
      </c>
      <c r="AA55" s="345" t="inlineStr">
        <is>
          <t>匹配到商品档案但无历史价格记录</t>
        </is>
      </c>
      <c r="AB55" s="345" t="inlineStr">
        <is>
          <t>赛特尔25年.xls｜小学新课标科学｜第65行</t>
        </is>
      </c>
    </row>
    <row r="56" customFormat="1" s="6">
      <c r="A56" s="264" t="n">
        <v>97</v>
      </c>
      <c r="B56" s="84" t="inlineStr">
        <is>
          <t>JXC-106</t>
        </is>
      </c>
      <c r="C56" s="84" t="inlineStr">
        <is>
          <t>静电场</t>
        </is>
      </c>
      <c r="D56" s="205" t="inlineStr">
        <is>
          <t>箱体规格：450×320×170mm(±10mm)。
材质：PC材料箱盖，增强型ZQ-ABS树脂材料箱体，增强型PP材质活动卡扣；结构：整体采用加厚增强型扣盖卡扣式设计，箱体为上下面耦合卡槽定位，内置活动式上下双层内衬，嵌入式专槽定位，方便器材取用保管；叠加方式：既可叠加组合摆放，也可放置于仪器柜或货架。
主要配置及特征参数：
电荷间作用力实验器1套、等势线描绘实验器（220×140×38mm）1套、电场线演示器（由单点电极演示板、双点电极演示板（同种电极和异种电极）、平行板电极演示板、环形电极演示板、尖形导体演示板组成）1套、灵敏电流表（三接口4mm香蕉插座、外置手动调零、测量范围：-300uA～300uA）1个、电压表（三接口4mm香蕉插座、外置手动调零、双量程0～3V和0～15V）1个、单刀双掷开关（110×50×31mm，可磁吸）1个、电容器实验板（220×140×38mm，100μF\470μF\1000μF\2200μF\4700μF）1套、电阻实验板（220×140×38mm,1Ω\5Ω\15Ω\47Ω\100Ω\330Ω\1KΩ\10KΩ\47KΩ\100KΩ）1套、鳄鱼夹4个、4mm红黑香蕉导线各4根等。
核心产品技术指标：
电阻实验板：
规格：尺寸220×140×38mm；材质：ABS工程塑料，环氧玻纤；工艺：表面丝印，由不少于 6 种不同规格的定值电阻（1Ω～100 kΩ）组成，排列均匀，焊接在实验板上，应注明标称值及系列。
电容器实验板：
规格：尺寸220×140×38mm；材质：ABS工程塑料，环氧玻纤；工艺：表面丝印，包含不少于 5 种规格不同电解电容器，排列均匀，焊接在实验板上，能有效实现电容器充放电等实验。
等势线描绘实验器：
由塑料底座、4mm香蕉插头、导电纸等级成。规格：尺寸220×140×38mm（±5mm）；材质：ABS工程塑料，环氧玻纤；塑料底座：尺寸规格：265×170×40（±5mm）；材质工艺：ABS塑料精密注塑成型；功能描述：为整个演示器提供牢固稳定的底座，内嵌垫片，使得底座具备防滑耐磨的特点。
单刀双掷开关（磁吸）：
产品组成：由绝缘底座、开关闸刀、香蕉插头接线柱等组成。规格：双接口4mm香蕉插座，底座尺寸：110×50×31mm（±5mm）；绝缘底座尺寸：110×50×31mm（±5mm），材质工艺：ABS塑料精密注塑成型；功能描述：作为控制电路的开关与其他相关器材进行电学实验、电磁学实验及其他需要控制电路通断的实验，也可吸附在磁性黑板或其他磁性材料上进行演示操作。
灵敏电流表：
规格：三接口4mm香蕉插座、外置手动调零、测量范围：-300uA～300uA；精度：电磁类仪表2.5级；误差≤5%；材质：增强ABS塑料+墨色透明PC、壁厚≥2.5mm；工艺：塑料注塑成型，外表面高光，下底面内磨砂工艺处理；功能描述：防摔壳体设计能够有效保护表盘罩壳，可以满足课程设计相关实验对电流计改表的实验需求。
电压表：
规格：三接口4mm香蕉插座、外置手动调零、双量程0～3V和0～15V；精度：电磁类仪表2.5级；误差≤5%；材质：增强ABS塑料+墨色透明PC、壁厚≥2.5mm；工艺：塑料注塑成型，外表面高光，下底面内磨砂工艺处理；功能描述：防摔壳体设计能够有效保护表盘罩壳，可以满足课程设计相关实验对直流电压检测的实验需求。
▲可完成的基本实验活动：（需提供第三方检测机构出具的检测报告予以证明可完成以下实验内容）
19.探究电荷间相互作用力与电荷量和距离的关系；
20.模拟常见电场的电场线分布；
21.描绘静电场中的等势线；
23.观察电容器的充、放电现象。</t>
        </is>
      </c>
      <c r="E56" s="81" t="n">
        <v>1</v>
      </c>
      <c r="F56" s="78" t="inlineStr">
        <is>
          <t>箱</t>
        </is>
      </c>
      <c r="G56" s="81">
        <f>_xlfn.DISPIMG("ID_F851FC815A1642129665052D20B1FB5B",1)</f>
        <v/>
      </c>
      <c r="H56" s="207" t="n"/>
      <c r="I56" s="84" t="inlineStr">
        <is>
          <t>JXC-106</t>
        </is>
      </c>
      <c r="J56" s="208" t="inlineStr">
        <is>
          <t>箱体大小：450×320×170mm(±20mm)。
材质：PC材料箱盖，增强型ZQ-ABS树脂材料箱体，增强型PP材质活动卡扣；结构：整体采用加厚增强型扣盖卡扣式设计，箱体为上下面耦合卡槽定位，内置活动式上下双层内衬，嵌入式专槽定位，方便器材取用保管；叠加方式：既可叠加组合摆放，也可放置于仪器柜或货架。
主要配置及特征参数：
电荷间作用力实验器1套、等势线描绘实验器（220×140×38mm）1套、电场线演示器（由单点电极演示板、双点电极演示板（同种电极和异种电极）、平行板电极演示板、环形电极演示板、尖形导体演示板组成）1套、灵敏电流表（三接口4mm香蕉插座、外置手动调零、测量范围：：-300uA～300uA）1个、电压表（三接口4mm香蕉插座、外置手动调零、双量程0～3V和0～15V）1个、单刀双掷开关（110×50×31mm，可磁吸）1个、电容器实验板（220×140×38mm，100μF\470μF\1000μF\2200μF\4700μF）1套、电阻实验板（220×140×38mm,1Ω\5Ω\15Ω\47Ω\100Ω\330Ω\1KΩ\10KΩ\47KΩ\100KΩ）1套、鳄鱼夹4个、4mm红黑香蕉导线各4根等。
核心产品技术指标：
电阻实验板：
规格：尺寸220×140×38mm；材质：ABS工程塑料，环氧玻纤；工艺：表面丝印，由不少于 6 种不同规格的定值电阻（1Ω～100 kΩ）组成，排列均匀，焊接在实验板上，应注明标称值及系列。
电容器实验板：
规格：尺寸220×140×38mm；材质：ABS工程塑料，环氧玻纤；工艺：表面丝印，包含不少于 5 种规格不同电解电容器，排列均匀，焊接在实验板上，能有效实现电容器充放电等实验。
等势线描绘实验器：
由塑料底座、4mm香蕉插头、导电纸等级成。规格：尺寸220×140×38mm（±5mm）；材质：ABS工程塑料，环氧玻纤；塑料底座：尺寸规格：265×170×40（±5mm）；材质工艺：ABS塑料精密注塑成型；功能描述：为整个演示器提供牢固稳定的底座，内嵌垫片，使得底座具备防滑耐磨的特点。
单刀双掷开关（磁吸）：
产品组成：由绝缘底座、开关闸刀、香蕉插头接线柱等组成。规格：双接口4mm香蕉插座，底座尺寸：110×50×31mm（±5mm）；绝缘底座尺寸：110×50×31mm（±5mm），材质工艺：ABS塑料精密注塑成型；功能描述：作为控制电路的开关与其他相关器材进行电学实验、电磁学实验及其他需要控制电路通断的实验，也可吸附在磁性黑板或其他磁性材料上进行演示操作。
灵敏电流表：
规格：三接口4mm香蕉插座、外置手动调零、测量范围：：-300uA～300uA；精度：电磁类仪表2.5级；误差≤5%；材质：增强ABS塑料+墨色透明PC、壁厚≥2.5mm；工艺：塑料注塑成型，外表面高光，下底面内磨砂工艺处理；功能描述：防摔壳体设计能够有效保护表盘罩壳，可以满足课程设计相关实验对电流计改表的实验需求。
电压表：
规格：三接口4mm香蕉插座、外置手动调零、双量程0～3V和0～15V；精度：电磁类仪表2.5级；误差≤5%；材质：增强ABS塑料+墨色透明PC、壁厚≥2.5mm；工艺：塑料注塑成型，外表面高光，下底面内磨砂工艺处理；功能描述：防摔壳体设计能够有效保护表盘罩壳，可以满足课程设计相关实验对直流电压检测的实验需求。
▲可完成的基本实验活动：（需提供第三方检测机构出具的检测报告予以证明可完成以下实验内容）
19.探究电荷间相互作用力与电荷量和距离的关系；
20.模拟常见电场的电场线分布；
21.描绘静电场中的等势线；
23.观察电容器的充、放电现象。</t>
        </is>
      </c>
      <c r="K56" s="48" t="inlineStr">
        <is>
          <t>乐百仕</t>
        </is>
      </c>
      <c r="L56" s="48" t="inlineStr">
        <is>
          <t>江苏乐百仕教育科技有限公司</t>
        </is>
      </c>
      <c r="M56" s="345" t="n">
        <v>1</v>
      </c>
      <c r="N56" s="345" t="n">
        <v>75</v>
      </c>
      <c r="O56" s="345" t="n">
        <v>75</v>
      </c>
      <c r="P56" s="345" t="inlineStr">
        <is>
          <t>箱</t>
        </is>
      </c>
      <c r="Q56" s="345" t="inlineStr">
        <is>
          <t>群信</t>
        </is>
      </c>
      <c r="R56" s="345" t="inlineStr"/>
      <c r="S56" s="345" t="inlineStr">
        <is>
          <t>23007</t>
        </is>
      </c>
      <c r="T56" s="345" t="inlineStr">
        <is>
          <t>23007</t>
        </is>
      </c>
      <c r="U56" s="345" t="inlineStr"/>
      <c r="V56" s="345" t="inlineStr"/>
      <c r="W56" s="345" t="inlineStr"/>
      <c r="X56" s="345" t="inlineStr"/>
      <c r="Y56" s="345" t="inlineStr">
        <is>
          <t>confirmed</t>
        </is>
      </c>
      <c r="Z56" s="345" t="n">
        <v>0</v>
      </c>
      <c r="AA56" s="345" t="inlineStr">
        <is>
          <t>没有找到可靠候选</t>
        </is>
      </c>
      <c r="AB56" s="345" t="inlineStr">
        <is>
          <t>高中理化生报价.xlsx｜凯迪｜第206行</t>
        </is>
      </c>
    </row>
    <row r="57" customFormat="1" s="66">
      <c r="A57" s="264" t="n">
        <v>98</v>
      </c>
      <c r="B57" s="84" t="inlineStr">
        <is>
          <t>JXC-107</t>
        </is>
      </c>
      <c r="C57" s="84" t="inlineStr">
        <is>
          <t>电路及其应用</t>
        </is>
      </c>
      <c r="D57" s="205" t="inlineStr">
        <is>
          <t>箱体规格：450×320×170mm(±10mm)。
材质：PC材料箱盖，增强型ZQ-ABS树脂材料箱体，增强型PP材质活动卡扣；结构：整体采用加厚增强型扣盖卡扣式设计，箱体为上下面耦合卡槽定位，内置活动式上下双层内衬，嵌入式专槽定位，方便器材取用保管；叠加方式：既可叠加组合摆放，也可放置于仪器柜或货架。
主要配置及特征参数：
电流表（三接口4mm香蕉插座、外置手动调零、双量程0～0.6A和0～3A）1个、电压表（三接口4mm香蕉插座、外置手动调零、双量程0～3V和0～15V）1个、1号电池盒（132.7×56.7×33mm，可磁吸）2个、1号电池2个、灯座（110×50×31mm，可磁吸）1个、小灯泡（3.8V）2个、 单刀单掷开关（110×50×31mm，可磁吸）1个、4mm红黑香蕉导线各4根、数字式多用电表1个、滑动变阻器（2A，20Ω）1个、鳄鱼夹4个、5Ω电阻模块（110×50×31mm，可磁吸）1个、10Ω电阻模块（110×50×31mm，可磁吸）1个、15Ω电阻模块（110×50×31mm，可磁吸）1个、游标卡尺（0～150mm，0.1mm）1套、螺旋测微器（0～25 mm，0.01mm）1套、2m卷尺1卷、钢直尺（不锈钢，30cm）1个、镀镍钢球（φ22mm）1个、小圆管（φ40mm）1个等。
核心产品技术指标：
1号电池盒（磁吸）：
产品组成：由壳体、弹簧、弹片、香蕉插头接线柱等组成；壳体尺寸规格：132.7×56.7×33mm（±5mm）；壳体材质工艺：紫色增强ABS塑料+墨色透明PC精密注塑成型；功能描述：有串联接插口，配合1号电池及其他相关器材进行电学实验、电磁学实验及其他需要提供直流电源的实验。内嵌磁铁，也可以吸附在磁性黑板或其他磁性材料上进行相关实验。
定值电阻（磁吸）：
产品组成：由绝缘底座、电阻、香蕉插头接线柱等组成；规格：双接口4mm香蕉插座，5Ω1.5 A、10 Ω1.0 A、15 Ω0.6 A 各1个。绝缘底座尺寸：110×50×31mm（±5mm），材质工艺：紫色增强ABS塑料+墨色透明PC精密注塑成型；功能描述：磁吸式，作为用电器接入电路中进行相关电学实验，也可吸附在磁性黑板或其他磁性材料上进行演示操作。
灯座（磁吸）：
产品组成：由绝缘底座、灯座、香蕉插头接线柱等组成；规格：双接口4mm香蕉插座，底座尺寸：110×50×31mm（±5mm）；绝缘底座尺寸：110×50×31mm（±5mm），材质工艺：紫色增强ABS塑料+墨色透明PC精密注塑成型；功能描述：磁吸式，配合小灯泡作为用电器与其他相关器材进行电学、电磁学及其它需要灯泡的实验，也可吸附在磁性黑板或其他磁性材料上进行演示操作。
单刀单掷开关（磁吸）：
产品组成：由绝缘底座、开关闸刀、香蕉插头接线柱等组成。规格：双接口4mm香蕉插座，底座尺寸：110×50×31mm（±5mm）；绝缘底座尺寸：110×50×31mm（±5mm），材质工艺：紫色增强ABS塑料+墨色透明PC精密注塑成型；功能描述：作为控制电路的开关与其他相关器材进行电学实验、电磁学实验及其他需要控制电路通断的实验，也可吸附在磁性黑板或其他磁性材料上进行演示操作。
电压表：
规格：三接口4mm香蕉插座、外置手动调零、双量程0～3V和0～15V；精度：电磁类仪表2.5级；误差≤5%；材质：增强ABS塑料+墨色透明PC、壁厚≥2.5mm；工艺：塑料注塑成型，外表面高光，下底面内磨砂工艺处理；功能描述：防摔壳体设计能够有效保护表盘罩壳，可以满足课程设计相关实验对直流电压检测的实验需求。
电流表：
规格：三接口4mm香蕉插座、外置手动调零、双量程0～0.6A和0～3A；精度：电磁类仪表2.5级；误差≤5%；材质：增强ABS塑料+墨色透明PC、壁厚≥2.5mm；工艺：塑料注塑成型，外表面高光，下底面内磨砂工艺处理；功能描述：防摔壳体设计能够有效保护表盘罩壳，可以满足课程设计相关实验对直流电流检测的实验需求。
▲可完成的基本实验活动：（需提供第三方检测机构出具的检测报告予以证明可完成以下实验内容）
24.用多用电表测量电学中的物理量；
25.利用多用电表检测、排除电路故障；
26.长度的测量及其测量工具的选用；
27.探究金属导体的电阻与材料、横截面积、长度的定量关系；
28.测量金属丝的电阻率；
29.验证闭合电路欧姆定律；
30.测量电源的电动势和内阻。</t>
        </is>
      </c>
      <c r="E57" s="81" t="n">
        <v>1</v>
      </c>
      <c r="F57" s="84" t="inlineStr">
        <is>
          <t>箱</t>
        </is>
      </c>
      <c r="G57" s="76">
        <f>_xlfn.DISPIMG("ID_D7B47A9042F3495BA51845E1AF6DC19C",1)</f>
        <v/>
      </c>
      <c r="H57" s="268" t="n"/>
      <c r="I57" s="84" t="inlineStr">
        <is>
          <t>JXC-107</t>
        </is>
      </c>
      <c r="J57" s="208" t="inlineStr">
        <is>
          <t>箱体大小：450×320×170mm(±20mm)。
材质：PC材料箱盖，增强型ZQ-ABS树脂材料箱体，增强型PP材质活动卡扣；结构：整体采用加厚增强型扣盖卡扣式设计，箱体为上下面耦合卡槽定位，内置活动式上下双层内衬，嵌入式专槽定位，方便器材取用保管；叠加方式：既可叠加组合摆放，也可放置于仪器柜或货架。
主要配置及特征参数：
电流表（三接口4mm香蕉插座、外置手动调零、双量程0～0.6A和0～3A）1个、电压表（三接口4mm香蕉插座、外置手动调零、双量程0～3V和0～15V）1个、1号电池盒（132.7×56.7×33mm，可磁吸）2个、1号电池2个、灯座（110×50×31mm，可磁吸）1个、小灯泡（3.8V）2个、 单刀单掷开关（110×50×31mm，可磁吸）1个、4mm红黑香蕉导线各4根、数字式多用电表1个、滑动变阻器（2A，20Ω）1个、鳄鱼夹4个、5Ω电阻模块（110×50×31mm，可磁吸）1个、10Ω电阻模块（110×50×31mm，可磁吸）1个、15Ω电阻模块（110×50×31mm，可磁吸）1个、游标卡尺（0～150mm，0.1mm）1套、螺旋测微器（0～25 mm，0.01mm）1套、2m卷尺1卷、钢直尺（不锈钢，30cm）1个、镀镍钢球（φ22mm）1个、小圆管（φ40mm）1个等。
核心产品技术指标：
1号电池盒（磁吸）：
产品组成：由壳体、弹簧、弹片、香蕉插头接线柱等组成；壳体尺寸规格：132.7×56.7×33mm（±5mm）；壳体材质工艺：紫色增强ABS塑料+墨色透明PC精密注塑成型；功能描述：有串联接插口，配合1号电池及其他相关器材进行电学实验、电磁学实验及其他需要提供直流电源的实验。内嵌磁铁，也可以吸附在磁性黑板或其他磁性材料上进行相关实验。
定值电阻（磁吸）：
产品组成：由绝缘底座、电阻、香蕉插头接线柱等组成；规格：双接口4mm香蕉插座，5Ω1.5 A、10 Ω1.0 A、15 Ω0.6 A 各1个。绝缘底座尺寸：110×50×31mm（±5mm），材质工艺：紫色增强ABS塑料+墨色透明PC精密注塑成型；功能描述：磁吸式，作为用电器接入电路中进行相关电学实验，也可吸附在磁性黑板或其他磁性材料上进行演示操作。
灯座（磁吸）：
产品组成：由绝缘底座、灯座、香蕉插头接线柱等组成；规格：双接口4mm香蕉插座，底座尺寸：110×50×31mm（±5mm）；绝缘底座尺寸：110×50×31mm（±5mm），材质工艺：紫色增强ABS塑料+墨色透明PC精密注塑成型；功能描述：磁吸式，配合小灯泡作为用电器与其他相关器材进行电学、电磁学及其它需要灯泡的实验，也可吸附在磁性黑板或其他磁性材料上进行演示操作。
单刀单掷开关（磁吸）：
产品组成：由绝缘底座、开关闸刀、香蕉插头接线柱等组成。规格：双接口4mm香蕉插座，底座尺寸：110×50×31mm（±5mm）；绝缘底座尺寸：110×50×31mm（±5mm），材质工艺：紫色增强ABS塑料+墨色透明PC精密注塑成型；功能描述：作为控制电路的开关与其他相关器材进行电学实验、电磁学实验及其他需要控制电路通断的实验，也可吸附在磁性黑板或其他磁性材料上进行演示操作。
电压表：
规格：三接口4mm香蕉插座、外置手动调零、双量程0～3V和0～15V；精度：电磁类仪表2.5级；误差≤5%；材质：增强ABS塑料+墨色透明PC、壁厚≥2.5mm；工艺：塑料注塑成型，外表面高光，下底面内磨砂工艺处理；功能描述：防摔壳体设计能够有效保护表盘罩壳，可以满足课程设计相关实验对直流电压检测的实验需求。
电流表：
规格：三接口4mm香蕉插座、外置手动调零、双量程0～0.6A和0～3A；精度：电磁类仪表2.5级；误差≤5%；材质：增强ABS塑料+墨色透明PC、壁厚≥2.5mm；工艺：塑料注塑成型，外表面高光，下底面内磨砂工艺处理；功能描述：防摔壳体设计能够有效保护表盘罩壳，可以满足课程设计相关实验对直流电流检测的实验需求。
▲可完成的基本实验活动：（需提供第三方检测机构出具的检测报告予以证明可完成以下实验内容）
24.用多用电表测量电学中的物理量；
25.利用多用电表检测、排除电路故障；
26.长度的测量及其测量工具的选用；
27.探究金属导体的电阻与材料、横截面积、长度的定量关系；
28.测量金属丝的电阻率；
29.验证闭合电路欧姆定律；
30.测量电源的电动势和内阻。</t>
        </is>
      </c>
      <c r="K57" s="48" t="inlineStr">
        <is>
          <t>乐百仕</t>
        </is>
      </c>
      <c r="L57" s="48" t="inlineStr">
        <is>
          <t>江苏乐百仕教育科技有限公司</t>
        </is>
      </c>
      <c r="M57" s="345" t="n">
        <v>1</v>
      </c>
      <c r="N57" s="345" t="n">
        <v>80</v>
      </c>
      <c r="O57" s="345" t="n">
        <v>80</v>
      </c>
      <c r="P57" s="345" t="inlineStr">
        <is>
          <t>箱</t>
        </is>
      </c>
      <c r="Q57" s="345" t="inlineStr"/>
      <c r="R57" s="345" t="inlineStr"/>
      <c r="S57" s="345" t="inlineStr"/>
      <c r="T57" s="345" t="inlineStr"/>
      <c r="U57" s="345" t="inlineStr"/>
      <c r="V57" s="345" t="inlineStr"/>
      <c r="W57" s="345" t="inlineStr"/>
      <c r="X57" s="345" t="inlineStr"/>
      <c r="Y57" s="345" t="inlineStr">
        <is>
          <t>confirmed</t>
        </is>
      </c>
      <c r="Z57" s="345" t="n">
        <v>0</v>
      </c>
      <c r="AA57" s="345" t="inlineStr">
        <is>
          <t>匹配到商品档案但无历史价格记录</t>
        </is>
      </c>
      <c r="AB57" s="345" t="inlineStr">
        <is>
          <t>赛特尔25年.xls｜初中物理｜第272行</t>
        </is>
      </c>
    </row>
    <row r="58" customFormat="1" s="66">
      <c r="A58" s="264" t="n">
        <v>99</v>
      </c>
      <c r="B58" s="84" t="inlineStr">
        <is>
          <t>JXC-108</t>
        </is>
      </c>
      <c r="C58" s="84" t="inlineStr">
        <is>
          <t>光及其应用</t>
        </is>
      </c>
      <c r="D58" s="80" t="inlineStr">
        <is>
          <t>箱体规格：450×320×170mm(±10mm)。
材质：炭黑色优质PC材料箱盖，橙色增强型ABS树脂材料箱体，紫色增强型尼龙材料活动卡扣；结构：整体采用加厚增强型扣盖卡扣式设计，箱体为上下面耦合卡槽定位，内置活动式上下双层内衬，嵌入式专槽定位，方便器材取用保管；叠加方式：既可叠加组合摆放，也可放置于仪器柜或货架。
主要配置及特征参数：（提供加盖厂家公章的具有CMA检测资质的省级检测机构出具的检测报告予以证明可满足以下配置）
光源灯箱（75.5×69×167mm）1台、灯箱支撑杆（D12×63mm）1个、红光激光光源（可充电）1个、绿光激光光源（可充电）1个、激光光源充电线1根、滑轨卡座（76×37×35.5mm）2个、带角度盘透镜卡座（139x104x33.5mm）2个、控光板卡座（70×56×16.5mm）2个、白屏（150×180×12mm）1个、单缝镜片（0.4mm，50×55×5mm）1个、单缝镜片（0.8mm，50×55×5mm）1个、0.1mm双缝镜片（间距0.18mm，50×55×5mm）1个、0.1mm双缝镜片（间距0.36mm，50×55×5mm）1个、0.2mm圆孔镜片（50×55×5mm）1个、1缝/2缝光栅板（52x68.8x2.3mm）1个、50线光栅镜片（50×55×5mm）1个、100线光栅镜片（50×55×5mm）1个、偏振光片（50x50mm）2个、光学角度盘（D=205mm，厚度3mm）1个、半圆形玻璃砖（D=60mm，厚度15mm）1个、双半圆比色皿盒（60×23.3×3mm）1个、梯形玻璃砖（上底41mm，下底60mm，高30.8mm）1个、三角玻璃砖（等腰直角三角形）1个、黑色遮光板（52x68.8x2.3mm）1个、三棱镜（边长24.5mm，高度50mm）1个、圆台支撑座（圆台直径50mm，高度57mm，圆管直径12mm）1个、4mm红黑香蕉导线各1根、绘图套尺（含量角器、三角尺、直尺）1套、铅笔1个、大头针1盒、2m卷尺1卷、游标卡尺（150mm）1个等。
核心产品技术指标：
光源灯箱：
规格：尺寸167×75×69mm，工作电压交直流12V，工作电流3A，使用温度范围-10～40°C，持续使用时间20分钟；主要材质：ABS工程塑料； 工艺：塑料注塑成型；功能描述：含G4型12V白炽灯珠1颗、左右各附反光镜1幅，作为光学光源，提供点光源和平行光源，可根据不同用途的光学片套件，完成课程设计的光学实验！
光学玻璃砖类：
产品组成：梯形玻璃砖、半圆形玻璃砖、三角形玻璃砖、双半圆比色皿盒、三棱镜。
规格：按玻璃砖形状，统一厚度15mm；主要材质：PMMA；工艺：精加工、抛光；功能描述：用于光线折射及色散等。
光学卡片类：
产品组成：黑色遮光板、1缝/2缝光栅板。
规格：尺寸68×52×2.3mm；材质：PMMA；工艺：塑料注塑成型、丝印；功能描述：遮光、提供缝型平行光线条。
物理光学缝片类：
产品组成：单缝镜片组、双缝镜片组、圆孔镜片组、50线光栅片、100线光栅片、偏振光片。
规格：尺寸50×55×5mm，卡扣式橙色壳体，具体分为0.1mm单缝、0.3mm单缝、0.1mm双缝缝宽0.1mm、0.1mm双缝缝宽0.3mm、0.2mm双缝缝宽0.1mm、0.2mm双缝缝宽0.3mm、0.2mm直径圆孔、0.4mm直径圆孔、0.2mm直径圆点、0.4mm直径圆点、50线光栅、100线光栅、偏振光片90°；材质：ABS工程塑料、光学玻璃；工艺：塑料注塑成型、光学玻璃镀膜；功能描述：用于物理光学实验的缝片，可以实现单双缝衍射、干涉、泊松亮斑和各种光的偏振的演示实验。
滑轨卡座：
规格：76×37×35mm；材质：ABS工程塑料；工艺：塑料注塑成型；功能描述：①、既可以卡到多功能轨道上， 也可以卡到X型支座构建的光学轨道上。②、可以将透镜卡座或者圆台支撑座通过M4手紧螺丝锁紧。③、滑轨卡座上的2个卡槽，可以匹配上透镜卡座，让两者组成专用透镜座组件。
带角度盘透镜卡座：
规格：139×104×33mm；材质：ABS工程塑料；工艺：塑料注塑成型；功能描述：带角度盘透镜卡座内贴角度刻度盘，内部的透镜卡座可以卡配控光板卡座，控光板卡座可以在透镜卡座上可按一定角度旋转，用于如调整偏振光片的角度，或将物理光学缝片插接到控光板卡座上以完成物理光学实验。
可完成的基本实验活动：
48.探究光的折射定律；
49.测量玻璃的折射率；
50.观察光的全反射现象；
51.观察光的干涉现象；
52.观察光的衍射现象；
53.观察光的偏振现象；
54.用双缝干涉实验测量光的波长；
55.观察激光的特性。</t>
        </is>
      </c>
      <c r="E58" s="81" t="n">
        <v>1</v>
      </c>
      <c r="F58" s="84" t="inlineStr">
        <is>
          <t>箱</t>
        </is>
      </c>
      <c r="G58" s="76">
        <f>_xlfn.DISPIMG("ID_309DD4D024FE4D6DA605C5EEC8AC1B28",1)</f>
        <v/>
      </c>
      <c r="H58" s="268" t="n"/>
      <c r="I58" s="84" t="inlineStr">
        <is>
          <t>JXC-108</t>
        </is>
      </c>
      <c r="J58" s="77" t="inlineStr">
        <is>
          <t>箱体大小：450×320×170mm(±20mm)。
材质：炭黑色优质PC材料箱盖，橙色增强型ABS树脂材料箱体，紫色增强型尼龙材料活动卡扣；结构：整体采用加厚增强型扣盖卡扣式设计，箱体为上下面耦合卡槽定位，内置活动式上下双层内衬，嵌入式专槽定位，方便器材取用保管；叠加方式：既可叠加组合摆放，也可放置于仪器柜或货架。
主要配置及特征参数：（提供加盖厂家公章的具有CMA检测资质的省级检测机构出具的检测报告予以证明可满足以下配置）
光源灯箱（75.5×69×167mm）1台、灯箱支撑杆（D12×63mm）1个、红光激光光源（可充电）1个、绿光激光光源（可充电）1个、激光光源充电线1根、滑轨卡座（76×37×35.5mm）2个、带角度盘透镜卡座（139x104x33.5mm）2个、控光板卡座（70×56×16.5mm）2个、白屏（150×180×12mm）1个、单缝镜片（0.4mm，50×55×5mm）1个、单缝镜片（0.8mm，50×55×5mm）1个、0.1mm双缝镜片（间距0.18mm，50×55×5mm）1个、0.1mm双缝镜片（间距0.36mm，50×55×5mm）1个、0.2mm圆孔镜片（50×55×5mm）1个、1缝/2缝光栅板（52x68.8x2.3mm）1个、50线光栅镜片（50×55×5mm）1个、100线光栅镜片（50×55×5mm）1个、偏振光片（50x50mm）2个、光学角度盘（D=205mm，厚度3mm）1个、半圆形玻璃砖（D=60mm，厚度15mm）1个、双半圆比色皿盒（60×23.3×3mm）1个、梯形玻璃砖（上底41mm，下底60mm，高30.8mm）1个、三角玻璃砖（等腰直角三角形）1个、黑色遮光板（52x68.8x2.3mm）1个、三棱镜（边长24.5mm，高度50mm）1个、圆台支撑座（圆台直径50mm，高度57mm，圆管直径12mm）1个、4mm红黑香蕉导线各1根、绘图套尺（含量角器、三角尺、直尺）1套、铅笔1个、大头针1盒、2m卷尺1卷、游标卡尺（150mm）1个等。
核心产品技术指标：
光源灯箱：
规格：尺寸167×75×69mm，工作电压交直流12V，工作电流3A，使用温度范围-10～40°C，持续使用时间20分钟；主要材质：ABS工程塑料； 工艺：塑料注塑成型；功能描述：含G4型12V白炽灯珠1颗、左右各附反光镜1幅，作为光学光源，提供点光源和平行光源，可根据不同用途的光学片套件，完成课程设计的光学实验！
光学玻璃砖类：
产品组成：梯形玻璃砖、半圆形玻璃砖、三角形玻璃砖、双半圆比色皿盒、三棱镜。
规格：按玻璃砖形状，统一厚度15mm；主要材质：PMMA；工艺：精加工、抛光；功能描述：用于光线折射及色散等。
光学卡片类：
产品组成：黑色遮光板、1缝/2缝光栅板。
规格：尺寸68×52×2.3mm；材质：PMMA；工艺：塑料注塑成型、丝印；功能描述：遮光、提供缝型平行光线条。
物理光学缝片类：
产品组成：单缝镜片组、双缝镜片组、圆孔镜片组、50线光栅片、100线光栅片、偏振光片。
规格：尺寸50×55×5mm，卡扣式橙色壳体，具体分为0.1mm单缝、0.3mm单缝、0.1mm双缝缝宽0.1mm、0.1mm双缝缝宽0.3mm、0.2mm双缝缝宽0.1mm、0.2mm双缝缝宽0.3mm、0.2mm直径圆孔、0.4mm直径圆孔、0.2mm直径圆点、0.4mm直径圆点、50线光栅、100线光栅、偏振光片90°；材质：ABS工程塑料、光学玻璃；工艺：塑料注塑成型、光学玻璃镀膜；功能描述：用于物理光学实验的缝片，可以实现单双缝衍射、干涉、泊松亮斑和各种光的偏振的演示实验。
滑轨卡座：
规格：76×37×35mm；材质：ABS工程塑料；工艺：塑料注塑成型；功能描述：①、既可以卡到多功能轨道上， 也可以卡到X型支座构建的光学轨道上。②、可以将透镜卡座或者圆台支撑座通过M4手紧螺丝锁紧。③、滑轨卡座上的2个卡槽，可以匹配上透镜卡座，让两者组成专用透镜座组件。
带角度盘透镜卡座：
规格：139×104×33mm；材质：ABS工程塑料；工艺：塑料注塑成型；功能描述：带角度盘透镜卡座内贴角度刻度盘，内部的透镜卡座可以卡配控光板卡座，控光板卡座可以在透镜卡座上可按一定角度旋转，用于如调整偏振光片的角度，或将物理光学缝片插接到控光板卡座上以完成物理光学实验。
可完成的基本实验活动：
48.探究光的折射定律；
49.测量玻璃的折射率；
50.观察光的全反射现象；
51.观察光的干涉现象；
52.观察光的衍射现象；
53.观察光的偏振现象；
54.用双缝干涉实验测量光的波长；
55.观察激光的特性。</t>
        </is>
      </c>
      <c r="K58" s="48" t="inlineStr">
        <is>
          <t>乐百仕</t>
        </is>
      </c>
      <c r="L58" s="48" t="inlineStr">
        <is>
          <t>江苏乐百仕教育科技有限公司</t>
        </is>
      </c>
      <c r="M58" s="345" t="n">
        <v>1</v>
      </c>
      <c r="N58" s="345" t="n">
        <v>80</v>
      </c>
      <c r="O58" s="345" t="n">
        <v>80</v>
      </c>
      <c r="P58" s="345" t="inlineStr">
        <is>
          <t>箱</t>
        </is>
      </c>
      <c r="Q58" s="345" t="inlineStr"/>
      <c r="R58" s="345" t="inlineStr"/>
      <c r="S58" s="345" t="inlineStr"/>
      <c r="T58" s="345" t="inlineStr"/>
      <c r="U58" s="345" t="inlineStr"/>
      <c r="V58" s="345" t="inlineStr"/>
      <c r="W58" s="345" t="inlineStr"/>
      <c r="X58" s="345" t="inlineStr"/>
      <c r="Y58" s="345" t="inlineStr">
        <is>
          <t>confirmed</t>
        </is>
      </c>
      <c r="Z58" s="345" t="n">
        <v>0</v>
      </c>
      <c r="AA58" s="345" t="inlineStr">
        <is>
          <t>没有找到可靠候选</t>
        </is>
      </c>
      <c r="AB58" s="345" t="inlineStr">
        <is>
          <t>赛特尔25年.xls｜初中物理｜第272行</t>
        </is>
      </c>
    </row>
    <row r="59" customFormat="1" s="66">
      <c r="A59" s="264" t="n">
        <v>100</v>
      </c>
      <c r="B59" s="84" t="inlineStr">
        <is>
          <t>JXC-109</t>
        </is>
      </c>
      <c r="C59" s="84" t="inlineStr">
        <is>
          <t>磁场、电磁感应及其应用</t>
        </is>
      </c>
      <c r="D59" s="80" t="inlineStr">
        <is>
          <t>箱体规格：450×320×170mm(±10mm)。
材质：炭黑色优质PC材料箱盖，橙色增强型ABS树脂材料箱体，紫色增强型尼龙材料活动卡扣；结构：整体采用加厚增强型扣盖卡扣式设计，箱体为上下面耦合卡槽定位，内置活动式上下双层内衬，嵌入式专槽定位，方便器材取用保管；叠加方式：既可叠加组合摆放，也可放置于仪器柜或货架。
主要配置及特征参数：
原副线圈（含原线圈、副线圈、软铁芯和4mm香蕉导线插座）1套、条形磁铁（70×19×6mm）2个、灵敏电流表（三接口4mm香蕉插座、外置手动调零、测量范围：-300uA～300uA）1个、单刀单掷开关（110×50×31mm）1个、滑动变阻器（2A，20Ω）1个、磁场对电流作用实验器（材质工艺：ABS塑料精密注塑成型，265*170*40mm）1套、U型磁场器（100*55*65mm）1个、通电导体棒（空心铜管，150*6*0.3mm）1个、400匝线圈（45×45×72.5mm）1套、1600匝线圈（45×45×72.5mm）1套、楞次定律演示器（由铝梁、开口铝环、闭口铝环组成）1套、针头插杆1个、单插座模块1个、U型铁芯（76mm×72mm×20mm）1个、条形铁芯（72mm×20mm×20mm）1个、蝶形螺母杆（95mm×6mm）1个、数字式多用电表1个、4mm红黑香蕉导线各3根等。
核心产品技术指标：
单刀单掷开关（磁吸）：
产品组成：由绝缘底座、开关闸刀、香蕉插头接线柱等组成。规格：双接口4mm香蕉插座，底座尺寸：110×50×31mm（±5mm）；绝缘底座尺寸：110×50×31mm（±5mm），材质工艺：紫色增强ABS塑料+墨色透明PC精密注塑成型；功能描述：作为控制电路的开关与其他相关器材进行电学实验、电磁学实验及其他需要控制电路通断的实验，也可吸附在磁性黑板或其他磁性材料上进行演示操作。
400匝线圈：
规格：尺寸45×45×72.5mm，匝数400匝，阻抗3欧姆，最大过电流1A，电感量3mH；主要材质：PC、铜；工艺：塑料注塑成型、叠层密绕漆包线加工工艺；功能描述：用于变压器原理的副边线圈或者电磁感应线圈。
1600匝线圈：
规格：尺寸45×45×72.5mm，匝数1600匝，阻抗45欧姆，最大过电流0.25A，电感量50mH；主要材质：PC、铜；工艺：塑料注塑成型、叠层密绕漆包线加工工艺；功能描述：用于变压器原理的原边线圈或者大电感电磁感应线圈。
U型铁芯：
规格：尺寸76×72×20.8mm，开口宽度32mm；主要材质：矽钢片；工艺：层叠铆接、浸漆、喷涂烤漆处理；功能描述：变压器铁芯主体。
条形铁芯：
规格：尺寸72×20×20.8mm；主要材质：矽钢片；工艺：层叠铆接、浸漆、喷涂烤漆处理；功能描述：变压器封口铁芯。
灵敏电流表：
规格：三接口4mm香蕉插座、外置手动调零、测量范围：-300uA～300uA；精度：电磁类仪表2.5级；误差≤5%；材质：增强ABS塑料+墨色透明PC、壁厚≥2.5mm；工艺：塑料注塑成型，外表面高光，下底面内磨砂工艺处理；功能描述：防摔壳体设计能够有效保护表盘罩壳，可以满足课程设计相关实验对电流计改表的实验需求。
磁场对电流作用实验器：由塑料底座、U型磁场器、铜管支架、黄铜管等组成。
塑料底座：
尺寸规格：265*170*40mm（±5mm）；材质工艺：ABS塑料精密注塑成型；功能描述：为整个演示器提供牢固稳定的底座，内嵌垫片，使得底座具备防滑耐磨的特点。
U型磁场器：
尺寸规格：100*55*65mm（±5mm）；材质工艺：Q235A金属材质，表面双色喷漆；功能描述：为安装磁铁提供平台，中部空间宽敞，便于铜管在其中自由滚动。
可完成的基本实验活动：
32.探究产生感应电流的条件；
56.探究安培力的方向与电流方向、磁场方向的关系；
59.探究影响感应电流方向的因素；
60.探究楞次定律；
61.探究法拉第电磁感应定律；
65.探究变压器原、副线圈电压与匝数的关系。</t>
        </is>
      </c>
      <c r="E59" s="81" t="n">
        <v>1</v>
      </c>
      <c r="F59" s="84" t="inlineStr">
        <is>
          <t>箱</t>
        </is>
      </c>
      <c r="G59" s="76">
        <f>_xlfn.DISPIMG("ID_7B3496280F9F4B9BA358800E4C3FA97C",1)</f>
        <v/>
      </c>
      <c r="H59" s="268" t="n"/>
      <c r="I59" s="84" t="inlineStr">
        <is>
          <t>JXC-109</t>
        </is>
      </c>
      <c r="J59" s="77" t="inlineStr">
        <is>
          <t>箱体大小：450×320×170mm(±20mm)。
材质：炭黑色优质PC材料箱盖，橙色增强型ABS树脂材料箱体，紫色增强型尼龙材料活动卡扣；结构：整体采用加厚增强型扣盖卡扣式设计，箱体为上下面耦合卡槽定位，内置活动式上下双层内衬，嵌入式专槽定位，方便器材取用保管；叠加方式：既可叠加组合摆放，也可放置于仪器柜或货架。
主要配置及特征参数：
原副线圈（含原线圈、副线圈、软铁芯和4mm香蕉导线插座）1套、条形磁铁（70×19×6mm）2个、灵敏电流表（三接口4mm香蕉插座、外置手动调零、测量范围：：-300uA～300uA）1个、单刀单掷开关（110×50×31mm）1个、滑动变阻器（2A，20Ω）1个、磁场对电流作用实验器（材质工艺：ABS塑料精密注塑成型，265*170*40mm）1套、U型磁场器（100*55*65mm）1个、通电导体棒（空心铜管，150*6*0.3mm）1个、400匝线圈（45×45×72.5mm）1套、1600匝线圈（45×45×72.5mm）1套、楞次定律演示器（由铝梁、开口铝环、闭口铝环组成）1套、针头插杆1个、单插座模块1个、U型铁芯（76mm×72mm×20mm）1个、条形铁芯（72mm×20mm×20mm）1个、蝶形螺母杆（95mm×6mm）1个、数字式多用电表1个、4mm红黑香蕉导线各3根等。
核心产品技术指标：
单刀单掷开关（磁吸）：
产品组成：由绝缘底座、开关闸刀、香蕉插头接线柱等组成。规格：双接口4mm香蕉插座，底座尺寸：110×50×31mm（±5mm）；绝缘底座尺寸：110×50×31mm（±5mm），材质工艺：紫色增强ABS塑料+墨色透明PC精密注塑成型；功能描述：作为控制电路的开关与其他相关器材进行电学实验、电磁学实验及其他需要控制电路通断的实验，也可吸附在磁性黑板或其他磁性材料上进行演示操作。
400匝线圈：
规格：尺寸45×45×72.5mm，匝数400匝，阻抗3欧姆，最大过电流1A，电感量3mH；主要材质：PC、铜；工艺：塑料注塑成型、叠层密绕漆包线加工工艺；功能描述：用于变压器原理的副边线圈或者电磁感应线圈。
1600匝线圈：
规格：尺寸45×45×72.5mm，匝数1600匝，阻抗45欧姆，最大过电流0.25A，电感量50mH；主要材质：PC、铜；工艺：塑料注塑成型、叠层密绕漆包线加工工艺；功能描述：用于变压器原理的原边线圈或者大电感电磁感应线圈。
U型铁芯：
规格：尺寸76×72×20.8mm，开口宽度32mm；主要材质：矽钢片；工艺：层叠铆接、浸漆、喷涂烤漆处理；功能描述：变压器铁芯主体。
条形铁芯：
规格：尺寸72×20×20.8mm；主要材质：矽钢片；工艺：层叠铆接、浸漆、喷涂烤漆处理；功能描述：变压器封口铁芯。
灵敏电流表：
规格：三接口4mm香蕉插座、外置手动调零、测量范围：：-300uA～300uA；精度：电磁类仪表2.5级；误差≤5%；材质：增强ABS塑料+墨色透明PC、壁厚≥2.5mm；工艺：塑料注塑成型，外表面高光，下底面内磨砂工艺处理；功能描述：防摔壳体设计能够有效保护表盘罩壳，可以满足课程设计相关实验对电流计改表的实验需求。
磁场对电流作用实验器：由塑料底座、U型磁场器、铜管支架、黄铜管等组成。
塑料底座：
尺寸规格：265*170*40mm（±5mm）；材质工艺：ABS塑料精密注塑成型；功能描述：为整个演示器提供牢固稳定的底座，内嵌垫片，使得底座具备防滑耐磨的特点。
U型磁场器：
尺寸规格：100*55*65mm（±5mm）；材质工艺：Q235A金属材质，表面双色喷漆；功能描述：为安装磁铁提供平台，中部空间宽敞，便于铜管在其中自由滚动。
可完成的基本实验活动：
32.探究产生感应电流的条件；
56.探究安培力的方向与电流方向、磁场方向的关系；
59.探究影响感应电流方向的因素；
60.探究楞次定律；
61.探究法拉第电磁感应定律；
65.探究变压器原、副线圈电压与匝数的关系。</t>
        </is>
      </c>
      <c r="K59" s="48" t="inlineStr">
        <is>
          <t>乐百仕</t>
        </is>
      </c>
      <c r="L59" s="48" t="inlineStr">
        <is>
          <t>江苏乐百仕教育科技有限公司</t>
        </is>
      </c>
      <c r="M59" s="345" t="n">
        <v>1</v>
      </c>
      <c r="N59" s="345" t="n">
        <v>50</v>
      </c>
      <c r="O59" s="345" t="n">
        <v>50</v>
      </c>
      <c r="P59" s="345" t="inlineStr">
        <is>
          <t>箱</t>
        </is>
      </c>
      <c r="Q59" s="345" t="inlineStr"/>
      <c r="R59" s="345" t="inlineStr"/>
      <c r="S59" s="345" t="inlineStr"/>
      <c r="T59" s="345" t="inlineStr">
        <is>
          <t>由单匝线圈及 4 匝线圈构成，线圈应固定在绝缘板上，绝缘板应能固定在方座支架上</t>
        </is>
      </c>
      <c r="U59" s="345" t="inlineStr"/>
      <c r="V59" s="345" t="inlineStr"/>
      <c r="W59" s="345" t="inlineStr"/>
      <c r="X59" s="345" t="inlineStr"/>
      <c r="Y59" s="345" t="inlineStr">
        <is>
          <t>confirmed</t>
        </is>
      </c>
      <c r="Z59" s="345" t="n">
        <v>0</v>
      </c>
      <c r="AA59" s="345" t="inlineStr">
        <is>
          <t>没有找到可靠候选</t>
        </is>
      </c>
      <c r="AB59" s="345" t="inlineStr">
        <is>
          <t>赛特尔25年.xls｜初中新课标物理｜第357行</t>
        </is>
      </c>
    </row>
    <row r="60" customFormat="1" s="66">
      <c r="A60" s="264" t="n">
        <v>101</v>
      </c>
      <c r="B60" s="84" t="inlineStr">
        <is>
          <t>JXC-110</t>
        </is>
      </c>
      <c r="C60" s="84" t="inlineStr">
        <is>
          <t>传感器</t>
        </is>
      </c>
      <c r="D60" s="80" t="inlineStr">
        <is>
          <t>箱体规格：450×320×170mm(±10mm)。
材质：炭黑色优质PC材料箱盖，橙色增强型ABS树脂材料箱体，紫色增强型尼龙材料活动卡扣；结构：整体采用加厚增强型扣盖卡扣式设计，箱体为上下面耦合卡槽定位，内置活动式上下双层内衬，嵌入式专槽定位，方便器材取用保管；叠加方式：既可叠加组合摆放，也可放置于仪器柜或货架。
主要配置及特征参数：
条形磁铁（70×19×6mm）1个、单插座模块2个、小电机模块1个、电阻实验板（220×140×38mm,1Ω\5Ω\15Ω\47Ω\100Ω\330Ω\1KΩ\10KΩ\47KΩ\100KΩ）1套、二极管实验板（220×140×38mm,含整流二极管、检波二极管、稳压二极管、发光二极管（绿色）、发光二极管（红色），变容二极管、开关二极管）1套、电学模块盒（220×140×38mm,含光敏电阻、可调电阻、三极管、扬声器、干簧管和继电器）1套、4mm红黑香蕉导线各5根等。
核心产品技术指标：
电阻实验板：
规格：尺寸220×140×38mm；材质：ABS工程塑料，环氧玻纤；工艺：表面丝印，由不少于 6 种不同规格的定值电阻（1Ω～100 kΩ）组成，排列均匀，焊接在实验板上，应注明标称值及系列。
二极管实验板：
规格：尺寸220×140×38mm；材质：ABS工程塑料，环氧玻纤；工艺：表面丝印，由整流二极管、检波二极管、稳压二极管、发光二极管（绿色）、发光二极管（红色），变容二极管、开关二极管组成，排列均匀，焊接在实验板上，可用于电学实验。
电学模块盒：
规格：尺寸220×140×38mm；材质：ABS工程塑料，环氧玻纤；工艺：表面丝印，由光敏电阻、可调电阻、三极管、扬声器、干簧管和继电器等组成，排列均匀，焊接在实验板上，可完成传感器制作简单的自动化控制装置。
可完成的基本实验活动：
69.利用传感器制作简单的自动控制装置（1、认识常见二极管2、用光敏电阻搭建控制电路3、用磁控传感器搭建控制电路4、模拟门窗防盗报警装置5、模拟光控开关装置）。</t>
        </is>
      </c>
      <c r="E60" s="81" t="n">
        <v>1</v>
      </c>
      <c r="F60" s="84" t="inlineStr">
        <is>
          <t>箱</t>
        </is>
      </c>
      <c r="G60" s="76">
        <f>_xlfn.DISPIMG("ID_EA3A7A0927F34CC19614D280D2FBAC5D",1)</f>
        <v/>
      </c>
      <c r="H60" s="268" t="n"/>
      <c r="I60" s="84" t="inlineStr">
        <is>
          <t>JXC-110</t>
        </is>
      </c>
      <c r="J60" s="77" t="inlineStr">
        <is>
          <t>箱体大小：450×320×170mm(±20mm)。
材质：炭黑色优质PC材料箱盖，橙色增强型ABS树脂材料箱体，紫色增强型尼龙材料活动卡扣；结构：整体采用加厚增强型扣盖卡扣式设计，箱体为上下面耦合卡槽定位，内置活动式上下双层内衬，嵌入式专槽定位，方便器材取用保管；叠加方式：既可叠加组合摆放，也可放置于仪器柜或货架。
主要配置及特征参数：
条形磁铁（70×19×6mm）1个、单插座模块2个、小电机模块1个、电阻实验板（220×140×38mm,1Ω\5Ω\15Ω\47Ω\100Ω\330Ω\1KΩ\10KΩ\47KΩ\100KΩ）1套、二极管实验板（220×140×38mm,含整流二极管、检波二极管、稳压二极管、发光二极管（绿色）、发光二极管（红色），变容二极管、开关二极管）1套、电学模块盒（220×140×38mm,含光敏电阻、可调电阻、三极管、扬声器、干簧管和继电器）1套、4mm红黑香蕉导线各5根等。
核心产品技术指标：
电阻实验板：
规格：尺寸220×140×38mm；材质：ABS工程塑料，环氧玻纤；工艺：表面丝印，由不少于 6 种不同规格的定值电阻（1Ω～100 kΩ）组成，排列均匀，焊接在实验板上，应注明标称值及系列。
二极管实验板：
规格：尺寸220×140×38mm；材质：ABS工程塑料，环氧玻纤；工艺：表面丝印，由整流二极管、检波二极管、稳压二极管、发光二极管（绿色）、发光二极管（红色），变容二极管、开关二极管组成，排列均匀，焊接在实验板上，可用于电学实验。
电学模块盒：
规格：尺寸220×140×38mm；材质：ABS工程塑料，环氧玻纤；工艺：表面丝印，由光敏电阻、可调电阻、三极管、扬声器、干簧管和继电器等组成，排列均匀，焊接在实验板上，可完成传感器制作简单的自动化控制装置。
可完成的基本实验活动：
69.利用传感器制作简单的自动控制装置（1、认识常见二极管2、用光敏电阻搭建控制电路3、用磁控传感器搭建控制电路4、模拟门窗防盗报警装置5、模拟光控开关装置）。</t>
        </is>
      </c>
      <c r="K60" s="48" t="inlineStr">
        <is>
          <t>乐百仕</t>
        </is>
      </c>
      <c r="L60" s="48" t="inlineStr">
        <is>
          <t>江苏乐百仕教育科技有限公司</t>
        </is>
      </c>
      <c r="M60" s="345" t="n">
        <v>1</v>
      </c>
      <c r="N60" s="345" t="n">
        <v>65</v>
      </c>
      <c r="O60" s="345" t="n">
        <v>65</v>
      </c>
      <c r="P60" s="345" t="inlineStr">
        <is>
          <t>箱</t>
        </is>
      </c>
      <c r="Q60" s="345" t="inlineStr">
        <is>
          <t>群信</t>
        </is>
      </c>
      <c r="R60" s="345" t="inlineStr"/>
      <c r="S60" s="345" t="inlineStr">
        <is>
          <t>80114</t>
        </is>
      </c>
      <c r="T60" s="345" t="inlineStr">
        <is>
          <t>80114</t>
        </is>
      </c>
      <c r="U60" s="345" t="inlineStr"/>
      <c r="V60" s="345" t="inlineStr"/>
      <c r="W60" s="345" t="inlineStr"/>
      <c r="X60" s="345" t="inlineStr"/>
      <c r="Y60" s="345" t="inlineStr">
        <is>
          <t>confirmed</t>
        </is>
      </c>
      <c r="Z60" s="345" t="n">
        <v>0</v>
      </c>
      <c r="AA60" s="345" t="inlineStr">
        <is>
          <t>没有找到可靠候选</t>
        </is>
      </c>
      <c r="AB60" s="345" t="inlineStr">
        <is>
          <t>高中理化生报价.xlsx｜凯迪｜第388行</t>
        </is>
      </c>
    </row>
    <row r="61" customFormat="1" s="5">
      <c r="A61" s="264" t="n">
        <v>102</v>
      </c>
      <c r="B61" s="84" t="inlineStr">
        <is>
          <t>JXC-111</t>
        </is>
      </c>
      <c r="C61" s="84" t="inlineStr">
        <is>
          <t>固体、液体和气体</t>
        </is>
      </c>
      <c r="D61" s="269" t="inlineStr">
        <is>
          <t>箱体规格：450×320×170mm(±10mm)。
材质：炭黑色优质PC材料箱盖，橙色增强型ABS树脂材料箱体，紫色增强型尼龙材料活动卡扣；结构：整体采用加厚增强型扣盖卡扣式设计，箱体为上下面耦合卡槽定位，内置活动式上下双层内衬，嵌入式专槽定位，方便器材取用保管；叠加方式：既可叠加组合摆放，也可放置于仪器柜或货架。
主要配置及特征参数：
油膜实验器（φ200mm×20mm）1套、X型支座（可拼接）1套、双向转接头（铝合金，30×30×65mm）1个、600mm支撑杆（2根/套，单根杆长 300mm，杆与杆可以螺纹对接）1套、大号铁三环（黑色，φ100mm）1个、电烙铁（12V)1个、烙铁支架(黑色)1个、薄玻璃片（50×50×2mm）1个、石蜡1瓶、白云母片（50×50mm）1袋、针孔隔热板（100×100mm×4mm）1个、气体定律演示器（由压力表、固定架、体积标尺、气室等组成）1套、万用夹具（黑色长尾 L=270）1个、多功能卡夹（可多种形式夹支撑杆及温度计）1个、红水温度计（-10～110度）1个等。
核心产品技术指标：
X型支座：
材质：黑色增强尼龙、镀锌圆钢，确保强度且耐酸耐碱；工艺：塑料注塑成型、表面镀锌处理；产品结构：90度角双臂，半轴长165.5mm，底座高度24mm，顶部带φ10扩展孔，匍氏耦合对接挂钩、φ10凹凸式双轨插孔，自锁紧双下压扣，多功能杆插孔、斜顶式M6螺丝锁紧孔,底部配重盖采用超声波焊接技术；功能描述：Half-Half对偶插接式构造能够进行多种结构拓展：①、两件对插呈X型可作为常规铁架台底座；②、可对接不同长度的支撑杆组成不同种类的支撑座；③、可作为光学实验导轨；④、拓展为其他产品的轨道座；⑤、级联底座作为配重等。
双向转接头：
规格：30×30×65mm；材质：铝合金；工艺：精密压铸、电泳发黑；功能描述：①、两端固定口90°正交垂直，中间穿孔可以轴向固定；②、附带2个M6×25mm的防滑手紧螺丝，可以固定所有用到与支撑杆有关的实验设备。
可完成的基本实验活动：
70.用油膜法估测油酸分子的大小；
72.观察晶体的各向异性和非晶体的各向同性；
75.探究等温情况下一定质量气体压强与体积的关系；
76.探究气体的等压变化、等容变化规律。</t>
        </is>
      </c>
      <c r="E61" s="81" t="n">
        <v>1</v>
      </c>
      <c r="F61" s="84" t="inlineStr">
        <is>
          <t>箱</t>
        </is>
      </c>
      <c r="G61" s="76">
        <f>_xlfn.DISPIMG("ID_8C4DCFFBEFC541B797832882E75838E0",1)</f>
        <v/>
      </c>
      <c r="H61" s="76" t="n"/>
      <c r="I61" s="84" t="inlineStr">
        <is>
          <t>JXC-111</t>
        </is>
      </c>
      <c r="J61" s="47" t="inlineStr">
        <is>
          <t>箱体大小：450×320×170mm(±20mm)。
材质：炭黑色优质PC材料箱盖，橙色增强型ABS树脂材料箱体，紫色增强型尼龙材料活动卡扣；结构：整体采用加厚增强型扣盖卡扣式设计，箱体为上下面耦合卡槽定位，内置活动式上下双层内衬，嵌入式专槽定位，方便器材取用保管；叠加方式：既可叠加组合摆放，也可放置于仪器柜或货架。
主要配置及特征参数：
油膜实验器（φ200mm×20mm）1套、X型支座（可拼接）1套、双向转接头（铝合金，30×30×65mm）1个、600mm支撑杆（2根/套，单根杆长 300mm，杆与杆可以螺纹对接）1套、大号铁三环（黑色，φ100mm）1个、电烙铁（12V)1个、烙铁支架(黑色)1个、薄玻璃片（50×50×2mm）1个、石蜡1瓶、白云母片（50×50mm）1袋、针孔隔热板（100×100mm×4mm）1个、气体定律演示器（由压力表、固定架、体积标尺、气室等组成）1套、万用夹具（黑色长尾 L=270）1个、多功能卡夹（可多种形式夹支撑杆及温度计）1个、红水温度计（-10～110度）1个等。
核心产品技术指标：
X型支座：
材质：黑色增强尼龙、镀锌圆钢，确保强度且耐酸耐碱；工艺：塑料注塑成型、表面镀锌处理；产品结构：90度角双臂，半轴长165.5mm，底座高度24mm，顶部带φ10扩展孔，匍氏耦合对接挂钩、φ10凹凸式双轨插孔，自锁紧双下压扣，多功能杆插孔、斜顶式M6螺丝锁紧孔,底部配重盖采用超声波焊接技术；功能描述：Half-Half对偶插接式构造能够进行多种结构拓展：①、两件对插呈X型可作为常规铁架台底座；②、可对接不同长度的支撑杆组成不同种类的支撑座；③、可作为光学实验导轨；④、拓展为其他产品的轨道座；⑤、级联底座作为配重等。
双向转接头：
规格：30×30×65mm；材质：铝合金；工艺：精密压铸、电泳发黑；功能描述：①、两端固定口90°正交垂直，中间穿孔可以轴向固定；②、附带2个M6×25mm的防滑手紧螺丝，可以固定所有用到与支撑杆有关的实验设备。
可完成的基本实验活动：
70.用油膜法估测油酸分子的大小；
72.观察晶体的各向异性和非晶体的各向同性；
75.探究等温情况下一定质量气体压强与体积的关系；
76.探究气体的等压变化、等容变化规律。</t>
        </is>
      </c>
      <c r="K61" s="48" t="inlineStr">
        <is>
          <t>乐百仕</t>
        </is>
      </c>
      <c r="L61" s="48" t="inlineStr">
        <is>
          <t>江苏乐百仕教育科技有限公司</t>
        </is>
      </c>
      <c r="M61" s="345" t="n">
        <v>1</v>
      </c>
      <c r="N61" s="345" t="n">
        <v>45</v>
      </c>
      <c r="O61" s="345" t="n">
        <v>45</v>
      </c>
      <c r="P61" s="345" t="inlineStr">
        <is>
          <t>箱</t>
        </is>
      </c>
      <c r="Q61" s="345" t="inlineStr">
        <is>
          <t>群信</t>
        </is>
      </c>
      <c r="R61" s="345" t="inlineStr"/>
      <c r="S61" s="345" t="inlineStr">
        <is>
          <t>80115</t>
        </is>
      </c>
      <c r="T61" s="345" t="inlineStr">
        <is>
          <t>80115</t>
        </is>
      </c>
      <c r="U61" s="345" t="inlineStr"/>
      <c r="V61" s="345" t="inlineStr"/>
      <c r="W61" s="345" t="inlineStr"/>
      <c r="X61" s="345" t="inlineStr"/>
      <c r="Y61" s="345" t="inlineStr">
        <is>
          <t>confirmed</t>
        </is>
      </c>
      <c r="Z61" s="345" t="n">
        <v>0</v>
      </c>
      <c r="AA61" s="345" t="inlineStr">
        <is>
          <t>匹配到商品档案但无历史价格记录</t>
        </is>
      </c>
      <c r="AB61" s="345" t="inlineStr">
        <is>
          <t>高中理化生报价.xlsx｜凯迪｜第389行</t>
        </is>
      </c>
    </row>
    <row r="62" customFormat="1" s="257">
      <c r="A62" s="106" t="n">
        <v>103</v>
      </c>
      <c r="B62" s="349" t="n">
        <v>30307109610</v>
      </c>
      <c r="C62" s="117" t="inlineStr">
        <is>
          <t>坐标纸</t>
        </is>
      </c>
      <c r="D62" s="115" t="inlineStr">
        <is>
          <t>1cm大格，1 mm 小格</t>
        </is>
      </c>
      <c r="E62" s="347" t="n">
        <v>100</v>
      </c>
      <c r="F62" s="117" t="inlineStr">
        <is>
          <t>套</t>
        </is>
      </c>
      <c r="G62" s="31">
        <f>_xlfn.DISPIMG("ID_41BAA85C4EBF4E3CB484B1F3440AA919",1)</f>
        <v/>
      </c>
      <c r="H62" s="330" t="n"/>
      <c r="I62" s="348" t="n">
        <v>30307109610</v>
      </c>
      <c r="J62" s="40" t="inlineStr">
        <is>
          <t>性能：1cm大格，1 mm 小格</t>
        </is>
      </c>
      <c r="K62" s="39" t="inlineStr">
        <is>
          <t>乐百仕</t>
        </is>
      </c>
      <c r="L62" s="39" t="inlineStr">
        <is>
          <t>江苏乐百仕教育科技有限公司</t>
        </is>
      </c>
      <c r="M62" s="345" t="n">
        <v>100</v>
      </c>
      <c r="N62" s="345" t="n">
        <v>0.8</v>
      </c>
      <c r="O62" s="345" t="n">
        <v>80</v>
      </c>
      <c r="P62" s="345" t="inlineStr">
        <is>
          <t>套</t>
        </is>
      </c>
      <c r="Q62" s="345" t="inlineStr"/>
      <c r="R62" s="345" t="inlineStr"/>
      <c r="S62" s="345" t="inlineStr"/>
      <c r="T62" s="345" t="inlineStr"/>
      <c r="U62" s="345" t="inlineStr"/>
      <c r="V62" s="345" t="inlineStr"/>
      <c r="W62" s="345" t="inlineStr"/>
      <c r="X62" s="345" t="inlineStr"/>
      <c r="Y62" s="345" t="inlineStr">
        <is>
          <t>confirmed</t>
        </is>
      </c>
      <c r="Z62" s="345" t="n">
        <v>0</v>
      </c>
      <c r="AA62" s="345" t="inlineStr">
        <is>
          <t>没有找到可靠候选</t>
        </is>
      </c>
      <c r="AB62" s="345" t="inlineStr">
        <is>
          <t>赛特尔25年.xls｜初中新课标数学｜第5行</t>
        </is>
      </c>
    </row>
    <row r="63" customFormat="1" s="257">
      <c r="A63" s="106" t="n">
        <v>104</v>
      </c>
      <c r="B63" s="349" t="n">
        <v>30201001710</v>
      </c>
      <c r="C63" s="117" t="inlineStr">
        <is>
          <t>直尺</t>
        </is>
      </c>
      <c r="D63" s="115" t="inlineStr">
        <is>
          <t>有机塑料；标称长度 1000 mm，分度值 1mm；全长≤±1.5 mm，厘米分度≤±0.6mm，毫米分度≤±0.3 mm；尺面平面度允差≤3.0 mm，尺边面垂直度允差≤0.5mm</t>
        </is>
      </c>
      <c r="E63" s="347" t="n">
        <v>25</v>
      </c>
      <c r="F63" s="117" t="inlineStr">
        <is>
          <t>把</t>
        </is>
      </c>
      <c r="G63" s="31">
        <f>_xlfn.DISPIMG("ID_B54ADA3EA5544DE995F60D1C86CFC487",1)</f>
        <v/>
      </c>
      <c r="H63" s="154" t="inlineStr">
        <is>
          <t>二选一</t>
        </is>
      </c>
      <c r="I63" s="348" t="n">
        <v>30201001710</v>
      </c>
      <c r="J63" s="40" t="inlineStr">
        <is>
          <t>性能：有机塑料；标称长度 1000 mm，分度值 1mm；全长≤±1.5 mm，厘米分度≤±0.6mm，毫米分度≤±0.3 mm；尺面平面度允差≤3.0 mm，尺边面垂直度允差≤0.5mm</t>
        </is>
      </c>
      <c r="K63" s="39" t="inlineStr">
        <is>
          <t>乐百仕</t>
        </is>
      </c>
      <c r="L63" s="39" t="inlineStr">
        <is>
          <t>江苏乐百仕教育科技有限公司</t>
        </is>
      </c>
      <c r="M63" s="345" t="n">
        <v>25</v>
      </c>
      <c r="N63" s="345" t="n">
        <v>5</v>
      </c>
      <c r="O63" s="345" t="n">
        <v>125</v>
      </c>
      <c r="P63" s="345" t="inlineStr">
        <is>
          <t>把</t>
        </is>
      </c>
      <c r="Q63" s="345" t="inlineStr"/>
      <c r="R63" s="345" t="inlineStr"/>
      <c r="S63" s="345" t="inlineStr"/>
      <c r="T63" s="345" t="inlineStr"/>
      <c r="U63" s="345" t="inlineStr"/>
      <c r="V63" s="345" t="inlineStr"/>
      <c r="W63" s="345" t="inlineStr"/>
      <c r="X63" s="345" t="inlineStr"/>
      <c r="Y63" s="345" t="inlineStr">
        <is>
          <t>confirmed</t>
        </is>
      </c>
      <c r="Z63" s="345" t="n">
        <v>100</v>
      </c>
      <c r="AA63" s="345" t="inlineStr"/>
      <c r="AB63" s="345" t="inlineStr">
        <is>
          <t>赛特尔25年.xls｜高中通用技术｜第155行</t>
        </is>
      </c>
    </row>
    <row r="64" customFormat="1" s="257">
      <c r="A64" s="106" t="n">
        <v>105</v>
      </c>
      <c r="B64" s="349" t="n">
        <v>30201000405</v>
      </c>
      <c r="C64" s="270" t="inlineStr">
        <is>
          <t>金属直尺（钢直尺）</t>
        </is>
      </c>
      <c r="D64" s="115" t="inlineStr">
        <is>
          <t>1000mm，分度值为 1 mm；刻度面平面度误差应≤0.25 mm，标称长度允许误差应±0.20 mm；材料为 1Cr18Ni9、1Cr13 或其他类似性能材料，硬度应不低于 342 HV</t>
        </is>
      </c>
      <c r="E64" s="347" t="n">
        <v>49</v>
      </c>
      <c r="F64" s="117" t="inlineStr">
        <is>
          <t>把</t>
        </is>
      </c>
      <c r="G64" s="31">
        <f>_xlfn.DISPIMG("ID_08AAA97F8AB54DCA83D5830D3A13950A",1)</f>
        <v/>
      </c>
      <c r="H64" s="154" t="n"/>
      <c r="I64" s="348" t="n">
        <v>30201000405</v>
      </c>
      <c r="J64" s="40" t="inlineStr">
        <is>
          <t>性能：1000mm，分度值为 1 mm；刻度面平面度误差应≤0.25 mm，标称长度允许误差应±0.20 mm；材料为 1Cr18Ni9、1Cr13 或其他类似性能材料，硬度应不低于 342 HV</t>
        </is>
      </c>
      <c r="K64" s="39" t="inlineStr">
        <is>
          <t>乐百仕</t>
        </is>
      </c>
      <c r="L64" s="39" t="inlineStr">
        <is>
          <t>江苏乐百仕教育科技有限公司</t>
        </is>
      </c>
      <c r="M64" s="345" t="n">
        <v>49</v>
      </c>
      <c r="N64" s="345" t="n">
        <v>5</v>
      </c>
      <c r="O64" s="345" t="n">
        <v>245</v>
      </c>
      <c r="P64" s="345" t="inlineStr">
        <is>
          <t>把</t>
        </is>
      </c>
      <c r="Q64" s="345" t="inlineStr"/>
      <c r="R64" s="345" t="inlineStr"/>
      <c r="S64" s="345" t="inlineStr"/>
      <c r="T64" s="345" t="inlineStr"/>
      <c r="U64" s="345" t="inlineStr"/>
      <c r="V64" s="345" t="inlineStr"/>
      <c r="W64" s="345" t="inlineStr"/>
      <c r="X64" s="345" t="inlineStr"/>
      <c r="Y64" s="345" t="inlineStr">
        <is>
          <t>confirmed</t>
        </is>
      </c>
      <c r="Z64" s="345" t="n">
        <v>100</v>
      </c>
      <c r="AA64" s="345" t="inlineStr"/>
      <c r="AB64" s="345" t="inlineStr">
        <is>
          <t>赛特尔25年.xls｜高中通用技术｜第155行</t>
        </is>
      </c>
    </row>
    <row r="65" customFormat="1" s="257">
      <c r="A65" s="106" t="n">
        <v>107</v>
      </c>
      <c r="B65" s="349" t="n">
        <v>30201000404</v>
      </c>
      <c r="C65" s="270" t="inlineStr">
        <is>
          <t>金属直尺（钢直尺）</t>
        </is>
      </c>
      <c r="D65" s="115" t="inlineStr">
        <is>
          <t>300mm，分度值为 1 mm；刻度面平面度误差应≤0.25 mm，标称长度允许误差应±0.15 mm；材料为 1Cr18Ni9、1Cr13 或其他类似性能材料，硬度应不低于 342 HV</t>
        </is>
      </c>
      <c r="E65" s="347" t="n">
        <v>25</v>
      </c>
      <c r="F65" s="117" t="inlineStr">
        <is>
          <t>把</t>
        </is>
      </c>
      <c r="G65" s="31">
        <f>_xlfn.DISPIMG("ID_E25AFF4E87644D92A87DAA850F994FE9",1)</f>
        <v/>
      </c>
      <c r="H65" s="31" t="n"/>
      <c r="I65" s="348" t="n">
        <v>30201000404</v>
      </c>
      <c r="J65" s="40" t="inlineStr">
        <is>
          <t>性能：300mm，分度值为 1 mm；刻度面平面度误差应≤0.25 mm，标称长度允许误差应±0.15 mm；材料为 1Cr18Ni9、1Cr13 或其他类似性能材料，硬度应不低于 342 HV</t>
        </is>
      </c>
      <c r="K65" s="39" t="inlineStr">
        <is>
          <t>乐百仕</t>
        </is>
      </c>
      <c r="L65" s="39" t="inlineStr">
        <is>
          <t>江苏乐百仕教育科技有限公司</t>
        </is>
      </c>
      <c r="M65" s="345" t="n">
        <v>25</v>
      </c>
      <c r="N65" s="345" t="n">
        <v>5</v>
      </c>
      <c r="O65" s="345" t="n">
        <v>125</v>
      </c>
      <c r="P65" s="345" t="inlineStr">
        <is>
          <t>把</t>
        </is>
      </c>
      <c r="Q65" s="345" t="inlineStr"/>
      <c r="R65" s="345" t="inlineStr"/>
      <c r="S65" s="345" t="inlineStr"/>
      <c r="T65" s="345" t="inlineStr"/>
      <c r="U65" s="345" t="inlineStr"/>
      <c r="V65" s="345" t="inlineStr"/>
      <c r="W65" s="345" t="inlineStr"/>
      <c r="X65" s="345" t="inlineStr"/>
      <c r="Y65" s="345" t="inlineStr">
        <is>
          <t>confirmed</t>
        </is>
      </c>
      <c r="Z65" s="345" t="n">
        <v>100</v>
      </c>
      <c r="AA65" s="345" t="inlineStr"/>
      <c r="AB65" s="345" t="inlineStr">
        <is>
          <t>赛特尔25年.xls｜高中通用技术｜第155行</t>
        </is>
      </c>
    </row>
    <row r="66" customFormat="1" s="257">
      <c r="A66" s="106" t="n">
        <v>108</v>
      </c>
      <c r="B66" s="349" t="n">
        <v>30201000402</v>
      </c>
      <c r="C66" s="270" t="inlineStr">
        <is>
          <t>金属直尺（钢直尺）</t>
        </is>
      </c>
      <c r="D66" s="115" t="inlineStr">
        <is>
          <t>150mm，分度值为 1 mm；刻度面平面度误差应≤0.25 mm，标称长度允许误差应±0.15 mm；材料为 1Cr18Ni9、1Cr13 或其他类似性能材料，硬度应不低于 342 HV</t>
        </is>
      </c>
      <c r="E66" s="347" t="n">
        <v>13</v>
      </c>
      <c r="F66" s="117" t="inlineStr">
        <is>
          <t>把</t>
        </is>
      </c>
      <c r="G66" s="31">
        <f>_xlfn.DISPIMG("ID_AF85288F484F4796B6FA544B8B42C74E",1)</f>
        <v/>
      </c>
      <c r="H66" s="31" t="n"/>
      <c r="I66" s="348" t="n">
        <v>30201000402</v>
      </c>
      <c r="J66" s="40" t="inlineStr">
        <is>
          <t>性能：150mm，分度值为 1 mm；刻度面平面度误差应≤0.25 mm，标称长度允许误差应±0.15 mm；材料为 1Cr18Ni9、1Cr13 或其他类似性能材料，硬度应不低于 342 HV</t>
        </is>
      </c>
      <c r="K66" s="39" t="inlineStr">
        <is>
          <t>乐百仕</t>
        </is>
      </c>
      <c r="L66" s="39" t="inlineStr">
        <is>
          <t>江苏乐百仕教育科技有限公司</t>
        </is>
      </c>
      <c r="M66" s="345" t="n">
        <v>13</v>
      </c>
      <c r="N66" s="345" t="n">
        <v>5</v>
      </c>
      <c r="O66" s="345" t="n">
        <v>65</v>
      </c>
      <c r="P66" s="345" t="inlineStr">
        <is>
          <t>把</t>
        </is>
      </c>
      <c r="Q66" s="345" t="inlineStr"/>
      <c r="R66" s="345" t="inlineStr"/>
      <c r="S66" s="345" t="inlineStr"/>
      <c r="T66" s="345" t="inlineStr"/>
      <c r="U66" s="345" t="inlineStr"/>
      <c r="V66" s="345" t="inlineStr"/>
      <c r="W66" s="345" t="inlineStr"/>
      <c r="X66" s="345" t="inlineStr"/>
      <c r="Y66" s="345" t="inlineStr">
        <is>
          <t>confirmed</t>
        </is>
      </c>
      <c r="Z66" s="345" t="n">
        <v>100</v>
      </c>
      <c r="AA66" s="345" t="inlineStr"/>
      <c r="AB66" s="345" t="inlineStr">
        <is>
          <t>赛特尔25年.xls｜高中通用技术｜第155行</t>
        </is>
      </c>
    </row>
    <row r="67" customFormat="1" s="257">
      <c r="A67" s="106" t="n">
        <v>109</v>
      </c>
      <c r="B67" s="137" t="n">
        <v>30201000602</v>
      </c>
      <c r="C67" s="31" t="inlineStr">
        <is>
          <t>钢卷尺</t>
        </is>
      </c>
      <c r="D67" s="141" t="inlineStr">
        <is>
          <t>0 mm～5000 mm，分度值 1 mm。B 型（自卷制动式），尺带宽不小于 12 mm，厚不低于0.15 mm。尺带拉伸、收卷轻便灵活，无卡阻现象</t>
        </is>
      </c>
      <c r="E67" s="31" t="n">
        <v>2</v>
      </c>
      <c r="F67" s="31" t="inlineStr">
        <is>
          <t>把</t>
        </is>
      </c>
      <c r="G67" s="31">
        <f>_xlfn.DISPIMG("ID_CCC636A448FF479687C90374F351DA67",1)</f>
        <v/>
      </c>
      <c r="H67" s="330" t="n"/>
      <c r="I67" s="31" t="n">
        <v>30201000602</v>
      </c>
      <c r="J67" s="33" t="inlineStr">
        <is>
          <t>性能：0 mm～5000 mm，分度值 1 mm。B 型（自卷制动式），尺带宽不小于 12 mm，厚不低于0.15 mm。尺带拉伸、收卷轻便灵活，无卡阻现象</t>
        </is>
      </c>
      <c r="K67" s="39" t="inlineStr">
        <is>
          <t>乐百仕</t>
        </is>
      </c>
      <c r="L67" s="39" t="inlineStr">
        <is>
          <t>江苏乐百仕教育科技有限公司</t>
        </is>
      </c>
      <c r="M67" s="345" t="n">
        <v>2</v>
      </c>
      <c r="N67" s="345" t="n">
        <v>3</v>
      </c>
      <c r="O67" s="345" t="n">
        <v>6</v>
      </c>
      <c r="P67" s="345" t="inlineStr">
        <is>
          <t>把</t>
        </is>
      </c>
      <c r="Q67" s="345" t="inlineStr"/>
      <c r="R67" s="345" t="inlineStr"/>
      <c r="S67" s="345" t="inlineStr"/>
      <c r="T67" s="345" t="inlineStr"/>
      <c r="U67" s="345" t="inlineStr"/>
      <c r="V67" s="345" t="inlineStr"/>
      <c r="W67" s="345" t="inlineStr"/>
      <c r="X67" s="345" t="inlineStr"/>
      <c r="Y67" s="345" t="inlineStr">
        <is>
          <t>confirmed</t>
        </is>
      </c>
      <c r="Z67" s="345" t="n">
        <v>0</v>
      </c>
      <c r="AA67" s="345" t="inlineStr">
        <is>
          <t>没有找到可靠候选</t>
        </is>
      </c>
      <c r="AB67" s="345" t="inlineStr">
        <is>
          <t>赛特尔25年.xls｜初中地理｜第10行</t>
        </is>
      </c>
    </row>
    <row r="68" customFormat="1" s="195">
      <c r="A68" s="106" t="n">
        <v>111</v>
      </c>
      <c r="B68" s="349" t="n">
        <v>30201001003</v>
      </c>
      <c r="C68" s="59" t="inlineStr">
        <is>
          <t>游标卡尺</t>
        </is>
      </c>
      <c r="D68" s="115" t="inlineStr">
        <is>
          <t>测量范围 0 mm～150 mm，分度值0.02mm，尺框微动装置沿尺身移动平稳、无卡滞和松动现象，用制动螺钉能准确、可靠的固定在尺身上，带深度尺</t>
        </is>
      </c>
      <c r="E68" s="31" t="n">
        <v>13</v>
      </c>
      <c r="F68" s="31" t="inlineStr">
        <is>
          <t>把</t>
        </is>
      </c>
      <c r="G68" s="31">
        <f>_xlfn.DISPIMG("ID_C42FFB56108C427FB951A1DAED9658E5",1)</f>
        <v/>
      </c>
      <c r="H68" s="231" t="n"/>
      <c r="I68" s="348" t="n">
        <v>30201001003</v>
      </c>
      <c r="J68" s="40" t="inlineStr">
        <is>
          <t>性能：测量范围： 0 mm～150 mm，分度值0.02mm，尺框微动装置沿尺身移动平稳、无卡滞和松动现象，用制动螺钉能准确、可靠的固定在尺身上，带深度尺</t>
        </is>
      </c>
      <c r="K68" s="39" t="inlineStr">
        <is>
          <t>乐百仕</t>
        </is>
      </c>
      <c r="L68" s="39" t="inlineStr">
        <is>
          <t>江苏乐百仕教育科技有限公司</t>
        </is>
      </c>
      <c r="M68" s="345" t="n">
        <v>13</v>
      </c>
      <c r="N68" s="345" t="n">
        <v>30</v>
      </c>
      <c r="O68" s="345" t="n">
        <v>390</v>
      </c>
      <c r="P68" s="345" t="inlineStr">
        <is>
          <t>把</t>
        </is>
      </c>
      <c r="Q68" s="345" t="inlineStr"/>
      <c r="R68" s="345" t="inlineStr"/>
      <c r="S68" s="345" t="inlineStr"/>
      <c r="T68" s="345" t="inlineStr"/>
      <c r="U68" s="345" t="n">
        <v>30</v>
      </c>
      <c r="V68" s="345" t="inlineStr"/>
      <c r="W68" s="345" t="inlineStr"/>
      <c r="X68" s="345" t="inlineStr"/>
      <c r="Y68" s="345" t="inlineStr">
        <is>
          <t>confirmed</t>
        </is>
      </c>
      <c r="Z68" s="345" t="n">
        <v>100</v>
      </c>
      <c r="AA68" s="345" t="inlineStr"/>
      <c r="AB68" s="345" t="inlineStr">
        <is>
          <t>赛特尔25年.xls｜初中新课标物理｜第163行</t>
        </is>
      </c>
    </row>
    <row r="69" customFormat="1" s="195">
      <c r="A69" s="106" t="n">
        <v>113</v>
      </c>
      <c r="B69" s="349" t="n">
        <v>30201001010</v>
      </c>
      <c r="C69" s="271" t="n"/>
      <c r="D69" s="115" t="inlineStr">
        <is>
          <t>测量范围 0 mm～150 mm，分度值 0.1 mm，尺框微动装置沿尺身移动平稳、无卡滞和松动现象，用制动螺钉能准确、可靠的固定在尺身上，带深度尺</t>
        </is>
      </c>
      <c r="E69" s="31" t="n">
        <v>1</v>
      </c>
      <c r="F69" s="31" t="inlineStr">
        <is>
          <t>把</t>
        </is>
      </c>
      <c r="G69" s="31">
        <f>_xlfn.DISPIMG("ID_661A3B4A9A2D4577AB4E278F5ADFE043",1)</f>
        <v/>
      </c>
      <c r="H69" s="231" t="n"/>
      <c r="I69" s="348" t="n">
        <v>30201001010</v>
      </c>
      <c r="J69" s="40" t="inlineStr">
        <is>
          <t>测量范围： 0 mm～150 mm，分度值 0.1 mm，尺框微动装置沿尺身移动平稳、无卡滞和松动现象，用制动螺钉能准确、可靠的固定在尺身上，带深度尺</t>
        </is>
      </c>
      <c r="K69" s="39" t="inlineStr">
        <is>
          <t>乐百仕</t>
        </is>
      </c>
      <c r="L69" s="39" t="inlineStr">
        <is>
          <t>江苏乐百仕教育科技有限公司</t>
        </is>
      </c>
      <c r="M69" s="345" t="n">
        <v>1</v>
      </c>
      <c r="N69" s="345" t="n">
        <v>30</v>
      </c>
      <c r="O69" s="345" t="n">
        <v>30</v>
      </c>
      <c r="P69" s="345" t="inlineStr">
        <is>
          <t>把</t>
        </is>
      </c>
      <c r="Q69" s="345" t="inlineStr"/>
      <c r="R69" s="345" t="inlineStr"/>
      <c r="S69" s="345" t="inlineStr"/>
      <c r="T69" s="345" t="inlineStr"/>
      <c r="U69" s="345" t="n">
        <v>30</v>
      </c>
      <c r="V69" s="345" t="inlineStr"/>
      <c r="W69" s="345" t="inlineStr"/>
      <c r="X69" s="345" t="inlineStr"/>
      <c r="Y69" s="345" t="inlineStr">
        <is>
          <t>confirmed</t>
        </is>
      </c>
      <c r="Z69" s="345" t="n">
        <v>100</v>
      </c>
      <c r="AA69" s="345" t="inlineStr"/>
      <c r="AB69" s="345" t="inlineStr">
        <is>
          <t>赛特尔25年.xls｜初中新课标物理｜第163行</t>
        </is>
      </c>
    </row>
    <row r="70" customFormat="1" s="257">
      <c r="A70" s="106" t="n">
        <v>114</v>
      </c>
      <c r="B70" s="137" t="n">
        <v>30201001110</v>
      </c>
      <c r="C70" s="31" t="inlineStr">
        <is>
          <t>演示外径千分尺（演示螺旋测微器）</t>
        </is>
      </c>
      <c r="D70" s="141" t="inlineStr">
        <is>
          <t>木质或铝合金材质，刻度清晰，刻度放大比例 1:20，锁紧装置能有效锁紧测微装置</t>
        </is>
      </c>
      <c r="E70" s="31" t="n">
        <v>2</v>
      </c>
      <c r="F70" s="31" t="inlineStr">
        <is>
          <t>把</t>
        </is>
      </c>
      <c r="G70" s="31">
        <f>_xlfn.DISPIMG("ID_8DAB7816FD0C4A34A11113D44542253B",1)</f>
        <v/>
      </c>
      <c r="H70" s="330" t="n"/>
      <c r="I70" s="31" t="n">
        <v>30201001110</v>
      </c>
      <c r="J70" s="33" t="inlineStr">
        <is>
          <t>铝合金材质，刻度清晰，刻度放大比例 1:20，锁紧装置能有效锁紧测微装置</t>
        </is>
      </c>
      <c r="K70" s="31" t="inlineStr">
        <is>
          <t>赛特尔</t>
        </is>
      </c>
      <c r="L70" s="31" t="inlineStr">
        <is>
          <t>宁波赛特尔教学仪器有限公司</t>
        </is>
      </c>
      <c r="M70" s="345" t="n">
        <v>2</v>
      </c>
      <c r="N70" s="345" t="n">
        <v>30</v>
      </c>
      <c r="O70" s="345" t="n">
        <v>60</v>
      </c>
      <c r="P70" s="345" t="inlineStr">
        <is>
          <t>把</t>
        </is>
      </c>
      <c r="Q70" s="345" t="inlineStr">
        <is>
          <t>卡工量</t>
        </is>
      </c>
      <c r="R70" s="345" t="inlineStr"/>
      <c r="S70" s="345" t="inlineStr">
        <is>
          <t>10011</t>
        </is>
      </c>
      <c r="T70" s="345" t="inlineStr">
        <is>
          <t>10011</t>
        </is>
      </c>
      <c r="U70" s="345" t="inlineStr"/>
      <c r="V70" s="345" t="inlineStr"/>
      <c r="W70" s="345" t="inlineStr"/>
      <c r="X70" s="345" t="inlineStr"/>
      <c r="Y70" s="345" t="inlineStr">
        <is>
          <t>confirmed</t>
        </is>
      </c>
      <c r="Z70" s="345" t="n">
        <v>0</v>
      </c>
      <c r="AA70" s="345" t="inlineStr">
        <is>
          <t>匹配到商品档案但无历史价格记录</t>
        </is>
      </c>
      <c r="AB70" s="345" t="inlineStr">
        <is>
          <t>高中理化生报价.xlsx｜凯迪｜第50行</t>
        </is>
      </c>
    </row>
    <row r="71" customFormat="1" s="195">
      <c r="A71" s="106" t="n">
        <v>116</v>
      </c>
      <c r="B71" s="137" t="n">
        <v>30201001201</v>
      </c>
      <c r="C71" s="59" t="inlineStr">
        <is>
          <t>外径千分尺(螺旋测微器)</t>
        </is>
      </c>
      <c r="D71" s="141" t="inlineStr">
        <is>
          <t>测量范围 0 mm～25 mm，分度值 0.01 mm。螺杆和螺母全量程范围内充分啮合，配合良好，无明显卡滞和轴向窜动，螺杆与轴套配合良好无明显径向摆动，锁紧装置能有效锁紧测微装置</t>
        </is>
      </c>
      <c r="E71" s="31" t="n">
        <v>13</v>
      </c>
      <c r="F71" s="31" t="inlineStr">
        <is>
          <t>把</t>
        </is>
      </c>
      <c r="G71" s="31">
        <f>_xlfn.DISPIMG("ID_60469437E14C4D3384E5AF84D12AA283",1)</f>
        <v/>
      </c>
      <c r="H71" s="220" t="n"/>
      <c r="I71" s="31" t="n">
        <v>30201001201</v>
      </c>
      <c r="J71" s="33" t="inlineStr">
        <is>
          <t>测量范围： 0 mm～25 mm，分度值 0.01 mm。螺杆和螺母全量程范围内充分啮合，配合良好，无明显卡滞和轴向窜动，螺杆与轴套配合良好无明显径向摆动，锁紧装置能有效锁紧测微装置</t>
        </is>
      </c>
      <c r="K71" s="39" t="inlineStr">
        <is>
          <t>乐百仕</t>
        </is>
      </c>
      <c r="L71" s="39" t="inlineStr">
        <is>
          <t>江苏乐百仕教育科技有限公司</t>
        </is>
      </c>
      <c r="M71" s="345" t="n">
        <v>13</v>
      </c>
      <c r="N71" s="345" t="n">
        <v>30</v>
      </c>
      <c r="O71" s="345" t="n">
        <v>390</v>
      </c>
      <c r="P71" s="345" t="inlineStr">
        <is>
          <t>把</t>
        </is>
      </c>
      <c r="Q71" s="345" t="inlineStr">
        <is>
          <t>卡工量</t>
        </is>
      </c>
      <c r="R71" s="345" t="inlineStr"/>
      <c r="S71" s="345" t="inlineStr">
        <is>
          <t>10011</t>
        </is>
      </c>
      <c r="T71" s="345" t="inlineStr">
        <is>
          <t>10011</t>
        </is>
      </c>
      <c r="U71" s="345" t="inlineStr"/>
      <c r="V71" s="345" t="inlineStr"/>
      <c r="W71" s="345" t="inlineStr"/>
      <c r="X71" s="345" t="inlineStr"/>
      <c r="Y71" s="345" t="inlineStr">
        <is>
          <t>confirmed</t>
        </is>
      </c>
      <c r="Z71" s="345" t="n">
        <v>0</v>
      </c>
      <c r="AA71" s="345" t="inlineStr">
        <is>
          <t>匹配到商品档案但无历史价格记录</t>
        </is>
      </c>
      <c r="AB71" s="345" t="inlineStr">
        <is>
          <t>高中理化生报价.xlsx｜凯迪｜第50行</t>
        </is>
      </c>
    </row>
    <row r="72" customFormat="1" s="257">
      <c r="A72" s="106" t="n">
        <v>119</v>
      </c>
      <c r="B72" s="137" t="n">
        <v>30202001013</v>
      </c>
      <c r="C72" s="31" t="inlineStr">
        <is>
          <t>金属钩码</t>
        </is>
      </c>
      <c r="D72" s="141" t="inlineStr">
        <is>
          <t>50 g±0.5 g，每盒 10 个，可叠放；材料采用纯度 99.6%、粒度不小于 80#的铁基粉或其它钢材，钩码表面应有防腐镀层；硬度不小于 HB70；上下勾的连线应通过钩码主体的轴线</t>
        </is>
      </c>
      <c r="E72" s="31" t="n">
        <v>13</v>
      </c>
      <c r="F72" s="31" t="inlineStr">
        <is>
          <t>套</t>
        </is>
      </c>
      <c r="G72" s="31">
        <f>_xlfn.DISPIMG("ID_9A642C3FF37C4A80B485CCD5A3FB2D54",1)</f>
        <v/>
      </c>
      <c r="H72" s="330" t="n"/>
      <c r="I72" s="31" t="n">
        <v>30202001013</v>
      </c>
      <c r="J72" s="33" t="inlineStr">
        <is>
          <t>性能：50 g±0.5 g，每盒 10 个，可叠放；材料采用纯度 99.6%、粒度不小于 80#的铁基粉或其它钢材，钩码表面应有防腐镀层；硬度不小于 HB70；上下勾的连线应通过钩码主体的轴线</t>
        </is>
      </c>
      <c r="K72" s="39" t="inlineStr">
        <is>
          <t>乐百仕</t>
        </is>
      </c>
      <c r="L72" s="39" t="inlineStr">
        <is>
          <t>江苏乐百仕教育科技有限公司</t>
        </is>
      </c>
      <c r="M72" s="345" t="n">
        <v>13</v>
      </c>
      <c r="N72" s="345" t="n">
        <v>14</v>
      </c>
      <c r="O72" s="345" t="n">
        <v>182</v>
      </c>
      <c r="P72" s="345" t="inlineStr">
        <is>
          <t>套</t>
        </is>
      </c>
      <c r="Q72" s="345" t="inlineStr"/>
      <c r="R72" s="345" t="inlineStr"/>
      <c r="S72" s="345" t="inlineStr"/>
      <c r="T72" s="345" t="inlineStr">
        <is>
          <t>10 g（ Φ 22 mm）×l，20 g（ Φ 26 mm）×2，50 g（ Φ 30 mm）×2，200 g（ Φ 48 mm）×1，允许误差：10 g±0.1 g，20 g±0.2 g，50 g±0.5 g，200 g±2.0 g</t>
        </is>
      </c>
      <c r="U72" s="345" t="n">
        <v>15</v>
      </c>
      <c r="V72" s="345" t="inlineStr"/>
      <c r="W72" s="345" t="inlineStr"/>
      <c r="X72" s="345" t="inlineStr"/>
      <c r="Y72" s="345" t="inlineStr">
        <is>
          <t>confirmed</t>
        </is>
      </c>
      <c r="Z72" s="345" t="n">
        <v>100</v>
      </c>
      <c r="AA72" s="345" t="inlineStr">
        <is>
          <t>同分多价：最高分候选存在不同历史价格</t>
        </is>
      </c>
      <c r="AB72" s="345" t="inlineStr">
        <is>
          <t>赛特尔25年.xls｜初中新课标物理｜第197行</t>
        </is>
      </c>
    </row>
    <row r="73" customFormat="1" s="257">
      <c r="A73" s="106" t="n">
        <v>121</v>
      </c>
      <c r="B73" s="137" t="n">
        <v>30202001110</v>
      </c>
      <c r="C73" s="31" t="inlineStr">
        <is>
          <t>金属槽码</t>
        </is>
      </c>
      <c r="D73" s="141" t="inlineStr">
        <is>
          <t>2 g×4，5 g×4，10 g×4，20 g×4，50 g×4，100 g×2，200 g×1，5 g×1金属槽码盘和 10 g×1 金属槽码盘</t>
        </is>
      </c>
      <c r="E73" s="31" t="n">
        <v>13</v>
      </c>
      <c r="F73" s="31" t="inlineStr">
        <is>
          <t>套</t>
        </is>
      </c>
      <c r="G73" s="31">
        <f>_xlfn.DISPIMG("ID_CF0C03D7C2DB476AAA46C82B5EC320F5",1)</f>
        <v/>
      </c>
      <c r="H73" s="330" t="n"/>
      <c r="I73" s="31" t="n">
        <v>30202001110</v>
      </c>
      <c r="J73" s="33" t="inlineStr">
        <is>
          <t>性能：2 g×4，5 g×4，10 g×4，20 g×4，50 g×4，100 g×2，200 g×1，5 g×1金属槽码盘和 10 g×1 金属槽码盘</t>
        </is>
      </c>
      <c r="K73" s="39" t="inlineStr">
        <is>
          <t>乐百仕</t>
        </is>
      </c>
      <c r="L73" s="39" t="inlineStr">
        <is>
          <t>江苏乐百仕教育科技有限公司</t>
        </is>
      </c>
      <c r="M73" s="345" t="n">
        <v>13</v>
      </c>
      <c r="N73" s="345" t="n">
        <v>14</v>
      </c>
      <c r="O73" s="345" t="n">
        <v>182</v>
      </c>
      <c r="P73" s="345" t="inlineStr">
        <is>
          <t>套</t>
        </is>
      </c>
      <c r="Q73" s="345" t="inlineStr"/>
      <c r="R73" s="345" t="inlineStr"/>
      <c r="S73" s="345" t="inlineStr"/>
      <c r="T73" s="345" t="inlineStr">
        <is>
          <t>50g×10,塑盒包装,表面镀铬处理</t>
        </is>
      </c>
      <c r="U73" s="345" t="n">
        <v>15</v>
      </c>
      <c r="V73" s="345" t="inlineStr"/>
      <c r="W73" s="345" t="inlineStr"/>
      <c r="X73" s="345" t="inlineStr"/>
      <c r="Y73" s="345" t="inlineStr">
        <is>
          <t>confirmed</t>
        </is>
      </c>
      <c r="Z73" s="345" t="n">
        <v>75</v>
      </c>
      <c r="AA73" s="345" t="inlineStr"/>
      <c r="AB73" s="345" t="inlineStr">
        <is>
          <t>赛特尔25年.xls｜小学科学｜第34行</t>
        </is>
      </c>
    </row>
    <row r="74" customFormat="1" s="257">
      <c r="A74" s="106" t="n">
        <v>124</v>
      </c>
      <c r="B74" s="350" t="n">
        <v>30307108201</v>
      </c>
      <c r="C74" s="273" t="inlineStr">
        <is>
          <t>运动频闪观测仪</t>
        </is>
      </c>
      <c r="D74" s="274" t="inlineStr">
        <is>
          <t>频闪光源 25 Hz、50 Hz，可实时观测运动物体图像</t>
        </is>
      </c>
      <c r="E74" s="31" t="n">
        <v>1</v>
      </c>
      <c r="F74" s="31" t="inlineStr">
        <is>
          <t>台</t>
        </is>
      </c>
      <c r="G74" s="31">
        <f>_xlfn.DISPIMG("ID_5E70AB6B7B6B4F4E9EEE12803DDEC259",1)</f>
        <v/>
      </c>
      <c r="H74" s="154" t="n"/>
      <c r="I74" s="348" t="n">
        <v>30307108201</v>
      </c>
      <c r="J74" s="40" t="inlineStr">
        <is>
          <t>性能：频闪光源 25 Hz、50 Hz，可实时观测运动物体图像</t>
        </is>
      </c>
      <c r="K74" s="39" t="inlineStr">
        <is>
          <t>乐百仕</t>
        </is>
      </c>
      <c r="L74" s="39" t="inlineStr">
        <is>
          <t>江苏乐百仕教育科技有限公司</t>
        </is>
      </c>
      <c r="M74" s="345" t="n">
        <v>1</v>
      </c>
      <c r="N74" s="345" t="n">
        <v>260</v>
      </c>
      <c r="O74" s="345" t="n">
        <v>260</v>
      </c>
      <c r="P74" s="345" t="inlineStr">
        <is>
          <t>台</t>
        </is>
      </c>
      <c r="Q74" s="345" t="inlineStr">
        <is>
          <t>群信</t>
        </is>
      </c>
      <c r="R74" s="345" t="inlineStr"/>
      <c r="S74" s="345" t="inlineStr">
        <is>
          <t>21070</t>
        </is>
      </c>
      <c r="T74" s="345" t="inlineStr">
        <is>
          <t>21070</t>
        </is>
      </c>
      <c r="U74" s="345" t="inlineStr"/>
      <c r="V74" s="345" t="inlineStr"/>
      <c r="W74" s="345" t="inlineStr"/>
      <c r="X74" s="345" t="inlineStr"/>
      <c r="Y74" s="345" t="inlineStr">
        <is>
          <t>confirmed</t>
        </is>
      </c>
      <c r="Z74" s="345" t="n">
        <v>0</v>
      </c>
      <c r="AA74" s="345" t="inlineStr">
        <is>
          <t>没有找到可靠候选</t>
        </is>
      </c>
      <c r="AB74" s="345" t="inlineStr">
        <is>
          <t>高中理化生报价.xlsx｜凯迪｜第154行</t>
        </is>
      </c>
    </row>
    <row r="75" customFormat="1" s="257">
      <c r="A75" s="106" t="n">
        <v>125</v>
      </c>
      <c r="B75" s="351" t="n">
        <v>30307108205</v>
      </c>
      <c r="C75" s="273" t="inlineStr">
        <is>
          <t>运动频闪观测仪</t>
        </is>
      </c>
      <c r="D75" s="274" t="inlineStr">
        <is>
          <t>微型，半导体激光光源频闪频率范围不小于 1 Hz～50 Hz，连续可调</t>
        </is>
      </c>
      <c r="E75" s="31" t="n">
        <v>1</v>
      </c>
      <c r="F75" s="31" t="inlineStr">
        <is>
          <t>台</t>
        </is>
      </c>
      <c r="G75" s="31">
        <f>_xlfn.DISPIMG("ID_BED8B6D7FC9B47D6B252F831587299A6",1)</f>
        <v/>
      </c>
      <c r="H75" s="154" t="n"/>
      <c r="I75" s="348" t="n">
        <v>30307108205</v>
      </c>
      <c r="J75" s="40" t="inlineStr">
        <is>
          <t>微型，半导体激光光源频闪频率范围不小于 1 Hz～50 Hz，连续可调</t>
        </is>
      </c>
      <c r="K75" s="39" t="inlineStr">
        <is>
          <t>乐百仕</t>
        </is>
      </c>
      <c r="L75" s="39" t="inlineStr">
        <is>
          <t>江苏乐百仕教育科技有限公司</t>
        </is>
      </c>
      <c r="M75" s="345" t="n">
        <v>1</v>
      </c>
      <c r="N75" s="345" t="n">
        <v>260</v>
      </c>
      <c r="O75" s="345" t="n">
        <v>260</v>
      </c>
      <c r="P75" s="345" t="inlineStr">
        <is>
          <t>台</t>
        </is>
      </c>
      <c r="Q75" s="345" t="inlineStr">
        <is>
          <t>群信</t>
        </is>
      </c>
      <c r="R75" s="345" t="inlineStr"/>
      <c r="S75" s="345" t="inlineStr">
        <is>
          <t>21070</t>
        </is>
      </c>
      <c r="T75" s="345" t="inlineStr">
        <is>
          <t>21070</t>
        </is>
      </c>
      <c r="U75" s="345" t="inlineStr"/>
      <c r="V75" s="345" t="inlineStr"/>
      <c r="W75" s="345" t="inlineStr"/>
      <c r="X75" s="345" t="inlineStr"/>
      <c r="Y75" s="345" t="inlineStr">
        <is>
          <t>confirmed</t>
        </is>
      </c>
      <c r="Z75" s="345" t="n">
        <v>0</v>
      </c>
      <c r="AA75" s="345" t="inlineStr">
        <is>
          <t>没有找到可靠候选</t>
        </is>
      </c>
      <c r="AB75" s="345" t="inlineStr">
        <is>
          <t>高中理化生报价.xlsx｜凯迪｜第154行</t>
        </is>
      </c>
    </row>
    <row r="76" customFormat="1" s="257">
      <c r="A76" s="106" t="n">
        <v>126</v>
      </c>
      <c r="B76" s="349" t="n">
        <v>30306001001</v>
      </c>
      <c r="C76" s="117" t="inlineStr">
        <is>
          <t>直角坐标书写板</t>
        </is>
      </c>
      <c r="D76" s="274" t="inlineStr">
        <is>
          <t>做背景板用，印有方格。尺寸 800 mm×600 mm，分格 50 mm×50 mm</t>
        </is>
      </c>
      <c r="E76" s="31" t="n">
        <v>1</v>
      </c>
      <c r="F76" s="31" t="inlineStr">
        <is>
          <t>个</t>
        </is>
      </c>
      <c r="G76" s="31">
        <f>_xlfn.DISPIMG("ID_12E7F13E8ACA436F88F5B74681E7FE82",1)</f>
        <v/>
      </c>
      <c r="H76" s="330" t="n"/>
      <c r="I76" s="348" t="n">
        <v>30306001001</v>
      </c>
      <c r="J76" s="40" t="inlineStr">
        <is>
          <t>性能：做背景板用，印有方格。尺寸 800 mm×600 mm，分格 50 mm×50 mm</t>
        </is>
      </c>
      <c r="K76" s="39" t="inlineStr">
        <is>
          <t>乐百仕</t>
        </is>
      </c>
      <c r="L76" s="39" t="inlineStr">
        <is>
          <t>江苏乐百仕教育科技有限公司</t>
        </is>
      </c>
      <c r="M76" s="345" t="n">
        <v>1</v>
      </c>
      <c r="N76" s="345" t="n">
        <v>65</v>
      </c>
      <c r="O76" s="345" t="n">
        <v>65</v>
      </c>
      <c r="P76" s="345" t="inlineStr">
        <is>
          <t>个</t>
        </is>
      </c>
      <c r="Q76" s="345" t="inlineStr"/>
      <c r="R76" s="345" t="inlineStr"/>
      <c r="S76" s="345" t="inlineStr"/>
      <c r="T76" s="345" t="inlineStr">
        <is>
          <t>900mm×600mm</t>
        </is>
      </c>
      <c r="U76" s="345" t="inlineStr"/>
      <c r="V76" s="345" t="inlineStr"/>
      <c r="W76" s="345" t="inlineStr"/>
      <c r="X76" s="345" t="inlineStr"/>
      <c r="Y76" s="345" t="inlineStr">
        <is>
          <t>confirmed</t>
        </is>
      </c>
      <c r="Z76" s="345" t="n">
        <v>0</v>
      </c>
      <c r="AA76" s="345" t="inlineStr">
        <is>
          <t>匹配到商品档案但无历史价格记录</t>
        </is>
      </c>
      <c r="AB76" s="345" t="inlineStr">
        <is>
          <t>赛特尔25年.xls｜高中数学｜第10行</t>
        </is>
      </c>
    </row>
    <row r="77" customFormat="1" s="250">
      <c r="A77" s="106" t="n">
        <v>127</v>
      </c>
      <c r="B77" s="218" t="n">
        <v>30199001010</v>
      </c>
      <c r="C77" s="124" t="inlineStr">
        <is>
          <t>直联泵</t>
        </is>
      </c>
      <c r="D77" s="276" t="inlineStr">
        <is>
          <t>2XZ 型，单相，抽气速率为 1 L/s，有防回油功能；配套抽气管，长度不小于 1.5m；附真空泵进气口与外径 8 mm 的转换接口</t>
        </is>
      </c>
      <c r="E77" s="67" t="n">
        <v>1</v>
      </c>
      <c r="F77" s="124" t="inlineStr">
        <is>
          <t>台</t>
        </is>
      </c>
      <c r="G77" s="124">
        <f>_xlfn.DISPIMG("ID_0E9B3D7EB68941E4BF443498DCCDEF6E",1)</f>
        <v/>
      </c>
      <c r="H77" s="147" t="n"/>
      <c r="I77" s="67" t="n">
        <v>30199001010</v>
      </c>
      <c r="J77" s="109" t="inlineStr">
        <is>
          <t>2XZ 型，单相，抽气速率为 1 L/s，有防回油功能；配套抽气管，长度不小于 1.5m；附真空泵进气口与外径 8 mm 的转换接口</t>
        </is>
      </c>
      <c r="K77" s="39" t="inlineStr">
        <is>
          <t>乐百仕</t>
        </is>
      </c>
      <c r="L77" s="39" t="inlineStr">
        <is>
          <t>江苏乐百仕教育科技有限公司</t>
        </is>
      </c>
      <c r="M77" s="345" t="n">
        <v>1</v>
      </c>
      <c r="N77" s="345" t="n">
        <v>220</v>
      </c>
      <c r="O77" s="345" t="n">
        <v>220</v>
      </c>
      <c r="P77" s="345" t="inlineStr">
        <is>
          <t>台</t>
        </is>
      </c>
      <c r="Q77" s="345" t="inlineStr"/>
      <c r="R77" s="345" t="inlineStr"/>
      <c r="S77" s="345" t="inlineStr"/>
      <c r="T77" s="345" t="inlineStr"/>
      <c r="U77" s="345" t="n">
        <v>220</v>
      </c>
      <c r="V77" s="345" t="inlineStr"/>
      <c r="W77" s="345" t="n">
        <v>320</v>
      </c>
      <c r="X77" s="345" t="inlineStr"/>
      <c r="Y77" s="345" t="inlineStr">
        <is>
          <t>confirmed</t>
        </is>
      </c>
      <c r="Z77" s="345" t="n">
        <v>100</v>
      </c>
      <c r="AA77" s="345" t="inlineStr">
        <is>
          <t>价格分歧&gt;30%：历史报价分歧较大，需人工核对</t>
        </is>
      </c>
      <c r="AB77" s="345" t="inlineStr">
        <is>
          <t>赛特尔25年.xls｜初中物理｜第7行</t>
        </is>
      </c>
    </row>
    <row r="78" customFormat="1" s="257">
      <c r="A78" s="106" t="n">
        <v>128</v>
      </c>
      <c r="B78" s="137" t="n">
        <v>30199001310</v>
      </c>
      <c r="C78" s="31" t="inlineStr">
        <is>
          <t>两用气筒</t>
        </is>
      </c>
      <c r="D78" s="141" t="inlineStr">
        <is>
          <t>活塞胶垫；气嘴应为金属材料，外径 8 mm ±0.1 mm，长度 15 mm，台阶口；抽气压强达到 6.7 kPa 时，放置 30 s，漏气引起的压强变化应不大于 2.6 hPa；充气压强达到 290 kPa 时，放置 30 s，漏气引起的压强变化应不大于 9.8 hPa</t>
        </is>
      </c>
      <c r="E78" s="31" t="n">
        <v>1</v>
      </c>
      <c r="F78" s="31" t="inlineStr">
        <is>
          <t>个</t>
        </is>
      </c>
      <c r="G78" s="31">
        <f>_xlfn.DISPIMG("ID_81E0BF233FBE42808D18F34D99889DF6",1)</f>
        <v/>
      </c>
      <c r="H78" s="330" t="n"/>
      <c r="I78" s="31" t="n">
        <v>30199001310</v>
      </c>
      <c r="J78" s="33" t="inlineStr">
        <is>
          <t>性能：活塞胶垫；气嘴应为金属材料，外径 8 mm ±0.1 mm，长度 15 mm，台阶口；抽气压强达到 6.7 kPa 时，放置 30 s，漏气引起的压强变化应不大于 2.6 hPa；充气压强达到 290 kPa 时，放置 30 s，漏气引起的压强变化应不大于 9.8 hPa</t>
        </is>
      </c>
      <c r="K78" s="39" t="inlineStr">
        <is>
          <t>乐百仕</t>
        </is>
      </c>
      <c r="L78" s="39" t="inlineStr">
        <is>
          <t>江苏乐百仕教育科技有限公司</t>
        </is>
      </c>
      <c r="M78" s="345" t="n">
        <v>1</v>
      </c>
      <c r="N78" s="345" t="n">
        <v>16</v>
      </c>
      <c r="O78" s="345" t="n">
        <v>16</v>
      </c>
      <c r="P78" s="345" t="inlineStr">
        <is>
          <t>个</t>
        </is>
      </c>
      <c r="Q78" s="345" t="inlineStr"/>
      <c r="R78" s="345" t="inlineStr"/>
      <c r="S78" s="345" t="inlineStr"/>
      <c r="T78" s="345" t="inlineStr"/>
      <c r="U78" s="345" t="n">
        <v>16</v>
      </c>
      <c r="V78" s="345" t="inlineStr"/>
      <c r="W78" s="345" t="inlineStr"/>
      <c r="X78" s="345" t="inlineStr"/>
      <c r="Y78" s="345" t="inlineStr">
        <is>
          <t>confirmed</t>
        </is>
      </c>
      <c r="Z78" s="345" t="n">
        <v>100</v>
      </c>
      <c r="AA78" s="345" t="inlineStr"/>
      <c r="AB78" s="345" t="inlineStr">
        <is>
          <t>赛特尔25年.xls｜初中新课标物理｜第102行</t>
        </is>
      </c>
    </row>
    <row r="79" customFormat="1" s="257">
      <c r="A79" s="106" t="n">
        <v>130</v>
      </c>
      <c r="B79" s="277" t="n">
        <v>30307105801</v>
      </c>
      <c r="C79" s="26" t="inlineStr">
        <is>
          <t>毛钱管（牛顿管）</t>
        </is>
      </c>
      <c r="D79" s="278" t="inlineStr">
        <is>
          <t>金属片和羽毛片有明显的颜色区分；抽气使管内压强降至-0.095 MPa，停止抽气静置 1 min，管内压强应保持－0.095MPa 不变；金属片和羽毛片同时到达时间相差不超过 0.02 s；附外置磁钢</t>
        </is>
      </c>
      <c r="E79" s="31" t="n">
        <v>1</v>
      </c>
      <c r="F79" s="26" t="inlineStr">
        <is>
          <t>套</t>
        </is>
      </c>
      <c r="G79" s="31">
        <f>_xlfn.DISPIMG("ID_60C1530524774EA6BA27EA5D8CF873DE",1)</f>
        <v/>
      </c>
      <c r="H79" s="330" t="n"/>
      <c r="I79" s="103" t="n">
        <v>30307105801</v>
      </c>
      <c r="J79" s="109" t="inlineStr">
        <is>
          <t>性能：金属片和羽毛片有明显的颜色区分；抽气使管内压强降至-0.095 MPa，停止抽气静置 1 min，管内压强应保持－0.095MPa 不变；金属片和羽毛片同时到达时间相差不超过 0.02 s；附外置磁钢</t>
        </is>
      </c>
      <c r="K79" s="39" t="inlineStr">
        <is>
          <t>乐百仕</t>
        </is>
      </c>
      <c r="L79" s="39" t="inlineStr">
        <is>
          <t>江苏乐百仕教育科技有限公司</t>
        </is>
      </c>
      <c r="M79" s="345" t="n">
        <v>1</v>
      </c>
      <c r="N79" s="345" t="n">
        <v>60</v>
      </c>
      <c r="O79" s="345" t="n">
        <v>60</v>
      </c>
      <c r="P79" s="345" t="inlineStr">
        <is>
          <t>套</t>
        </is>
      </c>
      <c r="Q79" s="345" t="inlineStr">
        <is>
          <t>群信</t>
        </is>
      </c>
      <c r="R79" s="345" t="inlineStr"/>
      <c r="S79" s="345" t="inlineStr">
        <is>
          <t>21046</t>
        </is>
      </c>
      <c r="T79" s="345" t="inlineStr">
        <is>
          <t>21046</t>
        </is>
      </c>
      <c r="U79" s="345" t="inlineStr"/>
      <c r="V79" s="345" t="inlineStr"/>
      <c r="W79" s="345" t="inlineStr"/>
      <c r="X79" s="345" t="inlineStr"/>
      <c r="Y79" s="345" t="inlineStr">
        <is>
          <t>confirmed</t>
        </is>
      </c>
      <c r="Z79" s="345" t="n">
        <v>100</v>
      </c>
      <c r="AA79" s="345" t="inlineStr"/>
      <c r="AB79" s="345" t="inlineStr">
        <is>
          <t>高中理化生报价.xlsx｜凯迪｜第132行</t>
        </is>
      </c>
    </row>
    <row r="80" customFormat="1" s="257">
      <c r="A80" s="106" t="n">
        <v>131</v>
      </c>
      <c r="B80" s="137" t="n">
        <v>30307107001</v>
      </c>
      <c r="C80" s="31" t="inlineStr">
        <is>
          <t>自由落体实验仪</t>
        </is>
      </c>
      <c r="D80" s="141" t="inlineStr">
        <is>
          <t>包括主杆、支架座、电磁铁，光电门，钢球、钢球俘获装置、标尺及方向调节座等</t>
        </is>
      </c>
      <c r="E80" s="31" t="n">
        <v>1</v>
      </c>
      <c r="F80" s="31" t="inlineStr">
        <is>
          <t>台</t>
        </is>
      </c>
      <c r="G80" s="31">
        <f>_xlfn.DISPIMG("ID_19ED4C502F504A6DA23730535FC2308D",1)</f>
        <v/>
      </c>
      <c r="H80" s="330" t="n"/>
      <c r="I80" s="31" t="n">
        <v>30307107001</v>
      </c>
      <c r="J80" s="33" t="inlineStr">
        <is>
          <t>包括主杆、支架座、电磁铁，光电门，钢球、钢球俘获装置、标尺及方向调节座等</t>
        </is>
      </c>
      <c r="K80" s="39" t="inlineStr">
        <is>
          <t>乐百仕</t>
        </is>
      </c>
      <c r="L80" s="39" t="inlineStr">
        <is>
          <t>江苏乐百仕教育科技有限公司</t>
        </is>
      </c>
      <c r="M80" s="345" t="n">
        <v>1</v>
      </c>
      <c r="N80" s="345" t="n">
        <v>160</v>
      </c>
      <c r="O80" s="345" t="n">
        <v>160</v>
      </c>
      <c r="P80" s="345" t="inlineStr">
        <is>
          <t>台</t>
        </is>
      </c>
      <c r="Q80" s="345" t="inlineStr">
        <is>
          <t>群信</t>
        </is>
      </c>
      <c r="R80" s="345" t="inlineStr"/>
      <c r="S80" s="345" t="inlineStr"/>
      <c r="T80" s="345" t="inlineStr">
        <is>
          <t>21057</t>
        </is>
      </c>
      <c r="U80" s="345" t="inlineStr"/>
      <c r="V80" s="345" t="inlineStr"/>
      <c r="W80" s="345" t="inlineStr"/>
      <c r="X80" s="345" t="inlineStr"/>
      <c r="Y80" s="345" t="inlineStr">
        <is>
          <t>confirmed</t>
        </is>
      </c>
      <c r="Z80" s="345" t="n">
        <v>0</v>
      </c>
      <c r="AA80" s="345" t="inlineStr">
        <is>
          <t>没有找到可靠候选</t>
        </is>
      </c>
      <c r="AB80" s="345" t="inlineStr">
        <is>
          <t>高中理化生报价.xlsx｜凯迪｜第715行</t>
        </is>
      </c>
    </row>
    <row r="81" customFormat="1" s="257">
      <c r="A81" s="106" t="n">
        <v>137</v>
      </c>
      <c r="B81" s="137" t="n">
        <v>30307100701</v>
      </c>
      <c r="C81" s="31" t="inlineStr">
        <is>
          <t>螺旋弹簧组</t>
        </is>
      </c>
      <c r="D81" s="141" t="inlineStr">
        <is>
          <t>由拉力极限分别为 4.9 N、2.94 N、1.96N、0.98 N 和 0.49 N 的 5 种弹簧构成；各弹簧带长 50 mm 挂钩（有指针），两端应为圆拉环，附标度板</t>
        </is>
      </c>
      <c r="E81" s="31" t="n">
        <v>13</v>
      </c>
      <c r="F81" s="31" t="inlineStr">
        <is>
          <t>套</t>
        </is>
      </c>
      <c r="G81" s="31">
        <f>_xlfn.DISPIMG("ID_3008641BA3024C858BDA1913BF26E5C0",1)</f>
        <v/>
      </c>
      <c r="H81" s="330" t="n"/>
      <c r="I81" s="31" t="n">
        <v>30307100701</v>
      </c>
      <c r="J81" s="33" t="inlineStr">
        <is>
          <t>性能：由拉力极限分别为 4.9 N、2.94 N、1.96N、0.98 N 和 0.49 N 的 5 种弹簧构成；各弹簧带长 50 mm 挂钩（有指针），两端应为圆拉环，附标度板</t>
        </is>
      </c>
      <c r="K81" s="39" t="inlineStr">
        <is>
          <t>乐百仕</t>
        </is>
      </c>
      <c r="L81" s="39" t="inlineStr">
        <is>
          <t>江苏乐百仕教育科技有限公司</t>
        </is>
      </c>
      <c r="M81" s="345" t="n">
        <v>13</v>
      </c>
      <c r="N81" s="345" t="n">
        <v>40</v>
      </c>
      <c r="O81" s="345" t="n">
        <v>520</v>
      </c>
      <c r="P81" s="345" t="inlineStr">
        <is>
          <t>套</t>
        </is>
      </c>
      <c r="Q81" s="345" t="inlineStr"/>
      <c r="R81" s="345" t="inlineStr"/>
      <c r="S81" s="345" t="inlineStr"/>
      <c r="T81" s="345" t="inlineStr"/>
      <c r="U81" s="345" t="inlineStr"/>
      <c r="V81" s="345" t="inlineStr"/>
      <c r="W81" s="345" t="inlineStr"/>
      <c r="X81" s="345" t="inlineStr"/>
      <c r="Y81" s="345" t="inlineStr">
        <is>
          <t>confirmed</t>
        </is>
      </c>
      <c r="Z81" s="345" t="n">
        <v>0</v>
      </c>
      <c r="AA81" s="345" t="inlineStr">
        <is>
          <t>没有找到可靠候选</t>
        </is>
      </c>
      <c r="AB81" s="345" t="inlineStr">
        <is>
          <t>赛特尔25年.xls｜初中新课标物理｜第185行</t>
        </is>
      </c>
    </row>
    <row r="82" customFormat="1" s="257">
      <c r="A82" s="264" t="n">
        <v>138</v>
      </c>
      <c r="B82" s="279" t="n">
        <v>30307100601</v>
      </c>
      <c r="C82" s="53" t="inlineStr">
        <is>
          <t>摩擦力演示器</t>
        </is>
      </c>
      <c r="D82" s="280" t="inlineStr">
        <is>
          <t>由底板、摩擦板、摩擦块、电机、固定支撑杆等组成；提供 3 种不同摩擦系数的摩擦面；摩擦板不小于 300 mm×90 mm ×10 mm，平面度误差不大于 0.6 mm，质地坚硬，表面均匀；摩擦块尺寸不小于110 mm×50 mm×35 mm，两摩擦面平面度误差应不大于 0.1 mm，侧面有挂钩；电机拉动速度 0 cm/s～5 cm/s，可调节；匀速运动速度误差±5%</t>
        </is>
      </c>
      <c r="E82" s="53" t="n">
        <v>1</v>
      </c>
      <c r="F82" s="50" t="inlineStr">
        <is>
          <t>套</t>
        </is>
      </c>
      <c r="G82" s="223">
        <f>_xlfn.DISPIMG("ID_37231F8E4DA442898E13977AEFD7037E",1)</f>
        <v/>
      </c>
      <c r="H82" s="224" t="n"/>
      <c r="I82" s="71" t="n">
        <v>30307100601</v>
      </c>
      <c r="J82" s="47" t="inlineStr">
        <is>
          <t>由底板、摩擦板、摩擦块、电机、固定支撑杆等组成；提供 3 种不同摩擦系数的摩擦面；摩擦板不小于 300 mm×90 mm ×10 mm，平面度误差不大于 0.6 mm，质地坚硬，表面均匀；摩擦块尺寸不小于110 mm×50 mm×35 mm，两摩擦面平面度误差应不大于 0.1 mm，侧面有挂钩；电机拉动速度 0 cm/s～5 cm/s，可调节；匀速运动速度误差±5%</t>
        </is>
      </c>
      <c r="K82" s="48" t="inlineStr">
        <is>
          <t>乐百仕</t>
        </is>
      </c>
      <c r="L82" s="48" t="inlineStr">
        <is>
          <t>江苏乐百仕教育科技有限公司</t>
        </is>
      </c>
      <c r="M82" s="345" t="n">
        <v>1</v>
      </c>
      <c r="N82" s="345" t="n">
        <v>16</v>
      </c>
      <c r="O82" s="345" t="n">
        <v>16</v>
      </c>
      <c r="P82" s="345" t="inlineStr">
        <is>
          <t>套</t>
        </is>
      </c>
      <c r="Q82" s="345" t="inlineStr"/>
      <c r="R82" s="345" t="inlineStr"/>
      <c r="S82" s="345" t="inlineStr"/>
      <c r="T82" s="345" t="inlineStr"/>
      <c r="U82" s="345" t="n">
        <v>22</v>
      </c>
      <c r="V82" s="345" t="inlineStr"/>
      <c r="W82" s="345" t="n">
        <v>25</v>
      </c>
      <c r="X82" s="345" t="inlineStr"/>
      <c r="Y82" s="345" t="inlineStr">
        <is>
          <t>confirmed</t>
        </is>
      </c>
      <c r="Z82" s="345" t="n">
        <v>66.7</v>
      </c>
      <c r="AA82" s="345" t="inlineStr">
        <is>
          <t>价格分歧&gt;30%：历史报价分歧较大，需人工核对；同分多价：最高分候选存在不同历史价格</t>
        </is>
      </c>
      <c r="AB82" s="345" t="inlineStr">
        <is>
          <t>赛特尔25年.xls｜初中物理｜第145行</t>
        </is>
      </c>
    </row>
    <row r="83" customFormat="1" s="257">
      <c r="A83" s="264" t="n">
        <v>139</v>
      </c>
      <c r="B83" s="281" t="n">
        <v>30307103410</v>
      </c>
      <c r="C83" s="50" t="inlineStr">
        <is>
          <t>力的合成与分解演示器</t>
        </is>
      </c>
      <c r="D83" s="73" t="inlineStr">
        <is>
          <t>由测力计﹑测力计定位夹﹑单滑轮夹与滑轮﹑双滑轮定位夹与滑轮、带刻度的演示板、立杆、底座和拉绳等组成</t>
        </is>
      </c>
      <c r="E83" s="206" t="n">
        <v>1</v>
      </c>
      <c r="F83" s="53" t="inlineStr">
        <is>
          <t>套</t>
        </is>
      </c>
      <c r="G83" s="223">
        <f>_xlfn.DISPIMG("ID_61433ACB7CED4AF8AF24F494FB10ABE5",1)</f>
        <v/>
      </c>
      <c r="H83" s="206" t="n"/>
      <c r="I83" s="42" t="n">
        <v>30307103400</v>
      </c>
      <c r="J83" s="282" t="inlineStr">
        <is>
          <t>主要配置：
X型支座、600mm支撑杆（2根/套）、刻度盘、固定式滑轮、圆筒测力计、圆筒测力计固定件、力传感器支架、中心定位棒和钩码等。
技术参数：
刻度盘：
规格：∅255*3mm；材质：金属；表面处理：细喷砂阳极氧化，表面双色丝印，刻度线条清晰。功能描述：为传感器支架提供安装平台，结构简单，安装方便，实验中便于调节不同的角度。
圆筒测力计固定件：
规格：尺寸40×35×16mm，前端M4铜镶嵌螺母2个，后端紧固穿杆M6铜镶嵌螺母1个；材质：ABS工程塑料、黄铜；工艺：塑料注塑成型；功能描述：与相关产品组装搭配使用,便于固定面板和600mm支撑杆。
本演示器既可做传统实验、也可做数字化实验（力传感器另配）。</t>
        </is>
      </c>
      <c r="K83" s="48" t="inlineStr">
        <is>
          <t>乐百仕</t>
        </is>
      </c>
      <c r="L83" s="48" t="inlineStr">
        <is>
          <t>江苏乐百仕教育科技有限公司</t>
        </is>
      </c>
      <c r="M83" s="345" t="n">
        <v>1</v>
      </c>
      <c r="N83" s="345" t="n">
        <v>160</v>
      </c>
      <c r="O83" s="345" t="n">
        <v>160</v>
      </c>
      <c r="P83" s="345" t="inlineStr">
        <is>
          <t>套</t>
        </is>
      </c>
      <c r="Q83" s="345" t="inlineStr">
        <is>
          <t>群信</t>
        </is>
      </c>
      <c r="R83" s="345" t="inlineStr"/>
      <c r="S83" s="345" t="inlineStr">
        <is>
          <t>21049</t>
        </is>
      </c>
      <c r="T83" s="345" t="inlineStr">
        <is>
          <t>21049</t>
        </is>
      </c>
      <c r="U83" s="345" t="n">
        <v>35</v>
      </c>
      <c r="V83" s="345" t="inlineStr"/>
      <c r="W83" s="345" t="n">
        <v>35</v>
      </c>
      <c r="X83" s="345" t="inlineStr"/>
      <c r="Y83" s="345" t="inlineStr">
        <is>
          <t>confirmed</t>
        </is>
      </c>
      <c r="Z83" s="345" t="n">
        <v>73.7</v>
      </c>
      <c r="AA83" s="345" t="inlineStr"/>
      <c r="AB83" s="345" t="inlineStr">
        <is>
          <t>高中理化生报价.xlsx｜凯迪｜第134行</t>
        </is>
      </c>
    </row>
    <row r="84" customFormat="1" s="257">
      <c r="A84" s="106" t="n">
        <v>140</v>
      </c>
      <c r="B84" s="349" t="n">
        <v>30307110310</v>
      </c>
      <c r="C84" s="117" t="inlineStr">
        <is>
          <t>演示定滑轮</t>
        </is>
      </c>
      <c r="D84" s="115" t="inlineStr">
        <is>
          <t>滑轮转盘尺寸不小于 50 mm</t>
        </is>
      </c>
      <c r="E84" s="347" t="n">
        <v>1</v>
      </c>
      <c r="F84" s="117" t="inlineStr">
        <is>
          <t>块</t>
        </is>
      </c>
      <c r="G84" s="340">
        <f>_xlfn.DISPIMG("ID_B0D4D05DCDAA46E78B28BA72497DE6D2",1)</f>
        <v/>
      </c>
      <c r="H84" s="330" t="n"/>
      <c r="I84" s="348" t="n">
        <v>30307110310</v>
      </c>
      <c r="J84" s="40" t="inlineStr">
        <is>
          <t>滑轮转盘尺寸不小于 50 mm</t>
        </is>
      </c>
      <c r="K84" s="39" t="inlineStr">
        <is>
          <t>乐百仕</t>
        </is>
      </c>
      <c r="L84" s="39" t="inlineStr">
        <is>
          <t>江苏乐百仕教育科技有限公司</t>
        </is>
      </c>
      <c r="M84" s="345" t="n">
        <v>1</v>
      </c>
      <c r="N84" s="345" t="n">
        <v>40</v>
      </c>
      <c r="O84" s="345" t="n">
        <v>40</v>
      </c>
      <c r="P84" s="345" t="inlineStr">
        <is>
          <t>块</t>
        </is>
      </c>
      <c r="Q84" s="345" t="inlineStr"/>
      <c r="R84" s="345" t="inlineStr"/>
      <c r="S84" s="345" t="inlineStr"/>
      <c r="T84" s="345" t="inlineStr"/>
      <c r="U84" s="345" t="inlineStr"/>
      <c r="V84" s="345" t="inlineStr"/>
      <c r="W84" s="345" t="inlineStr"/>
      <c r="X84" s="345" t="inlineStr"/>
      <c r="Y84" s="345" t="inlineStr">
        <is>
          <t>confirmed</t>
        </is>
      </c>
      <c r="Z84" s="345" t="n">
        <v>0</v>
      </c>
      <c r="AA84" s="345" t="inlineStr">
        <is>
          <t>匹配到商品档案但无历史价格记录</t>
        </is>
      </c>
      <c r="AB84" s="345" t="inlineStr">
        <is>
          <t>赛特尔25年.xls｜初中新课标物理｜第247行</t>
        </is>
      </c>
    </row>
    <row r="85" customFormat="1" s="257">
      <c r="A85" s="106" t="n">
        <v>144</v>
      </c>
      <c r="B85" s="137" t="n">
        <v>30205000102</v>
      </c>
      <c r="C85" s="31" t="inlineStr">
        <is>
          <t>条形测力计1n</t>
        </is>
      </c>
      <c r="D85" s="141" t="inlineStr">
        <is>
          <t>测量范围 0 N～1 N，分度值 0.01 N；示值误差≤1/2分度，升降示差≤1/2分度，重复性偏差≤1/4 分度</t>
        </is>
      </c>
      <c r="E85" s="31" t="n">
        <v>25</v>
      </c>
      <c r="F85" s="31" t="inlineStr">
        <is>
          <t>个</t>
        </is>
      </c>
      <c r="G85" s="283">
        <f>_xlfn.DISPIMG("ID_6630285B4DB44CAC87F54326C92C2F47",1)</f>
        <v/>
      </c>
      <c r="H85" s="330" t="n"/>
      <c r="I85" s="31" t="n">
        <v>30205000102</v>
      </c>
      <c r="J85" s="33" t="inlineStr">
        <is>
          <t>性能：测量范围： 0 N～1 N，分度值 0.01 N；示值误差≤1/2分度，升降示差≤1/2分度，重复性偏差≤1/4 分度</t>
        </is>
      </c>
      <c r="K85" s="39" t="inlineStr">
        <is>
          <t>乐百仕</t>
        </is>
      </c>
      <c r="L85" s="39" t="inlineStr">
        <is>
          <t>江苏乐百仕教育科技有限公司</t>
        </is>
      </c>
      <c r="M85" s="345" t="n">
        <v>25</v>
      </c>
      <c r="N85" s="345" t="n">
        <v>0</v>
      </c>
      <c r="O85" s="345" t="n">
        <v>0</v>
      </c>
      <c r="P85" s="345" t="inlineStr">
        <is>
          <t>个</t>
        </is>
      </c>
      <c r="Q85" s="345" t="inlineStr"/>
      <c r="R85" s="345" t="inlineStr"/>
      <c r="S85" s="345" t="inlineStr"/>
      <c r="T85" s="345" t="inlineStr"/>
      <c r="U85" s="345" t="n">
        <v>5</v>
      </c>
      <c r="V85" s="345" t="inlineStr"/>
      <c r="W85" s="345" t="n">
        <v>6</v>
      </c>
      <c r="X85" s="345" t="inlineStr"/>
      <c r="Y85" s="345" t="inlineStr">
        <is>
          <t>confirmed</t>
        </is>
      </c>
      <c r="Z85" s="345" t="n">
        <v>76.90000000000001</v>
      </c>
      <c r="AA85" s="345" t="inlineStr">
        <is>
          <t>同分多价：最高分候选存在不同历史价格</t>
        </is>
      </c>
      <c r="AB85" s="345" t="inlineStr">
        <is>
          <t>高中理化生报价.xlsx｜凯迪｜第547行</t>
        </is>
      </c>
    </row>
    <row r="86" customFormat="1" s="257">
      <c r="A86" s="106" t="n">
        <v>145</v>
      </c>
      <c r="B86" s="137" t="n">
        <v>30205000103</v>
      </c>
      <c r="C86" s="31" t="inlineStr">
        <is>
          <t>条形测力计2.5n</t>
        </is>
      </c>
      <c r="D86" s="141" t="inlineStr">
        <is>
          <t>测量范围 0 N～2.5 N，分度值 0.05 N；示值误差≤1/4 分度，升降示差≤1/2 分度，重复性偏差≤1/4 分度</t>
        </is>
      </c>
      <c r="E86" s="31" t="n">
        <v>25</v>
      </c>
      <c r="F86" s="31" t="inlineStr">
        <is>
          <t>个</t>
        </is>
      </c>
      <c r="G86" s="283">
        <f>_xlfn.DISPIMG("ID_358D079025764845A5259520DBF7BFA3",1)</f>
        <v/>
      </c>
      <c r="H86" s="330" t="n"/>
      <c r="I86" s="31" t="n">
        <v>30205000103</v>
      </c>
      <c r="J86" s="33" t="inlineStr">
        <is>
          <t>性能：测量范围： 0 N～2.5 N，分度值 0.05 N；示值误差≤1/4 分度，升降示差≤1/2 分度，重复性偏差≤1/4 分度</t>
        </is>
      </c>
      <c r="K86" s="39" t="inlineStr">
        <is>
          <t>乐百仕</t>
        </is>
      </c>
      <c r="L86" s="39" t="inlineStr">
        <is>
          <t>江苏乐百仕教育科技有限公司</t>
        </is>
      </c>
      <c r="M86" s="345" t="n">
        <v>25</v>
      </c>
      <c r="N86" s="345" t="n">
        <v>0</v>
      </c>
      <c r="O86" s="345" t="n">
        <v>0</v>
      </c>
      <c r="P86" s="345" t="inlineStr">
        <is>
          <t>个</t>
        </is>
      </c>
      <c r="Q86" s="345" t="inlineStr"/>
      <c r="R86" s="345" t="inlineStr"/>
      <c r="S86" s="345" t="inlineStr"/>
      <c r="T86" s="345" t="inlineStr"/>
      <c r="U86" s="345" t="n">
        <v>5</v>
      </c>
      <c r="V86" s="345" t="inlineStr"/>
      <c r="W86" s="345" t="n">
        <v>6</v>
      </c>
      <c r="X86" s="345" t="inlineStr"/>
      <c r="Y86" s="345" t="inlineStr">
        <is>
          <t>confirmed</t>
        </is>
      </c>
      <c r="Z86" s="345" t="n">
        <v>71.40000000000001</v>
      </c>
      <c r="AA86" s="345" t="inlineStr">
        <is>
          <t>同分多价：最高分候选存在不同历史价格</t>
        </is>
      </c>
      <c r="AB86" s="345" t="inlineStr">
        <is>
          <t>高中理化生报价.xlsx｜凯迪｜第547行</t>
        </is>
      </c>
    </row>
    <row r="87" customFormat="1" s="257">
      <c r="A87" s="106" t="n">
        <v>146</v>
      </c>
      <c r="B87" s="137" t="n">
        <v>30205000104</v>
      </c>
      <c r="C87" s="31" t="inlineStr">
        <is>
          <t>条形测力计5n</t>
        </is>
      </c>
      <c r="D87" s="141" t="inlineStr">
        <is>
          <t>测量范围 0 N～5 N，分度值 0.1 N；示值误差≤1/4分度，升降示差≤1/2分度，重复性偏差≤1/4 分度</t>
        </is>
      </c>
      <c r="E87" s="31" t="n">
        <v>25</v>
      </c>
      <c r="F87" s="31" t="inlineStr">
        <is>
          <t>个</t>
        </is>
      </c>
      <c r="G87" s="283">
        <f>_xlfn.DISPIMG("ID_71767E13255D436A92335F3F4B6A7DF3",1)</f>
        <v/>
      </c>
      <c r="H87" s="330" t="n"/>
      <c r="I87" s="31" t="n">
        <v>30205000104</v>
      </c>
      <c r="J87" s="33" t="inlineStr">
        <is>
          <t>性能：测量范围： 0 N～5 N，分度值 0.1 N；示值误差≤1/4分度，升降示差≤1/2分度，重复性偏差≤1/4 分度</t>
        </is>
      </c>
      <c r="K87" s="39" t="inlineStr">
        <is>
          <t>乐百仕</t>
        </is>
      </c>
      <c r="L87" s="39" t="inlineStr">
        <is>
          <t>江苏乐百仕教育科技有限公司</t>
        </is>
      </c>
      <c r="M87" s="345" t="n">
        <v>25</v>
      </c>
      <c r="N87" s="345" t="n">
        <v>0</v>
      </c>
      <c r="O87" s="345" t="n">
        <v>0</v>
      </c>
      <c r="P87" s="345" t="inlineStr">
        <is>
          <t>个</t>
        </is>
      </c>
      <c r="Q87" s="345" t="inlineStr"/>
      <c r="R87" s="345" t="inlineStr"/>
      <c r="S87" s="345" t="inlineStr"/>
      <c r="T87" s="345" t="inlineStr"/>
      <c r="U87" s="345" t="n">
        <v>5</v>
      </c>
      <c r="V87" s="345" t="inlineStr"/>
      <c r="W87" s="345" t="n">
        <v>6</v>
      </c>
      <c r="X87" s="345" t="inlineStr"/>
      <c r="Y87" s="345" t="inlineStr">
        <is>
          <t>confirmed</t>
        </is>
      </c>
      <c r="Z87" s="345" t="n">
        <v>76.90000000000001</v>
      </c>
      <c r="AA87" s="345" t="inlineStr">
        <is>
          <t>同分多价：最高分候选存在不同历史价格</t>
        </is>
      </c>
      <c r="AB87" s="345" t="inlineStr">
        <is>
          <t>高中理化生报价.xlsx｜凯迪｜第547行</t>
        </is>
      </c>
    </row>
    <row r="88" customFormat="1" s="257">
      <c r="A88" s="106" t="n">
        <v>147</v>
      </c>
      <c r="B88" s="137" t="n">
        <v>30205000105</v>
      </c>
      <c r="C88" s="31" t="inlineStr">
        <is>
          <t>条形测力计10n</t>
        </is>
      </c>
      <c r="D88" s="141" t="inlineStr">
        <is>
          <t>测量范围 0 N～10 N，分度值 0.2 N；示值误差≤1/4 分度，升降示差≤1/2 分度，重复性偏差≤1/4 分度</t>
        </is>
      </c>
      <c r="E88" s="31" t="n">
        <v>25</v>
      </c>
      <c r="F88" s="31" t="inlineStr">
        <is>
          <t>个</t>
        </is>
      </c>
      <c r="G88" s="283">
        <f>_xlfn.DISPIMG("ID_1B0ACDDE12F94654A5E7034DA69104B5",1)</f>
        <v/>
      </c>
      <c r="H88" s="330" t="n"/>
      <c r="I88" s="31" t="n">
        <v>30205000105</v>
      </c>
      <c r="J88" s="33" t="inlineStr">
        <is>
          <t>性能：测量范围： 0 N～10 N，分度值 0.2 N；示值误差≤1/4 分度，升降示差≤1/2 分度，重复性偏差≤1/4 分度</t>
        </is>
      </c>
      <c r="K88" s="39" t="inlineStr">
        <is>
          <t>乐百仕</t>
        </is>
      </c>
      <c r="L88" s="39" t="inlineStr">
        <is>
          <t>江苏乐百仕教育科技有限公司</t>
        </is>
      </c>
      <c r="M88" s="345" t="n">
        <v>25</v>
      </c>
      <c r="N88" s="345" t="n">
        <v>0</v>
      </c>
      <c r="O88" s="345" t="n">
        <v>0</v>
      </c>
      <c r="P88" s="345" t="inlineStr">
        <is>
          <t>个</t>
        </is>
      </c>
      <c r="Q88" s="345" t="inlineStr"/>
      <c r="R88" s="345" t="inlineStr"/>
      <c r="S88" s="345" t="inlineStr"/>
      <c r="T88" s="345" t="inlineStr"/>
      <c r="U88" s="345" t="n">
        <v>5</v>
      </c>
      <c r="V88" s="345" t="inlineStr"/>
      <c r="W88" s="345" t="n">
        <v>6</v>
      </c>
      <c r="X88" s="345" t="inlineStr"/>
      <c r="Y88" s="345" t="inlineStr">
        <is>
          <t>confirmed</t>
        </is>
      </c>
      <c r="Z88" s="345" t="n">
        <v>71.40000000000001</v>
      </c>
      <c r="AA88" s="345" t="inlineStr">
        <is>
          <t>同分多价：最高分候选存在不同历史价格</t>
        </is>
      </c>
      <c r="AB88" s="345" t="inlineStr">
        <is>
          <t>高中理化生报价.xlsx｜凯迪｜第547行</t>
        </is>
      </c>
    </row>
    <row r="89" customFormat="1" s="195">
      <c r="A89" s="106" t="n">
        <v>153</v>
      </c>
      <c r="B89" s="284" t="n">
        <v>30306000203</v>
      </c>
      <c r="C89" s="26" t="inlineStr">
        <is>
          <t>圆规</t>
        </is>
      </c>
      <c r="D89" s="68" t="inlineStr">
        <is>
          <t>工程塑料或木制，圆规两脚张开松紧应可调，一脚端部可夹普通粉笔，另一脚端部能在黑板定位（宜采用橡胶摩擦定位）</t>
        </is>
      </c>
      <c r="E89" s="154" t="n">
        <v>1</v>
      </c>
      <c r="F89" s="31" t="inlineStr">
        <is>
          <t>个</t>
        </is>
      </c>
      <c r="G89" s="340">
        <f>_xlfn.DISPIMG("ID_AAC5B2289E464A0EA833033C2E685283",1)</f>
        <v/>
      </c>
      <c r="H89" s="220" t="n"/>
      <c r="I89" s="103" t="n">
        <v>30306000203</v>
      </c>
      <c r="J89" s="164" t="inlineStr">
        <is>
          <t>性能：工程塑料或木制，圆规两脚张开松紧应可调，一脚端部可夹普通粉笔，另一脚端部能在黑板定位（宜采用橡胶摩擦定位）</t>
        </is>
      </c>
      <c r="K89" s="39" t="inlineStr">
        <is>
          <t>乐百仕</t>
        </is>
      </c>
      <c r="L89" s="39" t="inlineStr">
        <is>
          <t>江苏乐百仕教育科技有限公司</t>
        </is>
      </c>
      <c r="M89" s="345" t="n">
        <v>1</v>
      </c>
      <c r="N89" s="345" t="n">
        <v>6</v>
      </c>
      <c r="O89" s="345" t="n">
        <v>6</v>
      </c>
      <c r="P89" s="345" t="inlineStr">
        <is>
          <t>个</t>
        </is>
      </c>
      <c r="Q89" s="345" t="inlineStr"/>
      <c r="R89" s="345" t="inlineStr"/>
      <c r="S89" s="345" t="inlineStr"/>
      <c r="T89" s="345" t="inlineStr">
        <is>
          <t>教师演示作图用</t>
        </is>
      </c>
      <c r="U89" s="345" t="inlineStr"/>
      <c r="V89" s="345" t="inlineStr"/>
      <c r="W89" s="345" t="inlineStr"/>
      <c r="X89" s="345" t="inlineStr"/>
      <c r="Y89" s="345" t="inlineStr">
        <is>
          <t>confirmed</t>
        </is>
      </c>
      <c r="Z89" s="345" t="n">
        <v>100</v>
      </c>
      <c r="AA89" s="345" t="inlineStr"/>
      <c r="AB89" s="345" t="inlineStr">
        <is>
          <t>赛特尔25年.xls｜高中数学｜第9行</t>
        </is>
      </c>
    </row>
    <row r="90" customFormat="1" s="195">
      <c r="A90" s="106" t="n">
        <v>154</v>
      </c>
      <c r="B90" s="284" t="n">
        <v>30306000102</v>
      </c>
      <c r="C90" s="26" t="inlineStr">
        <is>
          <t>三角尺</t>
        </is>
      </c>
      <c r="D90" s="68" t="inlineStr">
        <is>
          <t>60°，45°尺各一把，60°尺的长直角边与 45°尺的斜边长度相等且不小于450 mm</t>
        </is>
      </c>
      <c r="E90" s="154" t="n">
        <v>1</v>
      </c>
      <c r="F90" s="31" t="inlineStr">
        <is>
          <t>个</t>
        </is>
      </c>
      <c r="G90" s="340">
        <f>_xlfn.DISPIMG("ID_BEF1FEEEA99A4509B3A95F9D7626FA7E",1)</f>
        <v/>
      </c>
      <c r="H90" s="220" t="n"/>
      <c r="I90" s="103" t="n">
        <v>30306000102</v>
      </c>
      <c r="J90" s="164" t="inlineStr">
        <is>
          <t>套件含：60°，45°尺各一把，60°尺的长直角边与 45°尺的斜边长度相等且不小于450 mm</t>
        </is>
      </c>
      <c r="K90" s="39" t="inlineStr">
        <is>
          <t>乐百仕</t>
        </is>
      </c>
      <c r="L90" s="39" t="inlineStr">
        <is>
          <t>江苏乐百仕教育科技有限公司</t>
        </is>
      </c>
      <c r="M90" s="345" t="n">
        <v>1</v>
      </c>
      <c r="N90" s="345" t="n">
        <v>12</v>
      </c>
      <c r="O90" s="345" t="n">
        <v>12</v>
      </c>
      <c r="P90" s="345" t="inlineStr">
        <is>
          <t>个</t>
        </is>
      </c>
      <c r="Q90" s="345" t="inlineStr"/>
      <c r="R90" s="345" t="inlineStr"/>
      <c r="S90" s="345" t="inlineStr"/>
      <c r="T90" s="345" t="inlineStr"/>
      <c r="U90" s="345" t="n">
        <v>12</v>
      </c>
      <c r="V90" s="345" t="inlineStr"/>
      <c r="W90" s="345" t="n">
        <v>13.2</v>
      </c>
      <c r="X90" s="345" t="inlineStr"/>
      <c r="Y90" s="345" t="inlineStr">
        <is>
          <t>confirmed</t>
        </is>
      </c>
      <c r="Z90" s="345" t="n">
        <v>66.7</v>
      </c>
      <c r="AA90" s="345" t="inlineStr"/>
      <c r="AB90" s="345" t="inlineStr">
        <is>
          <t>赛特尔25年.xls｜初中新课标物理｜第66行</t>
        </is>
      </c>
    </row>
    <row r="91" customFormat="1" s="257">
      <c r="A91" s="106" t="n">
        <v>155</v>
      </c>
      <c r="B91" s="284" t="n">
        <v>30307110410</v>
      </c>
      <c r="C91" s="26" t="inlineStr">
        <is>
          <t>量角器(圆等分器)</t>
        </is>
      </c>
      <c r="D91" s="68" t="inlineStr">
        <is>
          <t>角度分度线应为 0°～180°和 180°～0°双向标度，最小分度值应为 1°，双向角度标度中间有划线槽；在半圆的直径边应有直尺，直尺的最小分度值宜为 1cm；半圆直径应为 500 mm～510 mm；厚≥8 mm，半圆圆心定位孔的直径应在0°～180°线（x 轴）上，在定位孔半圆圆周上应有一短线，标出 y 轴的位置；半圆孔直径应为 10 mm～12 mm；手柄应安装在直尺与半圆定位孔之间</t>
        </is>
      </c>
      <c r="E91" s="154" t="n">
        <v>1</v>
      </c>
      <c r="F91" s="31" t="inlineStr">
        <is>
          <t>个</t>
        </is>
      </c>
      <c r="G91" s="340">
        <f>_xlfn.DISPIMG("ID_8BB8F0D8E7844316BDF9849C80BF7E52",1)</f>
        <v/>
      </c>
      <c r="H91" s="330" t="n"/>
      <c r="I91" s="103" t="n">
        <v>30307110410</v>
      </c>
      <c r="J91" s="164" t="inlineStr">
        <is>
          <t>角度分度线应为 0°～180°和 180°～0°双向标度，最小分度值应为 1°，双向角度标度中间有划线槽；在半圆的直径边应有直尺，直尺的最小分度值宜为 1cm；半圆直径应为 500 mm～510 mm；厚≥8 mm，半圆圆心定位孔的直径应在0°～180°线（x 轴）上，在定位孔半圆圆周上应有一短线，标出 y 轴的位置；半圆孔直径应为 10 mm～12 mm；手柄应安装在直尺与半圆定位孔之间</t>
        </is>
      </c>
      <c r="K91" s="39" t="inlineStr">
        <is>
          <t>乐百仕</t>
        </is>
      </c>
      <c r="L91" s="39" t="inlineStr">
        <is>
          <t>江苏乐百仕教育科技有限公司</t>
        </is>
      </c>
      <c r="M91" s="345" t="n">
        <v>1</v>
      </c>
      <c r="N91" s="345" t="n">
        <v>6</v>
      </c>
      <c r="O91" s="345" t="n">
        <v>6</v>
      </c>
      <c r="P91" s="345" t="inlineStr">
        <is>
          <t>个</t>
        </is>
      </c>
      <c r="Q91" s="345" t="inlineStr">
        <is>
          <t>群信</t>
        </is>
      </c>
      <c r="R91" s="345" t="inlineStr"/>
      <c r="S91" s="345" t="inlineStr">
        <is>
          <t>16030</t>
        </is>
      </c>
      <c r="T91" s="345" t="inlineStr">
        <is>
          <t>16030</t>
        </is>
      </c>
      <c r="U91" s="345" t="n">
        <v>11</v>
      </c>
      <c r="V91" s="345" t="inlineStr"/>
      <c r="W91" s="345" t="n">
        <v>12</v>
      </c>
      <c r="X91" s="345" t="inlineStr"/>
      <c r="Y91" s="345" t="inlineStr">
        <is>
          <t>confirmed</t>
        </is>
      </c>
      <c r="Z91" s="345" t="n">
        <v>100</v>
      </c>
      <c r="AA91" s="345" t="inlineStr">
        <is>
          <t>价格分歧&gt;30%：历史报价分歧较大，需人工核对；同分多价：最高分候选存在不同历史价格</t>
        </is>
      </c>
      <c r="AB91" s="345" t="inlineStr">
        <is>
          <t>高中理化生报价.xlsx｜凯迪｜第114行</t>
        </is>
      </c>
    </row>
    <row r="92" customFormat="1" s="257">
      <c r="A92" s="264" t="n">
        <v>157</v>
      </c>
      <c r="B92" s="279" t="n">
        <v>30307105910</v>
      </c>
      <c r="C92" s="53" t="inlineStr">
        <is>
          <t>伽利略理想斜面演示器</t>
        </is>
      </c>
      <c r="D92" s="280" t="inlineStr">
        <is>
          <t>主要配置及特征参数：由轨道型材底座、面板、导轨支架、塑料轨道、钢球等组成.核心产品技术指标：轨道型材底座：尺寸规格：1200*80*25.4mm（±5mm）；材质工艺：铝6063-T5，挤压拉模成型；表面处理工艺：黑色阳极氧化处理；功能描述：为塑料轨道提供安装固定的底座。板面：尺寸规格：1200*230*5mm（±5mm）；材质工艺：黑色亚克力，雕刻机一体成型；表面处理工艺：双色精密丝印；功能描述：使得塑料轨道一端可调节不同的高度。能够完成的教学演示：伽利略理想斜面实验。</t>
        </is>
      </c>
      <c r="E92" s="53" t="n">
        <v>1</v>
      </c>
      <c r="F92" s="50" t="inlineStr">
        <is>
          <t>套</t>
        </is>
      </c>
      <c r="G92" s="223">
        <f>_xlfn.DISPIMG("ID_B38821A8118341D68BFCD153992AE3E4",1)</f>
        <v/>
      </c>
      <c r="H92" s="224" t="n"/>
      <c r="I92" s="67" t="n">
        <v>30307105910</v>
      </c>
      <c r="J92" s="109" t="inlineStr">
        <is>
          <t>主要配置及特征参数：由轨道型材底座、面板、导轨支架、塑料轨道、钢球等组成.核心产品技术指标：轨道型材底座：尺寸规格：1200*80*25.4mm（±5mm）；材质工艺：铝6063-T5，挤压拉模成型；表面处理工艺：黑色阳极氧化处理；功能描述：为塑料轨道提供安装固定的底座。板面：尺寸规格：1200*230*5mm（±5mm）；材质工艺：黑色亚克力，雕刻机一体成型；表面处理工艺：双色精密丝印；功能描述：使得塑料轨道一端可调节不同的高度。能够完成的教学演示：伽利略理想斜面实验。</t>
        </is>
      </c>
      <c r="K92" s="39" t="inlineStr">
        <is>
          <t>乐百仕</t>
        </is>
      </c>
      <c r="L92" s="39" t="inlineStr">
        <is>
          <t>江苏乐百仕教育科技有限公司</t>
        </is>
      </c>
      <c r="M92" s="345" t="n">
        <v>1</v>
      </c>
      <c r="N92" s="345" t="n">
        <v>14</v>
      </c>
      <c r="O92" s="345" t="n">
        <v>14</v>
      </c>
      <c r="P92" s="345" t="inlineStr">
        <is>
          <t>套</t>
        </is>
      </c>
      <c r="Q92" s="345" t="inlineStr"/>
      <c r="R92" s="345" t="inlineStr"/>
      <c r="S92" s="345" t="inlineStr"/>
      <c r="T92" s="345" t="inlineStr">
        <is>
          <t>斜面应包括一块木板和一只滑轮。木板长度为600㎜、宽度为100㎜、厚度不小于18㎜，且板面经脱脂干燥处理，无明显变形和裂纹。木板一侧面印有0～60㎝的刻度，最小分度值为1㎝。木板的“0”刻度一端应有一个高度不小于10㎜的限位块，宽度与木板的宽度相同。木板另一端装有一个滑轮，滑轮应旋转灵活，应能调节角度并固定。产品配有一根安装支杆,直径约7mm，长度不小于80mm，支杆能插入木板一侧的孔中并可安装在铁架台上。</t>
        </is>
      </c>
      <c r="U92" s="345" t="inlineStr"/>
      <c r="V92" s="345" t="inlineStr"/>
      <c r="W92" s="345" t="inlineStr"/>
      <c r="X92" s="345" t="inlineStr"/>
      <c r="Y92" s="345" t="inlineStr">
        <is>
          <t>confirmed</t>
        </is>
      </c>
      <c r="Z92" s="345" t="n">
        <v>0</v>
      </c>
      <c r="AA92" s="345" t="inlineStr">
        <is>
          <t>没有找到可靠候选</t>
        </is>
      </c>
      <c r="AB92" s="345" t="inlineStr">
        <is>
          <t>赛特尔25年.xls｜小学科学｜第52行</t>
        </is>
      </c>
    </row>
    <row r="93" customFormat="1" s="257">
      <c r="A93" s="106" t="n">
        <v>158</v>
      </c>
      <c r="B93" s="218" t="n">
        <v>30307107111</v>
      </c>
      <c r="C93" s="31" t="inlineStr">
        <is>
          <t>牛顿第二定律演示仪</t>
        </is>
      </c>
      <c r="D93" s="278" t="inlineStr">
        <is>
          <t>由双轨道、刹车装置、滑轮、2 辆小车、拉力挂钩等组成。轨道有效运动长度不小于 600 mm，轨面直线度误差不大于有效运动长度的 0.03%，两轨面平行度误差不大于有效运动长度的 0.1%；小车质量应为 200 g+n×50 g(n=0、1、2……)，误差不大于小车标称质量的 2%；小车放在斜度 1：50 的轨道上应能从静止开始运动；刹车装置应能调节，使两辆小车同时静止或者同时开始运动；滑轮倾斜角度应可调节且固定可靠。当两小车质量相同，拉力相同，同时释放，行程误差不大于 5％；当两小车质量相同，拉力为 1:2，同时释放，行程误差不大于 10％</t>
        </is>
      </c>
      <c r="E93" s="31" t="n">
        <v>1</v>
      </c>
      <c r="F93" s="26" t="inlineStr">
        <is>
          <t>套</t>
        </is>
      </c>
      <c r="G93" s="340">
        <f>_xlfn.DISPIMG("ID_57A069091BE14A6DBBE671C612833A60",1)</f>
        <v/>
      </c>
      <c r="H93" s="330" t="n"/>
      <c r="I93" s="67" t="n">
        <v>30307107111</v>
      </c>
      <c r="J93" s="109" t="inlineStr">
        <is>
          <t>由双轨道、刹车装置、滑轮、2 辆小车、拉力挂钩等组成。轨道有效运动长度不小于 600 mm，轨面直线度误差不大于有效运动长度的 0.03%，两轨面平行度误差不大于有效运动长度的 0.1%；小车质量应为 200 g+n×50 g(n=0、1、2……)，误差不大于小车标称质量的 2%；小车放在斜度 1：50 的轨道上应能从静止开始运动；刹车装置应能调节，使两辆小车同时静止或者同时开始运动；滑轮倾斜角度应可调节且固定可靠。当两小车质量相同，拉力相同，同时释放，行程误差不大于 5％；当两小车质量相同，拉力为 1:2，同时释放，行程误差不大于 10％</t>
        </is>
      </c>
      <c r="K93" s="39" t="inlineStr">
        <is>
          <t>乐百仕</t>
        </is>
      </c>
      <c r="L93" s="39" t="inlineStr">
        <is>
          <t>江苏乐百仕教育科技有限公司</t>
        </is>
      </c>
      <c r="M93" s="345" t="n">
        <v>1</v>
      </c>
      <c r="N93" s="345" t="n">
        <v>145</v>
      </c>
      <c r="O93" s="345" t="n">
        <v>145</v>
      </c>
      <c r="P93" s="345" t="inlineStr">
        <is>
          <t>套</t>
        </is>
      </c>
      <c r="Q93" s="345" t="inlineStr">
        <is>
          <t>群信</t>
        </is>
      </c>
      <c r="R93" s="345" t="inlineStr"/>
      <c r="S93" s="345" t="inlineStr">
        <is>
          <t>21059</t>
        </is>
      </c>
      <c r="T93" s="345" t="inlineStr">
        <is>
          <t>21059</t>
        </is>
      </c>
      <c r="U93" s="345" t="inlineStr"/>
      <c r="V93" s="345" t="inlineStr"/>
      <c r="W93" s="345" t="inlineStr"/>
      <c r="X93" s="345" t="inlineStr"/>
      <c r="Y93" s="345" t="inlineStr">
        <is>
          <t>confirmed</t>
        </is>
      </c>
      <c r="Z93" s="345" t="n">
        <v>100</v>
      </c>
      <c r="AA93" s="345" t="inlineStr"/>
      <c r="AB93" s="345" t="inlineStr">
        <is>
          <t>高中理化生报价.xlsx｜凯迪｜第143行</t>
        </is>
      </c>
    </row>
    <row r="94" customFormat="1" s="195">
      <c r="A94" s="106" t="n">
        <v>161</v>
      </c>
      <c r="B94" s="285" t="n">
        <v>30202000304</v>
      </c>
      <c r="C94" s="31" t="inlineStr">
        <is>
          <t>架盘天平（托盘天平）</t>
        </is>
      </c>
      <c r="D94" s="141" t="inlineStr">
        <is>
          <t>测量范围0g〜100g，分度值0.1g</t>
        </is>
      </c>
      <c r="E94" s="31" t="n">
        <v>13</v>
      </c>
      <c r="F94" s="31" t="inlineStr">
        <is>
          <t>台</t>
        </is>
      </c>
      <c r="G94" s="31">
        <f>_xlfn.DISPIMG("ID_F186DE4747124283920CDB2D3914CED3",1)</f>
        <v/>
      </c>
      <c r="H94" s="31" t="n"/>
      <c r="I94" s="31" t="n">
        <v>30202000304</v>
      </c>
      <c r="J94" s="33" t="inlineStr">
        <is>
          <t>测量范围：0g〜100g，分度值0.1g</t>
        </is>
      </c>
      <c r="K94" s="31" t="inlineStr">
        <is>
          <t>佳衡</t>
        </is>
      </c>
      <c r="L94" s="31" t="inlineStr">
        <is>
          <t>常熟市佳衡天平仪器有限公司</t>
        </is>
      </c>
      <c r="M94" s="345" t="n">
        <v>13</v>
      </c>
      <c r="N94" s="345" t="n">
        <v>30</v>
      </c>
      <c r="O94" s="345" t="n">
        <v>390</v>
      </c>
      <c r="P94" s="345" t="inlineStr">
        <is>
          <t>台</t>
        </is>
      </c>
      <c r="Q94" s="345" t="inlineStr">
        <is>
          <t>群信</t>
        </is>
      </c>
      <c r="R94" s="345" t="inlineStr"/>
      <c r="S94" s="345" t="inlineStr">
        <is>
          <t>11003</t>
        </is>
      </c>
      <c r="T94" s="345" t="inlineStr">
        <is>
          <t>11004</t>
        </is>
      </c>
      <c r="U94" s="345" t="n">
        <v>55</v>
      </c>
      <c r="V94" s="345" t="inlineStr"/>
      <c r="W94" s="345" t="inlineStr"/>
      <c r="X94" s="345" t="inlineStr"/>
      <c r="Y94" s="345" t="inlineStr">
        <is>
          <t>confirmed</t>
        </is>
      </c>
      <c r="Z94" s="345" t="n">
        <v>75</v>
      </c>
      <c r="AA94" s="345" t="inlineStr">
        <is>
          <t>价格分歧&gt;30%：历史报价分歧较大，需人工核对；同分多价：最高分候选存在不同历史价格</t>
        </is>
      </c>
      <c r="AB94" s="345" t="inlineStr">
        <is>
          <t>赛特尔25年.xls｜初中新课标生物｜第54行</t>
        </is>
      </c>
    </row>
    <row r="95" customFormat="1" s="195">
      <c r="A95" s="106" t="n">
        <v>162</v>
      </c>
      <c r="B95" s="286" t="n">
        <v>30202000322</v>
      </c>
      <c r="C95" s="31" t="n"/>
      <c r="D95" s="141" t="inlineStr">
        <is>
          <t>测量范围0g〜500g，分度值0.5g</t>
        </is>
      </c>
      <c r="E95" s="31" t="n">
        <v>1</v>
      </c>
      <c r="F95" s="26" t="inlineStr">
        <is>
          <t>台</t>
        </is>
      </c>
      <c r="G95" s="31">
        <f>_xlfn.DISPIMG("ID_6BA65CCA5AD34887B4D9C53D8AF4295C",1)</f>
        <v/>
      </c>
      <c r="H95" s="31" t="n"/>
      <c r="I95" s="26" t="n">
        <v>30202000322</v>
      </c>
      <c r="J95" s="33" t="inlineStr">
        <is>
          <t>测量范围：0g〜500g，分度值0.5g</t>
        </is>
      </c>
      <c r="K95" s="31" t="inlineStr">
        <is>
          <t>佳衡</t>
        </is>
      </c>
      <c r="L95" s="31" t="inlineStr">
        <is>
          <t>常熟市佳衡天平仪器有限公司</t>
        </is>
      </c>
      <c r="M95" s="345" t="n">
        <v>1</v>
      </c>
      <c r="N95" s="345" t="n">
        <v>30</v>
      </c>
      <c r="O95" s="345" t="n">
        <v>30</v>
      </c>
      <c r="P95" s="345" t="inlineStr">
        <is>
          <t>台</t>
        </is>
      </c>
      <c r="Q95" s="345" t="inlineStr">
        <is>
          <t>群信</t>
        </is>
      </c>
      <c r="R95" s="345" t="inlineStr"/>
      <c r="S95" s="345" t="inlineStr">
        <is>
          <t>11003</t>
        </is>
      </c>
      <c r="T95" s="345" t="inlineStr">
        <is>
          <t>11004</t>
        </is>
      </c>
      <c r="U95" s="345" t="n">
        <v>55</v>
      </c>
      <c r="V95" s="345" t="inlineStr"/>
      <c r="W95" s="345" t="inlineStr"/>
      <c r="X95" s="345" t="inlineStr"/>
      <c r="Y95" s="345" t="inlineStr">
        <is>
          <t>confirmed</t>
        </is>
      </c>
      <c r="Z95" s="345" t="n">
        <v>75</v>
      </c>
      <c r="AA95" s="345" t="inlineStr">
        <is>
          <t>价格分歧&gt;30%：历史报价分歧较大，需人工核对；同分多价：最高分候选存在不同历史价格</t>
        </is>
      </c>
      <c r="AB95" s="345" t="inlineStr">
        <is>
          <t>赛特尔25年.xls｜初中新课标生物｜第54行</t>
        </is>
      </c>
    </row>
    <row r="96" customFormat="1" s="195">
      <c r="A96" s="106" t="n">
        <v>165</v>
      </c>
      <c r="B96" s="286" t="n">
        <v>30202000551</v>
      </c>
      <c r="C96" s="26" t="n"/>
      <c r="D96" s="141" t="inlineStr">
        <is>
          <t>测量范围0g〜1000g，分辨力0.1g</t>
        </is>
      </c>
      <c r="E96" s="31" t="n">
        <v>1</v>
      </c>
      <c r="F96" s="26" t="inlineStr">
        <is>
          <t>台</t>
        </is>
      </c>
      <c r="G96" s="31">
        <f>_xlfn.DISPIMG("ID_7D7D46637AF746C0893C54BEDA6AF4CF",1)</f>
        <v/>
      </c>
      <c r="H96" s="220" t="n"/>
      <c r="I96" s="26" t="n">
        <v>30202000551</v>
      </c>
      <c r="J96" s="33" t="inlineStr">
        <is>
          <t>测量范围：0g〜1000g，分辨力0.1g</t>
        </is>
      </c>
      <c r="K96" s="26" t="inlineStr">
        <is>
          <t>群安</t>
        </is>
      </c>
      <c r="L96" s="26" t="inlineStr">
        <is>
          <t>群安科学仪器(浙江)有限公司</t>
        </is>
      </c>
      <c r="M96" s="345" t="n">
        <v>1</v>
      </c>
      <c r="N96" s="345" t="n">
        <v>30</v>
      </c>
      <c r="O96" s="345" t="n">
        <v>30</v>
      </c>
      <c r="P96" s="345" t="inlineStr">
        <is>
          <t>台</t>
        </is>
      </c>
      <c r="Q96" s="345" t="inlineStr">
        <is>
          <t>群信</t>
        </is>
      </c>
      <c r="R96" s="345" t="inlineStr"/>
      <c r="S96" s="345" t="inlineStr">
        <is>
          <t>11003</t>
        </is>
      </c>
      <c r="T96" s="345" t="inlineStr">
        <is>
          <t>11004</t>
        </is>
      </c>
      <c r="U96" s="345" t="n">
        <v>55</v>
      </c>
      <c r="V96" s="345" t="inlineStr"/>
      <c r="W96" s="345" t="inlineStr"/>
      <c r="X96" s="345" t="inlineStr"/>
      <c r="Y96" s="345" t="inlineStr">
        <is>
          <t>confirmed</t>
        </is>
      </c>
      <c r="Z96" s="345" t="n">
        <v>75</v>
      </c>
      <c r="AA96" s="345" t="inlineStr">
        <is>
          <t>价格分歧&gt;30%：历史报价分歧较大，需人工核对；同分多价：最高分候选存在不同历史价格</t>
        </is>
      </c>
      <c r="AB96" s="345" t="inlineStr">
        <is>
          <t>赛特尔25年.xls｜初中新课标生物｜第54行</t>
        </is>
      </c>
    </row>
    <row r="97" customFormat="1" s="195">
      <c r="A97" s="106" t="n">
        <v>167</v>
      </c>
      <c r="B97" s="31" t="n">
        <v>30307113310</v>
      </c>
      <c r="C97" s="31" t="inlineStr">
        <is>
          <t>体重秤</t>
        </is>
      </c>
      <c r="D97" s="141" t="inlineStr">
        <is>
          <t>指针式，测量范围0kg～150 kg，普通准确度，分度值 0.5 kg</t>
        </is>
      </c>
      <c r="E97" s="31" t="n">
        <v>1</v>
      </c>
      <c r="F97" s="31" t="inlineStr">
        <is>
          <t>台</t>
        </is>
      </c>
      <c r="G97" s="31">
        <f>_xlfn.DISPIMG("ID_1E11C6556E444838A45D896D9ECCB7EC",1)</f>
        <v/>
      </c>
      <c r="H97" s="220" t="n"/>
      <c r="I97" s="31" t="n">
        <v>30307113310</v>
      </c>
      <c r="J97" s="33" t="inlineStr">
        <is>
          <t>指针式，测量范围：0kg～150 kg，普通准确度，分度值 0.5 kg</t>
        </is>
      </c>
      <c r="K97" s="39" t="inlineStr">
        <is>
          <t>乐百仕</t>
        </is>
      </c>
      <c r="L97" s="39" t="inlineStr">
        <is>
          <t>江苏乐百仕教育科技有限公司</t>
        </is>
      </c>
      <c r="M97" s="345" t="n">
        <v>1</v>
      </c>
      <c r="N97" s="345" t="n">
        <v>240</v>
      </c>
      <c r="O97" s="345" t="n">
        <v>240</v>
      </c>
      <c r="P97" s="345" t="inlineStr">
        <is>
          <t>台</t>
        </is>
      </c>
      <c r="Q97" s="345" t="inlineStr"/>
      <c r="R97" s="345" t="inlineStr"/>
      <c r="S97" s="345" t="inlineStr"/>
      <c r="T97" s="345" t="inlineStr">
        <is>
          <t>量程 0 kg〜150 kg，分度值 1 kg</t>
        </is>
      </c>
      <c r="U97" s="345" t="inlineStr"/>
      <c r="V97" s="345" t="inlineStr"/>
      <c r="W97" s="345" t="inlineStr"/>
      <c r="X97" s="345" t="inlineStr"/>
      <c r="Y97" s="345" t="inlineStr">
        <is>
          <t>confirmed</t>
        </is>
      </c>
      <c r="Z97" s="345" t="n">
        <v>100</v>
      </c>
      <c r="AA97" s="345" t="inlineStr"/>
      <c r="AB97" s="345" t="inlineStr">
        <is>
          <t>赛特尔25年.xls｜初中新课标物理｜第127行</t>
        </is>
      </c>
    </row>
    <row r="98" customFormat="1" s="195">
      <c r="A98" s="106" t="n">
        <v>168</v>
      </c>
      <c r="B98" s="152" t="n">
        <v>30202005101</v>
      </c>
      <c r="C98" s="93" t="inlineStr">
        <is>
          <t>重锤</t>
        </is>
      </c>
      <c r="D98" s="96" t="inlineStr">
        <is>
          <t>300 g、600 g 各 1 个，附细线、准尖</t>
        </is>
      </c>
      <c r="E98" s="93" t="n">
        <v>1</v>
      </c>
      <c r="F98" s="93" t="inlineStr">
        <is>
          <t>个</t>
        </is>
      </c>
      <c r="G98" s="93">
        <f>_xlfn.DISPIMG("ID_DFD30A3073FC4C25936B2EDDDD7F0019",1)</f>
        <v/>
      </c>
      <c r="H98" s="220" t="n"/>
      <c r="I98" s="93" t="n">
        <v>30202005101</v>
      </c>
      <c r="J98" s="33" t="inlineStr">
        <is>
          <t>300 g、600 g 各 1 个，附细线、准尖</t>
        </is>
      </c>
      <c r="K98" s="39" t="inlineStr">
        <is>
          <t>乐百仕</t>
        </is>
      </c>
      <c r="L98" s="39" t="inlineStr">
        <is>
          <t>江苏乐百仕教育科技有限公司</t>
        </is>
      </c>
      <c r="M98" s="345" t="n">
        <v>1</v>
      </c>
      <c r="N98" s="345" t="n">
        <v>10</v>
      </c>
      <c r="O98" s="345" t="n">
        <v>10</v>
      </c>
      <c r="P98" s="345" t="inlineStr">
        <is>
          <t>个</t>
        </is>
      </c>
      <c r="Q98" s="345" t="inlineStr"/>
      <c r="R98" s="345" t="inlineStr"/>
      <c r="S98" s="345" t="inlineStr"/>
      <c r="T98" s="345" t="inlineStr">
        <is>
          <t>300 g</t>
        </is>
      </c>
      <c r="U98" s="345" t="inlineStr"/>
      <c r="V98" s="345" t="inlineStr"/>
      <c r="W98" s="345" t="inlineStr"/>
      <c r="X98" s="345" t="inlineStr"/>
      <c r="Y98" s="345" t="inlineStr">
        <is>
          <t>confirmed</t>
        </is>
      </c>
      <c r="Z98" s="345" t="n">
        <v>100</v>
      </c>
      <c r="AA98" s="345" t="inlineStr"/>
      <c r="AB98" s="345" t="inlineStr">
        <is>
          <t>赛特尔25年.xls｜初中新课标物理｜第195行</t>
        </is>
      </c>
    </row>
    <row r="99" customFormat="1" s="257">
      <c r="A99" s="106" t="n">
        <v>169</v>
      </c>
      <c r="B99" s="137" t="n">
        <v>30307107401</v>
      </c>
      <c r="C99" s="31" t="inlineStr">
        <is>
          <t>超重失重演示器</t>
        </is>
      </c>
      <c r="D99" s="141" t="inlineStr">
        <is>
          <t>包含支架、拉绳、缓冲装置、重物、制动装置等，有记忆功能的弹簧测力计或数字测力计</t>
        </is>
      </c>
      <c r="E99" s="31" t="n">
        <v>1</v>
      </c>
      <c r="F99" s="31" t="inlineStr">
        <is>
          <t>台</t>
        </is>
      </c>
      <c r="G99" s="31">
        <f>_xlfn.DISPIMG("ID_D9FD1205CBED47068B3B4F83E890B80C",1)</f>
        <v/>
      </c>
      <c r="H99" s="154" t="n"/>
      <c r="I99" s="31" t="n">
        <v>30307107401</v>
      </c>
      <c r="J99" s="33" t="inlineStr">
        <is>
          <t>包含：支架、拉绳、缓冲装置、重物、制动装置等，有记忆功能的弹簧测力计或数字测力计</t>
        </is>
      </c>
      <c r="K99" s="39" t="inlineStr">
        <is>
          <t>乐百仕</t>
        </is>
      </c>
      <c r="L99" s="39" t="inlineStr">
        <is>
          <t>江苏乐百仕教育科技有限公司</t>
        </is>
      </c>
      <c r="M99" s="345" t="n">
        <v>1</v>
      </c>
      <c r="N99" s="345" t="n">
        <v>90</v>
      </c>
      <c r="O99" s="345" t="n">
        <v>90</v>
      </c>
      <c r="P99" s="345" t="inlineStr">
        <is>
          <t>台</t>
        </is>
      </c>
      <c r="Q99" s="345" t="inlineStr"/>
      <c r="R99" s="345" t="inlineStr"/>
      <c r="S99" s="345" t="inlineStr"/>
      <c r="T99" s="345" t="inlineStr">
        <is>
          <t>记忆式</t>
        </is>
      </c>
      <c r="U99" s="345" t="inlineStr"/>
      <c r="V99" s="345" t="inlineStr"/>
      <c r="W99" s="345" t="inlineStr"/>
      <c r="X99" s="345" t="inlineStr"/>
      <c r="Y99" s="345" t="inlineStr">
        <is>
          <t>confirmed</t>
        </is>
      </c>
      <c r="Z99" s="345" t="n">
        <v>0</v>
      </c>
      <c r="AA99" s="345" t="inlineStr">
        <is>
          <t>没有找到可靠候选</t>
        </is>
      </c>
      <c r="AB99" s="345" t="inlineStr">
        <is>
          <t>赛特尔25年.xls｜高中物理｜第146行</t>
        </is>
      </c>
    </row>
    <row r="100" customFormat="1" s="257">
      <c r="A100" s="264" t="n">
        <v>170</v>
      </c>
      <c r="B100" s="71" t="n">
        <v>30307105301</v>
      </c>
      <c r="C100" s="53" t="inlineStr">
        <is>
          <t>滚摆</t>
        </is>
      </c>
      <c r="D100" s="280" t="inlineStr">
        <is>
          <t>包括摆体（摆轮和摆轴）、悬线和支架等。摆轮采用金属材质，直径 125 mm；摆轴采用钢材制作，直径8 mm，长160 mm；支架高 460 mm，横梁长 300 mm；摆体质量为 0.6 kg～0.8 kg；每根摆线能承受静拉力不小于摆体重力的 5 倍。摆体前10 次的回升累计递减量应≤65 mm</t>
        </is>
      </c>
      <c r="E100" s="206" t="n">
        <v>1</v>
      </c>
      <c r="F100" s="50" t="inlineStr">
        <is>
          <t>个</t>
        </is>
      </c>
      <c r="G100" s="223">
        <f>_xlfn.DISPIMG("ID_3BA46087F15245FC90DC1659BF24594B",1)</f>
        <v/>
      </c>
      <c r="H100" s="224" t="n"/>
      <c r="I100" s="67" t="n">
        <v>30307105301</v>
      </c>
      <c r="J100" s="109" t="inlineStr">
        <is>
          <t>包括摆体（摆轮和摆轴）、悬线和支架等。
技术参数：
塑料底座：
尺寸规格：436*274*49mm（±5mm）；材质工艺：ABS塑料精密注塑成型；功能描述：为整个演示器提供牢固稳定的底座，内嵌垫片，使得底座具备防滑耐磨的特点。
摆体（摆轮和摆轴）：
尺寸规格：直径∅128mm（±5mm），长度180mm（±5mm）；材质工艺：摆轮为Q235A材料，表面黑色亚光烤漆处理，提高外观品质，同时具备防锈防氧化功能。摆轴为优质304不锈钢材质，耐磨耐腐蚀；功能描述：这是演示能量转换的核心部件，观察其运动，能够直观的感受动能和势能的相互转化。
能够完成的教学演示：
动能和势能相互转化实验。</t>
        </is>
      </c>
      <c r="K100" s="39" t="inlineStr">
        <is>
          <t>乐百仕</t>
        </is>
      </c>
      <c r="L100" s="39" t="inlineStr">
        <is>
          <t>江苏乐百仕教育科技有限公司</t>
        </is>
      </c>
      <c r="M100" s="345" t="n">
        <v>1</v>
      </c>
      <c r="N100" s="345" t="n">
        <v>45</v>
      </c>
      <c r="O100" s="345" t="n">
        <v>45</v>
      </c>
      <c r="P100" s="345" t="inlineStr">
        <is>
          <t>个</t>
        </is>
      </c>
      <c r="Q100" s="345" t="inlineStr"/>
      <c r="R100" s="345" t="inlineStr"/>
      <c r="S100" s="345" t="inlineStr"/>
      <c r="T100" s="345" t="inlineStr"/>
      <c r="U100" s="345" t="n">
        <v>45</v>
      </c>
      <c r="V100" s="345" t="inlineStr"/>
      <c r="W100" s="345" t="n">
        <v>49.5</v>
      </c>
      <c r="X100" s="345" t="inlineStr"/>
      <c r="Y100" s="345" t="inlineStr">
        <is>
          <t>confirmed</t>
        </is>
      </c>
      <c r="Z100" s="345" t="n">
        <v>100</v>
      </c>
      <c r="AA100" s="345" t="inlineStr"/>
      <c r="AB100" s="345" t="inlineStr">
        <is>
          <t>赛特尔25年.xls｜初中新课标物理｜第369行</t>
        </is>
      </c>
    </row>
    <row r="101" customFormat="1" s="257">
      <c r="A101" s="264" t="n">
        <v>171</v>
      </c>
      <c r="B101" s="53" t="n">
        <v>30307106701</v>
      </c>
      <c r="C101" s="53" t="inlineStr">
        <is>
          <t>气垫导轨</t>
        </is>
      </c>
      <c r="D101" s="52" t="inlineStr">
        <is>
          <t>导轨长 1200 mm～2000 mm，含滑行器、配备块、挡光片、挡光条、弹性碰撞器、非弹性碰撞器、滑轮、垫脚、定高垫块、砝码盘、弹簧振子、光电门架等附件</t>
        </is>
      </c>
      <c r="E101" s="53" t="n">
        <v>13</v>
      </c>
      <c r="F101" s="53" t="inlineStr">
        <is>
          <t>台</t>
        </is>
      </c>
      <c r="G101" s="53">
        <f>_xlfn.DISPIMG("ID_7E4E80FF486F49C19BF4D11E9B1F0ED4",1)</f>
        <v/>
      </c>
      <c r="H101" s="224" t="n"/>
      <c r="I101" s="31" t="n">
        <v>30307106701</v>
      </c>
      <c r="J101" s="33" t="inlineStr">
        <is>
          <t>主要配置：
气垫导轨（1200×80×65.4mm，含黑色轨道和橙色端盖）1套、滑行器（120×63.6×20.15mm，黑色+银色）各1个、导轨支架（50×120mm）2个、挡光片（u型挡光板,单条10mm，间距宽度5\20\40\90mm；板厚1mm）4套、挡光条（宽5mm；板厚1mm）1套、配重块（50g）8个、光电门支架（95×60×24.4，板厚3mm）2个、起始挡块（63×30mm，板厚3mm）1个、滑轮架组件1个、小桶（带砝码2g×5个）1个、弹簧（0.4×10×105mm）2个、非弹性碰撞器（20×23×10mm）1套、弹性碰撞器2套（宽度10mm，厚度0.15mm）、120mm支撑杆2根、手紧螺丝若干、紧固螺丝若干、气源1套、U型弹射器2个、橡皮筋10个、钢针2根等。
四﹑技术参数：
气垫导轨：
组成产品：黑色轨道1套、橙色端盖、密封垫；规格：轨道尺寸：1200×80×65.4mm（±5mm）；材质工艺：铝6063-T5，挤压拉模成型；表面处理工艺：黑色氧化细喷砂；橙色端盖：尺寸：107×80×40mm（±5mm），ABS塑料精密注塑成型；密封垫尺寸：79.5*4mm，黑色橡胶一体加工成型；功能描述：多个零件组合集成在轨道之上，为多种实验提供良好稳定的载体。
黑色滑行器：
尺寸规格：120×63.6×20.15mm（±5mm）；材质工艺：铝6063-T5，挤压拉模成型；表面处理工艺：黑色阳极氧化处理；功能描述：作为运动主体，在气垫导轨上滑行与弹性碰撞器、非弹性碰撞器、弹簧等其他零件组合，完成多种实验。
银色滑行器：
尺寸规格：120×63.6×20.15mm（±5mm）；材质工艺：铝6063-T5，挤压拉模成型；表面处理工艺：本色阳极氧化处理；功能描述：作为运动主体，在气垫导轨上滑行与弹性碰撞器、非弹性碰撞器、弹簧等其他零件组合，完成多种实验。
挡光板和挡光片：
规格：板厚1mm；材质：Q235A；工艺：钣金折弯、黑色哑光烤漆。
配重块：
数量：8块；尺寸规格：90.3×25.2×3mm（±5mm）；质量：50g/块；材质：Q235A；表面处理工艺：镀镍；功能描述：固定在滑行块上，改变滑行块的质量。
五、可完成的基本实验活动：
1、测量做直线运动物体的瞬时速度2、探究匀变速直线运动的特点3、测量匀变速直线运动物体的加速度4、探究加速度与物体受力、物体质量的关系5、验证机械能守恒定律6、探究碰撞中的不变量7、验证动量守恒定律8、探究弹性碰撞和非弹性碰撞的特点等。</t>
        </is>
      </c>
      <c r="K101" s="39" t="inlineStr">
        <is>
          <t>乐百仕</t>
        </is>
      </c>
      <c r="L101" s="39" t="inlineStr">
        <is>
          <t>江苏乐百仕教育科技有限公司</t>
        </is>
      </c>
      <c r="M101" s="345" t="n">
        <v>13</v>
      </c>
      <c r="N101" s="345" t="n">
        <v>240</v>
      </c>
      <c r="O101" s="345" t="n">
        <v>3120</v>
      </c>
      <c r="P101" s="345" t="inlineStr">
        <is>
          <t>台</t>
        </is>
      </c>
      <c r="Q101" s="345" t="inlineStr">
        <is>
          <t>群信</t>
        </is>
      </c>
      <c r="R101" s="345" t="inlineStr"/>
      <c r="S101" s="345" t="inlineStr">
        <is>
          <t>21055</t>
        </is>
      </c>
      <c r="T101" s="345" t="inlineStr">
        <is>
          <t>21055</t>
        </is>
      </c>
      <c r="U101" s="345" t="inlineStr"/>
      <c r="V101" s="345" t="inlineStr"/>
      <c r="W101" s="345" t="inlineStr"/>
      <c r="X101" s="345" t="inlineStr"/>
      <c r="Y101" s="345" t="inlineStr">
        <is>
          <t>confirmed</t>
        </is>
      </c>
      <c r="Z101" s="345" t="n">
        <v>100</v>
      </c>
      <c r="AA101" s="345" t="inlineStr"/>
      <c r="AB101" s="345" t="inlineStr">
        <is>
          <t>高中理化生报价.xlsx｜凯迪｜第140行</t>
        </is>
      </c>
    </row>
    <row r="102" customFormat="1" s="257">
      <c r="A102" s="264" t="n">
        <v>172</v>
      </c>
      <c r="B102" s="53" t="n">
        <v>30307106801</v>
      </c>
      <c r="C102" s="53" t="inlineStr">
        <is>
          <t>小型气源</t>
        </is>
      </c>
      <c r="D102" s="52" t="inlineStr">
        <is>
          <t>在额定出口面积条件下输出气压应不小于 5.8 kPa，噪声不大于 65 dB，应有配合弹簧振子和气垫导轨使用的接口或过渡接口；泄漏电流：II 类电器应不大于0.25 mA；电气强度：II 类电器应为3000 V</t>
        </is>
      </c>
      <c r="E102" s="53" t="n">
        <v>13</v>
      </c>
      <c r="F102" s="53" t="inlineStr">
        <is>
          <t>台</t>
        </is>
      </c>
      <c r="G102" s="53">
        <f>_xlfn.DISPIMG("ID_68F1FB61B6FE44319304AA875EBD9C17",1)</f>
        <v/>
      </c>
      <c r="H102" s="224" t="n"/>
      <c r="I102" s="31" t="n">
        <v>30307106801</v>
      </c>
      <c r="J102" s="33" t="inlineStr">
        <is>
          <t>在额定出口面积条件下输出气压应不小于 5.8 kPa，噪声不大于 65 dB，应有配合弹簧振子和气垫导轨使用的接口或过渡接口；泄漏电流：II 类电器应不大于0.25 mA；电气强度：II 类电器应为3000 V</t>
        </is>
      </c>
      <c r="K102" s="39" t="inlineStr">
        <is>
          <t>乐百仕</t>
        </is>
      </c>
      <c r="L102" s="39" t="inlineStr">
        <is>
          <t>江苏乐百仕教育科技有限公司</t>
        </is>
      </c>
      <c r="M102" s="345" t="n">
        <v>13</v>
      </c>
      <c r="N102" s="345" t="n">
        <v>160</v>
      </c>
      <c r="O102" s="345" t="n">
        <v>2080</v>
      </c>
      <c r="P102" s="345" t="inlineStr">
        <is>
          <t>台</t>
        </is>
      </c>
      <c r="Q102" s="345" t="inlineStr">
        <is>
          <t>群信</t>
        </is>
      </c>
      <c r="R102" s="345" t="inlineStr"/>
      <c r="S102" s="345" t="inlineStr">
        <is>
          <t>21056</t>
        </is>
      </c>
      <c r="T102" s="345" t="inlineStr">
        <is>
          <t>21056</t>
        </is>
      </c>
      <c r="U102" s="345" t="inlineStr"/>
      <c r="V102" s="345" t="inlineStr"/>
      <c r="W102" s="345" t="inlineStr"/>
      <c r="X102" s="345" t="inlineStr"/>
      <c r="Y102" s="345" t="inlineStr">
        <is>
          <t>confirmed</t>
        </is>
      </c>
      <c r="Z102" s="345" t="n">
        <v>100</v>
      </c>
      <c r="AA102" s="345" t="inlineStr"/>
      <c r="AB102" s="345" t="inlineStr">
        <is>
          <t>高中理化生报价.xlsx｜凯迪｜第141行</t>
        </is>
      </c>
    </row>
    <row r="103" customFormat="1" s="257">
      <c r="A103" s="264" t="n">
        <v>173</v>
      </c>
      <c r="B103" s="53" t="n">
        <v>30203000510</v>
      </c>
      <c r="C103" s="53" t="inlineStr">
        <is>
          <t>数字计时器</t>
        </is>
      </c>
      <c r="D103" s="52" t="inlineStr">
        <is>
          <t>四位及以上，数据存储。可通过液晶屏选择控制菜单，可设定多种计时模式，包括通过时间、挡光时间、速度、周期、平均周期、平均频率、计数、单摆周期、平均单摆周期、平均单摆频率、周期数等，能显示不少于 10 个挡光间隔时间、10 周振动、n 次振动时间总和、加速度计时 3 个时间、自由落体时间不少于 2个、2 路光电门分别计 2 个挡光时间(对碰、追碰)，对应间隔时间的平均速度、加速度、碰撞计时四个平均速度；电磁铁可调释放延时补偿。具有 2 路光电门接口、2 路独立计时触发按钮，有电磁铁接口，统一通用接口，1 个电磁释放按钮，能够存储不少于 20 组数据。用于匀加速运动、自由落体、圆周运动、牛顿第二定律、单摆、碰撞、声速测量等实验</t>
        </is>
      </c>
      <c r="E103" s="53" t="n">
        <v>13</v>
      </c>
      <c r="F103" s="53" t="inlineStr">
        <is>
          <t>台</t>
        </is>
      </c>
      <c r="G103" s="223">
        <f>_xlfn.DISPIMG("ID_736BAA7BCA42412B82720CC8B1267B4A",1)</f>
        <v/>
      </c>
      <c r="H103" s="224" t="n"/>
      <c r="I103" s="31" t="n">
        <v>30203000510</v>
      </c>
      <c r="J103" s="33" t="inlineStr">
        <is>
          <t>四位及以上，数据存储。规格：尺寸220×140×38mm（±5mm）；材质：ABS工程塑料，环氧玻纤；工艺：表面丝印、内部SMT-PCBA焊接；功能描述：①、塑料壳体符合人体工学设计，内置电池，可以通过面板充电口充电；②、192×64LCD大屏幕能够精确显示单通道与双通道测量值；③、具有2路光电门接口和1路电磁铁接口，6个4mm香蕉插座输入端，可单通道使用光电门，也可以双通道使用光电门进行数据检测；④、一键开关，具有运行指示灯，电源指示灯；⑤、具有以下功能：按键：模式/上翻/下翻/复位/开始/停止；⑥、具有计时模式1、计时模式2、周期模式、单摆模式、加速度、自由落体、碰撞模式、振动模式、计时功能、延时设置多模式切换功能；⑦、时间测量精度：0.01 ms，在不同模式下可分别显示包括通过时间、挡光时间、速度、周期、平均周期、平均频率、计数、单摆周期、平均单摆周期、平均单摆频率、周期数、 10 个挡光间隔时间、10 周振动、n 次振动时间总和等多种数据；⑧、能够存储不少于 20 组数据；⑨、电磁铁可调释放延时补偿；⑩最多能够存储20 组数据；⑪ 、可用于匀加速运动、自由落体、圆周运动、牛顿第二定律、摆、碰撞等实验。
光电门A、光电门B：
规格：尺寸93×82×23mm（±5mm），4个M6固定螺母，工作电压DC5V，电流最大0.25A，灵敏度小于等于0.01mS，具有3个4mm香蕉插座输入端；材质：ABS塑料；功能描述：配合多功能数字计时器进行计时、计数、周期等。</t>
        </is>
      </c>
      <c r="K103" s="39" t="inlineStr">
        <is>
          <t>乐百仕</t>
        </is>
      </c>
      <c r="L103" s="39" t="inlineStr">
        <is>
          <t>江苏乐百仕教育科技有限公司</t>
        </is>
      </c>
      <c r="M103" s="345" t="n">
        <v>13</v>
      </c>
      <c r="N103" s="345" t="n">
        <v>130</v>
      </c>
      <c r="O103" s="345" t="n">
        <v>1690</v>
      </c>
      <c r="P103" s="345" t="inlineStr">
        <is>
          <t>台</t>
        </is>
      </c>
      <c r="Q103" s="345" t="inlineStr">
        <is>
          <t>群信</t>
        </is>
      </c>
      <c r="R103" s="345" t="inlineStr"/>
      <c r="S103" s="345" t="inlineStr">
        <is>
          <t>12007</t>
        </is>
      </c>
      <c r="T103" s="345" t="inlineStr">
        <is>
          <t>12007</t>
        </is>
      </c>
      <c r="U103" s="345" t="inlineStr"/>
      <c r="V103" s="345" t="inlineStr"/>
      <c r="W103" s="345" t="inlineStr"/>
      <c r="X103" s="345" t="inlineStr"/>
      <c r="Y103" s="345" t="inlineStr">
        <is>
          <t>confirmed</t>
        </is>
      </c>
      <c r="Z103" s="345" t="n">
        <v>100</v>
      </c>
      <c r="AA103" s="345" t="inlineStr"/>
      <c r="AB103" s="345" t="inlineStr">
        <is>
          <t>赛特尔25年.xls｜初中新课标物理｜第372行</t>
        </is>
      </c>
    </row>
    <row r="104" customFormat="1" s="257">
      <c r="A104" s="264" t="n">
        <v>174</v>
      </c>
      <c r="B104" s="53" t="n">
        <v>30307125901</v>
      </c>
      <c r="C104" s="53" t="inlineStr">
        <is>
          <t>机械能守恒演示器</t>
        </is>
      </c>
      <c r="D104" s="52" t="inlineStr">
        <is>
          <t>由底座、刻度板（含释放与收纳装置、挡光片）、立柱、光电门传感器、摆锤、摆杆组成，与计算机 USB 口连接通信，通过摆锤的一次运动，可同时获得六个不同高度的实验数据</t>
        </is>
      </c>
      <c r="E104" s="53" t="n">
        <v>1</v>
      </c>
      <c r="F104" s="53" t="inlineStr">
        <is>
          <t>台</t>
        </is>
      </c>
      <c r="G104" s="223">
        <f>_xlfn.DISPIMG("ID_82DDAD5FD0E347889033571E5B5613D4",1)</f>
        <v/>
      </c>
      <c r="H104" s="224" t="n"/>
      <c r="I104" s="31" t="inlineStr">
        <is>
          <t>LBS-DIS113</t>
        </is>
      </c>
      <c r="J104" s="33" t="inlineStr">
        <is>
          <t>主要配置：
刻度盘、电磁铁支架、专用ABS固定件、摆锤、电磁铁等。
技术参数：
刻度盘：
尺寸规格：354.4*348.6*2（±5mm），材质工艺：Q235A材料，表面黑色亚光烤漆处理，提高外观品质，同时具备防锈防氧化功能。表面白色、橘黄色双色丝印，刻度直观且清晰。功能描述：方便安装固定光电门传感器，测试不同高度的实验数据。
电磁铁支架：
尺寸规格：50*40*10（±5mm），材质工艺：优质橘黄色亚克力；功能描述：为安装4mm红黑香蕉插座和电磁铁提供支撑平台。</t>
        </is>
      </c>
      <c r="K104" s="39" t="inlineStr">
        <is>
          <t>乐百仕</t>
        </is>
      </c>
      <c r="L104" s="39" t="inlineStr">
        <is>
          <t>江苏乐百仕教育科技有限公司</t>
        </is>
      </c>
      <c r="M104" s="345" t="n">
        <v>1</v>
      </c>
      <c r="N104" s="345" t="n">
        <v>22.5</v>
      </c>
      <c r="O104" s="345" t="n">
        <v>22.5</v>
      </c>
      <c r="P104" s="345" t="inlineStr">
        <is>
          <t>台</t>
        </is>
      </c>
      <c r="Q104" s="345" t="inlineStr"/>
      <c r="R104" s="345" t="inlineStr"/>
      <c r="S104" s="345" t="inlineStr"/>
      <c r="T104" s="345" t="inlineStr"/>
      <c r="U104" s="345" t="inlineStr"/>
      <c r="V104" s="345" t="inlineStr"/>
      <c r="W104" s="345" t="inlineStr"/>
      <c r="X104" s="345" t="inlineStr"/>
      <c r="Y104" s="345" t="inlineStr">
        <is>
          <t>confirmed</t>
        </is>
      </c>
      <c r="Z104" s="345" t="n">
        <v>0</v>
      </c>
      <c r="AA104" s="345" t="inlineStr">
        <is>
          <t>匹配到商品档案但无历史价格记录</t>
        </is>
      </c>
      <c r="AB104" s="345" t="inlineStr">
        <is>
          <t>赛特尔25年.xls｜初中新课标物理｜第378行</t>
        </is>
      </c>
    </row>
    <row r="105" customFormat="1" s="257">
      <c r="A105" s="264" t="n">
        <v>175</v>
      </c>
      <c r="B105" s="221" t="n">
        <v>30307111010</v>
      </c>
      <c r="C105" s="53" t="inlineStr">
        <is>
          <t>曲线运动速度方向实验器</t>
        </is>
      </c>
      <c r="D105" s="52" t="inlineStr">
        <is>
          <t>由可拼接的 S 形铝合金轨道、钢球、钢球释放装置等组成。小钢球能够在轨道内自由滚动。小钢球表面粘上印泥后，能够以一定的初速度从同一入口滚入轨道，滚出轨道时的速度方向（沿轨道该点切线）即为此时瞬时速度的方向，在加、减轨道时，小球滚出的速度方向不同。钢球在滚出轨道时会在白纸上留下一条运动的痕迹，记录钢球在离开轨道时的速度方向</t>
        </is>
      </c>
      <c r="E105" s="53" t="n">
        <v>13</v>
      </c>
      <c r="F105" s="53" t="inlineStr">
        <is>
          <t>套</t>
        </is>
      </c>
      <c r="G105" s="53">
        <f>_xlfn.DISPIMG("ID_CF9322EBB7374790B46FD1374BB46C41",1)</f>
        <v/>
      </c>
      <c r="H105" s="224" t="n"/>
      <c r="I105" s="31" t="n">
        <v>30307111100</v>
      </c>
      <c r="J105" s="33" t="inlineStr">
        <is>
          <t>由可拼接的 S 形铝合金轨道、钢球、钢球释放装置等组成。小钢球能够在轨道内自由滚动。小钢球表面粘上印泥后，能够以一定的初速度从同一入口滚入轨道，滚出轨道时的速度方向（沿轨道该点切线）即为此时瞬时速度的方向，在加、减轨道时，小球滚出的速度方向不同。钢球在滚出轨道时会在白纸上留下一条运动的痕迹，记录钢球在离开轨道时的速度方向
技术参数：
下面板：
尺寸规格：409*289mm（±5mm）；材质工艺：优质亚克力；功能描述：为整个演示器提供牢固稳定的平台，
丝印板：
尺寸规格：389*260（±5mm），材质工艺：优质亚克力材料；表面处理工艺：双色丝印，功能描述：为小球的滚动提供平台，双色的丝印便于观察小球的运动方向。</t>
        </is>
      </c>
      <c r="K105" s="39" t="inlineStr">
        <is>
          <t>乐百仕</t>
        </is>
      </c>
      <c r="L105" s="39" t="inlineStr">
        <is>
          <t>江苏乐百仕教育科技有限公司</t>
        </is>
      </c>
      <c r="M105" s="345" t="n">
        <v>13</v>
      </c>
      <c r="N105" s="345" t="n">
        <v>45</v>
      </c>
      <c r="O105" s="345" t="n">
        <v>585</v>
      </c>
      <c r="P105" s="345" t="inlineStr">
        <is>
          <t>套</t>
        </is>
      </c>
      <c r="Q105" s="345" t="inlineStr"/>
      <c r="R105" s="345" t="inlineStr"/>
      <c r="S105" s="345" t="inlineStr"/>
      <c r="T105" s="345" t="inlineStr"/>
      <c r="U105" s="345" t="n">
        <v>62</v>
      </c>
      <c r="V105" s="345" t="inlineStr"/>
      <c r="W105" s="345" t="n">
        <v>190</v>
      </c>
      <c r="X105" s="345" t="inlineStr"/>
      <c r="Y105" s="345" t="inlineStr">
        <is>
          <t>confirmed</t>
        </is>
      </c>
      <c r="Z105" s="345" t="n">
        <v>55.6</v>
      </c>
      <c r="AA105" s="345" t="inlineStr">
        <is>
          <t>价格分歧&gt;30%：历史报价分歧较大，需人工核对；同分多价：最高分候选存在不同历史价格</t>
        </is>
      </c>
      <c r="AB105" s="345" t="inlineStr">
        <is>
          <t>赛特尔25年.xls｜初中物理｜第107行</t>
        </is>
      </c>
    </row>
    <row r="106" customFormat="1" s="257">
      <c r="A106" s="264" t="n">
        <v>176</v>
      </c>
      <c r="B106" s="287" t="n">
        <v>30307111110</v>
      </c>
      <c r="C106" s="50" t="inlineStr">
        <is>
          <t>曲线运动条件实验器</t>
        </is>
      </c>
      <c r="D106" s="288" t="inlineStr">
        <is>
          <t>由倾角可调的轨道（斜面倾角 30°左右，轨道长 200 mm）、小钢球、磁体、小球释放装置等组成。小钢球能够在轨道内自由滚动。将轨道放在水平面上并调好倾角后，能够保证小球从轨道顶端释放后，在水平面内做同一直线运动。用磁体在水平面内对运动的小球施加力，使小球运动方向改变</t>
        </is>
      </c>
      <c r="E106" s="206" t="n">
        <v>1</v>
      </c>
      <c r="F106" s="50" t="inlineStr">
        <is>
          <t>台</t>
        </is>
      </c>
      <c r="G106" s="223">
        <f>_xlfn.DISPIMG("ID_0F78BED4DD1A4DED8557AF55EA02888F",1)</f>
        <v/>
      </c>
      <c r="H106" s="224" t="n"/>
      <c r="I106" s="31" t="n">
        <v>30307111110</v>
      </c>
      <c r="J106" s="33" t="inlineStr">
        <is>
          <t>由倾角可调的轨道（斜面倾角 30°左右，轨道长 200 mm）、小钢球、磁体、小球释放装置等组成。小钢球能够在轨道内自由滚动。将轨道放在水平面上并调好倾角后，能够保证小球从轨道顶端释放后，在水平面内做同一直线运动。用磁体在水平面内对运动的小球施加力，使小球运动方向改变
技术参数：
曲线运动实验器主体尺寸630*456mm（±5mm）；上下为铝型材结构，6063-T5材料,具有良好的抗拉强度，表面黑色氧化细喷砂处理。左右为ABS塑料精密注塑成型边框。
一体式跨轨专用电磁继电器组件：
规格：40×40×24mm（±5mm），4mm接线端子2个，M4手紧螺丝1个；材质：PMMA，钢；工艺：精加工，钢镀镍；功能描述：①、固定在曲线运功条件实验器板面上，通过手紧螺丝锁紧定位；②、一体式结构，避免冗杂的线缆，降低故障率；③、电磁吸附小球，保证初始释放速度为零，能够摆脱常规手动控制小球造成的人为初速误差。
轨道：
导轨倾斜度30度；主要材质：铝合金；工艺：黑色阳极化。
能够完成的教学演示：
曲线运动条件实验。</t>
        </is>
      </c>
      <c r="K106" s="39" t="inlineStr">
        <is>
          <t>乐百仕</t>
        </is>
      </c>
      <c r="L106" s="39" t="inlineStr">
        <is>
          <t>江苏乐百仕教育科技有限公司</t>
        </is>
      </c>
      <c r="M106" s="345" t="n">
        <v>1</v>
      </c>
      <c r="N106" s="345" t="n">
        <v>62</v>
      </c>
      <c r="O106" s="345" t="n">
        <v>62</v>
      </c>
      <c r="P106" s="345" t="inlineStr">
        <is>
          <t>台</t>
        </is>
      </c>
      <c r="Q106" s="345" t="inlineStr"/>
      <c r="R106" s="345" t="inlineStr"/>
      <c r="S106" s="345" t="inlineStr"/>
      <c r="T106" s="345" t="inlineStr"/>
      <c r="U106" s="345" t="inlineStr"/>
      <c r="V106" s="345" t="inlineStr"/>
      <c r="W106" s="345" t="inlineStr"/>
      <c r="X106" s="345" t="inlineStr"/>
      <c r="Y106" s="345" t="inlineStr">
        <is>
          <t>confirmed</t>
        </is>
      </c>
      <c r="Z106" s="345" t="n">
        <v>0</v>
      </c>
      <c r="AA106" s="345" t="inlineStr">
        <is>
          <t>匹配到商品档案但无历史价格记录</t>
        </is>
      </c>
      <c r="AB106" s="345" t="inlineStr">
        <is>
          <t>赛特尔25年.xls｜初中新课标物理｜第204行</t>
        </is>
      </c>
    </row>
    <row r="107" customFormat="1" s="13">
      <c r="A107" s="106" t="n">
        <v>177</v>
      </c>
      <c r="B107" s="284" t="n">
        <v>30307106010</v>
      </c>
      <c r="C107" s="26" t="inlineStr">
        <is>
          <t>运动合成分解演示器</t>
        </is>
      </c>
      <c r="D107" s="289" t="inlineStr">
        <is>
          <t>运动分解与合成；可做匀速-匀速、匀速-匀加速运动合成</t>
        </is>
      </c>
      <c r="E107" s="67" t="n">
        <v>1</v>
      </c>
      <c r="F107" s="26" t="inlineStr">
        <is>
          <t>套</t>
        </is>
      </c>
      <c r="G107" s="108">
        <f>_xlfn.DISPIMG("ID_49D2DF97142F4906B773C7CD9A58A699",1)</f>
        <v/>
      </c>
      <c r="H107" s="211" t="n"/>
      <c r="I107" s="103" t="n">
        <v>30307106010</v>
      </c>
      <c r="J107" s="109" t="inlineStr">
        <is>
          <t>运动分解与合成；可做匀速-匀速、匀速-匀加速运动合成</t>
        </is>
      </c>
      <c r="K107" s="39" t="inlineStr">
        <is>
          <t>乐百仕</t>
        </is>
      </c>
      <c r="L107" s="39" t="inlineStr">
        <is>
          <t>江苏乐百仕教育科技有限公司</t>
        </is>
      </c>
      <c r="M107" s="345" t="n">
        <v>1</v>
      </c>
      <c r="N107" s="345" t="n">
        <v>160</v>
      </c>
      <c r="O107" s="345" t="n">
        <v>160</v>
      </c>
      <c r="P107" s="345" t="inlineStr">
        <is>
          <t>套</t>
        </is>
      </c>
      <c r="Q107" s="345" t="inlineStr">
        <is>
          <t>群信</t>
        </is>
      </c>
      <c r="R107" s="345" t="inlineStr"/>
      <c r="S107" s="345" t="inlineStr">
        <is>
          <t>21049</t>
        </is>
      </c>
      <c r="T107" s="345" t="inlineStr">
        <is>
          <t>21049</t>
        </is>
      </c>
      <c r="U107" s="345" t="inlineStr"/>
      <c r="V107" s="345" t="inlineStr"/>
      <c r="W107" s="345" t="inlineStr"/>
      <c r="X107" s="345" t="inlineStr"/>
      <c r="Y107" s="345" t="inlineStr">
        <is>
          <t>confirmed</t>
        </is>
      </c>
      <c r="Z107" s="345" t="n">
        <v>100</v>
      </c>
      <c r="AA107" s="345" t="inlineStr"/>
      <c r="AB107" s="345" t="inlineStr">
        <is>
          <t>高中理化生报价.xlsx｜凯迪｜第134行</t>
        </is>
      </c>
    </row>
    <row r="108" customFormat="1" s="13">
      <c r="A108" s="106" t="n">
        <v>178</v>
      </c>
      <c r="B108" s="218" t="n">
        <v>30307108301</v>
      </c>
      <c r="C108" s="26" t="inlineStr">
        <is>
          <t>二维空间—时间描迹仪</t>
        </is>
      </c>
      <c r="D108" s="290" t="inlineStr">
        <is>
          <t>可用于平抛、斜抛、验证向心力、单摆运动图像等实验。高压脉冲频率：20 Hz、50 Hz、100 Hz。电源输入与外壳：I 类1500 V，II 类 3000 V；高压部分与外壳：15 kV</t>
        </is>
      </c>
      <c r="E108" s="67" t="n">
        <v>1</v>
      </c>
      <c r="F108" s="26" t="inlineStr">
        <is>
          <t>套</t>
        </is>
      </c>
      <c r="G108" s="108">
        <f>_xlfn.DISPIMG("ID_139BB5CFB8EC42E3A1A92AB977D0630F",1)</f>
        <v/>
      </c>
      <c r="H108" s="211" t="n"/>
      <c r="I108" s="67" t="n">
        <v>30307108301</v>
      </c>
      <c r="J108" s="109" t="inlineStr">
        <is>
          <t>可用于平抛、斜抛、验证向心力、单摆运动图像等实验。高压脉冲频率：20 Hz、50 Hz、100 Hz。电源输入与外壳：I 类1500 V，II 类 3000 V；高压部分与外壳：15 kV</t>
        </is>
      </c>
      <c r="K108" s="39" t="inlineStr">
        <is>
          <t>乐百仕</t>
        </is>
      </c>
      <c r="L108" s="39" t="inlineStr">
        <is>
          <t>江苏乐百仕教育科技有限公司</t>
        </is>
      </c>
      <c r="M108" s="345" t="n">
        <v>1</v>
      </c>
      <c r="N108" s="345" t="n">
        <v>350</v>
      </c>
      <c r="O108" s="345" t="n">
        <v>350</v>
      </c>
      <c r="P108" s="345" t="inlineStr">
        <is>
          <t>套</t>
        </is>
      </c>
      <c r="Q108" s="345" t="inlineStr">
        <is>
          <t>群信</t>
        </is>
      </c>
      <c r="R108" s="345" t="inlineStr"/>
      <c r="S108" s="345" t="inlineStr">
        <is>
          <t>21071</t>
        </is>
      </c>
      <c r="T108" s="345" t="inlineStr">
        <is>
          <t>21071</t>
        </is>
      </c>
      <c r="U108" s="345" t="inlineStr"/>
      <c r="V108" s="345" t="inlineStr"/>
      <c r="W108" s="345" t="inlineStr"/>
      <c r="X108" s="345" t="inlineStr"/>
      <c r="Y108" s="345" t="inlineStr">
        <is>
          <t>confirmed</t>
        </is>
      </c>
      <c r="Z108" s="345" t="n">
        <v>100</v>
      </c>
      <c r="AA108" s="345" t="inlineStr"/>
      <c r="AB108" s="345" t="inlineStr">
        <is>
          <t>高中理化生报价.xlsx｜凯迪｜第155行</t>
        </is>
      </c>
    </row>
    <row r="109" customFormat="1" s="257">
      <c r="A109" s="106" t="n">
        <v>179</v>
      </c>
      <c r="B109" s="285" t="n">
        <v>30307107710</v>
      </c>
      <c r="C109" s="31" t="inlineStr">
        <is>
          <t>平抛竖落仪</t>
        </is>
      </c>
      <c r="D109" s="227" t="inlineStr">
        <is>
          <t>重锤击打式，两球应同时落地</t>
        </is>
      </c>
      <c r="E109" s="31" t="n">
        <v>1</v>
      </c>
      <c r="F109" s="31" t="inlineStr">
        <is>
          <t>台</t>
        </is>
      </c>
      <c r="G109" s="31">
        <f>_xlfn.DISPIMG("ID_4DFEA75C46784752BDBA9AE9DD3F9B69",1)</f>
        <v/>
      </c>
      <c r="H109" s="330" t="n"/>
      <c r="I109" s="31" t="n">
        <v>30307107710</v>
      </c>
      <c r="J109" s="33" t="inlineStr">
        <is>
          <t>重锤击打式，两球应同时落地</t>
        </is>
      </c>
      <c r="K109" s="39" t="inlineStr">
        <is>
          <t>乐百仕</t>
        </is>
      </c>
      <c r="L109" s="39" t="inlineStr">
        <is>
          <t>江苏乐百仕教育科技有限公司</t>
        </is>
      </c>
      <c r="M109" s="345" t="n">
        <v>1</v>
      </c>
      <c r="N109" s="345" t="n">
        <v>32</v>
      </c>
      <c r="O109" s="345" t="n">
        <v>32</v>
      </c>
      <c r="P109" s="345" t="inlineStr">
        <is>
          <t>台</t>
        </is>
      </c>
      <c r="Q109" s="345" t="inlineStr"/>
      <c r="R109" s="345" t="inlineStr"/>
      <c r="S109" s="345" t="inlineStr"/>
      <c r="T109" s="345" t="inlineStr">
        <is>
          <t>用于高中物理教学中有关平抛物体和自由落体，同时落地的演示实验；结构：由底板、轴、角铁、圆窝、弹簧、扳机、转门、钢球、方孔、挡柱组成。</t>
        </is>
      </c>
      <c r="U109" s="345" t="inlineStr"/>
      <c r="V109" s="345" t="inlineStr"/>
      <c r="W109" s="345" t="inlineStr"/>
      <c r="X109" s="345" t="inlineStr"/>
      <c r="Y109" s="345" t="inlineStr">
        <is>
          <t>confirmed</t>
        </is>
      </c>
      <c r="Z109" s="345" t="n">
        <v>0</v>
      </c>
      <c r="AA109" s="345" t="inlineStr">
        <is>
          <t>没有找到可靠候选</t>
        </is>
      </c>
      <c r="AB109" s="345" t="inlineStr">
        <is>
          <t>赛特尔25年.xls｜高中物理｜第149行</t>
        </is>
      </c>
    </row>
    <row r="110" customFormat="1" s="257">
      <c r="A110" s="264" t="n">
        <v>180</v>
      </c>
      <c r="B110" s="287" t="n">
        <v>30307107801</v>
      </c>
      <c r="C110" s="53" t="inlineStr">
        <is>
          <t>平抛和碰撞实验器</t>
        </is>
      </c>
      <c r="D110" s="288" t="inlineStr">
        <is>
          <t>包含钢制演示板、钢球释放装置、钢球、铝合金钢球轨道、水平挡板、支球柱、重锤等。入射小球或被碰小球从斜轨轨道末端飞出后做平抛运动，落到挡板上，挤压复写纸，留下痕迹，挡板上下位置可调铝合金钢球轨道上电磁定位可以改变抛体钢球的抛出速度，能定位捕捉抛体运动的位置，实时或静态测量抛体的水平位移、运动时间和竖直下落高度，定量探究抛体运动规律</t>
        </is>
      </c>
      <c r="E110" s="53" t="n">
        <v>13</v>
      </c>
      <c r="F110" s="53" t="inlineStr">
        <is>
          <t>台</t>
        </is>
      </c>
      <c r="G110" s="223">
        <f>_xlfn.DISPIMG("ID_60450A8AC2F749F896E76C42AD73637B",1)</f>
        <v/>
      </c>
      <c r="H110" s="224" t="n"/>
      <c r="I110" s="31" t="n">
        <v>30307107801</v>
      </c>
      <c r="J110" s="33" t="inlineStr">
        <is>
          <t>包含钢制演示板、钢球释放装置、钢球、铝合金钢球轨道、水平挡板、支球柱、重锤等。入射小球或被碰小球从斜轨轨道末端飞出后做平抛运动，落到挡板上，挤压复写纸，留下痕迹，挡板上下位置可调铝合金钢球轨道上电磁定位可以改变抛体钢球的抛出速度，能定位捕捉抛体运动的位置，实时或静态测量抛体的水平位移、运动时间和竖直下落高度，定量探究抛体运动规律</t>
        </is>
      </c>
      <c r="K110" s="39" t="inlineStr">
        <is>
          <t>乐百仕</t>
        </is>
      </c>
      <c r="L110" s="39" t="inlineStr">
        <is>
          <t>江苏乐百仕教育科技有限公司</t>
        </is>
      </c>
      <c r="M110" s="345" t="n">
        <v>13</v>
      </c>
      <c r="N110" s="345" t="n">
        <v>20</v>
      </c>
      <c r="O110" s="345" t="n">
        <v>260</v>
      </c>
      <c r="P110" s="345" t="inlineStr">
        <is>
          <t>台</t>
        </is>
      </c>
      <c r="Q110" s="345" t="inlineStr">
        <is>
          <t>群信</t>
        </is>
      </c>
      <c r="R110" s="345" t="inlineStr"/>
      <c r="S110" s="345" t="inlineStr">
        <is>
          <t>21068</t>
        </is>
      </c>
      <c r="T110" s="345" t="inlineStr">
        <is>
          <t>21068</t>
        </is>
      </c>
      <c r="U110" s="345" t="inlineStr"/>
      <c r="V110" s="345" t="inlineStr"/>
      <c r="W110" s="345" t="inlineStr"/>
      <c r="X110" s="345" t="inlineStr"/>
      <c r="Y110" s="345" t="inlineStr">
        <is>
          <t>confirmed</t>
        </is>
      </c>
      <c r="Z110" s="345" t="n">
        <v>100</v>
      </c>
      <c r="AA110" s="345" t="inlineStr"/>
      <c r="AB110" s="345" t="inlineStr">
        <is>
          <t>高中理化生报价.xlsx｜凯迪｜第152行</t>
        </is>
      </c>
    </row>
    <row r="111" customFormat="1" s="257">
      <c r="A111" s="264" t="n">
        <v>181</v>
      </c>
      <c r="B111" s="291" t="n">
        <v>30307107811</v>
      </c>
      <c r="C111" s="50" t="inlineStr">
        <is>
          <t>平抛运动演示仪</t>
        </is>
      </c>
      <c r="D111" s="292" t="inlineStr">
        <is>
          <t>由三个电磁铁钢球释放装置、水平并列固定相同弧形的两条轨道、3 个带运动指示灯的钢球捕捉装置、3 组时间测量器与刻度尺、重锤等组成。1 个电磁铁释放的钢球做平抛运动，1 个电磁铁释放的钢球做匀速直线运动，1 个电磁铁释放的钢球做自由落体运动。相同高度、同时释放的 3 个钢球应同时被捕捉装置捕获，对应的 3 个运动指示灯应同时点亮。也可再同时进行 3 个运动钢球的各自位移与运动时间的测量，以定量探究平抛运动分解规律</t>
        </is>
      </c>
      <c r="E111" s="206" t="n">
        <v>1</v>
      </c>
      <c r="F111" s="53" t="inlineStr">
        <is>
          <t>台</t>
        </is>
      </c>
      <c r="G111" s="223">
        <f>_xlfn.DISPIMG("ID_5103CE2F11CB4CC98829264563081D76",1)</f>
        <v/>
      </c>
      <c r="H111" s="206" t="n"/>
      <c r="I111" s="103" t="n">
        <v>30307107811</v>
      </c>
      <c r="J111" s="164" t="inlineStr">
        <is>
          <t>由三个电磁铁钢球释放装置、水平并列固定相同弧形的两条轨道、3 个带运动指示灯的钢球捕捉装置、3 组时间测量器与刻度尺、重锤等组成。1 个电磁铁释放的钢球做平抛运动，1 个电磁铁释放的钢球做匀速直线运动，1 个电磁铁释放的钢球做自由落体运动。相同高度、同时释放的 3 个钢球应同时被捕捉装置捕获，对应的 3 个运动指示灯应同时点亮。也可再同时进行 3 个运动钢球的各自位移与运动时间的测量，以定量探究平抛运动分解规律</t>
        </is>
      </c>
      <c r="K111" s="39" t="inlineStr">
        <is>
          <t>乐百仕</t>
        </is>
      </c>
      <c r="L111" s="39" t="inlineStr">
        <is>
          <t>江苏乐百仕教育科技有限公司</t>
        </is>
      </c>
      <c r="M111" s="345" t="n">
        <v>1</v>
      </c>
      <c r="N111" s="345" t="n">
        <v>20</v>
      </c>
      <c r="O111" s="345" t="n">
        <v>20</v>
      </c>
      <c r="P111" s="345" t="inlineStr">
        <is>
          <t>台</t>
        </is>
      </c>
      <c r="Q111" s="345" t="inlineStr"/>
      <c r="R111" s="345" t="inlineStr"/>
      <c r="S111" s="345" t="inlineStr"/>
      <c r="T111" s="345" t="inlineStr"/>
      <c r="U111" s="345" t="inlineStr"/>
      <c r="V111" s="345" t="inlineStr"/>
      <c r="W111" s="345" t="inlineStr"/>
      <c r="X111" s="345" t="inlineStr"/>
      <c r="Y111" s="345" t="inlineStr">
        <is>
          <t>confirmed</t>
        </is>
      </c>
      <c r="Z111" s="345" t="n">
        <v>0</v>
      </c>
      <c r="AA111" s="345" t="inlineStr">
        <is>
          <t>匹配到商品档案但无历史价格记录</t>
        </is>
      </c>
      <c r="AB111" s="345" t="inlineStr">
        <is>
          <t>赛特尔25年.xls｜高中物理｜第145行</t>
        </is>
      </c>
    </row>
    <row r="112" customFormat="1" s="195">
      <c r="A112" s="106" t="n">
        <v>186</v>
      </c>
      <c r="B112" s="67" t="n">
        <v>30307105401</v>
      </c>
      <c r="C112" s="31" t="inlineStr">
        <is>
          <t>离心轨道</t>
        </is>
      </c>
      <c r="D112" s="278" t="inlineStr">
        <is>
          <t>由底板、环形轨道、钢球、塑料球和接球装置等组成。环形轨道有供球出、入的 2 个斜坡，长坡顶部有球座，短坡顶部有接球装置。环形轨道环内径≥140 mm，短坡高≥120 mm，长坡高/圆环半径倍数不大于 4。钢球和塑料球直径Φ25 mm。球自长坡顶部滚下，应能连续（在轨道顶部不脱离与轨道的接触）沿轨道滚动一周，并在短坡顶部进入接球装置</t>
        </is>
      </c>
      <c r="E112" s="154" t="n">
        <v>1</v>
      </c>
      <c r="F112" s="26" t="inlineStr">
        <is>
          <t>套</t>
        </is>
      </c>
      <c r="G112" s="340">
        <f>_xlfn.DISPIMG("ID_6EBB9D670EE04BE6BEE2DF63FDBA326A",1)</f>
        <v/>
      </c>
      <c r="H112" s="220" t="n"/>
      <c r="I112" s="67" t="n">
        <v>30307105401</v>
      </c>
      <c r="J112" s="109" t="inlineStr">
        <is>
          <t>由底板、环形轨道、钢球、塑料球和接球装置等组成。环形轨道有供球出、入的 2 个斜坡，长坡顶部有球座，短坡顶部有接球装置。环形轨道环内径≥140 mm，短坡高≥120 mm，长坡高/圆环半径倍数不大于 4。钢球和塑料球直径Φ25 mm。球自长坡顶部滚下，应能连续（在轨道顶部不脱离与轨道的接触）沿轨道滚动一周，并在短坡顶部进入接球装置</t>
        </is>
      </c>
      <c r="K112" s="39" t="inlineStr">
        <is>
          <t>乐百仕</t>
        </is>
      </c>
      <c r="L112" s="39" t="inlineStr">
        <is>
          <t>江苏乐百仕教育科技有限公司</t>
        </is>
      </c>
      <c r="M112" s="345" t="n">
        <v>1</v>
      </c>
      <c r="N112" s="345" t="n">
        <v>45</v>
      </c>
      <c r="O112" s="345" t="n">
        <v>45</v>
      </c>
      <c r="P112" s="345" t="inlineStr">
        <is>
          <t>套</t>
        </is>
      </c>
      <c r="Q112" s="345" t="inlineStr"/>
      <c r="R112" s="345" t="inlineStr"/>
      <c r="S112" s="345" t="inlineStr"/>
      <c r="T112" s="345" t="inlineStr"/>
      <c r="U112" s="345" t="n">
        <v>49.5</v>
      </c>
      <c r="V112" s="345" t="inlineStr"/>
      <c r="W112" s="345" t="n">
        <v>55</v>
      </c>
      <c r="X112" s="345" t="inlineStr"/>
      <c r="Y112" s="345" t="inlineStr">
        <is>
          <t>confirmed</t>
        </is>
      </c>
      <c r="Z112" s="345" t="n">
        <v>100</v>
      </c>
      <c r="AA112" s="345" t="inlineStr">
        <is>
          <t>同分多价：最高分候选存在不同历史价格</t>
        </is>
      </c>
      <c r="AB112" s="345" t="inlineStr">
        <is>
          <t>赛特尔25年.xls｜初中新课标物理｜第370行</t>
        </is>
      </c>
    </row>
    <row r="113" customFormat="1" s="257">
      <c r="A113" s="106" t="n">
        <v>188</v>
      </c>
      <c r="B113" s="277" t="n">
        <v>30307108501</v>
      </c>
      <c r="C113" s="293" t="inlineStr">
        <is>
          <t>向心力实验器</t>
        </is>
      </c>
      <c r="D113" s="294" t="inlineStr">
        <is>
          <t>手动，质量、半径和角速度均可调</t>
        </is>
      </c>
      <c r="E113" s="31" t="n">
        <v>13</v>
      </c>
      <c r="F113" s="31" t="inlineStr">
        <is>
          <t>台</t>
        </is>
      </c>
      <c r="G113" s="340">
        <f>_xlfn.DISPIMG("ID_76B54072A46A4A538EB8387618A9B815",1)</f>
        <v/>
      </c>
      <c r="H113" s="31" t="n"/>
      <c r="I113" s="103" t="n">
        <v>30307108501</v>
      </c>
      <c r="J113" s="164" t="inlineStr">
        <is>
          <t>手动，质量、半径和角速度均可调</t>
        </is>
      </c>
      <c r="K113" s="39" t="inlineStr">
        <is>
          <t>乐百仕</t>
        </is>
      </c>
      <c r="L113" s="39" t="inlineStr">
        <is>
          <t>江苏乐百仕教育科技有限公司</t>
        </is>
      </c>
      <c r="M113" s="345" t="n">
        <v>13</v>
      </c>
      <c r="N113" s="345" t="n">
        <v>42</v>
      </c>
      <c r="O113" s="345" t="n">
        <v>546</v>
      </c>
      <c r="P113" s="345" t="inlineStr">
        <is>
          <t>台</t>
        </is>
      </c>
      <c r="Q113" s="345" t="inlineStr">
        <is>
          <t>群信</t>
        </is>
      </c>
      <c r="R113" s="345" t="inlineStr"/>
      <c r="S113" s="345" t="inlineStr">
        <is>
          <t>21074</t>
        </is>
      </c>
      <c r="T113" s="345" t="inlineStr">
        <is>
          <t>21074</t>
        </is>
      </c>
      <c r="U113" s="345" t="inlineStr"/>
      <c r="V113" s="345" t="inlineStr"/>
      <c r="W113" s="345" t="inlineStr"/>
      <c r="X113" s="345" t="inlineStr"/>
      <c r="Y113" s="345" t="inlineStr">
        <is>
          <t>confirmed</t>
        </is>
      </c>
      <c r="Z113" s="345" t="n">
        <v>100</v>
      </c>
      <c r="AA113" s="345" t="inlineStr"/>
      <c r="AB113" s="345" t="inlineStr">
        <is>
          <t>高中理化生报价.xlsx｜凯迪｜第158行</t>
        </is>
      </c>
    </row>
    <row r="114" customFormat="1" s="257">
      <c r="A114" s="106" t="n">
        <v>189</v>
      </c>
      <c r="B114" s="277" t="n">
        <v>30307108511</v>
      </c>
      <c r="C114" s="295" t="n"/>
      <c r="D114" s="294" t="inlineStr">
        <is>
          <t>包含手动、电机驱动两种旋转模式。主要由主梁架、底座、砝码、旋臂、连接装置、紧固件与电机控制系统等构成</t>
        </is>
      </c>
      <c r="E114" s="154" t="n">
        <v>1</v>
      </c>
      <c r="F114" s="31" t="inlineStr">
        <is>
          <t>台</t>
        </is>
      </c>
      <c r="G114" s="340">
        <f>_xlfn.DISPIMG("ID_CE0D8AD9BD24463CADDC31CA23C24EF3",1)</f>
        <v/>
      </c>
      <c r="H114" s="31" t="n"/>
      <c r="I114" s="103" t="n">
        <v>30307108511</v>
      </c>
      <c r="J114" s="164" t="inlineStr">
        <is>
          <t>包含手动、电机驱动两种旋转模式。主要由主梁架、底座、砝码、旋臂、连接装置、紧固件与电机控制系统等构成</t>
        </is>
      </c>
      <c r="K114" s="39" t="inlineStr">
        <is>
          <t>乐百仕</t>
        </is>
      </c>
      <c r="L114" s="39" t="inlineStr">
        <is>
          <t>江苏乐百仕教育科技有限公司</t>
        </is>
      </c>
      <c r="M114" s="345" t="n">
        <v>1</v>
      </c>
      <c r="N114" s="345" t="n">
        <v>42</v>
      </c>
      <c r="O114" s="345" t="n">
        <v>42</v>
      </c>
      <c r="P114" s="345" t="inlineStr">
        <is>
          <t>台</t>
        </is>
      </c>
      <c r="Q114" s="345" t="inlineStr">
        <is>
          <t>群信</t>
        </is>
      </c>
      <c r="R114" s="345" t="inlineStr"/>
      <c r="S114" s="345" t="inlineStr">
        <is>
          <t>21074</t>
        </is>
      </c>
      <c r="T114" s="345" t="inlineStr">
        <is>
          <t>21074</t>
        </is>
      </c>
      <c r="U114" s="345" t="inlineStr"/>
      <c r="V114" s="345" t="inlineStr"/>
      <c r="W114" s="345" t="inlineStr"/>
      <c r="X114" s="345" t="inlineStr"/>
      <c r="Y114" s="345" t="inlineStr">
        <is>
          <t>confirmed</t>
        </is>
      </c>
      <c r="Z114" s="345" t="n">
        <v>100</v>
      </c>
      <c r="AA114" s="345" t="inlineStr"/>
      <c r="AB114" s="345" t="inlineStr">
        <is>
          <t>高中理化生报价.xlsx｜凯迪｜第158行</t>
        </is>
      </c>
    </row>
    <row r="115" customFormat="1" s="257">
      <c r="A115" s="106" t="n">
        <v>192</v>
      </c>
      <c r="B115" s="277" t="n">
        <v>30307107910</v>
      </c>
      <c r="C115" s="26" t="inlineStr">
        <is>
          <t>碰撞实验器</t>
        </is>
      </c>
      <c r="D115" s="294" t="inlineStr">
        <is>
          <t>由轨道、小球、支球柱、重锤、支架和台夹等组成。小球应不少于 4 个，玻璃球和钢球各 2 个。轨道由金属材料制成，分为倾斜和水平两段，连接处应以圆弧过渡，圆弧的曲率半径为 70 mm±10 mm，两段之间的夹角α应为 150°±5°。支球柱由Φ4 mm±0.1 mm 不锈钢管制成，应能竖立于轨道前面支撑小球，支球柱高度上下可调，调节范围应不小于 3 mm。实验误差≤5%</t>
        </is>
      </c>
      <c r="E115" s="31" t="n">
        <v>13</v>
      </c>
      <c r="F115" s="31" t="inlineStr">
        <is>
          <t>套</t>
        </is>
      </c>
      <c r="G115" s="340">
        <f>_xlfn.DISPIMG("ID_6F06390ED24843C093C3C61193049DED",1)</f>
        <v/>
      </c>
      <c r="H115" s="330" t="n"/>
      <c r="I115" s="103" t="n">
        <v>30307107910</v>
      </c>
      <c r="J115" s="164" t="inlineStr">
        <is>
          <t>由轨道、小球、支球柱、重锤、支架和台夹等组成。小球应不少于 4 个，玻璃球和钢球各 2 个。轨道由金属材料制成，分为倾斜和水平两段，连接处应以圆弧过渡，圆弧的曲率半径为 70 mm±10 mm，两段之间的夹角α应为 150°±5°。支球柱由Φ4 mm±0.1 mm 不锈钢管制成，应能竖立于轨道前面支撑小球，支球柱高度上下可调，调节范围应不小于 3 mm。实验误差≤5%</t>
        </is>
      </c>
      <c r="K115" s="39" t="inlineStr">
        <is>
          <t>乐百仕</t>
        </is>
      </c>
      <c r="L115" s="39" t="inlineStr">
        <is>
          <t>江苏乐百仕教育科技有限公司</t>
        </is>
      </c>
      <c r="M115" s="345" t="n">
        <v>13</v>
      </c>
      <c r="N115" s="345" t="n">
        <v>45</v>
      </c>
      <c r="O115" s="345" t="n">
        <v>585</v>
      </c>
      <c r="P115" s="345" t="inlineStr">
        <is>
          <t>套</t>
        </is>
      </c>
      <c r="Q115" s="345" t="inlineStr">
        <is>
          <t>群信</t>
        </is>
      </c>
      <c r="R115" s="345" t="inlineStr"/>
      <c r="S115" s="345" t="inlineStr">
        <is>
          <t>21067</t>
        </is>
      </c>
      <c r="T115" s="345" t="inlineStr">
        <is>
          <t>21067</t>
        </is>
      </c>
      <c r="U115" s="345" t="inlineStr"/>
      <c r="V115" s="345" t="inlineStr"/>
      <c r="W115" s="345" t="inlineStr"/>
      <c r="X115" s="345" t="inlineStr"/>
      <c r="Y115" s="345" t="inlineStr">
        <is>
          <t>confirmed</t>
        </is>
      </c>
      <c r="Z115" s="345" t="n">
        <v>100</v>
      </c>
      <c r="AA115" s="345" t="inlineStr"/>
      <c r="AB115" s="345" t="inlineStr">
        <is>
          <t>高中理化生报价.xlsx｜凯迪｜第151行</t>
        </is>
      </c>
    </row>
    <row r="116" customFormat="1" s="195">
      <c r="A116" s="106" t="n">
        <v>194</v>
      </c>
      <c r="B116" s="296" t="n">
        <v>30307113410</v>
      </c>
      <c r="C116" s="34" t="inlineStr">
        <is>
          <t>动量守恒小车</t>
        </is>
      </c>
      <c r="D116" s="297" t="inlineStr">
        <is>
          <t>包含轴承、实心摆球、小车等。小车底部有 4 个可动轮，摆球的直径≥5 cm</t>
        </is>
      </c>
      <c r="E116" s="231" t="n">
        <v>1</v>
      </c>
      <c r="F116" s="93" t="inlineStr">
        <is>
          <t>台</t>
        </is>
      </c>
      <c r="G116" s="298">
        <f>_xlfn.DISPIMG("ID_62C25D62FEF04432A33C74DADA83B4FC",1)</f>
        <v/>
      </c>
      <c r="H116" s="330" t="n"/>
      <c r="I116" s="299" t="n">
        <v>30307113410</v>
      </c>
      <c r="J116" s="164" t="inlineStr">
        <is>
          <t>包含轴承、实心摆球、小车等。小车底部有 4 个可动轮，摆球的直径≥5 cm</t>
        </is>
      </c>
      <c r="K116" s="39" t="inlineStr">
        <is>
          <t>乐百仕</t>
        </is>
      </c>
      <c r="L116" s="39" t="inlineStr">
        <is>
          <t>江苏乐百仕教育科技有限公司</t>
        </is>
      </c>
      <c r="M116" s="345" t="n">
        <v>1</v>
      </c>
      <c r="N116" s="345" t="n">
        <v>9</v>
      </c>
      <c r="O116" s="345" t="n">
        <v>9</v>
      </c>
      <c r="P116" s="345" t="inlineStr">
        <is>
          <t>台</t>
        </is>
      </c>
      <c r="Q116" s="345" t="inlineStr"/>
      <c r="R116" s="345" t="inlineStr"/>
      <c r="S116" s="345" t="inlineStr"/>
      <c r="T116" s="345" t="inlineStr">
        <is>
          <t>小车车身由塑料制成，表面光滑。车身长不小于100㎜，宽不小于60㎜。小车的质心线的前端装有一个挂钩，上面有放置钩码等重物的槽，槽的长宽不小于50㎜，深不小于15㎜。小车有四个金属制成的轮子，前后轮轴距大于60㎜，两轮距大于40㎜，车轮直径大于φ20㎜。小车轮子转动灵活。</t>
        </is>
      </c>
      <c r="U116" s="345" t="inlineStr"/>
      <c r="V116" s="345" t="inlineStr"/>
      <c r="W116" s="345" t="inlineStr"/>
      <c r="X116" s="345" t="inlineStr"/>
      <c r="Y116" s="345" t="inlineStr">
        <is>
          <t>confirmed</t>
        </is>
      </c>
      <c r="Z116" s="345" t="n">
        <v>0</v>
      </c>
      <c r="AA116" s="345" t="inlineStr">
        <is>
          <t>匹配到商品档案但无历史价格记录</t>
        </is>
      </c>
      <c r="AB116" s="345" t="inlineStr">
        <is>
          <t>赛特尔25年.xls｜小学科学｜第62行</t>
        </is>
      </c>
    </row>
    <row r="117" customFormat="1" s="257">
      <c r="A117" s="264" t="n">
        <v>195</v>
      </c>
      <c r="B117" s="281" t="n">
        <v>30307108901</v>
      </c>
      <c r="C117" s="173" t="inlineStr">
        <is>
          <t>动量传递演示器(碰撞球)</t>
        </is>
      </c>
      <c r="D117" s="280" t="inlineStr">
        <is>
          <t>包括底板、立柱、横杆、横梁、钢球等。支架上悬挂 5 个等质量、等直径且相互接触的钢球，并设有微调装置，用来调节钢球高低。钢球直径不小于 20 mm</t>
        </is>
      </c>
      <c r="E117" s="206" t="n">
        <v>1</v>
      </c>
      <c r="F117" s="50" t="inlineStr">
        <is>
          <t>套</t>
        </is>
      </c>
      <c r="G117" s="223">
        <f>_xlfn.DISPIMG("ID_3FCCC312CDC049C2BEACCE94FCF3B823",1)</f>
        <v/>
      </c>
      <c r="H117" s="300" t="inlineStr">
        <is>
          <t>二选一</t>
        </is>
      </c>
      <c r="I117" s="42" t="n">
        <v>30307108901</v>
      </c>
      <c r="J117" s="47" t="inlineStr">
        <is>
          <t>包括底板、立柱、横杆、横梁、钢球等。支架上悬挂 5 个等质量、等直径且相互接触的钢球，并设有微调装置，用来调节钢球高低。钢球直径不小于 20 mm</t>
        </is>
      </c>
      <c r="K117" s="48" t="inlineStr">
        <is>
          <t>乐百仕</t>
        </is>
      </c>
      <c r="L117" s="48" t="inlineStr">
        <is>
          <t>江苏乐百仕教育科技有限公司</t>
        </is>
      </c>
      <c r="M117" s="345" t="n">
        <v>1</v>
      </c>
      <c r="N117" s="345" t="n">
        <v>25</v>
      </c>
      <c r="O117" s="345" t="n">
        <v>25</v>
      </c>
      <c r="P117" s="345" t="inlineStr">
        <is>
          <t>套</t>
        </is>
      </c>
      <c r="Q117" s="345" t="inlineStr"/>
      <c r="R117" s="345" t="inlineStr"/>
      <c r="S117" s="345" t="inlineStr"/>
      <c r="T117" s="345" t="inlineStr"/>
      <c r="U117" s="345" t="n">
        <v>130</v>
      </c>
      <c r="V117" s="345" t="inlineStr"/>
      <c r="W117" s="345" t="n">
        <v>130</v>
      </c>
      <c r="X117" s="345" t="inlineStr"/>
      <c r="Y117" s="345" t="inlineStr">
        <is>
          <t>confirmed</t>
        </is>
      </c>
      <c r="Z117" s="345" t="n">
        <v>61.5</v>
      </c>
      <c r="AA117" s="345" t="inlineStr">
        <is>
          <t>同分多价：最高分候选存在不同历史价格</t>
        </is>
      </c>
      <c r="AB117" s="345" t="inlineStr">
        <is>
          <t>高中理化生报价.xlsx｜凯迪｜第162行</t>
        </is>
      </c>
    </row>
    <row r="118" customFormat="1" s="257">
      <c r="A118" s="106" t="n">
        <v>196</v>
      </c>
      <c r="B118" s="284" t="n">
        <v>30307108905</v>
      </c>
      <c r="C118" s="301" t="n"/>
      <c r="D118" s="278" t="inlineStr">
        <is>
          <t>包括底板、立柱、横杆、横梁、钢球等。支架上悬挂 2 个等质量、等直径且相互接触的钢球，并设有微调装置，用来调节钢球高低。能配套光电门传感器或数字计时器使用</t>
        </is>
      </c>
      <c r="E118" s="154" t="n">
        <v>1</v>
      </c>
      <c r="F118" s="26" t="inlineStr">
        <is>
          <t>套</t>
        </is>
      </c>
      <c r="G118" s="340">
        <f>_xlfn.DISPIMG("ID_B500563F267F4DCAA74589A739FF3C40",1)</f>
        <v/>
      </c>
      <c r="H118" s="93" t="n"/>
      <c r="I118" s="103" t="n">
        <v>30307108905</v>
      </c>
      <c r="J118" s="109" t="inlineStr">
        <is>
          <t>包括底板、立柱、横杆、横梁、钢球等。支架上悬挂 2 个等质量、等直径且相互接触的钢球，并设有微调装置，用来调节钢球高低。能配套光电门传感器或数字计时器使用</t>
        </is>
      </c>
      <c r="K118" s="39" t="inlineStr">
        <is>
          <t>乐百仕</t>
        </is>
      </c>
      <c r="L118" s="39" t="inlineStr">
        <is>
          <t>江苏乐百仕教育科技有限公司</t>
        </is>
      </c>
      <c r="M118" s="345" t="n">
        <v>1</v>
      </c>
      <c r="N118" s="345" t="n">
        <v>25</v>
      </c>
      <c r="O118" s="345" t="n">
        <v>25</v>
      </c>
      <c r="P118" s="345" t="inlineStr">
        <is>
          <t>套</t>
        </is>
      </c>
      <c r="Q118" s="345" t="inlineStr"/>
      <c r="R118" s="345" t="inlineStr"/>
      <c r="S118" s="345" t="inlineStr"/>
      <c r="T118" s="345" t="inlineStr"/>
      <c r="U118" s="345" t="n">
        <v>130</v>
      </c>
      <c r="V118" s="345" t="inlineStr"/>
      <c r="W118" s="345" t="n">
        <v>130</v>
      </c>
      <c r="X118" s="345" t="inlineStr"/>
      <c r="Y118" s="345" t="inlineStr">
        <is>
          <t>confirmed</t>
        </is>
      </c>
      <c r="Z118" s="345" t="n">
        <v>61.5</v>
      </c>
      <c r="AA118" s="345" t="inlineStr">
        <is>
          <t>同分多价：最高分候选存在不同历史价格</t>
        </is>
      </c>
      <c r="AB118" s="345" t="inlineStr">
        <is>
          <t>高中理化生报价.xlsx｜凯迪｜第162行</t>
        </is>
      </c>
    </row>
    <row r="119" customFormat="1" s="257">
      <c r="A119" s="106" t="n">
        <v>197</v>
      </c>
      <c r="B119" s="284" t="n">
        <v>30307107310</v>
      </c>
      <c r="C119" s="26" t="inlineStr">
        <is>
          <t>反冲运动演示器</t>
        </is>
      </c>
      <c r="D119" s="68" t="inlineStr">
        <is>
          <t>水介质压力驱动式；盛水器盛水量≥1500 mL，一次储水后应能使旋转体转动不少于 5 周；旋转式各喷嘴都为顺时针（或逆时针）方向，应沿旋转时圆周的切线方向；喷嘴在旋转体上的分布应能保持旋转体的动平衡；喷出的水应能收集在储水槽内</t>
        </is>
      </c>
      <c r="E119" s="154" t="n">
        <v>1</v>
      </c>
      <c r="F119" s="26" t="inlineStr">
        <is>
          <t>套</t>
        </is>
      </c>
      <c r="G119" s="340">
        <f>_xlfn.DISPIMG("ID_64C18544CC7A42568692A441E7543589",1)</f>
        <v/>
      </c>
      <c r="H119" s="330" t="n"/>
      <c r="I119" s="103" t="n">
        <v>30307107310</v>
      </c>
      <c r="J119" s="164" t="inlineStr">
        <is>
          <t>水介质压力驱动式；盛水器盛水量≥1500 mL，一次储水后应能使旋转体转动不少于 5 周；旋转式各喷嘴都为顺时针（或逆时针）方向，应沿旋转时圆周的切线方向；喷嘴在旋转体上的分布应能保持旋转体的动平衡；喷出的水应能收集在储水槽内</t>
        </is>
      </c>
      <c r="K119" s="39" t="inlineStr">
        <is>
          <t>乐百仕</t>
        </is>
      </c>
      <c r="L119" s="39" t="inlineStr">
        <is>
          <t>江苏乐百仕教育科技有限公司</t>
        </is>
      </c>
      <c r="M119" s="345" t="n">
        <v>1</v>
      </c>
      <c r="N119" s="345" t="n">
        <v>20</v>
      </c>
      <c r="O119" s="345" t="n">
        <v>20</v>
      </c>
      <c r="P119" s="345" t="inlineStr">
        <is>
          <t>套</t>
        </is>
      </c>
      <c r="Q119" s="345" t="inlineStr"/>
      <c r="R119" s="345" t="inlineStr"/>
      <c r="S119" s="345" t="inlineStr"/>
      <c r="T119" s="345" t="inlineStr"/>
      <c r="U119" s="345" t="inlineStr"/>
      <c r="V119" s="345" t="inlineStr"/>
      <c r="W119" s="345" t="inlineStr"/>
      <c r="X119" s="345" t="inlineStr"/>
      <c r="Y119" s="345" t="inlineStr">
        <is>
          <t>confirmed</t>
        </is>
      </c>
      <c r="Z119" s="345" t="n">
        <v>100</v>
      </c>
      <c r="AA119" s="345" t="inlineStr"/>
      <c r="AB119" s="345" t="inlineStr">
        <is>
          <t>赛特尔25年.xls｜高中物理｜第145行</t>
        </is>
      </c>
    </row>
    <row r="120" customFormat="1" s="257">
      <c r="A120" s="106" t="n">
        <v>200</v>
      </c>
      <c r="B120" s="261" t="n">
        <v>30307202001</v>
      </c>
      <c r="C120" s="295" t="inlineStr">
        <is>
          <t>弹簧振子</t>
        </is>
      </c>
      <c r="D120" s="68" t="inlineStr">
        <is>
          <t>气垫式；附气源，不附气源用气垫导轨气源的需配接口（接口大端 30.5 mm±0.5 mm，小端 29.5 mm±0.5 mm，长不小于 35 mm）；振动 10 个周期，无配重时振幅≥80％，配重 20 g 时振幅≥70％</t>
        </is>
      </c>
      <c r="E120" s="154" t="n">
        <v>1</v>
      </c>
      <c r="F120" s="26" t="inlineStr">
        <is>
          <t>套</t>
        </is>
      </c>
      <c r="G120" s="340">
        <f>_xlfn.DISPIMG("ID_0267452E2656403FA6F2E8DDFC8F092A",1)</f>
        <v/>
      </c>
      <c r="H120" s="93" t="n"/>
      <c r="I120" s="103" t="n">
        <v>30307202001</v>
      </c>
      <c r="J120" s="164" t="inlineStr">
        <is>
          <t>气垫式；附气源，不附气源用气垫导轨气源的需配接口（接口大端 30.5 mm±0.5 mm，小端 29.5 mm±0.5 mm，长不小于 35 mm）；振动 10 个周期，无配重时振幅≥80％，配重 20 g 时振幅≥70％</t>
        </is>
      </c>
      <c r="K120" s="39" t="inlineStr">
        <is>
          <t>乐百仕</t>
        </is>
      </c>
      <c r="L120" s="39" t="inlineStr">
        <is>
          <t>江苏乐百仕教育科技有限公司</t>
        </is>
      </c>
      <c r="M120" s="345" t="n">
        <v>1</v>
      </c>
      <c r="N120" s="345" t="n">
        <v>2</v>
      </c>
      <c r="O120" s="345" t="n">
        <v>2</v>
      </c>
      <c r="P120" s="345" t="inlineStr">
        <is>
          <t>套</t>
        </is>
      </c>
      <c r="Q120" s="345" t="inlineStr">
        <is>
          <t>群信</t>
        </is>
      </c>
      <c r="R120" s="345" t="inlineStr"/>
      <c r="S120" s="345" t="inlineStr">
        <is>
          <t>22018</t>
        </is>
      </c>
      <c r="T120" s="345" t="inlineStr">
        <is>
          <t>22018</t>
        </is>
      </c>
      <c r="U120" s="345" t="inlineStr"/>
      <c r="V120" s="345" t="inlineStr"/>
      <c r="W120" s="345" t="inlineStr"/>
      <c r="X120" s="345" t="inlineStr"/>
      <c r="Y120" s="345" t="inlineStr">
        <is>
          <t>confirmed</t>
        </is>
      </c>
      <c r="Z120" s="345" t="n">
        <v>0</v>
      </c>
      <c r="AA120" s="345" t="inlineStr">
        <is>
          <t>匹配到商品档案但无历史价格记录</t>
        </is>
      </c>
      <c r="AB120" s="345" t="inlineStr">
        <is>
          <t>赛特尔25年.xls｜小学科学｜第61行</t>
        </is>
      </c>
    </row>
    <row r="121" customFormat="1" s="257">
      <c r="A121" s="106" t="n">
        <v>201</v>
      </c>
      <c r="B121" s="67" t="n">
        <v>30307202005</v>
      </c>
      <c r="C121" s="301" t="n"/>
      <c r="D121" s="302" t="inlineStr">
        <is>
          <t>竖式；由悬挂式螺线弹簧、重物和标度板构成；弹簧为拉力式，量程宜为 4.9 N，质量宜为 200 g、100 g 两种；应能固定在外径为 120-0.5 mm 的立杆上，标尺分度值应为 1 mm，零位在中部</t>
        </is>
      </c>
      <c r="E121" s="154" t="n">
        <v>1</v>
      </c>
      <c r="F121" s="26" t="inlineStr">
        <is>
          <t>套</t>
        </is>
      </c>
      <c r="G121" s="340">
        <f>_xlfn.DISPIMG("ID_1A4AD390038E4B0994178432001C8DB7",1)</f>
        <v/>
      </c>
      <c r="H121" s="93" t="n"/>
      <c r="I121" s="67" t="n">
        <v>30307202005</v>
      </c>
      <c r="J121" s="164" t="inlineStr">
        <is>
          <t>竖式；由悬挂式螺线弹簧、重物和标度板构成；弹簧为拉力式，量程宜为 4.9 N，质量宜为 200 g、100 g 两种；应能固定在外径为 120-0.5 mm 的立杆上，标尺分度值应为 1 mm，零位在中部</t>
        </is>
      </c>
      <c r="K121" s="39" t="inlineStr">
        <is>
          <t>乐百仕</t>
        </is>
      </c>
      <c r="L121" s="39" t="inlineStr">
        <is>
          <t>江苏乐百仕教育科技有限公司</t>
        </is>
      </c>
      <c r="M121" s="345" t="n">
        <v>1</v>
      </c>
      <c r="N121" s="345" t="n">
        <v>2</v>
      </c>
      <c r="O121" s="345" t="n">
        <v>2</v>
      </c>
      <c r="P121" s="345" t="inlineStr">
        <is>
          <t>套</t>
        </is>
      </c>
      <c r="Q121" s="345" t="inlineStr">
        <is>
          <t>群信</t>
        </is>
      </c>
      <c r="R121" s="345" t="inlineStr"/>
      <c r="S121" s="345" t="inlineStr">
        <is>
          <t>22018</t>
        </is>
      </c>
      <c r="T121" s="345" t="inlineStr">
        <is>
          <t>22018</t>
        </is>
      </c>
      <c r="U121" s="345" t="inlineStr"/>
      <c r="V121" s="345" t="inlineStr"/>
      <c r="W121" s="345" t="inlineStr"/>
      <c r="X121" s="345" t="inlineStr"/>
      <c r="Y121" s="345" t="inlineStr">
        <is>
          <t>confirmed</t>
        </is>
      </c>
      <c r="Z121" s="345" t="n">
        <v>0</v>
      </c>
      <c r="AA121" s="345" t="inlineStr">
        <is>
          <t>没有找到可靠候选</t>
        </is>
      </c>
      <c r="AB121" s="345" t="inlineStr">
        <is>
          <t>赛特尔25年.xls｜小学科学｜第61行</t>
        </is>
      </c>
    </row>
    <row r="122" customFormat="1" s="257">
      <c r="A122" s="106" t="n">
        <v>208</v>
      </c>
      <c r="B122" s="348" t="n">
        <v>30307112120</v>
      </c>
      <c r="C122" s="26" t="inlineStr">
        <is>
          <t>单摆运动规律演示器</t>
        </is>
      </c>
      <c r="D122" s="302" t="inlineStr">
        <is>
          <t>由铝合金底座、支撑杆、摆球等组成；可改变摆长、摆球质量；配置光电门、计时器、无线传输模块等，与演示用显示屏配套使用显示频率、周期等；实验误差不大于 5%</t>
        </is>
      </c>
      <c r="E122" s="154" t="n">
        <v>1</v>
      </c>
      <c r="F122" s="26" t="inlineStr">
        <is>
          <t>套</t>
        </is>
      </c>
      <c r="G122" s="340">
        <f>_xlfn.DISPIMG("ID_E39A56372A244C94AC576923AF6A5630",1)</f>
        <v/>
      </c>
      <c r="H122" s="31" t="n"/>
      <c r="I122" s="348" t="inlineStr">
        <is>
          <t>LBS-019</t>
        </is>
      </c>
      <c r="J122" s="164" t="inlineStr">
        <is>
          <t>由铝合金底座、支撑杆、摆球等组成；可改变摆长、摆球质量；配置光电门、计时器、无线传输模块等，与演示用显示屏配套使用显示频率、周期等；实验误差不大于 5%
技术参数：
单摆半圆角度仪：
规格：直径200mm，厚度3mm，半圆形；材质：铝合金；工艺：细喷砂本色阳极化，双色丝印角度盘；功能描述：用于单摆实验器，提供角度指示；
双孔单摆悬臂杆：
规格：直径10mm，长度200mm，带3mm孔2个，间隔50mm；材质：304不锈钢；工艺：精加工；功能描述：配合双向转接头，作为1个或2个单摆的悬臂杆。</t>
        </is>
      </c>
      <c r="K122" s="39" t="inlineStr">
        <is>
          <t>乐百仕</t>
        </is>
      </c>
      <c r="L122" s="39" t="inlineStr">
        <is>
          <t>江苏乐百仕教育科技有限公司</t>
        </is>
      </c>
      <c r="M122" s="345" t="n">
        <v>1</v>
      </c>
      <c r="N122" s="345" t="n">
        <v>90</v>
      </c>
      <c r="O122" s="345" t="n">
        <v>90</v>
      </c>
      <c r="P122" s="345" t="inlineStr">
        <is>
          <t>套</t>
        </is>
      </c>
      <c r="Q122" s="345" t="inlineStr">
        <is>
          <t>群信</t>
        </is>
      </c>
      <c r="R122" s="345" t="inlineStr"/>
      <c r="S122" s="345" t="inlineStr">
        <is>
          <t>22025</t>
        </is>
      </c>
      <c r="T122" s="345" t="inlineStr">
        <is>
          <t>22025</t>
        </is>
      </c>
      <c r="U122" s="345" t="inlineStr"/>
      <c r="V122" s="345" t="inlineStr"/>
      <c r="W122" s="345" t="inlineStr"/>
      <c r="X122" s="345" t="inlineStr"/>
      <c r="Y122" s="345" t="inlineStr">
        <is>
          <t>confirmed</t>
        </is>
      </c>
      <c r="Z122" s="345" t="n">
        <v>100</v>
      </c>
      <c r="AA122" s="345" t="inlineStr"/>
      <c r="AB122" s="345" t="inlineStr">
        <is>
          <t>高中理化生报价.xlsx｜凯迪｜第182行</t>
        </is>
      </c>
    </row>
    <row r="123" customFormat="1" s="257">
      <c r="A123" s="106" t="n">
        <v>210</v>
      </c>
      <c r="B123" s="67" t="n">
        <v>30307202511</v>
      </c>
      <c r="C123" s="26" t="inlineStr">
        <is>
          <t>单摆</t>
        </is>
      </c>
      <c r="D123" s="302" t="inlineStr">
        <is>
          <t>5个摆球，含 3 个直径不同的钢球，1 个木球，1个塑料球。单摆夹应由金属材料制成，夹口应为 V 形，单摆在摆动过程中摆线上的固定点应不变</t>
        </is>
      </c>
      <c r="E123" s="31" t="n">
        <v>13</v>
      </c>
      <c r="F123" s="26" t="inlineStr">
        <is>
          <t>套</t>
        </is>
      </c>
      <c r="G123" s="340">
        <f>_xlfn.DISPIMG("ID_66E1BAD0F766469CAD2B02B7538CA69C",1)</f>
        <v/>
      </c>
      <c r="H123" s="330" t="n"/>
      <c r="I123" s="67" t="n">
        <v>30307202511</v>
      </c>
      <c r="J123" s="164" t="inlineStr">
        <is>
          <t>5个摆球，含 3 个直径不同的钢球，1 个木球，1个塑料球。单摆夹应由金属材料制成，夹口应为 V 形，单摆在摆动过程中摆线上的固定点应不变</t>
        </is>
      </c>
      <c r="K123" s="39" t="inlineStr">
        <is>
          <t>乐百仕</t>
        </is>
      </c>
      <c r="L123" s="39" t="inlineStr">
        <is>
          <t>江苏乐百仕教育科技有限公司</t>
        </is>
      </c>
      <c r="M123" s="345" t="n">
        <v>13</v>
      </c>
      <c r="N123" s="345" t="n">
        <v>6</v>
      </c>
      <c r="O123" s="345" t="n">
        <v>78</v>
      </c>
      <c r="P123" s="345" t="inlineStr">
        <is>
          <t>套</t>
        </is>
      </c>
      <c r="Q123" s="345" t="inlineStr">
        <is>
          <t>群信</t>
        </is>
      </c>
      <c r="R123" s="345" t="inlineStr"/>
      <c r="S123" s="345" t="inlineStr">
        <is>
          <t>22023</t>
        </is>
      </c>
      <c r="T123" s="345" t="inlineStr">
        <is>
          <t>22023</t>
        </is>
      </c>
      <c r="U123" s="345" t="inlineStr"/>
      <c r="V123" s="345" t="inlineStr"/>
      <c r="W123" s="345" t="inlineStr"/>
      <c r="X123" s="345" t="inlineStr"/>
      <c r="Y123" s="345" t="inlineStr">
        <is>
          <t>confirmed</t>
        </is>
      </c>
      <c r="Z123" s="345" t="n">
        <v>0</v>
      </c>
      <c r="AA123" s="345" t="inlineStr">
        <is>
          <t>没有找到可靠候选</t>
        </is>
      </c>
      <c r="AB123" s="345" t="inlineStr">
        <is>
          <t>高中理化生报价.xlsx｜凯迪｜第180行</t>
        </is>
      </c>
    </row>
    <row r="124" customFormat="1" s="195">
      <c r="A124" s="106" t="n">
        <v>211</v>
      </c>
      <c r="B124" s="31" t="n">
        <v>30203000101</v>
      </c>
      <c r="C124" s="31" t="inlineStr">
        <is>
          <t>机械秒表</t>
        </is>
      </c>
      <c r="D124" s="141" t="inlineStr">
        <is>
          <t>分度值 0.1 s，一等</t>
        </is>
      </c>
      <c r="E124" s="31" t="n">
        <v>1</v>
      </c>
      <c r="F124" s="31" t="inlineStr">
        <is>
          <t>个</t>
        </is>
      </c>
      <c r="G124" s="31">
        <f>_xlfn.DISPIMG("ID_53D2B9A1B6BF48B3AA6940A94487E868",1)</f>
        <v/>
      </c>
      <c r="H124" s="31" t="n"/>
      <c r="I124" s="31" t="n">
        <v>30203000101</v>
      </c>
      <c r="J124" s="33" t="inlineStr">
        <is>
          <t>分度值 0.1 s，一等</t>
        </is>
      </c>
      <c r="K124" s="31" t="inlineStr">
        <is>
          <t>沙逊</t>
        </is>
      </c>
      <c r="L124" s="303" t="inlineStr">
        <is>
          <t>上海沙逊钟表有限公司</t>
        </is>
      </c>
      <c r="M124" s="345" t="n">
        <v>1</v>
      </c>
      <c r="N124" s="345" t="n">
        <v>220</v>
      </c>
      <c r="O124" s="345" t="n">
        <v>220</v>
      </c>
      <c r="P124" s="345" t="inlineStr">
        <is>
          <t>个</t>
        </is>
      </c>
      <c r="Q124" s="345" t="inlineStr"/>
      <c r="R124" s="345" t="inlineStr"/>
      <c r="S124" s="345" t="inlineStr"/>
      <c r="T124" s="345" t="inlineStr"/>
      <c r="U124" s="345" t="inlineStr"/>
      <c r="V124" s="345" t="inlineStr"/>
      <c r="W124" s="345" t="inlineStr"/>
      <c r="X124" s="345" t="inlineStr"/>
      <c r="Y124" s="345" t="inlineStr">
        <is>
          <t>confirmed</t>
        </is>
      </c>
      <c r="Z124" s="345" t="n">
        <v>0</v>
      </c>
      <c r="AA124" s="345" t="inlineStr">
        <is>
          <t>匹配到商品档案但无历史价格记录</t>
        </is>
      </c>
      <c r="AB124" s="345" t="inlineStr">
        <is>
          <t>赛特尔25年.xls｜初中新课标物理｜第169行</t>
        </is>
      </c>
    </row>
    <row r="125" customFormat="1" s="257">
      <c r="A125" s="106" t="n">
        <v>212</v>
      </c>
      <c r="B125" s="31" t="n">
        <v>30203000202</v>
      </c>
      <c r="C125" s="31" t="inlineStr">
        <is>
          <t>电子秒表</t>
        </is>
      </c>
      <c r="D125" s="141" t="inlineStr">
        <is>
          <t>专用型，全时段分辨力 0.01 s；有防震、防水功能，电池更换周期不小于 1.5 年</t>
        </is>
      </c>
      <c r="E125" s="31" t="n">
        <v>13</v>
      </c>
      <c r="F125" s="31" t="inlineStr">
        <is>
          <t>个</t>
        </is>
      </c>
      <c r="G125" s="31">
        <f>_xlfn.DISPIMG("ID_2DA2A83C812D4124BC5E61960DB0B90E",1)</f>
        <v/>
      </c>
      <c r="H125" s="31" t="n"/>
      <c r="I125" s="31" t="n">
        <v>30203000202</v>
      </c>
      <c r="J125" s="33" t="inlineStr">
        <is>
          <t>专用型，全时段分辨力 0.01 s；有防震、防水功能，电池更换周期不小于 1.5 年</t>
        </is>
      </c>
      <c r="K125" s="39" t="inlineStr">
        <is>
          <t>乐百仕</t>
        </is>
      </c>
      <c r="L125" s="39" t="inlineStr">
        <is>
          <t>江苏乐百仕教育科技有限公司</t>
        </is>
      </c>
      <c r="M125" s="345" t="n">
        <v>13</v>
      </c>
      <c r="N125" s="345" t="n">
        <v>14</v>
      </c>
      <c r="O125" s="345" t="n">
        <v>182</v>
      </c>
      <c r="P125" s="345" t="inlineStr">
        <is>
          <t>个</t>
        </is>
      </c>
      <c r="Q125" s="345" t="inlineStr"/>
      <c r="R125" s="345" t="inlineStr"/>
      <c r="S125" s="345" t="inlineStr"/>
      <c r="T125" s="345" t="inlineStr">
        <is>
          <t>专用型，全时段分辨力 0.01 s；有防震、防水功能，电池更换周期≥1.5 年</t>
        </is>
      </c>
      <c r="U125" s="345" t="inlineStr"/>
      <c r="V125" s="345" t="inlineStr"/>
      <c r="W125" s="345" t="inlineStr"/>
      <c r="X125" s="345" t="inlineStr"/>
      <c r="Y125" s="345" t="inlineStr">
        <is>
          <t>confirmed</t>
        </is>
      </c>
      <c r="Z125" s="345" t="n">
        <v>100</v>
      </c>
      <c r="AA125" s="345" t="inlineStr"/>
      <c r="AB125" s="345" t="inlineStr">
        <is>
          <t>赛特尔25年.xls｜初中新课标生物｜第58行</t>
        </is>
      </c>
    </row>
    <row r="126" customFormat="1" s="257">
      <c r="A126" s="264" t="n">
        <v>215</v>
      </c>
      <c r="B126" s="71" t="n">
        <v>30307203110</v>
      </c>
      <c r="C126" s="50" t="inlineStr">
        <is>
          <t>受迫振动和共振演示器</t>
        </is>
      </c>
      <c r="D126" s="280" t="inlineStr">
        <is>
          <t>改变策动摆摆长，可分别使 5 个摆长不同的单摆发生共振，用来演示驱动力周期和单摆固有周期相同时发生共振</t>
        </is>
      </c>
      <c r="E126" s="206" t="n">
        <v>1</v>
      </c>
      <c r="F126" s="50" t="inlineStr">
        <is>
          <t>台</t>
        </is>
      </c>
      <c r="G126" s="223">
        <f>_xlfn.DISPIMG("ID_8B0D650F442D47F4A5268C3C75CA5220",1)</f>
        <v/>
      </c>
      <c r="H126" s="224" t="n"/>
      <c r="I126" s="71" t="n">
        <v>30307203110</v>
      </c>
      <c r="J126" s="47" t="inlineStr">
        <is>
          <t>改变策动摆摆长，可分别使 5 个摆长不同的单摆发生共振，用来演示驱动力周期和单摆固有周期相同时发生共振</t>
        </is>
      </c>
      <c r="K126" s="48" t="inlineStr">
        <is>
          <t>乐百仕</t>
        </is>
      </c>
      <c r="L126" s="48" t="inlineStr">
        <is>
          <t>江苏乐百仕教育科技有限公司</t>
        </is>
      </c>
      <c r="M126" s="345" t="n">
        <v>1</v>
      </c>
      <c r="N126" s="345" t="n">
        <v>90</v>
      </c>
      <c r="O126" s="345" t="n">
        <v>90</v>
      </c>
      <c r="P126" s="345" t="inlineStr">
        <is>
          <t>台</t>
        </is>
      </c>
      <c r="Q126" s="345" t="inlineStr">
        <is>
          <t>群信</t>
        </is>
      </c>
      <c r="R126" s="345" t="inlineStr"/>
      <c r="S126" s="345" t="inlineStr">
        <is>
          <t>22026</t>
        </is>
      </c>
      <c r="T126" s="345" t="inlineStr">
        <is>
          <t>22026</t>
        </is>
      </c>
      <c r="U126" s="345" t="inlineStr"/>
      <c r="V126" s="345" t="inlineStr"/>
      <c r="W126" s="345" t="inlineStr"/>
      <c r="X126" s="345" t="inlineStr"/>
      <c r="Y126" s="345" t="inlineStr">
        <is>
          <t>confirmed</t>
        </is>
      </c>
      <c r="Z126" s="345" t="n">
        <v>100</v>
      </c>
      <c r="AA126" s="345" t="inlineStr"/>
      <c r="AB126" s="345" t="inlineStr">
        <is>
          <t>高中理化生报价.xlsx｜凯迪｜第183行</t>
        </is>
      </c>
    </row>
    <row r="127" customFormat="1" s="190">
      <c r="A127" s="106" t="n">
        <v>223</v>
      </c>
      <c r="B127" s="103" t="n">
        <v>30307201601</v>
      </c>
      <c r="C127" s="26" t="inlineStr">
        <is>
          <t>波动弹簧</t>
        </is>
      </c>
      <c r="D127" s="278" t="inlineStr">
        <is>
          <t>扁钢丝弹簧密绕；弹簧钢丝宽 2.5 mm～2.8 mm，厚 0.6 mm～0.8 mm；弹簧刚度2.0×10－3 N/mm～5.0×10－3 N/mm；圈数不小于 130，弹簧旋绕比为 25 倍～35 倍</t>
        </is>
      </c>
      <c r="E127" s="67" t="n">
        <v>1</v>
      </c>
      <c r="F127" s="26" t="inlineStr">
        <is>
          <t>套</t>
        </is>
      </c>
      <c r="G127" s="26">
        <f>_xlfn.DISPIMG("ID_6131570C8DD443218356A015F46C85DD",1)</f>
        <v/>
      </c>
      <c r="H127" s="220" t="n"/>
      <c r="I127" s="103" t="n">
        <v>30307201601</v>
      </c>
      <c r="J127" s="109" t="inlineStr">
        <is>
          <t>扁钢丝弹簧密绕；弹簧钢丝宽 2.5 mm～2.8 mm，厚 0.6 mm～0.8 mm；弹簧刚度2.0×10－3 N/mm～5.0×10－3 N/mm；圈数不小于 130，弹簧旋绕比为 25 倍～35 倍</t>
        </is>
      </c>
      <c r="K127" s="39" t="inlineStr">
        <is>
          <t>乐百仕</t>
        </is>
      </c>
      <c r="L127" s="39" t="inlineStr">
        <is>
          <t>江苏乐百仕教育科技有限公司</t>
        </is>
      </c>
      <c r="M127" s="345" t="n">
        <v>1</v>
      </c>
      <c r="N127" s="345" t="n">
        <v>6</v>
      </c>
      <c r="O127" s="345" t="n">
        <v>6</v>
      </c>
      <c r="P127" s="345" t="inlineStr">
        <is>
          <t>套</t>
        </is>
      </c>
      <c r="Q127" s="345" t="inlineStr">
        <is>
          <t>群信</t>
        </is>
      </c>
      <c r="R127" s="345" t="inlineStr"/>
      <c r="S127" s="345" t="inlineStr">
        <is>
          <t>22014</t>
        </is>
      </c>
      <c r="T127" s="345" t="inlineStr">
        <is>
          <t>22014</t>
        </is>
      </c>
      <c r="U127" s="345" t="inlineStr"/>
      <c r="V127" s="345" t="inlineStr"/>
      <c r="W127" s="345" t="inlineStr"/>
      <c r="X127" s="345" t="inlineStr"/>
      <c r="Y127" s="345" t="inlineStr">
        <is>
          <t>confirmed</t>
        </is>
      </c>
      <c r="Z127" s="345" t="n">
        <v>0</v>
      </c>
      <c r="AA127" s="345" t="inlineStr">
        <is>
          <t>没有找到可靠候选</t>
        </is>
      </c>
      <c r="AB127" s="345" t="inlineStr">
        <is>
          <t>赛特尔25年.xls｜小学数学｜第9行</t>
        </is>
      </c>
    </row>
    <row r="128" customFormat="1" s="13">
      <c r="A128" s="106" t="n">
        <v>225</v>
      </c>
      <c r="B128" s="108" t="n">
        <v>30307201501</v>
      </c>
      <c r="C128" s="26" t="inlineStr">
        <is>
          <t>绳波演示器</t>
        </is>
      </c>
      <c r="D128" s="68" t="inlineStr">
        <is>
          <t>横波、行波、驻波、模拟偏振</t>
        </is>
      </c>
      <c r="E128" s="67" t="n">
        <v>1</v>
      </c>
      <c r="F128" s="26" t="inlineStr">
        <is>
          <t>套</t>
        </is>
      </c>
      <c r="G128" s="108">
        <f>_xlfn.DISPIMG("ID_651AAD76D4FC4CCB909D24F90FE52D6B",1)</f>
        <v/>
      </c>
      <c r="H128" s="330" t="n"/>
      <c r="I128" s="108" t="n">
        <v>30307201501</v>
      </c>
      <c r="J128" s="164" t="inlineStr">
        <is>
          <t>横波、行波、驻波、模拟偏振</t>
        </is>
      </c>
      <c r="K128" s="39" t="inlineStr">
        <is>
          <t>乐百仕</t>
        </is>
      </c>
      <c r="L128" s="39" t="inlineStr">
        <is>
          <t>江苏乐百仕教育科技有限公司</t>
        </is>
      </c>
      <c r="M128" s="345" t="n">
        <v>1</v>
      </c>
      <c r="N128" s="345" t="n">
        <v>95</v>
      </c>
      <c r="O128" s="345" t="n">
        <v>95</v>
      </c>
      <c r="P128" s="345" t="inlineStr">
        <is>
          <t>套</t>
        </is>
      </c>
      <c r="Q128" s="345" t="inlineStr"/>
      <c r="R128" s="345" t="inlineStr"/>
      <c r="S128" s="345" t="inlineStr"/>
      <c r="T128" s="345" t="inlineStr"/>
      <c r="U128" s="345" t="n">
        <v>110</v>
      </c>
      <c r="V128" s="345" t="inlineStr"/>
      <c r="W128" s="345" t="n">
        <v>150</v>
      </c>
      <c r="X128" s="345" t="inlineStr"/>
      <c r="Y128" s="345" t="inlineStr">
        <is>
          <t>confirmed</t>
        </is>
      </c>
      <c r="Z128" s="345" t="n">
        <v>80</v>
      </c>
      <c r="AA128" s="345" t="inlineStr">
        <is>
          <t>价格分歧&gt;30%：历史报价分歧较大，需人工核对；同分多价：最高分候选存在不同历史价格</t>
        </is>
      </c>
      <c r="AB128" s="345" t="inlineStr">
        <is>
          <t>高中理化生报价.xlsx｜凯迪｜第619行</t>
        </is>
      </c>
    </row>
    <row r="129" customFormat="1" s="13">
      <c r="A129" s="106" t="n">
        <v>227</v>
      </c>
      <c r="B129" s="352" t="n">
        <v>30307201901</v>
      </c>
      <c r="C129" s="305" t="inlineStr">
        <is>
          <t>发波水槽</t>
        </is>
      </c>
      <c r="D129" s="274" t="inlineStr">
        <is>
          <t>由水波槽、振动器、频闪光源和投影设备等组成，水槽尺寸不小于 30 cm×30 cm×35 cm,屏幕尺寸不小于 26 cm×24 cm。性能要求：能消除边缘产生的反射波；能够演示小孔的口径不变，调整频率衍射由不明显到明显；能够演示频率不变，改变小孔的口径衍射由不明显到明显；投影清晰，可见度好</t>
        </is>
      </c>
      <c r="E129" s="348" t="n">
        <v>1</v>
      </c>
      <c r="F129" s="117" t="inlineStr">
        <is>
          <t>台</t>
        </is>
      </c>
      <c r="G129" s="108">
        <f>_xlfn.DISPIMG("ID_EA18CF1857B24F98B385920CE78C7192",1)</f>
        <v/>
      </c>
      <c r="H129" s="108" t="n"/>
      <c r="I129" s="348" t="n">
        <v>30307201901</v>
      </c>
      <c r="J129" s="40" t="inlineStr">
        <is>
          <t>由水波槽、振动器、频闪光源和投影设备等组成，水槽尺寸不小于 30 cm×30 cm×35 cm,屏幕尺寸不小于 26 cm×24 cm。性能要求：能消除边缘产生的反射波；能够演示小孔的口径不变，调整频率衍射由不明显到明显；能够演示频率不变，改变小孔的口径衍射由不明显到明显；投影清晰，可见度好</t>
        </is>
      </c>
      <c r="K129" s="39" t="inlineStr">
        <is>
          <t>乐百仕</t>
        </is>
      </c>
      <c r="L129" s="39" t="inlineStr">
        <is>
          <t>江苏乐百仕教育科技有限公司</t>
        </is>
      </c>
      <c r="M129" s="345" t="n">
        <v>1</v>
      </c>
      <c r="N129" s="345" t="n">
        <v>120</v>
      </c>
      <c r="O129" s="345" t="n">
        <v>120</v>
      </c>
      <c r="P129" s="345" t="inlineStr">
        <is>
          <t>台</t>
        </is>
      </c>
      <c r="Q129" s="345" t="inlineStr">
        <is>
          <t>学友</t>
        </is>
      </c>
      <c r="R129" s="345" t="inlineStr"/>
      <c r="S129" s="345" t="inlineStr">
        <is>
          <t>22016</t>
        </is>
      </c>
      <c r="T129" s="345" t="inlineStr">
        <is>
          <t>22017</t>
        </is>
      </c>
      <c r="U129" s="345" t="inlineStr"/>
      <c r="V129" s="345" t="inlineStr"/>
      <c r="W129" s="345" t="inlineStr"/>
      <c r="X129" s="345" t="inlineStr"/>
      <c r="Y129" s="345" t="inlineStr">
        <is>
          <t>confirmed</t>
        </is>
      </c>
      <c r="Z129" s="345" t="n">
        <v>0</v>
      </c>
      <c r="AA129" s="345" t="inlineStr">
        <is>
          <t>没有找到可靠候选</t>
        </is>
      </c>
      <c r="AB129" s="345" t="inlineStr">
        <is>
          <t>高中理化生报价.xlsx｜凯迪｜第175行</t>
        </is>
      </c>
    </row>
    <row r="130" customFormat="1" s="13">
      <c r="A130" s="106" t="n">
        <v>228</v>
      </c>
      <c r="B130" s="261" t="n">
        <v>30307201911</v>
      </c>
      <c r="C130" s="306" t="n"/>
      <c r="D130" s="278" t="inlineStr">
        <is>
          <t>挡光片式，振动器的振幅应能调节</t>
        </is>
      </c>
      <c r="E130" s="67" t="n">
        <v>1</v>
      </c>
      <c r="F130" s="26" t="inlineStr">
        <is>
          <t>台</t>
        </is>
      </c>
      <c r="G130" s="108">
        <f>_xlfn.DISPIMG("ID_05B230D4C4C84AD5BD81CD3E90ABF533",1)</f>
        <v/>
      </c>
      <c r="H130" s="108" t="n"/>
      <c r="I130" s="103" t="n">
        <v>30307201911</v>
      </c>
      <c r="J130" s="109" t="inlineStr">
        <is>
          <t>挡光片式，振动器的振幅应能调节</t>
        </is>
      </c>
      <c r="K130" s="39" t="inlineStr">
        <is>
          <t>乐百仕</t>
        </is>
      </c>
      <c r="L130" s="39" t="inlineStr">
        <is>
          <t>江苏乐百仕教育科技有限公司</t>
        </is>
      </c>
      <c r="M130" s="345" t="n">
        <v>1</v>
      </c>
      <c r="N130" s="345" t="n">
        <v>120</v>
      </c>
      <c r="O130" s="345" t="n">
        <v>120</v>
      </c>
      <c r="P130" s="345" t="inlineStr">
        <is>
          <t>台</t>
        </is>
      </c>
      <c r="Q130" s="345" t="inlineStr">
        <is>
          <t>学友</t>
        </is>
      </c>
      <c r="R130" s="345" t="inlineStr"/>
      <c r="S130" s="345" t="inlineStr">
        <is>
          <t>22016</t>
        </is>
      </c>
      <c r="T130" s="345" t="inlineStr">
        <is>
          <t>22017</t>
        </is>
      </c>
      <c r="U130" s="345" t="inlineStr"/>
      <c r="V130" s="345" t="inlineStr"/>
      <c r="W130" s="345" t="inlineStr"/>
      <c r="X130" s="345" t="inlineStr"/>
      <c r="Y130" s="345" t="inlineStr">
        <is>
          <t>confirmed</t>
        </is>
      </c>
      <c r="Z130" s="345" t="n">
        <v>0</v>
      </c>
      <c r="AA130" s="345" t="inlineStr">
        <is>
          <t>没有找到可靠候选</t>
        </is>
      </c>
      <c r="AB130" s="345" t="inlineStr">
        <is>
          <t>高中理化生报价.xlsx｜凯迪｜第175行</t>
        </is>
      </c>
    </row>
    <row r="131" customFormat="1" s="257">
      <c r="A131" s="106" t="n">
        <v>235</v>
      </c>
      <c r="B131" s="67" t="n">
        <v>30307205710</v>
      </c>
      <c r="C131" s="26" t="inlineStr">
        <is>
          <t>油膜实验器</t>
        </is>
      </c>
      <c r="D131" s="302" t="inlineStr">
        <is>
          <t>由盛水板、计数板、滴液器、油酸稀释液（或油酸）、粉、粉盒等组成。盛水盘深度不小于 20 mm，中心点到边沿的最小距离不小于 100 mm，中心点应有明显标记。计数板需透明并印有正方形格子，格子边长 5 mm，计数板应能覆盖整个盘面。粉盒内滤粉网不小于 300 目，粉不溶于水。滴液器灵活好用，不漏液</t>
        </is>
      </c>
      <c r="E131" s="31" t="n">
        <v>13</v>
      </c>
      <c r="F131" s="26" t="inlineStr">
        <is>
          <t>套</t>
        </is>
      </c>
      <c r="G131" s="340">
        <f>_xlfn.DISPIMG("ID_4CA91E0697654D6081F5783630B0A287",1)</f>
        <v/>
      </c>
      <c r="H131" s="211" t="n"/>
      <c r="I131" s="67" t="n">
        <v>30307205710</v>
      </c>
      <c r="J131" s="164" t="inlineStr">
        <is>
          <t>由盛水板、计数板、滴液器、油酸稀释液（或油酸）、粉、粉盒等组成。盛水盘深度不小于 20 mm，中心点到边沿的最小距离不小于 100 mm，中心点应有明显标记。计数板需透明并印有正方形格子，格子边长 5 mm，计数板应能覆盖整个盘面。粉盒内滤粉网不小于 300 目，粉不溶于水。滴液器灵活好用，不漏液</t>
        </is>
      </c>
      <c r="K131" s="39" t="inlineStr">
        <is>
          <t>乐百仕</t>
        </is>
      </c>
      <c r="L131" s="39" t="inlineStr">
        <is>
          <t>江苏乐百仕教育科技有限公司</t>
        </is>
      </c>
      <c r="M131" s="345" t="n">
        <v>13</v>
      </c>
      <c r="N131" s="345" t="n">
        <v>8</v>
      </c>
      <c r="O131" s="345" t="n">
        <v>104</v>
      </c>
      <c r="P131" s="345" t="inlineStr">
        <is>
          <t>套</t>
        </is>
      </c>
      <c r="Q131" s="345" t="inlineStr">
        <is>
          <t>群信</t>
        </is>
      </c>
      <c r="R131" s="345" t="inlineStr"/>
      <c r="S131" s="345" t="inlineStr">
        <is>
          <t>22215</t>
        </is>
      </c>
      <c r="T131" s="345" t="inlineStr">
        <is>
          <t>22215</t>
        </is>
      </c>
      <c r="U131" s="345" t="inlineStr"/>
      <c r="V131" s="345" t="inlineStr"/>
      <c r="W131" s="345" t="inlineStr"/>
      <c r="X131" s="345" t="inlineStr"/>
      <c r="Y131" s="345" t="inlineStr">
        <is>
          <t>confirmed</t>
        </is>
      </c>
      <c r="Z131" s="345" t="n">
        <v>0</v>
      </c>
      <c r="AA131" s="345" t="inlineStr">
        <is>
          <t>匹配到商品档案但无历史价格记录</t>
        </is>
      </c>
      <c r="AB131" s="345" t="inlineStr">
        <is>
          <t>赛特尔25年.xls｜初中数学｜第18行</t>
        </is>
      </c>
    </row>
    <row r="132" customFormat="1" s="257">
      <c r="A132" s="106" t="n">
        <v>244</v>
      </c>
      <c r="B132" s="67" t="n">
        <v>30307205910</v>
      </c>
      <c r="C132" s="26" t="inlineStr">
        <is>
          <t>液体表面张力演示器</t>
        </is>
      </c>
      <c r="D132" s="302" t="inlineStr">
        <is>
          <t>可观察不同形状、不同状态的薄膜，薄膜产生的收缩效果等，宜能支持表面张力测量实验</t>
        </is>
      </c>
      <c r="E132" s="154" t="n">
        <v>1</v>
      </c>
      <c r="F132" s="26" t="inlineStr">
        <is>
          <t>套</t>
        </is>
      </c>
      <c r="G132" s="340">
        <f>_xlfn.DISPIMG("ID_85BFCC88DA2848F7B4C64129EEBCAA95",1)</f>
        <v/>
      </c>
      <c r="H132" s="220" t="n"/>
      <c r="I132" s="67" t="n">
        <v>30307205910</v>
      </c>
      <c r="J132" s="164" t="inlineStr">
        <is>
          <t>可观察不同形状、不同状态的薄膜，薄膜产生的收缩效果等，宜能支持表面张力测量实验</t>
        </is>
      </c>
      <c r="K132" s="39" t="inlineStr">
        <is>
          <t>乐百仕</t>
        </is>
      </c>
      <c r="L132" s="39" t="inlineStr">
        <is>
          <t>江苏乐百仕教育科技有限公司</t>
        </is>
      </c>
      <c r="M132" s="345" t="n">
        <v>1</v>
      </c>
      <c r="N132" s="345" t="n">
        <v>65</v>
      </c>
      <c r="O132" s="345" t="n">
        <v>65</v>
      </c>
      <c r="P132" s="345" t="inlineStr">
        <is>
          <t>套</t>
        </is>
      </c>
      <c r="Q132" s="345" t="inlineStr"/>
      <c r="R132" s="345" t="inlineStr"/>
      <c r="S132" s="345" t="inlineStr"/>
      <c r="T132" s="345" t="inlineStr"/>
      <c r="U132" s="345" t="n">
        <v>65</v>
      </c>
      <c r="V132" s="345" t="inlineStr"/>
      <c r="W132" s="345" t="n">
        <v>320</v>
      </c>
      <c r="X132" s="345" t="inlineStr"/>
      <c r="Y132" s="345" t="inlineStr">
        <is>
          <t>confirmed</t>
        </is>
      </c>
      <c r="Z132" s="345" t="n">
        <v>62.5</v>
      </c>
      <c r="AA132" s="345" t="inlineStr"/>
      <c r="AB132" s="345" t="inlineStr">
        <is>
          <t>赛特尔25年.xls｜初中新课标物理｜第209行</t>
        </is>
      </c>
    </row>
    <row r="133" customFormat="1" s="257">
      <c r="A133" s="106" t="n">
        <v>255</v>
      </c>
      <c r="B133" s="67" t="n">
        <v>30307216301</v>
      </c>
      <c r="C133" s="26" t="inlineStr">
        <is>
          <t>气体定律演示器</t>
        </is>
      </c>
      <c r="D133" s="302" t="inlineStr">
        <is>
          <t>由橡皮帽、气柱玻管、体积标尺、硅油、固定夹、接头、压力表等组成。应提供修正体积数据，实验误差≤8%</t>
        </is>
      </c>
      <c r="E133" s="154" t="n">
        <v>1</v>
      </c>
      <c r="F133" s="26" t="inlineStr">
        <is>
          <t>套</t>
        </is>
      </c>
      <c r="G133" s="340">
        <f>_xlfn.DISPIMG("ID_5AFCDB4586964966A6B1D9EFBDE9A577",1)</f>
        <v/>
      </c>
      <c r="H133" s="231" t="n"/>
      <c r="I133" s="67" t="n">
        <v>30307216301</v>
      </c>
      <c r="J133" s="164" t="inlineStr">
        <is>
          <t>由橡皮帽、气柱玻管、体积标尺、硅油、固定夹、接头、压力表等组成。应提供修正体积数据，实验误差≤8%</t>
        </is>
      </c>
      <c r="K133" s="39" t="inlineStr">
        <is>
          <t>乐百仕</t>
        </is>
      </c>
      <c r="L133" s="39" t="inlineStr">
        <is>
          <t>江苏乐百仕教育科技有限公司</t>
        </is>
      </c>
      <c r="M133" s="345" t="n">
        <v>1</v>
      </c>
      <c r="N133" s="345" t="n">
        <v>38</v>
      </c>
      <c r="O133" s="345" t="n">
        <v>38</v>
      </c>
      <c r="P133" s="345" t="inlineStr">
        <is>
          <t>套</t>
        </is>
      </c>
      <c r="Q133" s="345" t="inlineStr"/>
      <c r="R133" s="345" t="inlineStr"/>
      <c r="S133" s="345" t="inlineStr"/>
      <c r="T133" s="345" t="inlineStr"/>
      <c r="U133" s="345" t="n">
        <v>40</v>
      </c>
      <c r="V133" s="345" t="inlineStr"/>
      <c r="W133" s="345" t="n">
        <v>65</v>
      </c>
      <c r="X133" s="345" t="inlineStr"/>
      <c r="Y133" s="345" t="inlineStr">
        <is>
          <t>confirmed</t>
        </is>
      </c>
      <c r="Z133" s="345" t="n">
        <v>71.40000000000001</v>
      </c>
      <c r="AA133" s="345" t="inlineStr">
        <is>
          <t>同分多价：最高分候选存在不同历史价格</t>
        </is>
      </c>
      <c r="AB133" s="345" t="inlineStr">
        <is>
          <t>高中理化生报价.xlsx｜凯迪｜第662行</t>
        </is>
      </c>
    </row>
    <row r="134" customFormat="1" s="257">
      <c r="A134" s="106" t="n">
        <v>256</v>
      </c>
      <c r="B134" s="67" t="n">
        <v>30307206310</v>
      </c>
      <c r="C134" s="26" t="inlineStr">
        <is>
          <t>气体定律实验器</t>
        </is>
      </c>
      <c r="D134" s="302" t="inlineStr">
        <is>
          <t>不小于 50 mL 活塞式气室，应提供修正体积数据。宜配套使用气压传感器</t>
        </is>
      </c>
      <c r="E134" s="31" t="n">
        <v>13</v>
      </c>
      <c r="F134" s="26" t="inlineStr">
        <is>
          <t>套</t>
        </is>
      </c>
      <c r="G134" s="340">
        <f>_xlfn.DISPIMG("ID_0B36FCFD5303427984683B27E951E4BF",1)</f>
        <v/>
      </c>
      <c r="H134" s="220" t="n"/>
      <c r="I134" s="67" t="n">
        <v>30307206310</v>
      </c>
      <c r="J134" s="164" t="inlineStr">
        <is>
          <t>不小于 50 mL 活塞式气室，应提供修正体积数据。宜配套使用气压传感器</t>
        </is>
      </c>
      <c r="K134" s="39" t="inlineStr">
        <is>
          <t>乐百仕</t>
        </is>
      </c>
      <c r="L134" s="39" t="inlineStr">
        <is>
          <t>江苏乐百仕教育科技有限公司</t>
        </is>
      </c>
      <c r="M134" s="345" t="n">
        <v>13</v>
      </c>
      <c r="N134" s="345" t="n">
        <v>20</v>
      </c>
      <c r="O134" s="345" t="n">
        <v>260</v>
      </c>
      <c r="P134" s="345" t="inlineStr">
        <is>
          <t>套</t>
        </is>
      </c>
      <c r="Q134" s="345" t="inlineStr"/>
      <c r="R134" s="345" t="inlineStr"/>
      <c r="S134" s="345" t="inlineStr"/>
      <c r="T134" s="345" t="inlineStr"/>
      <c r="U134" s="345" t="n">
        <v>20</v>
      </c>
      <c r="V134" s="345" t="inlineStr"/>
      <c r="W134" s="345" t="n">
        <v>115</v>
      </c>
      <c r="X134" s="345" t="inlineStr"/>
      <c r="Y134" s="345" t="inlineStr">
        <is>
          <t>confirmed</t>
        </is>
      </c>
      <c r="Z134" s="345" t="n">
        <v>71.40000000000001</v>
      </c>
      <c r="AA134" s="345" t="inlineStr">
        <is>
          <t>价格分歧&gt;30%：历史报价分歧较大，需人工核对</t>
        </is>
      </c>
      <c r="AB134" s="345" t="inlineStr">
        <is>
          <t>赛特尔25年.xls｜初中新课标物理｜第427行</t>
        </is>
      </c>
    </row>
    <row r="135" customFormat="1" s="192">
      <c r="A135" s="106" t="n">
        <v>264</v>
      </c>
      <c r="B135" s="103" t="n">
        <v>30601000208</v>
      </c>
      <c r="C135" s="140" t="inlineStr">
        <is>
          <t>量杯</t>
        </is>
      </c>
      <c r="D135" s="139" t="inlineStr">
        <is>
          <t>250 mL，无色透明玻璃制，口部应熔光，壁厚≥1.2 mm，耐水性 HGB3 级</t>
        </is>
      </c>
      <c r="E135" s="31" t="n">
        <v>13</v>
      </c>
      <c r="F135" s="131" t="inlineStr">
        <is>
          <t>个</t>
        </is>
      </c>
      <c r="G135" s="131">
        <f>_xlfn.DISPIMG("ID_4490E8B37D4A4407BB812A37FA0AF07A",1)</f>
        <v/>
      </c>
      <c r="H135" s="330" t="n"/>
      <c r="I135" s="103" t="n">
        <v>30601000208</v>
      </c>
      <c r="J135" s="109" t="inlineStr">
        <is>
          <t>250 mL，无色透明玻璃制，口部应熔光，壁厚≥1.2 mm，耐水性 HGB3 级</t>
        </is>
      </c>
      <c r="K135" s="39" t="inlineStr">
        <is>
          <t>乐百仕</t>
        </is>
      </c>
      <c r="L135" s="39" t="inlineStr">
        <is>
          <t>江苏乐百仕教育科技有限公司</t>
        </is>
      </c>
      <c r="M135" s="345" t="n">
        <v>13</v>
      </c>
      <c r="N135" s="345" t="n">
        <v>6</v>
      </c>
      <c r="O135" s="345" t="n">
        <v>78</v>
      </c>
      <c r="P135" s="345" t="inlineStr">
        <is>
          <t>个</t>
        </is>
      </c>
      <c r="Q135" s="345" t="inlineStr"/>
      <c r="R135" s="345" t="inlineStr"/>
      <c r="S135" s="345" t="inlineStr"/>
      <c r="T135" s="345" t="inlineStr"/>
      <c r="U135" s="345" t="n">
        <v>11</v>
      </c>
      <c r="V135" s="345" t="inlineStr"/>
      <c r="W135" s="345" t="n">
        <v>11</v>
      </c>
      <c r="X135" s="345" t="inlineStr"/>
      <c r="Y135" s="345" t="inlineStr">
        <is>
          <t>confirmed</t>
        </is>
      </c>
      <c r="Z135" s="345" t="n">
        <v>100</v>
      </c>
      <c r="AA135" s="345" t="inlineStr">
        <is>
          <t>同分多价：最高分候选存在不同历史价格</t>
        </is>
      </c>
      <c r="AB135" s="345" t="inlineStr">
        <is>
          <t>赛特尔25年.xls｜小学新课标数学｜第63行</t>
        </is>
      </c>
    </row>
    <row r="136" customFormat="1" s="251">
      <c r="A136" s="106" t="n">
        <v>265</v>
      </c>
      <c r="B136" s="103" t="n">
        <v>30601000106</v>
      </c>
      <c r="C136" s="140" t="inlineStr">
        <is>
          <t>量筒</t>
        </is>
      </c>
      <c r="D136" s="139" t="inlineStr">
        <is>
          <t>100 mL，1 mL，透明钠钙玻璃制，分度线、数字和标志应完整、清晰和耐久，容积为 20 ℃时充满量筒刻度线所容纳体积</t>
        </is>
      </c>
      <c r="E136" s="31" t="n">
        <v>13</v>
      </c>
      <c r="F136" s="131" t="inlineStr">
        <is>
          <t>个</t>
        </is>
      </c>
      <c r="G136" s="131">
        <f>_xlfn.DISPIMG("ID_8B8AD406DB3448CD88381F9FA657BF19",1)</f>
        <v/>
      </c>
      <c r="H136" s="330" t="n"/>
      <c r="I136" s="103" t="n">
        <v>30601000106</v>
      </c>
      <c r="J136" s="109" t="inlineStr">
        <is>
          <t>100 mL，1 mL，透明钠钙玻璃制，分度线、数字和标志应完整、清晰和耐久，容积为 20 ℃时充满量筒刻度线所容纳体积</t>
        </is>
      </c>
      <c r="K136" s="39" t="inlineStr">
        <is>
          <t>乐百仕</t>
        </is>
      </c>
      <c r="L136" s="39" t="inlineStr">
        <is>
          <t>江苏乐百仕教育科技有限公司</t>
        </is>
      </c>
      <c r="M136" s="345" t="n">
        <v>13</v>
      </c>
      <c r="N136" s="345" t="n">
        <v>4.5</v>
      </c>
      <c r="O136" s="345" t="n">
        <v>58.5</v>
      </c>
      <c r="P136" s="345" t="inlineStr">
        <is>
          <t>个</t>
        </is>
      </c>
      <c r="Q136" s="345" t="inlineStr"/>
      <c r="R136" s="345" t="inlineStr"/>
      <c r="S136" s="345" t="inlineStr"/>
      <c r="T136" s="345" t="inlineStr"/>
      <c r="U136" s="345" t="n">
        <v>7</v>
      </c>
      <c r="V136" s="345" t="inlineStr"/>
      <c r="W136" s="345" t="n">
        <v>12</v>
      </c>
      <c r="X136" s="345" t="inlineStr"/>
      <c r="Y136" s="345" t="inlineStr">
        <is>
          <t>confirmed</t>
        </is>
      </c>
      <c r="Z136" s="345" t="n">
        <v>100</v>
      </c>
      <c r="AA136" s="345" t="inlineStr">
        <is>
          <t>价格分歧&gt;30%：历史报价分歧较大，需人工核对；同分多价：最高分候选存在不同历史价格</t>
        </is>
      </c>
      <c r="AB136" s="345" t="inlineStr">
        <is>
          <t>赛特尔25年.xls｜初中新课标生物｜第92行</t>
        </is>
      </c>
    </row>
    <row r="137" customFormat="1" s="257">
      <c r="A137" s="106" t="n">
        <v>266</v>
      </c>
      <c r="B137" s="31" t="n">
        <v>30602000110</v>
      </c>
      <c r="C137" s="31" t="inlineStr">
        <is>
          <t>试管</t>
        </is>
      </c>
      <c r="D137" s="141" t="inlineStr">
        <is>
          <t>Φ15 mm×150 mm，透明，硼硅酸盐玻璃制</t>
        </is>
      </c>
      <c r="E137" s="31" t="n">
        <v>13</v>
      </c>
      <c r="F137" s="31" t="inlineStr">
        <is>
          <t>支</t>
        </is>
      </c>
      <c r="G137" s="131">
        <f>_xlfn.DISPIMG("ID_3C4EE29C4D644A0CB8982798C7A45DCA",1)</f>
        <v/>
      </c>
      <c r="H137" s="330" t="n"/>
      <c r="I137" s="31" t="n">
        <v>30602000110</v>
      </c>
      <c r="J137" s="33" t="inlineStr">
        <is>
          <t>Φ15 mm×150 mm，透明，硼硅酸盐玻璃制</t>
        </is>
      </c>
      <c r="K137" s="39" t="inlineStr">
        <is>
          <t>乐百仕</t>
        </is>
      </c>
      <c r="L137" s="39" t="inlineStr">
        <is>
          <t>江苏乐百仕教育科技有限公司</t>
        </is>
      </c>
      <c r="M137" s="345" t="n">
        <v>13</v>
      </c>
      <c r="N137" s="345" t="n">
        <v>0.5</v>
      </c>
      <c r="O137" s="345" t="n">
        <v>6.5</v>
      </c>
      <c r="P137" s="345" t="inlineStr">
        <is>
          <t>支</t>
        </is>
      </c>
      <c r="Q137" s="345" t="inlineStr"/>
      <c r="R137" s="345" t="inlineStr"/>
      <c r="S137" s="345" t="inlineStr"/>
      <c r="T137" s="345" t="inlineStr"/>
      <c r="U137" s="345" t="n">
        <v>0.5</v>
      </c>
      <c r="V137" s="345" t="inlineStr"/>
      <c r="W137" s="345" t="n">
        <v>0.55</v>
      </c>
      <c r="X137" s="345" t="inlineStr"/>
      <c r="Y137" s="345" t="inlineStr">
        <is>
          <t>confirmed</t>
        </is>
      </c>
      <c r="Z137" s="345" t="n">
        <v>100</v>
      </c>
      <c r="AA137" s="345" t="inlineStr"/>
      <c r="AB137" s="345" t="inlineStr">
        <is>
          <t>赛特尔25年.xls｜初中新课标生物｜第96行</t>
        </is>
      </c>
    </row>
    <row r="138" customFormat="1" s="195">
      <c r="A138" s="106" t="n">
        <v>267</v>
      </c>
      <c r="B138" s="31" t="n">
        <v>30602001008</v>
      </c>
      <c r="C138" s="307" t="inlineStr">
        <is>
          <t>烧杯</t>
        </is>
      </c>
      <c r="D138" s="139" t="inlineStr">
        <is>
          <t>250 mL，透明硼硅酸盐玻璃制，烧杯的满口容量应超过标称容量的 10%或烧杯的满口容量和标称容量的两液面间距不应少于 10 mm，并应采用容量差值较大的一种</t>
        </is>
      </c>
      <c r="E138" s="31" t="n">
        <v>13</v>
      </c>
      <c r="F138" s="31" t="inlineStr">
        <is>
          <t>个</t>
        </is>
      </c>
      <c r="G138" s="131">
        <f>_xlfn.DISPIMG("ID_E8C988171C1E4A6E9D57871DDB75DBD7",1)</f>
        <v/>
      </c>
      <c r="H138" s="330" t="n"/>
      <c r="I138" s="31" t="n">
        <v>30602001008</v>
      </c>
      <c r="J138" s="109" t="inlineStr">
        <is>
          <t>250 mL，透明硼硅酸盐玻璃制，烧杯的满口容量应超过标称容量的 10%或烧杯的满口容量和标称容量的两液面间距不应少于 10 mm，并应采用容量差值较大的一种</t>
        </is>
      </c>
      <c r="K138" s="39" t="inlineStr">
        <is>
          <t>乐百仕</t>
        </is>
      </c>
      <c r="L138" s="39" t="inlineStr">
        <is>
          <t>江苏乐百仕教育科技有限公司</t>
        </is>
      </c>
      <c r="M138" s="345" t="n">
        <v>13</v>
      </c>
      <c r="N138" s="345" t="n">
        <v>2</v>
      </c>
      <c r="O138" s="345" t="n">
        <v>26</v>
      </c>
      <c r="P138" s="345" t="inlineStr">
        <is>
          <t>个</t>
        </is>
      </c>
      <c r="Q138" s="345" t="inlineStr"/>
      <c r="R138" s="345" t="inlineStr"/>
      <c r="S138" s="345" t="inlineStr"/>
      <c r="T138" s="345" t="inlineStr"/>
      <c r="U138" s="345" t="n">
        <v>2.75</v>
      </c>
      <c r="V138" s="345" t="inlineStr"/>
      <c r="W138" s="345" t="n">
        <v>3.3</v>
      </c>
      <c r="X138" s="345" t="inlineStr"/>
      <c r="Y138" s="345" t="inlineStr">
        <is>
          <t>confirmed</t>
        </is>
      </c>
      <c r="Z138" s="345" t="n">
        <v>100</v>
      </c>
      <c r="AA138" s="345" t="inlineStr">
        <is>
          <t>同分多价：最高分候选存在不同历史价格</t>
        </is>
      </c>
      <c r="AB138" s="345" t="inlineStr">
        <is>
          <t>高中理化生报价.xlsx｜凯迪｜第992行</t>
        </is>
      </c>
    </row>
    <row r="139" customFormat="1" s="257">
      <c r="A139" s="106" t="n">
        <v>268</v>
      </c>
      <c r="B139" s="31" t="n">
        <v>30602001105</v>
      </c>
      <c r="C139" s="31" t="inlineStr">
        <is>
          <t>烧瓶</t>
        </is>
      </c>
      <c r="D139" s="141" t="inlineStr">
        <is>
          <t>圆底，长颈，250 mL，透明硼硅酸盐玻璃制，玻璃薄厚均匀，底部应规整</t>
        </is>
      </c>
      <c r="E139" s="31" t="n">
        <v>13</v>
      </c>
      <c r="F139" s="31" t="inlineStr">
        <is>
          <t>个</t>
        </is>
      </c>
      <c r="G139" s="131">
        <f>_xlfn.DISPIMG("ID_02476AD053AC4C0A99BE0E64732FAEA4",1)</f>
        <v/>
      </c>
      <c r="H139" s="330" t="n"/>
      <c r="I139" s="31" t="n">
        <v>30602001105</v>
      </c>
      <c r="J139" s="33" t="inlineStr">
        <is>
          <t>圆底，长颈，250 mL，透明硼硅酸盐玻璃制，玻璃薄厚均匀，底部应规整</t>
        </is>
      </c>
      <c r="K139" s="39" t="inlineStr">
        <is>
          <t>乐百仕</t>
        </is>
      </c>
      <c r="L139" s="39" t="inlineStr">
        <is>
          <t>江苏乐百仕教育科技有限公司</t>
        </is>
      </c>
      <c r="M139" s="345" t="n">
        <v>13</v>
      </c>
      <c r="N139" s="345" t="n">
        <v>9</v>
      </c>
      <c r="O139" s="345" t="n">
        <v>117</v>
      </c>
      <c r="P139" s="345" t="inlineStr">
        <is>
          <t>个</t>
        </is>
      </c>
      <c r="Q139" s="345" t="inlineStr"/>
      <c r="R139" s="345" t="inlineStr"/>
      <c r="S139" s="345" t="inlineStr"/>
      <c r="T139" s="345" t="inlineStr"/>
      <c r="U139" s="345" t="n">
        <v>12</v>
      </c>
      <c r="V139" s="345" t="inlineStr"/>
      <c r="W139" s="345" t="n">
        <v>13</v>
      </c>
      <c r="X139" s="345" t="inlineStr"/>
      <c r="Y139" s="345" t="inlineStr">
        <is>
          <t>confirmed</t>
        </is>
      </c>
      <c r="Z139" s="345" t="n">
        <v>100</v>
      </c>
      <c r="AA139" s="345" t="inlineStr">
        <is>
          <t>同分多价：最高分候选存在不同历史价格</t>
        </is>
      </c>
      <c r="AB139" s="345" t="inlineStr">
        <is>
          <t>赛特尔25年.xls｜初中化学｜第103行</t>
        </is>
      </c>
    </row>
    <row r="140" customFormat="1" s="257">
      <c r="A140" s="106" t="n">
        <v>274</v>
      </c>
      <c r="B140" s="31" t="n">
        <v>30204000205</v>
      </c>
      <c r="C140" s="31" t="inlineStr">
        <is>
          <t>红液温度计</t>
        </is>
      </c>
      <c r="D140" s="141" t="inlineStr">
        <is>
          <t xml:space="preserve">—30 ℃～100 ℃，分度值1℃，误差±1.5 ℃　</t>
        </is>
      </c>
      <c r="E140" s="31" t="n">
        <v>13</v>
      </c>
      <c r="F140" s="31" t="inlineStr">
        <is>
          <t>支</t>
        </is>
      </c>
      <c r="G140" s="31">
        <f>_xlfn.DISPIMG("ID_60B45D9AB0B94D5AB7A5F5E7AAABFE14",1)</f>
        <v/>
      </c>
      <c r="H140" s="220" t="n"/>
      <c r="I140" s="31" t="n">
        <v>30204000205</v>
      </c>
      <c r="J140" s="33" t="inlineStr">
        <is>
          <t xml:space="preserve">—30 ℃～100 ℃，分度值1℃，误差±1.5 ℃　</t>
        </is>
      </c>
      <c r="K140" s="39" t="inlineStr">
        <is>
          <t>乐百仕</t>
        </is>
      </c>
      <c r="L140" s="39" t="inlineStr">
        <is>
          <t>江苏乐百仕教育科技有限公司</t>
        </is>
      </c>
      <c r="M140" s="345" t="n">
        <v>13</v>
      </c>
      <c r="N140" s="345" t="n">
        <v>2</v>
      </c>
      <c r="O140" s="345" t="n">
        <v>26</v>
      </c>
      <c r="P140" s="345" t="inlineStr">
        <is>
          <t>支</t>
        </is>
      </c>
      <c r="Q140" s="345" t="inlineStr"/>
      <c r="R140" s="345" t="inlineStr"/>
      <c r="S140" s="345" t="inlineStr"/>
      <c r="T140" s="345" t="inlineStr"/>
      <c r="U140" s="345" t="n">
        <v>3</v>
      </c>
      <c r="V140" s="345" t="inlineStr"/>
      <c r="W140" s="345" t="n">
        <v>180</v>
      </c>
      <c r="X140" s="345" t="inlineStr"/>
      <c r="Y140" s="345" t="inlineStr">
        <is>
          <t>confirmed</t>
        </is>
      </c>
      <c r="Z140" s="345" t="n">
        <v>100</v>
      </c>
      <c r="AA140" s="345" t="inlineStr">
        <is>
          <t>价格分歧&gt;30%：历史报价分歧较大，需人工核对；同分多价：最高分候选存在不同历史价格</t>
        </is>
      </c>
      <c r="AB140" s="345" t="inlineStr">
        <is>
          <t>赛特尔25年.xls｜初中新课标生物｜第59行</t>
        </is>
      </c>
    </row>
    <row r="141" customFormat="1" s="190">
      <c r="A141" s="106" t="n">
        <v>276</v>
      </c>
      <c r="B141" s="103" t="n">
        <v>30307204210</v>
      </c>
      <c r="C141" s="26" t="inlineStr">
        <is>
          <t>空气压缩引火仪</t>
        </is>
      </c>
      <c r="D141" s="278" t="inlineStr">
        <is>
          <t>由气缸、底座、端盖、活塞等部分组成。气缸用透明有机玻璃制作，内径Φ10 mm，外径Φ25 mm，长 130 mm，底座Φ65 mm，手柄Φ40 mm，活塞杆Φ8 mm。活塞体应使用弹性材料制成，活塞与气缸气密性应良好，连续压缩引火 100 次后密封圈性能不变。应能引燃脱脂棉，不应使用硝化棉</t>
        </is>
      </c>
      <c r="E141" s="67" t="n">
        <v>1</v>
      </c>
      <c r="F141" s="26" t="inlineStr">
        <is>
          <t>个</t>
        </is>
      </c>
      <c r="G141" s="67">
        <f>_xlfn.DISPIMG("ID_5FBC2EDA40F44F67BB4966F04F03FDD0",1)</f>
        <v/>
      </c>
      <c r="H141" s="154" t="n"/>
      <c r="I141" s="103" t="n">
        <v>30307204210</v>
      </c>
      <c r="J141" s="109" t="inlineStr">
        <is>
          <t>由气缸、底座、端盖、活塞等部分组成。气缸用透明有机玻璃制作，内径Φ10 mm，外径Φ25 mm，长 130 mm，底座Φ65 mm，手柄Φ40 mm，活塞杆Φ8 mm。活塞体应使用弹性材料制成，活塞与气缸气密性应良好，连续压缩引火 100 次后密封圈性能不变。应能引燃脱脂棉，不应使用硝化棉</t>
        </is>
      </c>
      <c r="K141" s="39" t="inlineStr">
        <is>
          <t>乐百仕</t>
        </is>
      </c>
      <c r="L141" s="39" t="inlineStr">
        <is>
          <t>江苏乐百仕教育科技有限公司</t>
        </is>
      </c>
      <c r="M141" s="345" t="n">
        <v>1</v>
      </c>
      <c r="N141" s="345" t="n">
        <v>16</v>
      </c>
      <c r="O141" s="345" t="n">
        <v>16</v>
      </c>
      <c r="P141" s="345" t="inlineStr">
        <is>
          <t>个</t>
        </is>
      </c>
      <c r="Q141" s="345" t="inlineStr"/>
      <c r="R141" s="345" t="inlineStr"/>
      <c r="S141" s="345" t="inlineStr"/>
      <c r="T141" s="345" t="inlineStr"/>
      <c r="U141" s="345" t="n">
        <v>16</v>
      </c>
      <c r="V141" s="345" t="inlineStr"/>
      <c r="W141" s="345" t="inlineStr"/>
      <c r="X141" s="345" t="inlineStr"/>
      <c r="Y141" s="345" t="inlineStr">
        <is>
          <t>confirmed</t>
        </is>
      </c>
      <c r="Z141" s="345" t="n">
        <v>100</v>
      </c>
      <c r="AA141" s="345" t="inlineStr"/>
      <c r="AB141" s="345" t="inlineStr">
        <is>
          <t>赛特尔25年.xls｜初中新课标物理｜第381行</t>
        </is>
      </c>
    </row>
    <row r="142" customFormat="1" s="190">
      <c r="A142" s="264" t="n">
        <v>277</v>
      </c>
      <c r="B142" s="42" t="n">
        <v>30307205501</v>
      </c>
      <c r="C142" s="50" t="inlineStr">
        <is>
          <t>压缩气体做功实验器</t>
        </is>
      </c>
      <c r="D142" s="280" t="inlineStr">
        <is>
          <t>由专用容器和快速响应温度探头组成；研究气体压缩时，温度的变化</t>
        </is>
      </c>
      <c r="E142" s="71" t="n">
        <v>1</v>
      </c>
      <c r="F142" s="50" t="inlineStr">
        <is>
          <t>套</t>
        </is>
      </c>
      <c r="G142" s="223">
        <f>_xlfn.DISPIMG("ID_4F663A42CED642BEB25F2A93CE43B665",1)</f>
        <v/>
      </c>
      <c r="H142" s="206" t="n"/>
      <c r="I142" s="42" t="n">
        <v>30307205501</v>
      </c>
      <c r="J142" s="47" t="inlineStr">
        <is>
          <t>由专用容器和快速响应温度探头组成；研究气体压缩时，温度的变化</t>
        </is>
      </c>
      <c r="K142" s="48" t="inlineStr">
        <is>
          <t>乐百仕</t>
        </is>
      </c>
      <c r="L142" s="48" t="inlineStr">
        <is>
          <t>江苏乐百仕教育科技有限公司</t>
        </is>
      </c>
      <c r="M142" s="345" t="n">
        <v>1</v>
      </c>
      <c r="N142" s="345" t="n">
        <v>180</v>
      </c>
      <c r="O142" s="345" t="n">
        <v>180</v>
      </c>
      <c r="P142" s="345" t="inlineStr">
        <is>
          <t>套</t>
        </is>
      </c>
      <c r="Q142" s="345" t="inlineStr"/>
      <c r="R142" s="345" t="inlineStr"/>
      <c r="S142" s="345" t="inlineStr"/>
      <c r="T142" s="345" t="inlineStr">
        <is>
          <t>1.常用器材：铁架台、石棉网、试管、试管架、试管夹、试管刷、胶头滴管、药匙、玻璃棒、镊子、酒精灯、洗瓶
2.专题器材：单孔橡胶塞、双孔橡胶塞、乳胶管、玻璃导管、尖嘴玻璃管、尖嘴玻璃弯管，水槽、集气瓶、玻璃片、锥形瓶、分液漏斗
3.玻璃仪器均无明显外观缺陷，仪器规格匹配</t>
        </is>
      </c>
      <c r="U142" s="345" t="inlineStr"/>
      <c r="V142" s="345" t="inlineStr"/>
      <c r="W142" s="345" t="inlineStr"/>
      <c r="X142" s="345" t="inlineStr"/>
      <c r="Y142" s="345" t="inlineStr">
        <is>
          <t>confirmed</t>
        </is>
      </c>
      <c r="Z142" s="345" t="n">
        <v>55.6</v>
      </c>
      <c r="AA142" s="345" t="inlineStr"/>
      <c r="AB142" s="345" t="inlineStr">
        <is>
          <t>赛特尔25年.xls｜初中新课标化学｜第279行</t>
        </is>
      </c>
    </row>
    <row r="143" customFormat="1" s="195">
      <c r="A143" s="106" t="n">
        <v>290</v>
      </c>
      <c r="B143" s="67" t="n">
        <v>30307500610</v>
      </c>
      <c r="C143" s="26" t="inlineStr">
        <is>
          <t>光具座</t>
        </is>
      </c>
      <c r="D143" s="302" t="inlineStr">
        <is>
          <t>导轨长 1000 mm，导轨和滑块均为金属件，滑块在导轨上应滑行自如，无阻滞现象。金属标尺刻度 900 mm，分度值 l mm。光源出口处照度应≥500 1x，500 mm 处照度≥300 1x。附件包括双凸透镜 2 件，平凸透镜 1 件，双凹透镜 1 件，“1”字屏 1 件，白屏 1 件，插杆 5 根，带支架毛玻璃屏 1 件，烛台 1 件，宜配 F 光源。各器件易于装配、固定及拆卸</t>
        </is>
      </c>
      <c r="E143" s="154" t="n">
        <v>1</v>
      </c>
      <c r="F143" s="26" t="inlineStr">
        <is>
          <t>套</t>
        </is>
      </c>
      <c r="G143" s="340">
        <f>_xlfn.DISPIMG("ID_098C9EDD8D2A4C4B896F25A86354CCE5",1)</f>
        <v/>
      </c>
      <c r="H143" s="60" t="n"/>
      <c r="I143" s="67" t="n">
        <v>30307500610</v>
      </c>
      <c r="J143" s="164" t="inlineStr">
        <is>
          <t>导轨长 1000 mm，导轨和滑块均为金属件，滑块在导轨上应滑行自如，无阻滞现象。金属标尺刻度 900 mm，分度值 l mm。光源出口处照度应≥500 1x，500 mm 处照度≥300 1x。附件包括双凸透镜 2 件，平凸透镜 1 件，双凹透镜 1 件，“1”字屏 1 件，白屏 1 件，插杆 5 根，带支架毛玻璃屏 1 件，烛台 1 件，宜配 F 光源。各器件易于装配、固定及拆卸</t>
        </is>
      </c>
      <c r="K143" s="39" t="inlineStr">
        <is>
          <t>乐百仕</t>
        </is>
      </c>
      <c r="L143" s="39" t="inlineStr">
        <is>
          <t>江苏乐百仕教育科技有限公司</t>
        </is>
      </c>
      <c r="M143" s="345" t="n">
        <v>1</v>
      </c>
      <c r="N143" s="345" t="n">
        <v>58</v>
      </c>
      <c r="O143" s="345" t="n">
        <v>58</v>
      </c>
      <c r="P143" s="345" t="inlineStr">
        <is>
          <t>套</t>
        </is>
      </c>
      <c r="Q143" s="345" t="inlineStr"/>
      <c r="R143" s="345" t="inlineStr"/>
      <c r="S143" s="345" t="inlineStr"/>
      <c r="T143" s="345" t="inlineStr"/>
      <c r="U143" s="345" t="n">
        <v>58</v>
      </c>
      <c r="V143" s="345" t="inlineStr"/>
      <c r="W143" s="345" t="n">
        <v>63.8</v>
      </c>
      <c r="X143" s="345" t="inlineStr"/>
      <c r="Y143" s="345" t="inlineStr">
        <is>
          <t>confirmed</t>
        </is>
      </c>
      <c r="Z143" s="345" t="n">
        <v>100</v>
      </c>
      <c r="AA143" s="345" t="inlineStr"/>
      <c r="AB143" s="345" t="inlineStr">
        <is>
          <t>赛特尔25年.xls｜初中新课标物理｜第312行</t>
        </is>
      </c>
    </row>
    <row r="144" customFormat="1" s="257">
      <c r="A144" s="264" t="n">
        <v>291</v>
      </c>
      <c r="B144" s="53" t="n">
        <v>30307500101</v>
      </c>
      <c r="C144" s="50" t="inlineStr">
        <is>
          <t>光具盘</t>
        </is>
      </c>
      <c r="D144" s="52" t="inlineStr">
        <is>
          <t>分离型、磁吸附式。矩形光盘长≥650mm，宽≥240 mm；圆形光盘直径≥250 mm。盘面分四个象限，以一条直径为始边，分别刻有 0°～90°刻度。半导体激光光源，可显示 5 条平行光，宜为不同颜色。光学零件：梯形玻砖 1 件，等腰直角棱镜 1 件，半圆柱透镜 1 件，小双凹柱透镜 1 件，小双凸柱透镜 1 件，双凸透镜 1件，大双凸柱透镜 1 件，平面镜 1 件，凹凸柱面镜 1 件，正三棱镜 2 件</t>
        </is>
      </c>
      <c r="E144" s="206" t="n">
        <v>1</v>
      </c>
      <c r="F144" s="50" t="inlineStr">
        <is>
          <t>套</t>
        </is>
      </c>
      <c r="G144" s="226">
        <f>_xlfn.DISPIMG("ID_FCA7BF271D4B4F768FDF158B25F45F9D",1)</f>
        <v/>
      </c>
      <c r="H144" s="267" t="n"/>
      <c r="I144" s="53" t="n">
        <v>30307500101</v>
      </c>
      <c r="J144" s="54" t="inlineStr">
        <is>
          <t>要配置：
由光具盘主体（含圆形光盘）、五线激光源、光学零件（梯形玻砖、等腰直角棱镜、半圆柱透镜、小双凹柱透镜、小双凸柱透镜、大双凸柱透镜、平面镜、凹凸柱面镜、正三棱镜）组成。
技术参数：
光具盘主体尺寸772*470（±5mm）；上下为铝型材结构，6063-T5材料,具有良好的抗拉强度，表面黑色氧化细喷砂处理。左右为ABS塑料精密注塑成型边框；圆形光盘直径260mm，盘面分四个象限，以一条直径为始边，分别刻有 0°～90°刻度：功能描述：整体为磁吸附式结构，光学零件及五线激光光源可以吸附在矩形光盘上进行光学实验演示。
五线激光源：尺寸133*89*30mm，工作电压DC3V；主要材质：ABS工程塑料、铜；工艺：塑料注塑成型；功能描述：激光光学光源，磁吸式，内置电池可充电，提供1～5线平行光源（中间绿色光源），配合光学零件可直接或光具盘主体或其他磁性材料上完成多种光路的演示实验。 
光学零件：
产品组成：梯形玻砖、等腰直角棱镜、半圆柱透镜、小双凹柱透镜、小双凸柱透镜、大双凸柱透镜、平面镜、凹凸柱面镜、正三棱镜。
规格：统一厚度20mm；主要材质：PMMA；工艺：精加工、抛光；功能描述：磁吸式，配合激光光源可直接或吸附在光具盘主体或其他磁性材料上进行光线折射等相应光学实验。  
能够完成的教学演示：
光的直线传播；光的反射；凸透镜的会聚作用；凹透镜的发散作用；凹面镜的会聚作用；凸面镜的发散作用；光的折射定律；测量玻璃砖的折射率；光的全反射等。</t>
        </is>
      </c>
      <c r="K144" s="48" t="inlineStr">
        <is>
          <t>乐百仕</t>
        </is>
      </c>
      <c r="L144" s="48" t="inlineStr">
        <is>
          <t>江苏乐百仕教育科技有限公司</t>
        </is>
      </c>
      <c r="M144" s="345" t="n">
        <v>1</v>
      </c>
      <c r="N144" s="345" t="n">
        <v>225</v>
      </c>
      <c r="O144" s="345" t="n">
        <v>225</v>
      </c>
      <c r="P144" s="345" t="inlineStr">
        <is>
          <t>套</t>
        </is>
      </c>
      <c r="Q144" s="345" t="inlineStr"/>
      <c r="R144" s="345" t="inlineStr"/>
      <c r="S144" s="345" t="inlineStr"/>
      <c r="T144" s="345" t="inlineStr"/>
      <c r="U144" s="345" t="n">
        <v>240</v>
      </c>
      <c r="V144" s="345" t="inlineStr"/>
      <c r="W144" s="345" t="n">
        <v>264</v>
      </c>
      <c r="X144" s="345" t="inlineStr"/>
      <c r="Y144" s="345" t="inlineStr">
        <is>
          <t>confirmed</t>
        </is>
      </c>
      <c r="Z144" s="345" t="n">
        <v>100</v>
      </c>
      <c r="AA144" s="345" t="inlineStr">
        <is>
          <t>同分多价：最高分候选存在不同历史价格</t>
        </is>
      </c>
      <c r="AB144" s="345" t="inlineStr">
        <is>
          <t>高中理化生报价.xlsx｜凯迪｜第696行</t>
        </is>
      </c>
    </row>
    <row r="145" customFormat="1" s="195">
      <c r="A145" s="106" t="n">
        <v>293</v>
      </c>
      <c r="B145" s="284" t="n">
        <v>30307502110</v>
      </c>
      <c r="C145" s="108" t="inlineStr">
        <is>
          <t>光的折射全反射实验器</t>
        </is>
      </c>
      <c r="D145" s="141" t="inlineStr">
        <is>
          <t>包括演示屏、折射镜、光源、光源座、反射镜、底座、漫反射镜等。可折叠，演示屏半径≥130 mm，半圆玻璃折射镜半径≥35 mm</t>
        </is>
      </c>
      <c r="E145" s="154" t="n">
        <v>1</v>
      </c>
      <c r="F145" s="301" t="inlineStr">
        <is>
          <t>套</t>
        </is>
      </c>
      <c r="G145" s="67">
        <f>_xlfn.DISPIMG("ID_9B165B6BA587430B939928B04DEB750C",1)</f>
        <v/>
      </c>
      <c r="H145" s="154" t="n"/>
      <c r="I145" s="103" t="n">
        <v>30307502110</v>
      </c>
      <c r="J145" s="33" t="inlineStr">
        <is>
          <t>包括演示屏、折射镜、光源、光源座、反射镜、底座、漫反射镜等。可折叠，演示屏半径≥130 mm，半圆玻璃折射镜半径≥35 mm</t>
        </is>
      </c>
      <c r="K145" s="39" t="inlineStr">
        <is>
          <t>乐百仕</t>
        </is>
      </c>
      <c r="L145" s="39" t="inlineStr">
        <is>
          <t>江苏乐百仕教育科技有限公司</t>
        </is>
      </c>
      <c r="M145" s="345" t="n">
        <v>1</v>
      </c>
      <c r="N145" s="345" t="n">
        <v>22</v>
      </c>
      <c r="O145" s="345" t="n">
        <v>22</v>
      </c>
      <c r="P145" s="345" t="inlineStr">
        <is>
          <t>套</t>
        </is>
      </c>
      <c r="Q145" s="345" t="inlineStr"/>
      <c r="R145" s="345" t="inlineStr"/>
      <c r="S145" s="345" t="inlineStr"/>
      <c r="T145" s="345" t="inlineStr"/>
      <c r="U145" s="345" t="n">
        <v>22</v>
      </c>
      <c r="V145" s="345" t="inlineStr"/>
      <c r="W145" s="345" t="n">
        <v>24.2</v>
      </c>
      <c r="X145" s="345" t="inlineStr"/>
      <c r="Y145" s="345" t="inlineStr">
        <is>
          <t>confirmed</t>
        </is>
      </c>
      <c r="Z145" s="345" t="n">
        <v>60.9</v>
      </c>
      <c r="AA145" s="345" t="inlineStr"/>
      <c r="AB145" s="345" t="inlineStr">
        <is>
          <t>赛特尔25年.xls｜初中物理｜第223行</t>
        </is>
      </c>
    </row>
    <row r="146" customFormat="1" s="257">
      <c r="A146" s="264" t="n">
        <v>294</v>
      </c>
      <c r="B146" s="42" t="n">
        <v>30307510801</v>
      </c>
      <c r="C146" s="46" t="inlineStr">
        <is>
          <t>光的传播、反射、折射实验器</t>
        </is>
      </c>
      <c r="D146" s="52" t="inlineStr">
        <is>
          <t>由能显示光路的透明材料制成的半圆玻璃砖、角度板、2 个条形玻璃砖、2 个半导体激光光源（不加扩束镜，1 个为入射光源，1 个提供法线）等组成，表盘直径≥300 mm</t>
        </is>
      </c>
      <c r="E146" s="206" t="n">
        <v>1</v>
      </c>
      <c r="F146" s="308" t="inlineStr">
        <is>
          <t>套</t>
        </is>
      </c>
      <c r="G146" s="71">
        <f>_xlfn.DISPIMG("ID_940EB1C51DAF4868AE54586EBAE82B05",1)</f>
        <v/>
      </c>
      <c r="H146" s="154" t="n"/>
      <c r="I146" s="103" t="n">
        <v>30307510801</v>
      </c>
      <c r="J146" s="33" t="inlineStr">
        <is>
          <t>由能显示光路的透明材料制成的半圆玻璃砖、角度板、2 个条形玻璃砖、2 个半导体激光光源（不加扩束镜，1 个为入射光源，1 个提供法线）等组成，表盘直径≥300 mm
技术参数：
演示板：
外形尺寸666*470mm（±5mm）；上下为铝型材结构，6063-T5材料,具有良好的抗拉强度，表面黑色氧化细喷砂处理,左右为ABS塑料精密注塑成型边框；表盘外径300mm，盘面分四个象限，以一条直径为始边，分别刻有 0°～90°刻度：功能描述：整体为磁吸附式结构，可吸附激光光源、水箱圆盘、光学配件等进行相应光学实验。
光学零件：
产品组成：凸凹面镜、半圆玻璃砖、双凸透镜、双凹透镜、梯形玻璃砖、等边三角形玻璃砖、直角等腰三角玻璃砖、平面镜。
规格：统一厚度20mm；主要材质：PMMA；工艺：精加工、抛光；功能描述：磁吸式，配合激光光源可直接或吸附在本演示板或其他磁性材料上进行光线折射等相应光学实验。
水箱圆盘：
规格：φ250mm*34mm（±5mm）；主要材质：PMMA；功能描述：磁吸式，可放入水等液体进行不同物质界面的折射实验。
能够完成的教学演示：
光的传播；光的反射；光的折射。</t>
        </is>
      </c>
      <c r="K146" s="39" t="inlineStr">
        <is>
          <t>乐百仕</t>
        </is>
      </c>
      <c r="L146" s="39" t="inlineStr">
        <is>
          <t>江苏乐百仕教育科技有限公司</t>
        </is>
      </c>
      <c r="M146" s="345" t="n">
        <v>1</v>
      </c>
      <c r="N146" s="345" t="n">
        <v>22</v>
      </c>
      <c r="O146" s="345" t="n">
        <v>22</v>
      </c>
      <c r="P146" s="345" t="inlineStr">
        <is>
          <t>套</t>
        </is>
      </c>
      <c r="Q146" s="345" t="inlineStr"/>
      <c r="R146" s="345" t="inlineStr"/>
      <c r="S146" s="345" t="inlineStr"/>
      <c r="T146" s="345" t="inlineStr"/>
      <c r="U146" s="345" t="n">
        <v>22</v>
      </c>
      <c r="V146" s="345" t="inlineStr"/>
      <c r="W146" s="345" t="inlineStr"/>
      <c r="X146" s="345" t="inlineStr"/>
      <c r="Y146" s="345" t="inlineStr">
        <is>
          <t>confirmed</t>
        </is>
      </c>
      <c r="Z146" s="345" t="n">
        <v>100</v>
      </c>
      <c r="AA146" s="345" t="inlineStr"/>
      <c r="AB146" s="345" t="inlineStr">
        <is>
          <t>赛特尔25年.xls｜初中物理｜第223行</t>
        </is>
      </c>
    </row>
    <row r="147" customFormat="1" s="195">
      <c r="A147" s="264" t="n">
        <v>295</v>
      </c>
      <c r="B147" s="221" t="n">
        <v>30307500510</v>
      </c>
      <c r="C147" s="50" t="inlineStr">
        <is>
          <t>玻璃砖</t>
        </is>
      </c>
      <c r="D147" s="52" t="inlineStr">
        <is>
          <t>外形尺寸：上底长为 35 mm，两底角为60°±0.5°和 45°±0.5°，高度为 35mm± 1 mm，厚度为 15 mm±1 mm；上下两面底面平行度为 0.10 mm；以抛光的梯形面为基准面，上、下两底面、两斜面与基准面垂直度为 0.1 mm；玻璃砖中的一梯形面为粗加工面，表面粗糙度为Ra6.3，上下底面、两斜面及另一梯形面为精加工面，应进行抛光处理</t>
        </is>
      </c>
      <c r="E147" s="53" t="n">
        <v>13</v>
      </c>
      <c r="F147" s="50" t="inlineStr">
        <is>
          <t>块</t>
        </is>
      </c>
      <c r="G147" s="226">
        <f>_xlfn.DISPIMG("ID_43890487874A485B9E27BC14BDCC60FA",1)</f>
        <v/>
      </c>
      <c r="H147" s="32" t="n"/>
      <c r="I147" s="31" t="n">
        <v>30307500510</v>
      </c>
      <c r="J147" s="33" t="inlineStr">
        <is>
          <t>外形尺寸：上底长为 35 mm，两底角为60°±0.5°和 45°±0.5°，高度为 35mm± 1 mm，厚度为 15 mm±1 mm；上下两面底面平行度为 0.10 mm；以抛光的梯形面为基准面，上、下两底面、两斜面与基准面垂直度为 0.1 mm；玻璃砖中的一梯形面为粗加工面，表面粗糙度为Ra6.3，上下底面、两斜面及另一梯形面为精加工面，应进行抛光处理</t>
        </is>
      </c>
      <c r="K147" s="39" t="inlineStr">
        <is>
          <t>乐百仕</t>
        </is>
      </c>
      <c r="L147" s="39" t="inlineStr">
        <is>
          <t>江苏乐百仕教育科技有限公司</t>
        </is>
      </c>
      <c r="M147" s="345" t="n">
        <v>13</v>
      </c>
      <c r="N147" s="345" t="n">
        <v>6</v>
      </c>
      <c r="O147" s="345" t="n">
        <v>78</v>
      </c>
      <c r="P147" s="345" t="inlineStr">
        <is>
          <t>块</t>
        </is>
      </c>
      <c r="Q147" s="345" t="inlineStr"/>
      <c r="R147" s="345" t="inlineStr"/>
      <c r="S147" s="345" t="inlineStr"/>
      <c r="T147" s="345" t="inlineStr"/>
      <c r="U147" s="345" t="n">
        <v>7</v>
      </c>
      <c r="V147" s="345" t="inlineStr"/>
      <c r="W147" s="345" t="n">
        <v>7.7</v>
      </c>
      <c r="X147" s="345" t="inlineStr"/>
      <c r="Y147" s="345" t="inlineStr">
        <is>
          <t>confirmed</t>
        </is>
      </c>
      <c r="Z147" s="345" t="n">
        <v>100</v>
      </c>
      <c r="AA147" s="345" t="inlineStr">
        <is>
          <t>同分多价：最高分候选存在不同历史价格</t>
        </is>
      </c>
      <c r="AB147" s="345" t="inlineStr">
        <is>
          <t>高中理化生报价.xlsx｜凯迪｜第699行</t>
        </is>
      </c>
    </row>
    <row r="148" customFormat="1" s="195">
      <c r="A148" s="106" t="n">
        <v>296</v>
      </c>
      <c r="B148" s="349" t="n">
        <v>30807007810</v>
      </c>
      <c r="C148" s="117" t="inlineStr">
        <is>
          <t>折射率实验配材</t>
        </is>
      </c>
      <c r="D148" s="115" t="inlineStr">
        <is>
          <t>八开白纸（26 cm×36.8 cm）、图钉（每组至少 4 个）、大头针（每组至少 4 个）、方木板（尺寸不小于 400 mm×600 mm，材质宜扎图钉）</t>
        </is>
      </c>
      <c r="E148" s="31" t="n">
        <v>13</v>
      </c>
      <c r="F148" s="117" t="inlineStr">
        <is>
          <t>套</t>
        </is>
      </c>
      <c r="G148" s="147">
        <f>_xlfn.DISPIMG("ID_6A0AA0767488402DA501DB80FD734578",1)</f>
        <v/>
      </c>
      <c r="H148" s="32" t="n"/>
      <c r="I148" s="348" t="n">
        <v>30807007810</v>
      </c>
      <c r="J148" s="40" t="inlineStr">
        <is>
          <t>八开白纸（26 cm×36.8 cm）、图钉（每组至少 4 个）、大头针（每组至少 4 个）、方木板（尺寸不小于 400 mm×600 mm，材质宜扎图钉）</t>
        </is>
      </c>
      <c r="K148" s="39" t="inlineStr">
        <is>
          <t>乐百仕</t>
        </is>
      </c>
      <c r="L148" s="39" t="inlineStr">
        <is>
          <t>江苏乐百仕教育科技有限公司</t>
        </is>
      </c>
      <c r="M148" s="345" t="n">
        <v>13</v>
      </c>
      <c r="N148" s="345" t="n">
        <v>45</v>
      </c>
      <c r="O148" s="345" t="n">
        <v>585</v>
      </c>
      <c r="P148" s="345" t="inlineStr">
        <is>
          <t>套</t>
        </is>
      </c>
      <c r="Q148" s="345" t="inlineStr"/>
      <c r="R148" s="345" t="inlineStr"/>
      <c r="S148" s="345" t="inlineStr"/>
      <c r="T148" s="345" t="inlineStr"/>
      <c r="U148" s="345" t="inlineStr"/>
      <c r="V148" s="345" t="inlineStr"/>
      <c r="W148" s="345" t="inlineStr"/>
      <c r="X148" s="345" t="inlineStr"/>
      <c r="Y148" s="345" t="inlineStr">
        <is>
          <t>confirmed</t>
        </is>
      </c>
      <c r="Z148" s="345" t="n">
        <v>0</v>
      </c>
      <c r="AA148" s="345" t="inlineStr">
        <is>
          <t>匹配到商品档案但无历史价格记录</t>
        </is>
      </c>
      <c r="AB148" s="345" t="inlineStr">
        <is>
          <t>赛特尔25年.xls｜初中新课标物理｜第271行</t>
        </is>
      </c>
    </row>
    <row r="149" customFormat="1" s="257">
      <c r="A149" s="264" t="n">
        <v>297</v>
      </c>
      <c r="B149" s="53" t="n">
        <v>30307503310</v>
      </c>
      <c r="C149" s="50" t="inlineStr">
        <is>
          <t>光导纤维应用演示器</t>
        </is>
      </c>
      <c r="D149" s="52" t="inlineStr">
        <is>
          <t>包括传光束、传像束、有机玻棒、通信演示器（发射机和接收机）、字母板、放大屏等。视听距离≥6 m，传光束长度≥400 mm，横截面≥2.55 mm2，白光透过率≥50%，传像束长度≥350 mm，传像工作面积≥100 mm2。光线丝排列对应整齐，无错位，像元数不低于 900 个</t>
        </is>
      </c>
      <c r="E149" s="206" t="n">
        <v>1</v>
      </c>
      <c r="F149" s="50" t="inlineStr">
        <is>
          <t>台</t>
        </is>
      </c>
      <c r="G149" s="223">
        <f>_xlfn.DISPIMG("ID_DFCCA1787364459F92632407A1BC9FF9",1)</f>
        <v/>
      </c>
      <c r="H149" s="32" t="n"/>
      <c r="I149" s="31" t="n">
        <v>30307503300</v>
      </c>
      <c r="J149" s="33" t="inlineStr">
        <is>
          <t>包括传光束、传像束、有机玻棒、通信演示器（发射机和接收机）、字母板、放大屏等。视听距离≥6 m，传光束长度≥400 mm，横截面≥2.55 mm2，白光透过率≥50%，传像束长度≥350 mm，传像工作面积≥100 mm2。光线丝排列对应整齐，无错位，像元数不低于 900 个
技术参数：
演示板外形尺寸：666*470mm（±5mm）；上下为铝型材结构，6063-T5材料,具有良好的抗拉强度，表面黑色氧化细喷砂处理。左右为ABS塑料精密注塑成型边框。
传光束：
外形尺寸：φ6mm（±5mm），光纤丝排列对应整齐，无错位。两端用金属束好，可以直接插入声传输底座、光源输出底座中，用于光线传导。
传像束：
外形尺寸：φ25mm（±5mm），传像工作面积≥100 mm2。光线光纤丝排列对应整齐，无错位。两边端头为圆形板（直径25mm），可以卡进相应的图像输出底座中。用于图像传导。
光源输出底座：
外形尺寸：中心圆形外径φ30mm（±5mm），内径6mm（±2mm）；材质：黑色PMMA；可插入传光束和有机玻璃，进行实验。
能够完成的教学演示：
光纤的应用等。</t>
        </is>
      </c>
      <c r="K149" s="39" t="inlineStr">
        <is>
          <t>乐百仕</t>
        </is>
      </c>
      <c r="L149" s="39" t="inlineStr">
        <is>
          <t>江苏乐百仕教育科技有限公司</t>
        </is>
      </c>
      <c r="M149" s="345" t="n">
        <v>1</v>
      </c>
      <c r="N149" s="345" t="n">
        <v>200</v>
      </c>
      <c r="O149" s="345" t="n">
        <v>200</v>
      </c>
      <c r="P149" s="345" t="inlineStr">
        <is>
          <t>台</t>
        </is>
      </c>
      <c r="Q149" s="345" t="inlineStr">
        <is>
          <t>群信</t>
        </is>
      </c>
      <c r="R149" s="345" t="inlineStr"/>
      <c r="S149" s="345" t="inlineStr">
        <is>
          <t>25022</t>
        </is>
      </c>
      <c r="T149" s="345" t="inlineStr">
        <is>
          <t>25022</t>
        </is>
      </c>
      <c r="U149" s="345" t="n">
        <v>220</v>
      </c>
      <c r="V149" s="345" t="inlineStr"/>
      <c r="W149" s="345" t="inlineStr"/>
      <c r="X149" s="345" t="inlineStr"/>
      <c r="Y149" s="345" t="inlineStr">
        <is>
          <t>confirmed</t>
        </is>
      </c>
      <c r="Z149" s="345" t="n">
        <v>100</v>
      </c>
      <c r="AA149" s="345" t="inlineStr">
        <is>
          <t>同分多价：最高分候选存在不同历史价格</t>
        </is>
      </c>
      <c r="AB149" s="345" t="inlineStr">
        <is>
          <t>赛特尔25年.xls｜初中新课标物理｜第367行</t>
        </is>
      </c>
    </row>
    <row r="150" customFormat="1" s="257">
      <c r="A150" s="106" t="n">
        <v>298</v>
      </c>
      <c r="B150" s="67" t="n">
        <v>30307502610</v>
      </c>
      <c r="C150" s="26" t="inlineStr">
        <is>
          <t>光的干涉衍射偏振演示器</t>
        </is>
      </c>
      <c r="D150" s="302" t="inlineStr">
        <is>
          <t>包括光具座、白光光源（亮度和焦距可调）、光屏、光栅、多缝、双缝、单缝 3个、偏振片 1 对、牛顿环、起偏器等。性能要求：可以观察清晰的白光干涉条纹</t>
        </is>
      </c>
      <c r="E150" s="154" t="n">
        <v>1</v>
      </c>
      <c r="F150" s="26" t="inlineStr">
        <is>
          <t>套</t>
        </is>
      </c>
      <c r="G150" s="340">
        <f>_xlfn.DISPIMG("ID_651835466EE047A5A63D1150C19D2E3D",1)</f>
        <v/>
      </c>
      <c r="H150" s="220" t="n"/>
      <c r="I150" s="67" t="n">
        <v>30307502610</v>
      </c>
      <c r="J150" s="164" t="inlineStr">
        <is>
          <t>包括光具座、白光光源（亮度和焦距可调）、光屏、光栅、多缝、双缝、单缝 3个、偏振片 1 对、牛顿环、起偏器等。性能要求：可以观察清晰的白光干涉条纹</t>
        </is>
      </c>
      <c r="K150" s="39" t="inlineStr">
        <is>
          <t>乐百仕</t>
        </is>
      </c>
      <c r="L150" s="39" t="inlineStr">
        <is>
          <t>江苏乐百仕教育科技有限公司</t>
        </is>
      </c>
      <c r="M150" s="345" t="n">
        <v>1</v>
      </c>
      <c r="N150" s="345" t="n">
        <v>420</v>
      </c>
      <c r="O150" s="345" t="n">
        <v>420</v>
      </c>
      <c r="P150" s="345" t="inlineStr">
        <is>
          <t>套</t>
        </is>
      </c>
      <c r="Q150" s="345" t="inlineStr">
        <is>
          <t>群信</t>
        </is>
      </c>
      <c r="R150" s="345" t="inlineStr"/>
      <c r="S150" s="345" t="inlineStr">
        <is>
          <t>25016</t>
        </is>
      </c>
      <c r="T150" s="345" t="inlineStr">
        <is>
          <t>25016</t>
        </is>
      </c>
      <c r="U150" s="345" t="inlineStr"/>
      <c r="V150" s="345" t="inlineStr"/>
      <c r="W150" s="345" t="inlineStr"/>
      <c r="X150" s="345" t="inlineStr"/>
      <c r="Y150" s="345" t="inlineStr">
        <is>
          <t>confirmed</t>
        </is>
      </c>
      <c r="Z150" s="345" t="n">
        <v>100</v>
      </c>
      <c r="AA150" s="345" t="inlineStr"/>
      <c r="AB150" s="345" t="inlineStr">
        <is>
          <t>高中理化生报价.xlsx｜凯迪｜第311行</t>
        </is>
      </c>
    </row>
    <row r="151" customFormat="1" s="195">
      <c r="A151" s="106" t="n">
        <v>299</v>
      </c>
      <c r="B151" s="60" t="n">
        <v>30307503010</v>
      </c>
      <c r="C151" s="34" t="inlineStr">
        <is>
          <t>牛顿环</t>
        </is>
      </c>
      <c r="D151" s="309" t="inlineStr">
        <is>
          <t>直径≥20 mm，凸面曲率半径≤2000 mm；直径≥25 mm，凸面曲率半径≤6000 mm；直径≥50 mm，凸面曲率半径≤25000 mm。在白光照明下，牛顿环的干涉图样为同心圆环，中心为暗圈，干涉条纹明显清晰，同一干涉环带粗细均匀，无明显变形；牛顿环调节机构能使干涉条纹的形状和位置发生变化，干涉条纹基本位于环座中央</t>
        </is>
      </c>
      <c r="E151" s="231" t="n">
        <v>1</v>
      </c>
      <c r="F151" s="34" t="inlineStr">
        <is>
          <t>个</t>
        </is>
      </c>
      <c r="G151" s="298">
        <f>_xlfn.DISPIMG("ID_878886180BFF42C3A8F13711537F68DC",1)</f>
        <v/>
      </c>
      <c r="H151" s="330" t="n"/>
      <c r="I151" s="60" t="n">
        <v>30307503010</v>
      </c>
      <c r="J151" s="164" t="inlineStr">
        <is>
          <t>直径≥20 mm，凸面曲率半径≤2000 mm；直径≥25 mm，凸面曲率半径≤6000 mm；直径≥50 mm，凸面曲率半径≤25000 mm。在白光照明下，牛顿环的干涉图样为同心圆环，中心为暗圈，干涉条纹明显清晰，同一干涉环带粗细均匀，无明显变形；牛顿环调节机构能使干涉条纹的形状和位置发生变化，干涉条纹基本位于环座中央</t>
        </is>
      </c>
      <c r="K151" s="39" t="inlineStr">
        <is>
          <t>乐百仕</t>
        </is>
      </c>
      <c r="L151" s="39" t="inlineStr">
        <is>
          <t>江苏乐百仕教育科技有限公司</t>
        </is>
      </c>
      <c r="M151" s="345" t="n">
        <v>1</v>
      </c>
      <c r="N151" s="345" t="n">
        <v>18</v>
      </c>
      <c r="O151" s="345" t="n">
        <v>18</v>
      </c>
      <c r="P151" s="345" t="inlineStr">
        <is>
          <t>个</t>
        </is>
      </c>
      <c r="Q151" s="345" t="inlineStr">
        <is>
          <t>群信</t>
        </is>
      </c>
      <c r="R151" s="345" t="inlineStr"/>
      <c r="S151" s="345" t="inlineStr">
        <is>
          <t>25021</t>
        </is>
      </c>
      <c r="T151" s="345" t="inlineStr">
        <is>
          <t>25021</t>
        </is>
      </c>
      <c r="U151" s="345" t="inlineStr"/>
      <c r="V151" s="345" t="inlineStr"/>
      <c r="W151" s="345" t="inlineStr"/>
      <c r="X151" s="345" t="inlineStr"/>
      <c r="Y151" s="345" t="inlineStr">
        <is>
          <t>confirmed</t>
        </is>
      </c>
      <c r="Z151" s="345" t="n">
        <v>100</v>
      </c>
      <c r="AA151" s="345" t="inlineStr"/>
      <c r="AB151" s="345" t="inlineStr">
        <is>
          <t>高中理化生报价.xlsx｜凯迪｜第315行</t>
        </is>
      </c>
    </row>
    <row r="152" customFormat="1" s="195">
      <c r="A152" s="106" t="n">
        <v>301</v>
      </c>
      <c r="B152" s="347" t="n">
        <v>30307505910</v>
      </c>
      <c r="C152" s="117" t="inlineStr">
        <is>
          <t>光栅</t>
        </is>
      </c>
      <c r="D152" s="115" t="inlineStr">
        <is>
          <t>300 线或 600 线，带底座</t>
        </is>
      </c>
      <c r="E152" s="347" t="n">
        <v>1</v>
      </c>
      <c r="F152" s="117" t="inlineStr">
        <is>
          <t>个</t>
        </is>
      </c>
      <c r="G152" s="298">
        <f>_xlfn.DISPIMG("ID_5770124287EA41499BD5B1C91F080354",1)</f>
        <v/>
      </c>
      <c r="H152" s="220" t="n"/>
      <c r="I152" s="348" t="n">
        <v>30307505910</v>
      </c>
      <c r="J152" s="40" t="inlineStr">
        <is>
          <t>300 线或 600 线，带底座</t>
        </is>
      </c>
      <c r="K152" s="39" t="inlineStr">
        <is>
          <t>乐百仕</t>
        </is>
      </c>
      <c r="L152" s="39" t="inlineStr">
        <is>
          <t>江苏乐百仕教育科技有限公司</t>
        </is>
      </c>
      <c r="M152" s="345" t="n">
        <v>1</v>
      </c>
      <c r="N152" s="345" t="n">
        <v>20</v>
      </c>
      <c r="O152" s="345" t="n">
        <v>20</v>
      </c>
      <c r="P152" s="345" t="inlineStr">
        <is>
          <t>个</t>
        </is>
      </c>
      <c r="Q152" s="345" t="inlineStr"/>
      <c r="R152" s="345" t="inlineStr"/>
      <c r="S152" s="345" t="inlineStr"/>
      <c r="T152" s="345" t="inlineStr">
        <is>
          <t>1幅</t>
        </is>
      </c>
      <c r="U152" s="345" t="inlineStr"/>
      <c r="V152" s="345" t="inlineStr"/>
      <c r="W152" s="345" t="inlineStr"/>
      <c r="X152" s="345" t="inlineStr"/>
      <c r="Y152" s="345" t="inlineStr">
        <is>
          <t>confirmed</t>
        </is>
      </c>
      <c r="Z152" s="345" t="n">
        <v>0</v>
      </c>
      <c r="AA152" s="345" t="inlineStr">
        <is>
          <t>匹配到商品档案但无历史价格记录</t>
        </is>
      </c>
      <c r="AB152" s="345" t="inlineStr">
        <is>
          <t>赛特尔25年.xls｜高中地理｜第103行</t>
        </is>
      </c>
    </row>
    <row r="153" customFormat="1" s="195">
      <c r="A153" s="106" t="n">
        <v>302</v>
      </c>
      <c r="B153" s="347" t="n">
        <v>30307506010</v>
      </c>
      <c r="C153" s="117" t="inlineStr">
        <is>
          <t>钠光灯</t>
        </is>
      </c>
      <c r="D153" s="115" t="inlineStr">
        <is>
          <t>包含钠灯及配套电源</t>
        </is>
      </c>
      <c r="E153" s="347" t="n">
        <v>1</v>
      </c>
      <c r="F153" s="117" t="inlineStr">
        <is>
          <t>套</t>
        </is>
      </c>
      <c r="G153" s="298">
        <f>_xlfn.DISPIMG("ID_8CB02C70AF4044F6AF1C8BB611CA7D4F",1)</f>
        <v/>
      </c>
      <c r="H153" s="330" t="n"/>
      <c r="I153" s="348" t="n">
        <v>30307506010</v>
      </c>
      <c r="J153" s="40" t="inlineStr">
        <is>
          <t>包含钠灯及配套电源</t>
        </is>
      </c>
      <c r="K153" s="39" t="inlineStr">
        <is>
          <t>乐百仕</t>
        </is>
      </c>
      <c r="L153" s="39" t="inlineStr">
        <is>
          <t>江苏乐百仕教育科技有限公司</t>
        </is>
      </c>
      <c r="M153" s="345" t="n">
        <v>1</v>
      </c>
      <c r="N153" s="345" t="n">
        <v>0.24</v>
      </c>
      <c r="O153" s="345" t="n">
        <v>0.24</v>
      </c>
      <c r="P153" s="345" t="inlineStr">
        <is>
          <t>套</t>
        </is>
      </c>
      <c r="Q153" s="345" t="inlineStr"/>
      <c r="R153" s="345" t="inlineStr"/>
      <c r="S153" s="345" t="inlineStr"/>
      <c r="T153" s="345" t="inlineStr">
        <is>
          <t>试剂</t>
        </is>
      </c>
      <c r="U153" s="345" t="inlineStr"/>
      <c r="V153" s="345" t="inlineStr"/>
      <c r="W153" s="345" t="inlineStr"/>
      <c r="X153" s="345" t="inlineStr"/>
      <c r="Y153" s="345" t="inlineStr">
        <is>
          <t>confirmed</t>
        </is>
      </c>
      <c r="Z153" s="345" t="n">
        <v>0</v>
      </c>
      <c r="AA153" s="345" t="inlineStr">
        <is>
          <t>匹配到商品档案但无历史价格记录</t>
        </is>
      </c>
      <c r="AB153" s="345" t="inlineStr">
        <is>
          <t>赛特尔25年.xls｜高中化学｜第414行</t>
        </is>
      </c>
    </row>
    <row r="154" customFormat="1" s="257">
      <c r="A154" s="106" t="n">
        <v>303</v>
      </c>
      <c r="B154" s="67" t="n">
        <v>30307502910</v>
      </c>
      <c r="C154" s="293" t="inlineStr">
        <is>
          <t>双缝干涉实验仪</t>
        </is>
      </c>
      <c r="D154" s="302" t="inlineStr">
        <is>
          <t>包含光源、滤光片、单缝、双缝（标记双缝间距）、遮光筒（可以测得或标记双缝到光屏的距离）及测量系统（带游标卡尺或螺旋测微器）等；不加滤光片时可调出白光的干涉条纹，加上滤光片后可以清晰呈现 5 条以上干涉条纹</t>
        </is>
      </c>
      <c r="E154" s="31" t="n">
        <v>13</v>
      </c>
      <c r="F154" s="26" t="inlineStr">
        <is>
          <t>套</t>
        </is>
      </c>
      <c r="G154" s="340">
        <f>_xlfn.DISPIMG("ID_5DE55CD723B444109607557EDAFF0888",1)</f>
        <v/>
      </c>
      <c r="H154" s="31" t="n"/>
      <c r="I154" s="67" t="n">
        <v>30307502910</v>
      </c>
      <c r="J154" s="164" t="inlineStr">
        <is>
          <t>包含光源、滤光片、单缝、双缝（标记双缝间距）、遮光筒（可以测得或标记双缝到光屏的距离）及测量系统（带游标卡尺或螺旋测微器）等；不加滤光片时可调出白光的干涉条纹，加上滤光片后可以清晰呈现 5 条以上干涉条纹</t>
        </is>
      </c>
      <c r="K154" s="39" t="inlineStr">
        <is>
          <t>乐百仕</t>
        </is>
      </c>
      <c r="L154" s="39" t="inlineStr">
        <is>
          <t>江苏乐百仕教育科技有限公司</t>
        </is>
      </c>
      <c r="M154" s="345" t="n">
        <v>13</v>
      </c>
      <c r="N154" s="345" t="n">
        <v>135</v>
      </c>
      <c r="O154" s="345" t="n">
        <v>1755</v>
      </c>
      <c r="P154" s="345" t="inlineStr">
        <is>
          <t>套</t>
        </is>
      </c>
      <c r="Q154" s="345" t="inlineStr">
        <is>
          <t>群信</t>
        </is>
      </c>
      <c r="R154" s="345" t="inlineStr"/>
      <c r="S154" s="345" t="inlineStr">
        <is>
          <t>25020</t>
        </is>
      </c>
      <c r="T154" s="345" t="inlineStr">
        <is>
          <t>25020</t>
        </is>
      </c>
      <c r="U154" s="345" t="inlineStr"/>
      <c r="V154" s="345" t="inlineStr"/>
      <c r="W154" s="345" t="inlineStr"/>
      <c r="X154" s="345" t="inlineStr"/>
      <c r="Y154" s="345" t="inlineStr">
        <is>
          <t>confirmed</t>
        </is>
      </c>
      <c r="Z154" s="345" t="n">
        <v>0</v>
      </c>
      <c r="AA154" s="345" t="inlineStr">
        <is>
          <t>没有找到可靠候选</t>
        </is>
      </c>
      <c r="AB154" s="345" t="inlineStr">
        <is>
          <t>高中理化生报价.xlsx｜凯迪｜第314行</t>
        </is>
      </c>
    </row>
    <row r="155" customFormat="1" s="257">
      <c r="A155" s="106" t="n">
        <v>304</v>
      </c>
      <c r="B155" s="67" t="n">
        <v>30307502920</v>
      </c>
      <c r="C155" s="301" t="n"/>
      <c r="D155" s="302" t="inlineStr">
        <is>
          <t>激光光源或半导体激光光源，干涉条纹清晰，宜配套摄像头采集实验图像</t>
        </is>
      </c>
      <c r="E155" s="31" t="n">
        <v>1</v>
      </c>
      <c r="F155" s="26" t="inlineStr">
        <is>
          <t>套</t>
        </is>
      </c>
      <c r="G155" s="340">
        <f>_xlfn.DISPIMG("ID_2C716170E61549898BC7B8E1DE879DC7",1)</f>
        <v/>
      </c>
      <c r="H155" s="31" t="n"/>
      <c r="I155" s="67" t="n">
        <v>30307502920</v>
      </c>
      <c r="J155" s="164" t="inlineStr">
        <is>
          <t>激光光源或半导体激光光源，干涉条纹清晰，宜配套摄像头采集实验图像</t>
        </is>
      </c>
      <c r="K155" s="39" t="inlineStr">
        <is>
          <t>乐百仕</t>
        </is>
      </c>
      <c r="L155" s="39" t="inlineStr">
        <is>
          <t>江苏乐百仕教育科技有限公司</t>
        </is>
      </c>
      <c r="M155" s="345" t="n">
        <v>1</v>
      </c>
      <c r="N155" s="345" t="n">
        <v>135</v>
      </c>
      <c r="O155" s="345" t="n">
        <v>135</v>
      </c>
      <c r="P155" s="345" t="inlineStr">
        <is>
          <t>套</t>
        </is>
      </c>
      <c r="Q155" s="345" t="inlineStr">
        <is>
          <t>群信</t>
        </is>
      </c>
      <c r="R155" s="345" t="inlineStr"/>
      <c r="S155" s="345" t="inlineStr">
        <is>
          <t>25020</t>
        </is>
      </c>
      <c r="T155" s="345" t="inlineStr">
        <is>
          <t>25020</t>
        </is>
      </c>
      <c r="U155" s="345" t="inlineStr"/>
      <c r="V155" s="345" t="inlineStr"/>
      <c r="W155" s="345" t="inlineStr"/>
      <c r="X155" s="345" t="inlineStr"/>
      <c r="Y155" s="345" t="inlineStr">
        <is>
          <t>confirmed</t>
        </is>
      </c>
      <c r="Z155" s="345" t="n">
        <v>0</v>
      </c>
      <c r="AA155" s="345" t="inlineStr">
        <is>
          <t>没有找到可靠候选</t>
        </is>
      </c>
      <c r="AB155" s="345" t="inlineStr">
        <is>
          <t>高中理化生报价.xlsx｜凯迪｜第314行</t>
        </is>
      </c>
    </row>
    <row r="156" customFormat="1" s="257">
      <c r="A156" s="264" t="n">
        <v>305</v>
      </c>
      <c r="B156" s="71" t="n">
        <v>30307504901</v>
      </c>
      <c r="C156" s="308" t="inlineStr">
        <is>
          <t>光学实验系统</t>
        </is>
      </c>
      <c r="D156" s="310" t="inlineStr">
        <is>
          <t>由轨道、可调光源座、光缝座、光屏座、相对光照度分布传感器、单缝、双缝、USB 数据线构成；可与计算机直接通信</t>
        </is>
      </c>
      <c r="E156" s="53" t="n">
        <v>13</v>
      </c>
      <c r="F156" s="50" t="inlineStr">
        <is>
          <t>套</t>
        </is>
      </c>
      <c r="G156" s="223">
        <f>_xlfn.DISPIMG("ID_AABEB611BB1F44D6B88C9350191E1E59",1)</f>
        <v/>
      </c>
      <c r="H156" s="245" t="n"/>
      <c r="I156" s="71" t="inlineStr">
        <is>
          <t>LBS-DIS124</t>
        </is>
      </c>
      <c r="J156" s="77" t="inlineStr">
        <is>
          <t>由轨道、可调光源座、光缝座、光屏座、相对光照度分布传感器、单缝、双缝、USB 数据线构成；可与计算机直接通信
技术参数：
物理光学缝片类：
产品组成：单缝镜片组、双缝镜片组。
规格：尺寸50×55×5mm，卡扣式橙色壳体，双缝镜片0.1mm间距0.36mm、双缝镜片0.1mm间距0.18mm、单缝镜片0.8mm、单缝镜片0.4mm；材质：ABS工程塑料、光学玻璃；工艺：塑料注塑成型、光学玻璃镀膜；功能描述：用于物理光学实验的缝片，可以实现单双缝衍射、干涉等的演示实验。
滑轨卡座：
规格：76×37×35mm；材质：ABS工程塑料；工艺：塑料注塑成型；功能描述：①、既可以卡到多功能轨道上， 也可以卡到X型支座构建的光学轨道上。②、可以将透镜卡座或者圆台支撑座通过M4手紧螺丝锁紧。③、滑轨卡座上的2个卡槽，可以匹配上透镜卡座，让两者组成专用透镜座组件。
带角度盘透镜卡座：
规格：139×104×33mm；材质：ABS工程塑料；工艺：塑料注塑成型；功能描述：带角度盘透镜卡座内贴角度刻度盘，内部的透镜卡座可以卡配控光板卡座，控光板卡座可以在透镜卡座上可按一定角度旋转，用于如调整偏振光片的角度，或将物理光学缝片插接到控光板卡座上以完成物理光学实验。</t>
        </is>
      </c>
      <c r="K156" s="48" t="inlineStr">
        <is>
          <t>乐百仕</t>
        </is>
      </c>
      <c r="L156" s="48" t="inlineStr">
        <is>
          <t>江苏乐百仕教育科技有限公司</t>
        </is>
      </c>
      <c r="M156" s="345" t="n">
        <v>13</v>
      </c>
      <c r="N156" s="345" t="n">
        <v>130</v>
      </c>
      <c r="O156" s="345" t="n">
        <v>1690</v>
      </c>
      <c r="P156" s="345" t="inlineStr">
        <is>
          <t>套</t>
        </is>
      </c>
      <c r="Q156" s="345" t="inlineStr">
        <is>
          <t>群信</t>
        </is>
      </c>
      <c r="R156" s="345" t="inlineStr"/>
      <c r="S156" s="345" t="inlineStr"/>
      <c r="T156" s="345" t="inlineStr">
        <is>
          <t>26040</t>
        </is>
      </c>
      <c r="U156" s="345" t="n">
        <v>3000</v>
      </c>
      <c r="V156" s="345" t="inlineStr"/>
      <c r="W156" s="345" t="inlineStr"/>
      <c r="X156" s="345" t="inlineStr"/>
      <c r="Y156" s="345" t="inlineStr">
        <is>
          <t>confirmed</t>
        </is>
      </c>
      <c r="Z156" s="345" t="n">
        <v>57.1</v>
      </c>
      <c r="AA156" s="345" t="inlineStr"/>
      <c r="AB156" s="345" t="inlineStr">
        <is>
          <t>高中理化生报价.xlsx｜凯迪｜第926行</t>
        </is>
      </c>
    </row>
    <row r="157" customFormat="1" s="257">
      <c r="A157" s="106" t="n">
        <v>309</v>
      </c>
      <c r="B157" s="67" t="n">
        <v>30307506410</v>
      </c>
      <c r="C157" s="26" t="inlineStr">
        <is>
          <t>激光特性实验仪</t>
        </is>
      </c>
      <c r="D157" s="302" t="inlineStr">
        <is>
          <t>由两种对比光源（白光 LED、绿光激光器，I 类激光）、光屏、分束镜、反射镜、棱镜等组成</t>
        </is>
      </c>
      <c r="E157" s="154" t="n">
        <v>1</v>
      </c>
      <c r="F157" s="26" t="inlineStr">
        <is>
          <t>套</t>
        </is>
      </c>
      <c r="G157" s="340">
        <f>_xlfn.DISPIMG("ID_E3DE249162274CD4AB8A411C689AD60A",1)</f>
        <v/>
      </c>
      <c r="H157" s="220" t="n"/>
      <c r="I157" s="67" t="n">
        <v>30307506410</v>
      </c>
      <c r="J157" s="164" t="inlineStr">
        <is>
          <t>由两种对比光源（白光 LED、绿光激光器，I 类激光）、光屏、分束镜、反射镜、棱镜等组成</t>
        </is>
      </c>
      <c r="K157" s="39" t="inlineStr">
        <is>
          <t>乐百仕</t>
        </is>
      </c>
      <c r="L157" s="39" t="inlineStr">
        <is>
          <t>江苏乐百仕教育科技有限公司</t>
        </is>
      </c>
      <c r="M157" s="345" t="n">
        <v>1</v>
      </c>
      <c r="N157" s="345" t="n">
        <v>45</v>
      </c>
      <c r="O157" s="345" t="n">
        <v>45</v>
      </c>
      <c r="P157" s="345" t="inlineStr">
        <is>
          <t>套</t>
        </is>
      </c>
      <c r="Q157" s="345" t="inlineStr"/>
      <c r="R157" s="345" t="inlineStr"/>
      <c r="S157" s="345" t="inlineStr"/>
      <c r="T157" s="345" t="inlineStr">
        <is>
          <t>纳米磁流体、自洁玻璃、纳米布等</t>
        </is>
      </c>
      <c r="U157" s="345" t="inlineStr"/>
      <c r="V157" s="345" t="inlineStr"/>
      <c r="W157" s="345" t="inlineStr"/>
      <c r="X157" s="345" t="inlineStr"/>
      <c r="Y157" s="345" t="inlineStr">
        <is>
          <t>confirmed</t>
        </is>
      </c>
      <c r="Z157" s="345" t="n">
        <v>57.1</v>
      </c>
      <c r="AA157" s="345" t="inlineStr"/>
      <c r="AB157" s="345" t="inlineStr">
        <is>
          <t>赛特尔25年.xls｜初中新课标物理｜第151行</t>
        </is>
      </c>
    </row>
    <row r="158" customFormat="1" s="195">
      <c r="A158" s="106" t="n">
        <v>311</v>
      </c>
      <c r="B158" s="31" t="n">
        <v>30307300101</v>
      </c>
      <c r="C158" s="26" t="inlineStr">
        <is>
          <t>玻棒(附丝绸)</t>
        </is>
      </c>
      <c r="D158" s="141" t="inlineStr">
        <is>
          <t>或有机玻棒(附丝绸)，丝绸面积≥350 mm×350 mm。在规定工作条件下，用丝绸裹住玻棒（或有机玻棒），做一次快速拉出，棒上所带的电荷用 D－YDQ－Z－100 型指针验电器检验张角≥30°（≥50°）</t>
        </is>
      </c>
      <c r="E158" s="31" t="n">
        <v>13</v>
      </c>
      <c r="F158" s="26" t="inlineStr">
        <is>
          <t>对</t>
        </is>
      </c>
      <c r="G158" s="147">
        <f>_xlfn.DISPIMG("ID_4DF35F327CBD42EBBCF57CEAC68A5CF6",1)</f>
        <v/>
      </c>
      <c r="H158" s="330" t="n"/>
      <c r="I158" s="31" t="n">
        <v>30307300101</v>
      </c>
      <c r="J158" s="33" t="inlineStr">
        <is>
          <t>或有机玻棒(附丝绸)，丝绸面积≥350 mm×350 mm。在规定工作条件下，用丝绸裹住玻棒（或有机玻棒），做一次快速拉出，棒上所带的电荷用 D－YDQ－Z－100 型指针验电器检验张角≥30°（≥50°）</t>
        </is>
      </c>
      <c r="K158" s="39" t="inlineStr">
        <is>
          <t>乐百仕</t>
        </is>
      </c>
      <c r="L158" s="39" t="inlineStr">
        <is>
          <t>江苏乐百仕教育科技有限公司</t>
        </is>
      </c>
      <c r="M158" s="345" t="n">
        <v>13</v>
      </c>
      <c r="N158" s="345" t="n">
        <v>3</v>
      </c>
      <c r="O158" s="345" t="n">
        <v>39</v>
      </c>
      <c r="P158" s="345" t="inlineStr">
        <is>
          <t>对</t>
        </is>
      </c>
      <c r="Q158" s="345" t="inlineStr"/>
      <c r="R158" s="345" t="inlineStr"/>
      <c r="S158" s="345" t="inlineStr"/>
      <c r="T158" s="345" t="inlineStr"/>
      <c r="U158" s="345" t="n">
        <v>3</v>
      </c>
      <c r="V158" s="345" t="inlineStr"/>
      <c r="W158" s="345" t="n">
        <v>6.5</v>
      </c>
      <c r="X158" s="345" t="inlineStr"/>
      <c r="Y158" s="345" t="inlineStr">
        <is>
          <t>confirmed</t>
        </is>
      </c>
      <c r="Z158" s="345" t="n">
        <v>100</v>
      </c>
      <c r="AA158" s="345" t="inlineStr">
        <is>
          <t>价格分歧&gt;30%：历史报价分歧较大，需人工核对</t>
        </is>
      </c>
      <c r="AB158" s="345" t="inlineStr">
        <is>
          <t>赛特尔25年.xls｜初中物理｜第158行</t>
        </is>
      </c>
    </row>
    <row r="159" customFormat="1" s="195">
      <c r="A159" s="106" t="n">
        <v>312</v>
      </c>
      <c r="B159" s="31" t="n">
        <v>30307307401</v>
      </c>
      <c r="C159" s="26" t="inlineStr">
        <is>
          <t>胶棒(附毛皮)</t>
        </is>
      </c>
      <c r="D159" s="141" t="inlineStr">
        <is>
          <t>或聚碳酸酯棒(附毛皮)，毛皮面积≥150 mm ×150 mm。在规定工作条件下，用毛皮裹胶棒（或聚碳酸脂棒），做一次快速拉出，棒上所带的电荷用 D－YDQ－Z－100 型指针验电器检验张角≥30°（≥45°）</t>
        </is>
      </c>
      <c r="E159" s="31" t="n">
        <v>13</v>
      </c>
      <c r="F159" s="26" t="inlineStr">
        <is>
          <t>对</t>
        </is>
      </c>
      <c r="G159" s="147">
        <f>_xlfn.DISPIMG("ID_84BC4EBF7F864A33A10438EDF0443D16",1)</f>
        <v/>
      </c>
      <c r="H159" s="330" t="n"/>
      <c r="I159" s="31" t="n">
        <v>30307307401</v>
      </c>
      <c r="J159" s="33" t="inlineStr">
        <is>
          <t>或聚碳酸酯棒(附毛皮)，毛皮面积≥150 mm ×150 mm。在规定工作条件下，用毛皮裹胶棒（或聚碳酸脂棒），做一次快速拉出，棒上所带的电荷用 D－YDQ－Z－100 型指针验电器检验张角≥30°（≥45°）</t>
        </is>
      </c>
      <c r="K159" s="39" t="inlineStr">
        <is>
          <t>乐百仕</t>
        </is>
      </c>
      <c r="L159" s="39" t="inlineStr">
        <is>
          <t>江苏乐百仕教育科技有限公司</t>
        </is>
      </c>
      <c r="M159" s="345" t="n">
        <v>13</v>
      </c>
      <c r="N159" s="345" t="n">
        <v>3</v>
      </c>
      <c r="O159" s="345" t="n">
        <v>39</v>
      </c>
      <c r="P159" s="345" t="inlineStr">
        <is>
          <t>对</t>
        </is>
      </c>
      <c r="Q159" s="345" t="inlineStr"/>
      <c r="R159" s="345" t="inlineStr"/>
      <c r="S159" s="345" t="inlineStr"/>
      <c r="T159" s="345" t="inlineStr"/>
      <c r="U159" s="345" t="n">
        <v>3</v>
      </c>
      <c r="V159" s="345" t="inlineStr"/>
      <c r="W159" s="345" t="n">
        <v>6.5</v>
      </c>
      <c r="X159" s="345" t="inlineStr"/>
      <c r="Y159" s="345" t="inlineStr">
        <is>
          <t>confirmed</t>
        </is>
      </c>
      <c r="Z159" s="345" t="n">
        <v>100</v>
      </c>
      <c r="AA159" s="345" t="inlineStr">
        <is>
          <t>价格分歧&gt;30%：历史报价分歧较大，需人工核对</t>
        </is>
      </c>
      <c r="AB159" s="345" t="inlineStr">
        <is>
          <t>赛特尔25年.xls｜初中物理｜第160行</t>
        </is>
      </c>
    </row>
    <row r="160" customFormat="1" s="190">
      <c r="A160" s="106" t="n">
        <v>313</v>
      </c>
      <c r="B160" s="103" t="n">
        <v>30307300201</v>
      </c>
      <c r="C160" s="26" t="inlineStr">
        <is>
          <t>箔片验电器</t>
        </is>
      </c>
      <c r="D160" s="278" t="inlineStr">
        <is>
          <t>由外壳、圆盘、导电杆、绝缘子、箔片、中位卡、接线柱和底座等组成。外壳应由不能带静电的材料制成，观察面应采用透明材料，透明材料透光率≥90%，箔片长度≥25 mm。性能要求：相对湿度≤65%的环境，圆盘上加 8 kV 直流高压，箔片张开与中位片角度≥45°。移去高压后，箔片张开角度保持 30°以上的时间≥10 min</t>
        </is>
      </c>
      <c r="E160" s="67" t="n">
        <v>1</v>
      </c>
      <c r="F160" s="26" t="inlineStr">
        <is>
          <t>对</t>
        </is>
      </c>
      <c r="G160" s="67">
        <f>_xlfn.DISPIMG("ID_5213A972D6E9420FA5AA72936BA51BF9",1)</f>
        <v/>
      </c>
      <c r="H160" s="330" t="n"/>
      <c r="I160" s="103" t="n">
        <v>30307300201</v>
      </c>
      <c r="J160" s="109" t="inlineStr">
        <is>
          <t>由外壳、圆盘、导电杆、绝缘子、箔片、中位卡、接线柱和底座等组成。外壳应由不能带静电的材料制成，观察面应采用透明材料，透明材料透光率≥90%，箔片长度≥25 mm。性能要求：相对湿度≤65%的环境，圆盘上加 8 kV 直流高压，箔片张开与中位片角度≥45°。移去高压后，箔片张开角度保持 30°以上的时间≥10 min</t>
        </is>
      </c>
      <c r="K160" s="39" t="inlineStr">
        <is>
          <t>乐百仕</t>
        </is>
      </c>
      <c r="L160" s="39" t="inlineStr">
        <is>
          <t>江苏乐百仕教育科技有限公司</t>
        </is>
      </c>
      <c r="M160" s="345" t="n">
        <v>1</v>
      </c>
      <c r="N160" s="345" t="n">
        <v>9</v>
      </c>
      <c r="O160" s="345" t="n">
        <v>9</v>
      </c>
      <c r="P160" s="345" t="inlineStr">
        <is>
          <t>对</t>
        </is>
      </c>
      <c r="Q160" s="345" t="inlineStr"/>
      <c r="R160" s="345" t="inlineStr"/>
      <c r="S160" s="345" t="inlineStr"/>
      <c r="T160" s="345" t="inlineStr"/>
      <c r="U160" s="345" t="n">
        <v>9</v>
      </c>
      <c r="V160" s="345" t="inlineStr"/>
      <c r="W160" s="345" t="n">
        <v>15</v>
      </c>
      <c r="X160" s="345" t="inlineStr"/>
      <c r="Y160" s="345" t="inlineStr">
        <is>
          <t>confirmed</t>
        </is>
      </c>
      <c r="Z160" s="345" t="n">
        <v>100</v>
      </c>
      <c r="AA160" s="345" t="inlineStr">
        <is>
          <t>价格分歧&gt;30%：历史报价分歧较大，需人工核对</t>
        </is>
      </c>
      <c r="AB160" s="345" t="inlineStr">
        <is>
          <t>赛特尔25年.xls｜初中物理｜第162行</t>
        </is>
      </c>
    </row>
    <row r="161" customFormat="1" s="190">
      <c r="A161" s="106" t="n">
        <v>314</v>
      </c>
      <c r="B161" s="103" t="n">
        <v>30307300301</v>
      </c>
      <c r="C161" s="26" t="inlineStr">
        <is>
          <t>指针验电器</t>
        </is>
      </c>
      <c r="D161" s="278" t="inlineStr">
        <is>
          <t>D－YDQ－Z－100 型指针验电器，由外壳、圆球、法拉第圆筒、导电杆、绝缘子、指针、指针架、接地线柱构成。外壳应由不能带静电的材料制成，外壳上观察面应采用透明材料（透光率≥90%），指针用非磁性材料，长度≥100 mm，带法拉第圆筒，指针刻度应为收敛式。性能要求：相对湿度≤65%的环境，圆球加 9kV直流高压，指针张开角度在45º～50º，移去高压后，指针保持 30°以上的时间≥20 min</t>
        </is>
      </c>
      <c r="E161" s="31" t="n">
        <v>13</v>
      </c>
      <c r="F161" s="26" t="inlineStr">
        <is>
          <t>对</t>
        </is>
      </c>
      <c r="G161" s="67">
        <f>_xlfn.DISPIMG("ID_FE6A63801ADD47CDAEACD8C1C5CDEBDD",1)</f>
        <v/>
      </c>
      <c r="H161" s="330" t="n"/>
      <c r="I161" s="103" t="n">
        <v>30307300301</v>
      </c>
      <c r="J161" s="109" t="inlineStr">
        <is>
          <t>D－YDQ－Z－100 型指针验电器，由外壳、圆球、法拉第圆筒、导电杆、绝缘子、指针、指针架、接地线柱构成。外壳应由不能带静电的材料制成，外壳上观察面应采用透明材料（透光率≥90%），指针用非磁性材料，长度≥100 mm，带法拉第圆筒，指针刻度应为收敛式。性能要求：相对湿度≤65%的环境，圆球加 9kV直流高压，指针张开角度在45º～50º，移去高压后，指针保持 30°以上的时间≥20 min</t>
        </is>
      </c>
      <c r="K161" s="39" t="inlineStr">
        <is>
          <t>乐百仕</t>
        </is>
      </c>
      <c r="L161" s="39" t="inlineStr">
        <is>
          <t>江苏乐百仕教育科技有限公司</t>
        </is>
      </c>
      <c r="M161" s="345" t="n">
        <v>13</v>
      </c>
      <c r="N161" s="345" t="n">
        <v>60</v>
      </c>
      <c r="O161" s="345" t="n">
        <v>780</v>
      </c>
      <c r="P161" s="345" t="inlineStr">
        <is>
          <t>对</t>
        </is>
      </c>
      <c r="Q161" s="345" t="inlineStr"/>
      <c r="R161" s="345" t="inlineStr"/>
      <c r="S161" s="345" t="inlineStr"/>
      <c r="T161" s="345" t="inlineStr"/>
      <c r="U161" s="345" t="n">
        <v>75</v>
      </c>
      <c r="V161" s="345" t="inlineStr"/>
      <c r="W161" s="345" t="n">
        <v>75</v>
      </c>
      <c r="X161" s="345" t="inlineStr"/>
      <c r="Y161" s="345" t="inlineStr">
        <is>
          <t>confirmed</t>
        </is>
      </c>
      <c r="Z161" s="345" t="n">
        <v>100</v>
      </c>
      <c r="AA161" s="345" t="inlineStr">
        <is>
          <t>同分多价：最高分候选存在不同历史价格</t>
        </is>
      </c>
      <c r="AB161" s="345" t="inlineStr">
        <is>
          <t>赛特尔25年.xls｜初中物理｜第163行</t>
        </is>
      </c>
    </row>
    <row r="162" customFormat="1" s="257">
      <c r="A162" s="106" t="n">
        <v>315</v>
      </c>
      <c r="B162" s="31" t="n">
        <v>30307300510</v>
      </c>
      <c r="C162" s="26" t="inlineStr">
        <is>
          <t>移电球（验电球）</t>
        </is>
      </c>
      <c r="D162" s="141" t="inlineStr">
        <is>
          <t>带有绝缘棒的金属小球</t>
        </is>
      </c>
      <c r="E162" s="154" t="n">
        <v>1</v>
      </c>
      <c r="F162" s="26" t="inlineStr">
        <is>
          <t>个</t>
        </is>
      </c>
      <c r="G162" s="147">
        <f>_xlfn.DISPIMG("ID_8002844232E846B79A224B6B964D0FDE",1)</f>
        <v/>
      </c>
      <c r="H162" s="330" t="n"/>
      <c r="I162" s="31" t="n">
        <v>30307300510</v>
      </c>
      <c r="J162" s="33" t="inlineStr">
        <is>
          <t>带有绝缘棒的金属小球</t>
        </is>
      </c>
      <c r="K162" s="39" t="inlineStr">
        <is>
          <t>乐百仕</t>
        </is>
      </c>
      <c r="L162" s="39" t="inlineStr">
        <is>
          <t>江苏乐百仕教育科技有限公司</t>
        </is>
      </c>
      <c r="M162" s="345" t="n">
        <v>1</v>
      </c>
      <c r="N162" s="345" t="n">
        <v>5</v>
      </c>
      <c r="O162" s="345" t="n">
        <v>5</v>
      </c>
      <c r="P162" s="345" t="inlineStr">
        <is>
          <t>个</t>
        </is>
      </c>
      <c r="Q162" s="345" t="inlineStr">
        <is>
          <t>群信</t>
        </is>
      </c>
      <c r="R162" s="345" t="inlineStr"/>
      <c r="S162" s="345" t="inlineStr">
        <is>
          <t>23043</t>
        </is>
      </c>
      <c r="T162" s="345" t="inlineStr">
        <is>
          <t>23043</t>
        </is>
      </c>
      <c r="U162" s="345" t="inlineStr"/>
      <c r="V162" s="345" t="inlineStr"/>
      <c r="W162" s="345" t="inlineStr"/>
      <c r="X162" s="345" t="inlineStr"/>
      <c r="Y162" s="345" t="inlineStr">
        <is>
          <t>confirmed</t>
        </is>
      </c>
      <c r="Z162" s="345" t="n">
        <v>100</v>
      </c>
      <c r="AA162" s="345" t="inlineStr"/>
      <c r="AB162" s="345" t="inlineStr">
        <is>
          <t>高中理化生报价.xlsx｜凯迪｜第225行</t>
        </is>
      </c>
    </row>
    <row r="163" customFormat="1" s="257">
      <c r="A163" s="106" t="n">
        <v>316</v>
      </c>
      <c r="B163" s="31" t="n">
        <v>30307317201</v>
      </c>
      <c r="C163" s="26" t="inlineStr">
        <is>
          <t>验电器连接杆</t>
        </is>
      </c>
      <c r="D163" s="141" t="inlineStr">
        <is>
          <t>含导电杆、绝缘手柄等，导电杆直径不小于 2 mm，长度不小于 250 mm，绝缘柄直径不小于 10 mm，长度不小于 150 mm</t>
        </is>
      </c>
      <c r="E163" s="154" t="n">
        <v>1</v>
      </c>
      <c r="F163" s="26" t="inlineStr">
        <is>
          <t>个</t>
        </is>
      </c>
      <c r="G163" s="147">
        <f>_xlfn.DISPIMG("ID_1C13BC7C16D140E98017F16B81441C0D",1)</f>
        <v/>
      </c>
      <c r="H163" s="330" t="n"/>
      <c r="I163" s="31" t="n">
        <v>30307317201</v>
      </c>
      <c r="J163" s="33" t="inlineStr">
        <is>
          <t>含导电杆、绝缘手柄等，导电杆直径不小于 2 mm，长度不小于 250 mm，绝缘柄直径不小于 10 mm，长度不小于 150 mm</t>
        </is>
      </c>
      <c r="K163" s="39" t="inlineStr">
        <is>
          <t>乐百仕</t>
        </is>
      </c>
      <c r="L163" s="39" t="inlineStr">
        <is>
          <t>江苏乐百仕教育科技有限公司</t>
        </is>
      </c>
      <c r="M163" s="345" t="n">
        <v>1</v>
      </c>
      <c r="N163" s="345" t="n">
        <v>5</v>
      </c>
      <c r="O163" s="345" t="n">
        <v>5</v>
      </c>
      <c r="P163" s="345" t="inlineStr">
        <is>
          <t>个</t>
        </is>
      </c>
      <c r="Q163" s="345" t="inlineStr">
        <is>
          <t>群信</t>
        </is>
      </c>
      <c r="R163" s="345" t="inlineStr"/>
      <c r="S163" s="345" t="inlineStr">
        <is>
          <t>23042</t>
        </is>
      </c>
      <c r="T163" s="345" t="inlineStr">
        <is>
          <t>23042</t>
        </is>
      </c>
      <c r="U163" s="345" t="n">
        <v>5.5</v>
      </c>
      <c r="V163" s="345" t="inlineStr"/>
      <c r="W163" s="345" t="inlineStr"/>
      <c r="X163" s="345" t="inlineStr"/>
      <c r="Y163" s="345" t="inlineStr">
        <is>
          <t>confirmed</t>
        </is>
      </c>
      <c r="Z163" s="345" t="n">
        <v>100</v>
      </c>
      <c r="AA163" s="345" t="inlineStr">
        <is>
          <t>同分多价：最高分候选存在不同历史价格</t>
        </is>
      </c>
      <c r="AB163" s="345" t="inlineStr">
        <is>
          <t>高中理化生报价.xlsx｜凯迪｜第224行</t>
        </is>
      </c>
    </row>
    <row r="164" customFormat="1" s="190">
      <c r="A164" s="264" t="n">
        <v>320</v>
      </c>
      <c r="B164" s="46" t="n">
        <v>30307310201</v>
      </c>
      <c r="C164" s="42" t="inlineStr">
        <is>
          <t>电子起电机</t>
        </is>
      </c>
      <c r="D164" s="73" t="inlineStr">
        <is>
          <t>放电距离应为 5 mm～35 mm，输出高压电流应≤500 μA，有短路保护和开路保护，连续工作时间不少于 30 min，输出电压对地正负对称</t>
        </is>
      </c>
      <c r="E164" s="71" t="n">
        <v>1</v>
      </c>
      <c r="F164" s="42" t="inlineStr">
        <is>
          <t>台</t>
        </is>
      </c>
      <c r="G164" s="71">
        <f>_xlfn.DISPIMG("ID_0D6A9D0FA78B40AAA6735979CE961E37",1)</f>
        <v/>
      </c>
      <c r="H164" s="220" t="n"/>
      <c r="I164" s="108" t="n">
        <v>30307310201</v>
      </c>
      <c r="J164" s="164" t="inlineStr">
        <is>
          <t>放电距离应为 5 mm～35 mm，输出高压电流应≤500 μA，有短路保护和开路保护，连续工作时间不少于 30 min，输出电压对地正负对称</t>
        </is>
      </c>
      <c r="K164" s="39" t="inlineStr">
        <is>
          <t>乐百仕</t>
        </is>
      </c>
      <c r="L164" s="39" t="inlineStr">
        <is>
          <t>江苏乐百仕教育科技有限公司</t>
        </is>
      </c>
      <c r="M164" s="345" t="n">
        <v>1</v>
      </c>
      <c r="N164" s="345" t="n">
        <v>95</v>
      </c>
      <c r="O164" s="345" t="n">
        <v>95</v>
      </c>
      <c r="P164" s="345" t="inlineStr">
        <is>
          <t>台</t>
        </is>
      </c>
      <c r="Q164" s="345" t="inlineStr"/>
      <c r="R164" s="345" t="inlineStr"/>
      <c r="S164" s="345" t="inlineStr"/>
      <c r="T164" s="345" t="inlineStr"/>
      <c r="U164" s="345" t="n">
        <v>95</v>
      </c>
      <c r="V164" s="345" t="inlineStr"/>
      <c r="W164" s="345" t="n">
        <v>380</v>
      </c>
      <c r="X164" s="345" t="inlineStr"/>
      <c r="Y164" s="345" t="inlineStr">
        <is>
          <t>confirmed</t>
        </is>
      </c>
      <c r="Z164" s="345" t="n">
        <v>60</v>
      </c>
      <c r="AA164" s="345" t="inlineStr"/>
      <c r="AB164" s="345" t="inlineStr">
        <is>
          <t>赛特尔25年.xls｜初中新课标物理｜第325行</t>
        </is>
      </c>
    </row>
    <row r="165" customFormat="1" s="252">
      <c r="A165" s="264" t="n">
        <v>321</v>
      </c>
      <c r="B165" s="311" t="n">
        <v>30307301101</v>
      </c>
      <c r="C165" s="53" t="inlineStr">
        <is>
          <t>枕形导体</t>
        </is>
      </c>
      <c r="D165" s="312" t="inlineStr">
        <is>
          <t>由一对相同的半枕形导体、绝缘支杆和底座等组成。半枕形导体下方应有一个导电挂钩，导电挂钩不应有尖端。圆筒导体的直径应不小于 55 mm，长度应不小于 100 mm。半枕形导体2应宜用 304 号及以上不锈钢制成，封闭端应为半球面。性能要求：使各静电导体与 D－YDQ－Z －100 型指针验电器连接，用 9 kV 高压使导体带电，10 min 内指针验电器的指针张角应≥30º</t>
        </is>
      </c>
      <c r="E165" s="53" t="n">
        <v>1</v>
      </c>
      <c r="F165" s="50" t="inlineStr">
        <is>
          <t>对</t>
        </is>
      </c>
      <c r="G165" s="313">
        <f>_xlfn.DISPIMG("ID_3991D7192D704C1494158D69BC6345B9",1)</f>
        <v/>
      </c>
      <c r="H165" s="220" t="n"/>
      <c r="I165" s="103" t="n">
        <v>30307301101</v>
      </c>
      <c r="J165" s="109" t="inlineStr">
        <is>
          <t>由一对相同的半枕形导体、绝缘支杆和底座等组成。半枕形导体下方应有一个导电挂钩，导电挂钩不应有尖端。圆筒导体的直径应不小于 55 mm，长度应不小于 100 mm。半枕形导体2应宜用 304 号及以上不锈钢制成，封闭端应为半球面。性能要求：使各静电导体与 D－YDQ－Z －100 型指针验电器连接，用 9 kV 高压使导体带电，10 min 内指针验电器的指针张角应≥30º</t>
        </is>
      </c>
      <c r="K165" s="39" t="inlineStr">
        <is>
          <t>乐百仕</t>
        </is>
      </c>
      <c r="L165" s="39" t="inlineStr">
        <is>
          <t>江苏乐百仕教育科技有限公司</t>
        </is>
      </c>
      <c r="M165" s="345" t="n">
        <v>1</v>
      </c>
      <c r="N165" s="345" t="n">
        <v>40</v>
      </c>
      <c r="O165" s="345" t="n">
        <v>40</v>
      </c>
      <c r="P165" s="345" t="inlineStr">
        <is>
          <t>对</t>
        </is>
      </c>
      <c r="Q165" s="345" t="inlineStr"/>
      <c r="R165" s="345" t="inlineStr"/>
      <c r="S165" s="345" t="inlineStr"/>
      <c r="T165" s="345" t="inlineStr"/>
      <c r="U165" s="345" t="inlineStr"/>
      <c r="V165" s="345" t="inlineStr"/>
      <c r="W165" s="345" t="inlineStr"/>
      <c r="X165" s="345" t="inlineStr"/>
      <c r="Y165" s="345" t="inlineStr">
        <is>
          <t>confirmed</t>
        </is>
      </c>
      <c r="Z165" s="345" t="n">
        <v>0</v>
      </c>
      <c r="AA165" s="345" t="inlineStr">
        <is>
          <t>没有找到可靠候选</t>
        </is>
      </c>
      <c r="AB165" s="345" t="inlineStr">
        <is>
          <t>赛特尔25年.xls｜初中新课标物理｜第324行</t>
        </is>
      </c>
    </row>
    <row r="166" customFormat="1" s="252">
      <c r="A166" s="264" t="n">
        <v>322</v>
      </c>
      <c r="B166" s="42" t="n">
        <v>30307301010</v>
      </c>
      <c r="C166" s="53" t="inlineStr">
        <is>
          <t>球形导体</t>
        </is>
      </c>
      <c r="D166" s="280" t="inlineStr">
        <is>
          <t>由圆球形导体或开口的圆球形导体、绝缘支杆和底座构成。导体宜用 304 号以上不锈钢制成，球体直径应不小于 90mm。性能要求：使静电导体与 D－YDQ－Z －100 型指针验电器连接，用 9 kV 高压使导体带电，10 min 内指针验电器的指针张角应≥30º</t>
        </is>
      </c>
      <c r="E166" s="53" t="n">
        <v>1</v>
      </c>
      <c r="F166" s="50" t="inlineStr">
        <is>
          <t>套</t>
        </is>
      </c>
      <c r="G166" s="313">
        <f>_xlfn.DISPIMG("ID_73691D447F58442C8A96704DF217E464",1)</f>
        <v/>
      </c>
      <c r="H166" s="147" t="n"/>
      <c r="I166" s="103" t="n">
        <v>30307301000</v>
      </c>
      <c r="J166" s="109" t="inlineStr">
        <is>
          <t>由圆球形导体、绝缘支杆和底座构成。导体宜用 304 号以上不锈钢制成，球体直径应不小于 90mm。性能要求：使静电导体与 D－YDQ－Z －100 型指针验电器连接，用 9 kV 高压使导体带电，10 min 内指针验电器的指针张角应≥30º
技术参数：
三角底座：
尺寸规格：120*120*27mm（±5mm）；材质工艺：ABS塑料精密注塑成型；功能描述：为整个演示器提供牢固稳定的底座，内嵌垫片，使得底座具备防滑耐磨的特点。
球形导体：
尺寸规格：∅100mm（±5mm），厚度1mm；材质工艺：不锈钢304材质，表面光滑无毛刺；功能描述：与验电器配合使用进行静电类实验。
能够完成的教学演示：
静电感应；带电导体的电荷分布：静电感应等静电学实验。</t>
        </is>
      </c>
      <c r="K166" s="39" t="inlineStr">
        <is>
          <t>乐百仕</t>
        </is>
      </c>
      <c r="L166" s="39" t="inlineStr">
        <is>
          <t>江苏乐百仕教育科技有限公司</t>
        </is>
      </c>
      <c r="M166" s="345" t="n">
        <v>1</v>
      </c>
      <c r="N166" s="345" t="n">
        <v>25</v>
      </c>
      <c r="O166" s="345" t="n">
        <v>25</v>
      </c>
      <c r="P166" s="345" t="inlineStr">
        <is>
          <t>套</t>
        </is>
      </c>
      <c r="Q166" s="345" t="inlineStr">
        <is>
          <t>群信</t>
        </is>
      </c>
      <c r="R166" s="345" t="inlineStr"/>
      <c r="S166" s="345" t="inlineStr">
        <is>
          <t>23041</t>
        </is>
      </c>
      <c r="T166" s="345" t="inlineStr">
        <is>
          <t>23041</t>
        </is>
      </c>
      <c r="U166" s="345" t="inlineStr"/>
      <c r="V166" s="345" t="inlineStr"/>
      <c r="W166" s="345" t="inlineStr"/>
      <c r="X166" s="345" t="inlineStr"/>
      <c r="Y166" s="345" t="inlineStr">
        <is>
          <t>confirmed</t>
        </is>
      </c>
      <c r="Z166" s="345" t="n">
        <v>0</v>
      </c>
      <c r="AA166" s="345" t="inlineStr">
        <is>
          <t>没有找到可靠候选</t>
        </is>
      </c>
      <c r="AB166" s="345" t="inlineStr">
        <is>
          <t>高中理化生报价.xlsx｜凯迪｜第223行</t>
        </is>
      </c>
    </row>
    <row r="167" customFormat="1" s="257">
      <c r="A167" s="106" t="n">
        <v>324</v>
      </c>
      <c r="B167" s="31" t="n">
        <v>30307300610</v>
      </c>
      <c r="C167" s="26" t="inlineStr">
        <is>
          <t>验电羽</t>
        </is>
      </c>
      <c r="D167" s="141" t="inlineStr">
        <is>
          <t>由绝缘支架、金属片、细尼龙绳、螺钉等组成。绝缘支架上装有两片金属片，两金属片间夹有若干长条形细尼龙绳</t>
        </is>
      </c>
      <c r="E167" s="154" t="n">
        <v>1</v>
      </c>
      <c r="F167" s="26" t="inlineStr">
        <is>
          <t>对</t>
        </is>
      </c>
      <c r="G167" s="147">
        <f>_xlfn.DISPIMG("ID_860ECF782E0B4BB784F98BA3D53A1E75",1)</f>
        <v/>
      </c>
      <c r="H167" s="330" t="n"/>
      <c r="I167" s="31" t="n">
        <v>30307300610</v>
      </c>
      <c r="J167" s="33" t="inlineStr">
        <is>
          <t>由绝缘支架、金属片、细尼龙绳、螺钉等组成。绝缘支架上装有两片金属片，两金属片间夹有若干长条形细尼龙绳</t>
        </is>
      </c>
      <c r="K167" s="39" t="inlineStr">
        <is>
          <t>乐百仕</t>
        </is>
      </c>
      <c r="L167" s="39" t="inlineStr">
        <is>
          <t>江苏乐百仕教育科技有限公司</t>
        </is>
      </c>
      <c r="M167" s="345" t="n">
        <v>1</v>
      </c>
      <c r="N167" s="345" t="n">
        <v>8</v>
      </c>
      <c r="O167" s="345" t="n">
        <v>8</v>
      </c>
      <c r="P167" s="345" t="inlineStr">
        <is>
          <t>对</t>
        </is>
      </c>
      <c r="Q167" s="345" t="inlineStr">
        <is>
          <t>群信</t>
        </is>
      </c>
      <c r="R167" s="345" t="inlineStr"/>
      <c r="S167" s="345" t="inlineStr">
        <is>
          <t>23044</t>
        </is>
      </c>
      <c r="T167" s="345" t="inlineStr">
        <is>
          <t>23044</t>
        </is>
      </c>
      <c r="U167" s="345" t="inlineStr"/>
      <c r="V167" s="345" t="inlineStr"/>
      <c r="W167" s="345" t="inlineStr"/>
      <c r="X167" s="345" t="inlineStr"/>
      <c r="Y167" s="345" t="inlineStr">
        <is>
          <t>confirmed</t>
        </is>
      </c>
      <c r="Z167" s="345" t="n">
        <v>100</v>
      </c>
      <c r="AA167" s="345" t="inlineStr"/>
      <c r="AB167" s="345" t="inlineStr">
        <is>
          <t>高中理化生报价.xlsx｜凯迪｜第226行</t>
        </is>
      </c>
    </row>
    <row r="168" customFormat="1" s="13">
      <c r="A168" s="106" t="n">
        <v>325</v>
      </c>
      <c r="B168" s="103" t="n">
        <v>30307300710</v>
      </c>
      <c r="C168" s="26" t="inlineStr">
        <is>
          <t>验电幡</t>
        </is>
      </c>
      <c r="D168" s="278" t="inlineStr">
        <is>
          <t>由长方形铜丝网、绝缘支柱、底座等部分组成。绝缘部分宜用有机玻璃制成</t>
        </is>
      </c>
      <c r="E168" s="67" t="n">
        <v>1</v>
      </c>
      <c r="F168" s="26" t="inlineStr">
        <is>
          <t>套</t>
        </is>
      </c>
      <c r="G168" s="108">
        <f>_xlfn.DISPIMG("ID_39D109C73755426AAB359C72C291CCFA",1)</f>
        <v/>
      </c>
      <c r="H168" s="330" t="n"/>
      <c r="I168" s="103" t="n">
        <v>30307300710</v>
      </c>
      <c r="J168" s="109" t="inlineStr">
        <is>
          <t>由长方形铜丝网、绝缘支柱、底座等部分组成。绝缘部分宜用有机玻璃制成</t>
        </is>
      </c>
      <c r="K168" s="39" t="inlineStr">
        <is>
          <t>乐百仕</t>
        </is>
      </c>
      <c r="L168" s="39" t="inlineStr">
        <is>
          <t>江苏乐百仕教育科技有限公司</t>
        </is>
      </c>
      <c r="M168" s="345" t="n">
        <v>1</v>
      </c>
      <c r="N168" s="345" t="n">
        <v>35</v>
      </c>
      <c r="O168" s="345" t="n">
        <v>35</v>
      </c>
      <c r="P168" s="345" t="inlineStr">
        <is>
          <t>套</t>
        </is>
      </c>
      <c r="Q168" s="345" t="inlineStr">
        <is>
          <t>群信</t>
        </is>
      </c>
      <c r="R168" s="345" t="inlineStr"/>
      <c r="S168" s="345" t="inlineStr">
        <is>
          <t>23045</t>
        </is>
      </c>
      <c r="T168" s="345" t="inlineStr">
        <is>
          <t>23045</t>
        </is>
      </c>
      <c r="U168" s="345" t="inlineStr"/>
      <c r="V168" s="345" t="inlineStr"/>
      <c r="W168" s="345" t="inlineStr"/>
      <c r="X168" s="345" t="inlineStr"/>
      <c r="Y168" s="345" t="inlineStr">
        <is>
          <t>confirmed</t>
        </is>
      </c>
      <c r="Z168" s="345" t="n">
        <v>0</v>
      </c>
      <c r="AA168" s="345" t="inlineStr">
        <is>
          <t>没有找到可靠候选</t>
        </is>
      </c>
      <c r="AB168" s="345" t="inlineStr">
        <is>
          <t>高中理化生报价.xlsx｜凯迪｜第227行</t>
        </is>
      </c>
    </row>
    <row r="169" customFormat="1" s="13">
      <c r="A169" s="106" t="n">
        <v>328</v>
      </c>
      <c r="B169" s="103" t="n">
        <v>30307301710</v>
      </c>
      <c r="C169" s="26" t="inlineStr">
        <is>
          <t>库仑定律演示器</t>
        </is>
      </c>
      <c r="D169" s="115" t="inlineStr">
        <is>
          <t>精确到千分位的电子天平，三个带有绝缘底座的相同的金属小球，带刻度（最小刻度 1 mm）的支架，一个金属小球通过绝缘杆连接在支架上，并可自由升降和固定。将以上仪器封装于矩形有机玻璃罩内，有开口可进行相应调节，另附红外干燥器</t>
        </is>
      </c>
      <c r="E169" s="67" t="n">
        <v>1</v>
      </c>
      <c r="F169" s="26" t="inlineStr">
        <is>
          <t>套</t>
        </is>
      </c>
      <c r="G169" s="108">
        <f>_xlfn.DISPIMG("ID_1B19DE4F1822481F8211B045747B3AF1",1)</f>
        <v/>
      </c>
      <c r="H169" s="147" t="n"/>
      <c r="I169" s="103" t="n">
        <v>30307301710</v>
      </c>
      <c r="J169" s="40" t="inlineStr">
        <is>
          <t>精确到千分位的电子天平，三个带有绝缘底座的相同的金属小球，带刻度（最小刻度 1 mm）的支架，一个金属小球通过绝缘杆连接在支架上，并可自由升降和固定。将以上仪器封装于矩形有机玻璃罩内，有开口可进行相应调节，另附红外干燥器</t>
        </is>
      </c>
      <c r="K169" s="39" t="inlineStr">
        <is>
          <t>乐百仕</t>
        </is>
      </c>
      <c r="L169" s="39" t="inlineStr">
        <is>
          <t>江苏乐百仕教育科技有限公司</t>
        </is>
      </c>
      <c r="M169" s="345" t="n">
        <v>1</v>
      </c>
      <c r="N169" s="345" t="n">
        <v>38</v>
      </c>
      <c r="O169" s="345" t="n">
        <v>38</v>
      </c>
      <c r="P169" s="345" t="inlineStr">
        <is>
          <t>套</t>
        </is>
      </c>
      <c r="Q169" s="345" t="inlineStr"/>
      <c r="R169" s="345" t="inlineStr"/>
      <c r="S169" s="345" t="inlineStr"/>
      <c r="T169" s="345" t="inlineStr"/>
      <c r="U169" s="345" t="n">
        <v>40</v>
      </c>
      <c r="V169" s="345" t="inlineStr"/>
      <c r="W169" s="345" t="n">
        <v>300</v>
      </c>
      <c r="X169" s="345" t="inlineStr"/>
      <c r="Y169" s="345" t="inlineStr">
        <is>
          <t>confirmed</t>
        </is>
      </c>
      <c r="Z169" s="345" t="n">
        <v>71.40000000000001</v>
      </c>
      <c r="AA169" s="345" t="inlineStr">
        <is>
          <t>价格分歧&gt;30%：历史报价分歧较大，需人工核对；同分多价：最高分候选存在不同历史价格</t>
        </is>
      </c>
      <c r="AB169" s="345" t="inlineStr">
        <is>
          <t>高中理化生报价.xlsx｜凯迪｜第662行</t>
        </is>
      </c>
    </row>
    <row r="170" customFormat="1" s="257">
      <c r="A170" s="106" t="n">
        <v>331</v>
      </c>
      <c r="B170" s="31" t="n">
        <v>30307302010</v>
      </c>
      <c r="C170" s="26" t="inlineStr">
        <is>
          <t>电场线演示器</t>
        </is>
      </c>
      <c r="D170" s="141" t="inlineStr">
        <is>
          <t>由单点电极演示板、双点电极演示板（同种电极和异种电极）、平行板电极演示板、环形电极演示板、尖形导体演示板组成</t>
        </is>
      </c>
      <c r="E170" s="154" t="n">
        <v>1</v>
      </c>
      <c r="F170" s="26" t="inlineStr">
        <is>
          <t>台</t>
        </is>
      </c>
      <c r="G170" s="147">
        <f>_xlfn.DISPIMG("ID_4FB1AABFC2B24233BEAEBEC5A83810C0",1)</f>
        <v/>
      </c>
      <c r="H170" s="314" t="n"/>
      <c r="I170" s="31" t="n">
        <v>30307302010</v>
      </c>
      <c r="J170" s="33" t="inlineStr">
        <is>
          <t>由单点电极演示板、双点电极演示板（同种电极和异种电极）、平行板电极演示板、环形电极演示板、尖形导体演示板组成</t>
        </is>
      </c>
      <c r="K170" s="39" t="inlineStr">
        <is>
          <t>乐百仕</t>
        </is>
      </c>
      <c r="L170" s="39" t="inlineStr">
        <is>
          <t>江苏乐百仕教育科技有限公司</t>
        </is>
      </c>
      <c r="M170" s="345" t="n">
        <v>1</v>
      </c>
      <c r="N170" s="345" t="n">
        <v>32</v>
      </c>
      <c r="O170" s="345" t="n">
        <v>32</v>
      </c>
      <c r="P170" s="345" t="inlineStr">
        <is>
          <t>台</t>
        </is>
      </c>
      <c r="Q170" s="345" t="inlineStr"/>
      <c r="R170" s="345" t="inlineStr"/>
      <c r="S170" s="345" t="inlineStr"/>
      <c r="T170" s="345" t="inlineStr"/>
      <c r="U170" s="345" t="n">
        <v>32</v>
      </c>
      <c r="V170" s="345" t="inlineStr"/>
      <c r="W170" s="345" t="n">
        <v>40</v>
      </c>
      <c r="X170" s="345" t="inlineStr"/>
      <c r="Y170" s="345" t="inlineStr">
        <is>
          <t>confirmed</t>
        </is>
      </c>
      <c r="Z170" s="345" t="n">
        <v>66.7</v>
      </c>
      <c r="AA170" s="345" t="inlineStr"/>
      <c r="AB170" s="345" t="inlineStr">
        <is>
          <t>赛特尔25年.xls｜初中化学｜第46行</t>
        </is>
      </c>
    </row>
    <row r="171" customFormat="1" s="252">
      <c r="A171" s="106" t="n">
        <v>340</v>
      </c>
      <c r="B171" s="103" t="n">
        <v>30307302910</v>
      </c>
      <c r="C171" s="31" t="inlineStr">
        <is>
          <t>平行板电容器演示器</t>
        </is>
      </c>
      <c r="D171" s="278" t="inlineStr">
        <is>
          <t>由底座、极板、介质板等构成，两平行板间距离可调，最大应不小于 100 mm，最小距离应不大于 3 mm。介质板插入两极板中间后，极板与介质板间应能接触。极板装配后，两块板面之间的相对面积应能任意调节，相对面积变化应能从100％变化到零。宜采用转动或平移错开极板改变相对面积的方式</t>
        </is>
      </c>
      <c r="E171" s="31" t="n">
        <v>1</v>
      </c>
      <c r="F171" s="26" t="inlineStr">
        <is>
          <t>套</t>
        </is>
      </c>
      <c r="G171" s="31">
        <f>_xlfn.DISPIMG("ID_933A53A7012B42F891DDAC208AF1C759",1)</f>
        <v/>
      </c>
      <c r="H171" s="330" t="n"/>
      <c r="I171" s="103" t="n">
        <v>30307302900</v>
      </c>
      <c r="J171" s="109" t="inlineStr">
        <is>
          <t>主要配置：
由三角底座、绝缘棒、铝圆板、绝缘圆板，连接件等组成。
技术参数：
三角底座：
尺寸规格：120*120*27mm（±5mm）；材质工艺：ABS塑料精密注塑成型；功能描述：为整个演示器提供牢固稳定的底座，内嵌垫片，使得底座具备防滑耐磨的特点。
铝圆板：
尺寸规格：∅200mm（±5mm），厚度1mm；材质工艺：铝6063-T5材质，表面光滑无毛刺；功能描述：平行板电容器的主要部件。
能够完成的教学演示：
探究影响平行板电容器电容大小的因素。</t>
        </is>
      </c>
      <c r="K171" s="39" t="inlineStr">
        <is>
          <t>乐百仕</t>
        </is>
      </c>
      <c r="L171" s="39" t="inlineStr">
        <is>
          <t>江苏乐百仕教育科技有限公司</t>
        </is>
      </c>
      <c r="M171" s="345" t="n">
        <v>1</v>
      </c>
      <c r="N171" s="345" t="n">
        <v>45</v>
      </c>
      <c r="O171" s="345" t="n">
        <v>45</v>
      </c>
      <c r="P171" s="345" t="inlineStr">
        <is>
          <t>套</t>
        </is>
      </c>
      <c r="Q171" s="345" t="inlineStr">
        <is>
          <t>群信</t>
        </is>
      </c>
      <c r="R171" s="345" t="inlineStr"/>
      <c r="S171" s="345" t="inlineStr">
        <is>
          <t>23056</t>
        </is>
      </c>
      <c r="T171" s="345" t="inlineStr">
        <is>
          <t>23056</t>
        </is>
      </c>
      <c r="U171" s="345" t="inlineStr"/>
      <c r="V171" s="345" t="inlineStr"/>
      <c r="W171" s="345" t="inlineStr"/>
      <c r="X171" s="345" t="inlineStr"/>
      <c r="Y171" s="345" t="inlineStr">
        <is>
          <t>confirmed</t>
        </is>
      </c>
      <c r="Z171" s="345" t="n">
        <v>100</v>
      </c>
      <c r="AA171" s="345" t="inlineStr"/>
      <c r="AB171" s="345" t="inlineStr">
        <is>
          <t>高中理化生报价.xlsx｜凯迪｜第238行</t>
        </is>
      </c>
    </row>
    <row r="172" customFormat="1" s="252">
      <c r="A172" s="264" t="n">
        <v>341</v>
      </c>
      <c r="B172" s="53" t="n">
        <v>30307303110</v>
      </c>
      <c r="C172" s="53" t="inlineStr">
        <is>
          <t>常用电容器示教板</t>
        </is>
      </c>
      <c r="D172" s="52" t="inlineStr">
        <is>
          <t>电解电容器、陶瓷电容器、独石电容器、贴片电容器、微调电容器、可变电容器等。性能要求：电容器要标明相应参数</t>
        </is>
      </c>
      <c r="E172" s="53" t="n">
        <v>1</v>
      </c>
      <c r="F172" s="50" t="inlineStr">
        <is>
          <t>套</t>
        </is>
      </c>
      <c r="G172" s="280">
        <f>_xlfn.DISPIMG("ID_B485427840A943C09B6B080D1DBA911F",1)</f>
        <v/>
      </c>
      <c r="H172" s="224" t="n"/>
      <c r="I172" s="53" t="n">
        <v>30307303100</v>
      </c>
      <c r="J172" s="54" t="inlineStr">
        <is>
          <t>电解电容器、陶瓷电容器、独石电容器、贴片电容器、微调电容器、可变电容器等。
技术参数：
外形尺寸666*470mm（±5mm）；上下为铝型材结构，6063-T5材料，具有良好的抗拉强度，表面黑色氧化细喷砂处理。左右为ABS塑料精密注塑成型边框。   
能够完成的教学演示：
展示常用电容器的实物，使学生了解常用电容器种类和外形，以加深对电容器外形与结构的认识；另配万用表可以演示测定不同种类电容的值。</t>
        </is>
      </c>
      <c r="K172" s="48" t="inlineStr">
        <is>
          <t>乐百仕</t>
        </is>
      </c>
      <c r="L172" s="48" t="inlineStr">
        <is>
          <t>江苏乐百仕教育科技有限公司</t>
        </is>
      </c>
      <c r="M172" s="345" t="n">
        <v>1</v>
      </c>
      <c r="N172" s="345" t="n">
        <v>45</v>
      </c>
      <c r="O172" s="345" t="n">
        <v>45</v>
      </c>
      <c r="P172" s="345" t="inlineStr">
        <is>
          <t>套</t>
        </is>
      </c>
      <c r="Q172" s="345" t="inlineStr">
        <is>
          <t>群信</t>
        </is>
      </c>
      <c r="R172" s="345" t="inlineStr"/>
      <c r="S172" s="345" t="inlineStr">
        <is>
          <t>23058</t>
        </is>
      </c>
      <c r="T172" s="345" t="inlineStr">
        <is>
          <t>23058</t>
        </is>
      </c>
      <c r="U172" s="345" t="inlineStr"/>
      <c r="V172" s="345" t="inlineStr"/>
      <c r="W172" s="345" t="inlineStr"/>
      <c r="X172" s="345" t="inlineStr"/>
      <c r="Y172" s="345" t="inlineStr">
        <is>
          <t>confirmed</t>
        </is>
      </c>
      <c r="Z172" s="345" t="n">
        <v>100</v>
      </c>
      <c r="AA172" s="345" t="inlineStr"/>
      <c r="AB172" s="345" t="inlineStr">
        <is>
          <t>高中理化生报价.xlsx｜凯迪｜第240行</t>
        </is>
      </c>
    </row>
    <row r="173" customFormat="1" s="252">
      <c r="A173" s="264" t="n">
        <v>342</v>
      </c>
      <c r="B173" s="42" t="n">
        <v>30307303210</v>
      </c>
      <c r="C173" s="53" t="inlineStr">
        <is>
          <t>电容器实验板</t>
        </is>
      </c>
      <c r="D173" s="280" t="inlineStr">
        <is>
          <t>包含不少于 5 种规格不同的电解电容器（均需＞10 μF），排列均匀，焊接在实验板上，能有效实现电容器充放电等实验</t>
        </is>
      </c>
      <c r="E173" s="53" t="n">
        <v>13</v>
      </c>
      <c r="F173" s="50" t="inlineStr">
        <is>
          <t>块</t>
        </is>
      </c>
      <c r="G173" s="53">
        <f>_xlfn.DISPIMG("ID_4A688F90ABC04BE3BFD3EE1C119520C4",1)</f>
        <v/>
      </c>
      <c r="H173" s="224" t="n"/>
      <c r="I173" s="42" t="n">
        <v>30307303200</v>
      </c>
      <c r="J173" s="47" t="inlineStr">
        <is>
          <t>包含不少于 5 种规格不同的电解电容器（均需＞10 μF），排列均匀，焊接在实验板上，能有效实现电容器充放电等实验
规格：尺寸220×140×38mm；材质：ABS工程塑料，环氧玻纤；工艺：表面丝印</t>
        </is>
      </c>
      <c r="K173" s="48" t="inlineStr">
        <is>
          <t>乐百仕</t>
        </is>
      </c>
      <c r="L173" s="48" t="inlineStr">
        <is>
          <t>江苏乐百仕教育科技有限公司</t>
        </is>
      </c>
      <c r="M173" s="345" t="n">
        <v>13</v>
      </c>
      <c r="N173" s="345" t="n">
        <v>12</v>
      </c>
      <c r="O173" s="345" t="n">
        <v>156</v>
      </c>
      <c r="P173" s="345" t="inlineStr">
        <is>
          <t>块</t>
        </is>
      </c>
      <c r="Q173" s="345" t="inlineStr">
        <is>
          <t>群信</t>
        </is>
      </c>
      <c r="R173" s="345" t="inlineStr"/>
      <c r="S173" s="345" t="inlineStr">
        <is>
          <t>80113</t>
        </is>
      </c>
      <c r="T173" s="345" t="inlineStr">
        <is>
          <t>80113</t>
        </is>
      </c>
      <c r="U173" s="345" t="inlineStr"/>
      <c r="V173" s="345" t="inlineStr"/>
      <c r="W173" s="345" t="inlineStr"/>
      <c r="X173" s="345" t="inlineStr"/>
      <c r="Y173" s="345" t="inlineStr">
        <is>
          <t>confirmed</t>
        </is>
      </c>
      <c r="Z173" s="345" t="n">
        <v>0</v>
      </c>
      <c r="AA173" s="345" t="inlineStr">
        <is>
          <t>匹配到商品档案但无历史价格记录</t>
        </is>
      </c>
      <c r="AB173" s="345" t="inlineStr">
        <is>
          <t>高中理化生报价.xlsx｜凯迪｜第387行</t>
        </is>
      </c>
    </row>
    <row r="174" customFormat="1" s="5">
      <c r="A174" s="264" t="n">
        <v>344</v>
      </c>
      <c r="B174" s="315" t="n">
        <v>30307305010</v>
      </c>
      <c r="C174" s="316" t="inlineStr">
        <is>
          <t>常用电阻器示教板</t>
        </is>
      </c>
      <c r="D174" s="317" t="inlineStr">
        <is>
          <t>定值电阻(碳膜电阻、金属膜电阻、绕线电阻、水泥电阻、贴片式电阻等)、可变电阻(电位器、小型滑动变阻器)、特殊电阻(热敏电阻、光敏电阻、压敏电阻）等</t>
        </is>
      </c>
      <c r="E174" s="53" t="n">
        <v>1</v>
      </c>
      <c r="F174" s="84" t="inlineStr">
        <is>
          <t>套</t>
        </is>
      </c>
      <c r="G174" s="53">
        <f>_xlfn.DISPIMG("ID_4142CE99728948D1ACF57320E0FCF3A4",1)</f>
        <v/>
      </c>
      <c r="H174" s="318" t="n"/>
      <c r="I174" s="84" t="n">
        <v>30307305000</v>
      </c>
      <c r="J174" s="54" t="inlineStr">
        <is>
          <t>定值电阻(碳膜电阻、金属膜电阻、绕线电阻、水泥电阻、贴片式电阻等)、可变电阻(电位器、小型滑动变阻器)、特殊电阻(热敏电阻、光敏电阻、压敏电阻）等
技术参数：
 外形尺寸666*470mm（±5mm）；上下为铝型材结构，6063-T5材料，具有良好的抗拉强度，表面黑色氧化细喷砂处理。左右为ABS塑料精密注塑成型边框。    
能够完成的教学演示：
展示常用电阻器的实物，使学生了解常用电阻器种类和外形，以加深对电阻器外形与结构的认识；另配万用表可以演示测定不同种类电阻的阻值。</t>
        </is>
      </c>
      <c r="K174" s="48" t="inlineStr">
        <is>
          <t>乐百仕</t>
        </is>
      </c>
      <c r="L174" s="48" t="inlineStr">
        <is>
          <t>江苏乐百仕教育科技有限公司</t>
        </is>
      </c>
      <c r="M174" s="345" t="n">
        <v>1</v>
      </c>
      <c r="N174" s="345" t="n">
        <v>45</v>
      </c>
      <c r="O174" s="345" t="n">
        <v>45</v>
      </c>
      <c r="P174" s="345" t="inlineStr">
        <is>
          <t>套</t>
        </is>
      </c>
      <c r="Q174" s="345" t="inlineStr">
        <is>
          <t>群信</t>
        </is>
      </c>
      <c r="R174" s="345" t="inlineStr"/>
      <c r="S174" s="345" t="inlineStr">
        <is>
          <t>23059</t>
        </is>
      </c>
      <c r="T174" s="345" t="inlineStr">
        <is>
          <t>23059</t>
        </is>
      </c>
      <c r="U174" s="345" t="n">
        <v>220</v>
      </c>
      <c r="V174" s="345" t="inlineStr"/>
      <c r="W174" s="345" t="inlineStr"/>
      <c r="X174" s="345" t="inlineStr"/>
      <c r="Y174" s="345" t="inlineStr">
        <is>
          <t>confirmed</t>
        </is>
      </c>
      <c r="Z174" s="345" t="n">
        <v>93.3</v>
      </c>
      <c r="AA174" s="345" t="inlineStr">
        <is>
          <t>同分多价：最高分候选存在不同历史价格</t>
        </is>
      </c>
      <c r="AB174" s="345" t="inlineStr">
        <is>
          <t>高中理化生报价.xlsx｜凯迪｜第241行</t>
        </is>
      </c>
    </row>
    <row r="175" customFormat="1" s="252">
      <c r="A175" s="264" t="n">
        <v>345</v>
      </c>
      <c r="B175" s="281" t="n">
        <v>30807008210</v>
      </c>
      <c r="C175" s="53" t="inlineStr">
        <is>
          <t>电阻器实验板</t>
        </is>
      </c>
      <c r="D175" s="280" t="inlineStr">
        <is>
          <t>由不少于 6 种不同规格的定值电阻（1Ω～100 kΩ）组成，排列均匀，焊接在实验板上，应注明标称值及系列</t>
        </is>
      </c>
      <c r="E175" s="53" t="n">
        <v>13</v>
      </c>
      <c r="F175" s="50" t="inlineStr">
        <is>
          <t>块</t>
        </is>
      </c>
      <c r="G175" s="53">
        <f>_xlfn.DISPIMG("ID_084C5256AFAA4EBBB32C3055D343AC2C",1)</f>
        <v/>
      </c>
      <c r="H175" s="318" t="n"/>
      <c r="I175" s="42" t="n">
        <v>30807008200</v>
      </c>
      <c r="J175" s="47" t="inlineStr">
        <is>
          <t>由不少于 6 种不同规格的定值电阻（1Ω～100 kΩ）组成，排列均匀，焊接在实验板上，应注明标称值及系列
规格：尺寸220×140×38mm；材质：ABS工程塑料，环氧玻纤；工艺：表面丝印</t>
        </is>
      </c>
      <c r="K175" s="48" t="inlineStr">
        <is>
          <t>乐百仕</t>
        </is>
      </c>
      <c r="L175" s="48" t="inlineStr">
        <is>
          <t>江苏乐百仕教育科技有限公司</t>
        </is>
      </c>
      <c r="M175" s="345" t="n">
        <v>13</v>
      </c>
      <c r="N175" s="345" t="n">
        <v>12</v>
      </c>
      <c r="O175" s="345" t="n">
        <v>156</v>
      </c>
      <c r="P175" s="345" t="inlineStr">
        <is>
          <t>块</t>
        </is>
      </c>
      <c r="Q175" s="345" t="inlineStr">
        <is>
          <t>群信</t>
        </is>
      </c>
      <c r="R175" s="345" t="inlineStr"/>
      <c r="S175" s="345" t="inlineStr">
        <is>
          <t>80113</t>
        </is>
      </c>
      <c r="T175" s="345" t="inlineStr">
        <is>
          <t>80113</t>
        </is>
      </c>
      <c r="U175" s="345" t="inlineStr"/>
      <c r="V175" s="345" t="inlineStr"/>
      <c r="W175" s="345" t="inlineStr"/>
      <c r="X175" s="345" t="inlineStr"/>
      <c r="Y175" s="345" t="inlineStr">
        <is>
          <t>confirmed</t>
        </is>
      </c>
      <c r="Z175" s="345" t="n">
        <v>0</v>
      </c>
      <c r="AA175" s="345" t="inlineStr">
        <is>
          <t>匹配到商品档案但无历史价格记录</t>
        </is>
      </c>
      <c r="AB175" s="345" t="inlineStr">
        <is>
          <t>高中理化生报价.xlsx｜凯迪｜第387行</t>
        </is>
      </c>
    </row>
    <row r="176" customFormat="1" s="190">
      <c r="A176" s="106" t="n">
        <v>349</v>
      </c>
      <c r="B176" s="284" t="n">
        <v>30307304001</v>
      </c>
      <c r="C176" s="26" t="inlineStr">
        <is>
          <t>单刀双掷开关</t>
        </is>
      </c>
      <c r="D176" s="278" t="inlineStr">
        <is>
          <t>最高工作电压 36 V，额定工作电流 6 A。开关闸刀、接线柱、垫片均为铜质，接触可靠。闸刀宽度≥7 mm，闸刀厚度≥0.7 mm。接线柱直径为 4 mm，有效行程≥4 mm。通额定电流，导电部分允许温升≤35 ℃，操作手柄允许温升≤25 ℃。开关的绝缘强度应能承受 1200 V 在额定直流电流工作条件下，接线两端直流电压降≤100 mV</t>
        </is>
      </c>
      <c r="E176" s="112" t="n">
        <v>28</v>
      </c>
      <c r="F176" s="26" t="inlineStr">
        <is>
          <t>个</t>
        </is>
      </c>
      <c r="G176" s="181" t="n"/>
      <c r="H176" s="314" t="n"/>
      <c r="I176" s="103" t="n">
        <v>30307304001</v>
      </c>
      <c r="J176" s="109" t="inlineStr">
        <is>
          <t>最高工作电压 36 V，额定工作电流 6 A。开关闸刀、接线柱、垫片均为铜质，接触可靠。闸刀宽度≥7 mm，闸刀厚度≥0.7 mm。接线柱直径为 4 mm，有效行程≥4 mm。通额定电流，导电部分允许温升≤35 ℃，操作手柄允许温升≤25 ℃。开关的绝缘强度应能承受 1200 V 在额定直流电流工作条件下，接线两端直流电压降≤100 mV</t>
        </is>
      </c>
      <c r="K176" s="39" t="inlineStr">
        <is>
          <t>乐百仕</t>
        </is>
      </c>
      <c r="L176" s="39" t="inlineStr">
        <is>
          <t>江苏乐百仕教育科技有限公司</t>
        </is>
      </c>
      <c r="M176" s="345" t="n">
        <v>28</v>
      </c>
      <c r="N176" s="345" t="n">
        <v>3.5</v>
      </c>
      <c r="O176" s="345" t="n">
        <v>98</v>
      </c>
      <c r="P176" s="345" t="inlineStr">
        <is>
          <t>个</t>
        </is>
      </c>
      <c r="Q176" s="345" t="inlineStr"/>
      <c r="R176" s="345" t="inlineStr"/>
      <c r="S176" s="345" t="inlineStr"/>
      <c r="T176" s="345" t="inlineStr"/>
      <c r="U176" s="345" t="n">
        <v>3.5</v>
      </c>
      <c r="V176" s="345" t="inlineStr"/>
      <c r="W176" s="345" t="n">
        <v>3.85</v>
      </c>
      <c r="X176" s="345" t="inlineStr"/>
      <c r="Y176" s="345" t="inlineStr">
        <is>
          <t>confirmed</t>
        </is>
      </c>
      <c r="Z176" s="345" t="n">
        <v>100</v>
      </c>
      <c r="AA176" s="345" t="inlineStr"/>
      <c r="AB176" s="345" t="inlineStr">
        <is>
          <t>赛特尔25年.xls｜初中新课标物理｜第407行</t>
        </is>
      </c>
    </row>
    <row r="177" customFormat="1" s="5">
      <c r="A177" s="106" t="n">
        <v>350</v>
      </c>
      <c r="B177" s="319" t="n">
        <v>30307304101</v>
      </c>
      <c r="C177" s="26" t="inlineStr">
        <is>
          <t>双刀双掷开关</t>
        </is>
      </c>
      <c r="D177" s="278" t="inlineStr">
        <is>
          <t>最高工作电压 36 V，额定工作电流 6 A。开关闸刀、接线柱、垫片均为铜质，接触可靠。闸刀宽度≥7 mm，闸刀厚度≥0.7 mm。接线柱直径为 4 mm，有效行程≥4 mm。通额定电流，导电部分允许温升≤35 ℃，操作手柄允许温升≤25 ℃。开关的绝缘强度应能承受 1200 V 在额定直流电流工作条件下，接线两端直流电压降≤100 mV</t>
        </is>
      </c>
      <c r="E177" s="112" t="n">
        <v>28</v>
      </c>
      <c r="F177" s="26" t="inlineStr">
        <is>
          <t>个</t>
        </is>
      </c>
      <c r="G177" s="181">
        <f>_xlfn.DISPIMG("ID_B483BA93FCBD4F2D868AB583CD907B8A",1)</f>
        <v/>
      </c>
      <c r="H177" s="314" t="n"/>
      <c r="I177" s="103" t="n">
        <v>30307304101</v>
      </c>
      <c r="J177" s="109" t="inlineStr">
        <is>
          <t>最高工作电压 36 V，额定工作电流 6 A。开关闸刀、接线柱、垫片均为铜质，接触可靠。闸刀宽度≥7 mm，闸刀厚度≥0.7 mm。接线柱直径为 4 mm，有效行程≥4 mm。通额定电流，导电部分允许温升≤35 ℃，操作手柄允许温升≤25 ℃。开关的绝缘强度应能承受 1200 V 在额定直流电流工作条件下，接线两端直流电压降≤100 mV</t>
        </is>
      </c>
      <c r="K177" s="39" t="inlineStr">
        <is>
          <t>乐百仕</t>
        </is>
      </c>
      <c r="L177" s="39" t="inlineStr">
        <is>
          <t>江苏乐百仕教育科技有限公司</t>
        </is>
      </c>
      <c r="M177" s="345" t="n">
        <v>28</v>
      </c>
      <c r="N177" s="345" t="n">
        <v>5.5</v>
      </c>
      <c r="O177" s="345" t="n">
        <v>154</v>
      </c>
      <c r="P177" s="345" t="inlineStr">
        <is>
          <t>个</t>
        </is>
      </c>
      <c r="Q177" s="345" t="inlineStr"/>
      <c r="R177" s="345" t="inlineStr"/>
      <c r="S177" s="345" t="inlineStr"/>
      <c r="T177" s="345" t="inlineStr"/>
      <c r="U177" s="345" t="n">
        <v>5.5</v>
      </c>
      <c r="V177" s="345" t="inlineStr"/>
      <c r="W177" s="345" t="n">
        <v>6.05</v>
      </c>
      <c r="X177" s="345" t="inlineStr"/>
      <c r="Y177" s="345" t="inlineStr">
        <is>
          <t>confirmed</t>
        </is>
      </c>
      <c r="Z177" s="345" t="n">
        <v>100</v>
      </c>
      <c r="AA177" s="345" t="inlineStr"/>
      <c r="AB177" s="345" t="inlineStr">
        <is>
          <t>赛特尔25年.xls｜初中新课标物理｜第408行</t>
        </is>
      </c>
    </row>
    <row r="178" customFormat="1" s="190">
      <c r="A178" s="106" t="n">
        <v>354</v>
      </c>
      <c r="B178" s="30" t="n">
        <v>30102000802</v>
      </c>
      <c r="C178" s="26" t="inlineStr">
        <is>
          <t>电池盒</t>
        </is>
      </c>
      <c r="D178" s="68" t="inlineStr">
        <is>
          <t>R20（1＃）电池用，有接线柱，负极可用弹簧或弹性磷铜片，有串联接插口，电池装反时不能接通</t>
        </is>
      </c>
      <c r="E178" s="112" t="n">
        <v>57</v>
      </c>
      <c r="F178" s="26" t="inlineStr">
        <is>
          <t>组</t>
        </is>
      </c>
      <c r="G178" s="26" t="n"/>
      <c r="H178" s="32" t="n"/>
      <c r="I178" s="26" t="n">
        <v>30102000802</v>
      </c>
      <c r="J178" s="164" t="inlineStr">
        <is>
          <t>R20（1＃）电池用，有接线柱，负极可用弹簧或弹性磷铜片，有串联接插口，电池装反时不能接通</t>
        </is>
      </c>
      <c r="K178" s="39" t="inlineStr">
        <is>
          <t>乐百仕</t>
        </is>
      </c>
      <c r="L178" s="39" t="inlineStr">
        <is>
          <t>江苏乐百仕教育科技有限公司</t>
        </is>
      </c>
      <c r="M178" s="345" t="n">
        <v>57</v>
      </c>
      <c r="N178" s="345" t="n">
        <v>4</v>
      </c>
      <c r="O178" s="345" t="n">
        <v>228</v>
      </c>
      <c r="P178" s="345" t="inlineStr">
        <is>
          <t>组</t>
        </is>
      </c>
      <c r="Q178" s="345" t="inlineStr"/>
      <c r="R178" s="345" t="inlineStr"/>
      <c r="S178" s="345" t="inlineStr"/>
      <c r="T178" s="345" t="inlineStr"/>
      <c r="U178" s="345" t="n">
        <v>4.4</v>
      </c>
      <c r="V178" s="345" t="inlineStr"/>
      <c r="W178" s="345" t="inlineStr"/>
      <c r="X178" s="345" t="inlineStr"/>
      <c r="Y178" s="345" t="inlineStr">
        <is>
          <t>confirmed</t>
        </is>
      </c>
      <c r="Z178" s="345" t="n">
        <v>100</v>
      </c>
      <c r="AA178" s="345" t="inlineStr">
        <is>
          <t>同分多价：最高分候选存在不同历史价格</t>
        </is>
      </c>
      <c r="AB178" s="345" t="inlineStr">
        <is>
          <t>赛特尔25年.xls｜初中物理｜第39行</t>
        </is>
      </c>
    </row>
    <row r="179" customFormat="1" s="257">
      <c r="A179" s="106" t="n">
        <v>355</v>
      </c>
      <c r="B179" s="137" t="n">
        <v>30807014301</v>
      </c>
      <c r="C179" s="26" t="inlineStr">
        <is>
          <t>干电池</t>
        </is>
      </c>
      <c r="D179" s="141" t="inlineStr">
        <is>
          <t>R20，无汞</t>
        </is>
      </c>
      <c r="E179" s="154" t="n">
        <v>100</v>
      </c>
      <c r="F179" s="26" t="inlineStr">
        <is>
          <t>个</t>
        </is>
      </c>
      <c r="G179" s="147">
        <f>_xlfn.DISPIMG("ID_70F113E68B4E4CB28A112B7CDADA6B23",1)</f>
        <v/>
      </c>
      <c r="H179" s="314" t="n"/>
      <c r="I179" s="31" t="n">
        <v>30807014301</v>
      </c>
      <c r="J179" s="33" t="inlineStr">
        <is>
          <t>R20，无汞</t>
        </is>
      </c>
      <c r="K179" s="39" t="inlineStr">
        <is>
          <t>乐百仕</t>
        </is>
      </c>
      <c r="L179" s="39" t="inlineStr">
        <is>
          <t>江苏乐百仕教育科技有限公司</t>
        </is>
      </c>
      <c r="M179" s="345" t="n">
        <v>100</v>
      </c>
      <c r="N179" s="345" t="n">
        <v>1</v>
      </c>
      <c r="O179" s="345" t="n">
        <v>100</v>
      </c>
      <c r="P179" s="345" t="inlineStr">
        <is>
          <t>个</t>
        </is>
      </c>
      <c r="Q179" s="345" t="inlineStr"/>
      <c r="R179" s="345" t="inlineStr"/>
      <c r="S179" s="345" t="inlineStr"/>
      <c r="T179" s="345" t="inlineStr"/>
      <c r="U179" s="345" t="n">
        <v>1.5</v>
      </c>
      <c r="V179" s="345" t="inlineStr"/>
      <c r="W179" s="345" t="n">
        <v>3</v>
      </c>
      <c r="X179" s="345" t="inlineStr"/>
      <c r="Y179" s="345" t="inlineStr">
        <is>
          <t>confirmed</t>
        </is>
      </c>
      <c r="Z179" s="345" t="n">
        <v>66.7</v>
      </c>
      <c r="AA179" s="345" t="inlineStr">
        <is>
          <t>价格分歧&gt;30%：历史报价分歧较大，需人工核对；同分多价：最高分候选存在不同历史价格</t>
        </is>
      </c>
      <c r="AB179" s="345" t="inlineStr">
        <is>
          <t>赛特尔25年.xls｜初中新课标物理｜第396行</t>
        </is>
      </c>
    </row>
    <row r="180" customFormat="1" s="257">
      <c r="A180" s="106" t="n">
        <v>359</v>
      </c>
      <c r="B180" s="353" t="n">
        <v>30102000201</v>
      </c>
      <c r="C180" s="59" t="inlineStr">
        <is>
          <t>高中学生电源</t>
        </is>
      </c>
      <c r="D180" s="274" t="inlineStr">
        <is>
          <t>交流输出：2 V～16 V/3 A，每 2 V 一档。直流稳压输出：2 V～16 V/2 A，每 2 V一档。有过载保护。安全要求：电源端与外壳抗电强度 1500 V（有保护接地线）或 3000 V（无保护接地线），电源端与低压输出抗电强度 3000 V</t>
        </is>
      </c>
      <c r="E180" s="31" t="n">
        <v>1</v>
      </c>
      <c r="F180" s="321" t="inlineStr">
        <is>
          <t>台</t>
        </is>
      </c>
      <c r="G180" s="147">
        <f>_xlfn.DISPIMG("ID_C41E936136B1482F848A014306DD5F43",1)</f>
        <v/>
      </c>
      <c r="H180" s="60" t="n"/>
      <c r="I180" s="348" t="n">
        <v>30102000201</v>
      </c>
      <c r="J180" s="40" t="inlineStr">
        <is>
          <t>交流输出：2 V～16 V/3 A，每 2 V 一档。直流稳压输出：2 V～16 V/2 A，每 2 V一档。有过载保护。安全要求：电源端与外壳抗电强度 1500 V（有保护接地线）或 3000 V（无保护接地线），电源端与低压输出抗电强度 3000 V</t>
        </is>
      </c>
      <c r="K180" s="39" t="inlineStr">
        <is>
          <t>乐百仕</t>
        </is>
      </c>
      <c r="L180" s="39" t="inlineStr">
        <is>
          <t>江苏乐百仕教育科技有限公司</t>
        </is>
      </c>
      <c r="M180" s="345" t="n">
        <v>1</v>
      </c>
      <c r="N180" s="345" t="n">
        <v>68</v>
      </c>
      <c r="O180" s="345" t="n">
        <v>68</v>
      </c>
      <c r="P180" s="345" t="inlineStr">
        <is>
          <t>台</t>
        </is>
      </c>
      <c r="Q180" s="345" t="inlineStr">
        <is>
          <t>群信</t>
        </is>
      </c>
      <c r="R180" s="345" t="inlineStr"/>
      <c r="S180" s="345" t="inlineStr"/>
      <c r="T180" s="345" t="inlineStr">
        <is>
          <t>04001</t>
        </is>
      </c>
      <c r="U180" s="345" t="inlineStr"/>
      <c r="V180" s="345" t="inlineStr"/>
      <c r="W180" s="345" t="inlineStr"/>
      <c r="X180" s="345" t="inlineStr"/>
      <c r="Y180" s="345" t="inlineStr">
        <is>
          <t>confirmed</t>
        </is>
      </c>
      <c r="Z180" s="345" t="n">
        <v>100</v>
      </c>
      <c r="AA180" s="345" t="inlineStr"/>
      <c r="AB180" s="345" t="inlineStr">
        <is>
          <t>赛特尔25年.xls｜初中新课标化学｜第23行</t>
        </is>
      </c>
    </row>
    <row r="181" customFormat="1" s="185">
      <c r="A181" s="264" t="n">
        <v>360</v>
      </c>
      <c r="B181" s="221" t="n">
        <v>30102000202</v>
      </c>
      <c r="C181" s="322" t="n"/>
      <c r="D181" s="52" t="inlineStr">
        <is>
          <t>双路 0 V～15 V 稳压连续可调,1.5 A，两路可串联使用，有过载保护。交流一路，0 V～15 V/3 A，连续可调正弦波。带不低于 2.5 级电压表，有过载保护。安全要求：电源端与外壳抗电强度 1500V（有保护接地线）或 3000 V（无保护接地线），电源端与低压输出抗电强度 3000V</t>
        </is>
      </c>
      <c r="E181" s="53" t="n">
        <v>13</v>
      </c>
      <c r="F181" s="53" t="inlineStr">
        <is>
          <t>台</t>
        </is>
      </c>
      <c r="G181" s="206">
        <f>_xlfn.DISPIMG("ID_42C0742309004BF8A427787AC2FB8E1C",1)</f>
        <v/>
      </c>
      <c r="H181" s="267" t="n"/>
      <c r="I181" s="53" t="n">
        <v>30102000202</v>
      </c>
      <c r="J181" s="54" t="inlineStr">
        <is>
          <t>双路 0 V～15 V 稳压连续可调,1.5 A，两路可串联使用，有过载保护。交流一路，0 V～15 V/3 A，连续可调正弦波。带不低于 2.5 级电压表，有过载保护。安全要求：电源端与外壳抗电强度 1500V（有保护接地线）或 3000 V（无保护接地线），电源端与低压输出抗电强度 3000V</t>
        </is>
      </c>
      <c r="K181" s="48" t="inlineStr">
        <is>
          <t>乐百仕</t>
        </is>
      </c>
      <c r="L181" s="48" t="inlineStr">
        <is>
          <t>江苏乐百仕教育科技有限公司</t>
        </is>
      </c>
      <c r="M181" s="345" t="n">
        <v>13</v>
      </c>
      <c r="N181" s="345" t="n">
        <v>68</v>
      </c>
      <c r="O181" s="345" t="n">
        <v>884</v>
      </c>
      <c r="P181" s="345" t="inlineStr">
        <is>
          <t>台</t>
        </is>
      </c>
      <c r="Q181" s="345" t="inlineStr">
        <is>
          <t>群信</t>
        </is>
      </c>
      <c r="R181" s="345" t="inlineStr"/>
      <c r="S181" s="345" t="inlineStr"/>
      <c r="T181" s="345" t="inlineStr">
        <is>
          <t>04001</t>
        </is>
      </c>
      <c r="U181" s="345" t="inlineStr"/>
      <c r="V181" s="345" t="inlineStr"/>
      <c r="W181" s="345" t="inlineStr"/>
      <c r="X181" s="345" t="inlineStr"/>
      <c r="Y181" s="345" t="inlineStr">
        <is>
          <t>confirmed</t>
        </is>
      </c>
      <c r="Z181" s="345" t="n">
        <v>100</v>
      </c>
      <c r="AA181" s="345" t="inlineStr"/>
      <c r="AB181" s="345" t="inlineStr">
        <is>
          <t>赛特尔25年.xls｜初中新课标化学｜第23行</t>
        </is>
      </c>
    </row>
    <row r="182" customFormat="1" s="185">
      <c r="A182" s="106" t="n">
        <v>361</v>
      </c>
      <c r="B182" s="137" t="n">
        <v>30102000401</v>
      </c>
      <c r="C182" s="271" t="inlineStr">
        <is>
          <t>高中教学电源</t>
        </is>
      </c>
      <c r="D182" s="141" t="inlineStr">
        <is>
          <t>交流：2 V～24 V，每 2 V 一档，2 V～6 V/12 A，8 V～12 V/6 A，14 V～24 V/3A；直流稳压：1 V～25 V 分档连续可调，  2 V～6 V/6 A，8 V～12 V/4 A，14 V~24 V/2 A；40 A、8 s 自动关断。安全要求：电源端与外壳抗电强度 1500 V（有保护接地线）或 3000 V（无保护接地线），电源端与低压输出抗电强度 3000 V</t>
        </is>
      </c>
      <c r="E182" s="323" t="n">
        <v>1</v>
      </c>
      <c r="F182" s="31" t="inlineStr">
        <is>
          <t>台</t>
        </is>
      </c>
      <c r="G182" s="154">
        <f>_xlfn.DISPIMG("ID_67EC3C21E6BD40C9B26B89644C6D32A7",1)</f>
        <v/>
      </c>
      <c r="H182" s="32" t="n"/>
      <c r="I182" s="31" t="n">
        <v>30102000401</v>
      </c>
      <c r="J182" s="33" t="inlineStr">
        <is>
          <t>交流：2 V～24 V，每 2 V 一档，2 V～6 V/12 A，8 V～12 V/6 A，14 V～24 V/3A；直流稳压：1 V～25 V 分档连续可调，  2 V～6 V/6 A，8 V～12 V/4 A，14 V~24 V/2 A；40 A、8 s 自动关断。安全要求：电源端与外壳抗电强度 1500 V（有保护接地线）或 3000 V（无保护接地线），电源端与低压输出抗电强度 3000 V</t>
        </is>
      </c>
      <c r="K182" s="39" t="inlineStr">
        <is>
          <t>乐百仕</t>
        </is>
      </c>
      <c r="L182" s="39" t="inlineStr">
        <is>
          <t>江苏乐百仕教育科技有限公司</t>
        </is>
      </c>
      <c r="M182" s="345" t="n">
        <v>1</v>
      </c>
      <c r="N182" s="345" t="n">
        <v>145</v>
      </c>
      <c r="O182" s="345" t="n">
        <v>145</v>
      </c>
      <c r="P182" s="345" t="inlineStr">
        <is>
          <t>台</t>
        </is>
      </c>
      <c r="Q182" s="345" t="inlineStr">
        <is>
          <t>群信</t>
        </is>
      </c>
      <c r="R182" s="345" t="inlineStr"/>
      <c r="S182" s="345" t="inlineStr"/>
      <c r="T182" s="345" t="inlineStr">
        <is>
          <t>04004</t>
        </is>
      </c>
      <c r="U182" s="345" t="n">
        <v>160</v>
      </c>
      <c r="V182" s="345" t="inlineStr"/>
      <c r="W182" s="345" t="n">
        <v>180</v>
      </c>
      <c r="X182" s="345" t="inlineStr"/>
      <c r="Y182" s="345" t="inlineStr">
        <is>
          <t>confirmed</t>
        </is>
      </c>
      <c r="Z182" s="345" t="n">
        <v>100</v>
      </c>
      <c r="AA182" s="345" t="inlineStr">
        <is>
          <t>同分多价：最高分候选存在不同历史价格</t>
        </is>
      </c>
      <c r="AB182" s="345" t="inlineStr">
        <is>
          <t>赛特尔25年.xls｜初中化学｜第34行</t>
        </is>
      </c>
    </row>
    <row r="183" customFormat="1" s="185">
      <c r="A183" s="264" t="n">
        <v>363</v>
      </c>
      <c r="B183" s="287" t="n">
        <v>30206000110</v>
      </c>
      <c r="C183" s="53" t="inlineStr">
        <is>
          <t>演示电表</t>
        </is>
      </c>
      <c r="D183" s="52" t="inlineStr">
        <is>
          <t>磁电系低阻交直流，2.5 级</t>
        </is>
      </c>
      <c r="E183" s="41" t="n">
        <v>1</v>
      </c>
      <c r="F183" s="53" t="inlineStr">
        <is>
          <t>只</t>
        </is>
      </c>
      <c r="G183" s="206" t="n"/>
      <c r="H183" s="71" t="n"/>
      <c r="I183" s="53" t="n">
        <v>30206000110</v>
      </c>
      <c r="J183" s="54" t="inlineStr">
        <is>
          <t>磁电系低阻交直流，2.5 级</t>
        </is>
      </c>
      <c r="K183" s="48" t="inlineStr">
        <is>
          <t>乐百仕</t>
        </is>
      </c>
      <c r="L183" s="48" t="inlineStr">
        <is>
          <t>江苏乐百仕教育科技有限公司</t>
        </is>
      </c>
      <c r="M183" s="345" t="n">
        <v>1</v>
      </c>
      <c r="N183" s="345" t="n">
        <v>95</v>
      </c>
      <c r="O183" s="345" t="n">
        <v>95</v>
      </c>
      <c r="P183" s="345" t="inlineStr">
        <is>
          <t>只</t>
        </is>
      </c>
      <c r="Q183" s="345" t="inlineStr"/>
      <c r="R183" s="345" t="inlineStr"/>
      <c r="S183" s="345" t="inlineStr"/>
      <c r="T183" s="345" t="inlineStr"/>
      <c r="U183" s="345" t="n">
        <v>650</v>
      </c>
      <c r="V183" s="345" t="inlineStr"/>
      <c r="W183" s="345" t="n">
        <v>650</v>
      </c>
      <c r="X183" s="345" t="inlineStr"/>
      <c r="Y183" s="345" t="inlineStr">
        <is>
          <t>confirmed</t>
        </is>
      </c>
      <c r="Z183" s="345" t="n">
        <v>100</v>
      </c>
      <c r="AA183" s="345" t="inlineStr">
        <is>
          <t>价格分歧&gt;30%：历史报价分歧较大，需人工核对；同分多价：最高分候选存在不同历史价格</t>
        </is>
      </c>
      <c r="AB183" s="345" t="inlineStr">
        <is>
          <t>赛特尔25年.xls｜初中新课标物理｜第391行</t>
        </is>
      </c>
    </row>
    <row r="184" customFormat="1" s="190">
      <c r="A184" s="264" t="n">
        <v>366</v>
      </c>
      <c r="B184" s="324" t="n">
        <v>30206000201</v>
      </c>
      <c r="C184" s="50" t="inlineStr">
        <is>
          <t>数字演示电表</t>
        </is>
      </c>
      <c r="D184" s="73" t="inlineStr">
        <is>
          <t>4-1/2 位，双面显示，同一物理量能自动转换量程。直流电流：200 μA、2 mA、20 mA、200 mA、2 A、20 A，不确定度0.2％；直流电压：2 V、20 V、200 V，不确定度 0.1％；电阻：200 Ω、2 kΩ、20 kΩ、200 kΩ、2 MΩ、20 MΩ，不确定度 0.2％；交流电压：2 V、20 V、200 V，不确定度 0.5％；交流电流：2mA、20 mA、200 mA、2 A，不确定度 1.0％。2 A、20 A 自动过载保护，故障排除自动恢复。可测量电容、电感、频率、晶体管放大倍数、温度等；交流供电，采用II 类变压器</t>
        </is>
      </c>
      <c r="E184" s="225" t="n">
        <v>1</v>
      </c>
      <c r="F184" s="50" t="inlineStr">
        <is>
          <t>只</t>
        </is>
      </c>
      <c r="G184" s="76">
        <f>_xlfn.DISPIMG("ID_573F26B4752546C3AA8104503576F9B7",1)</f>
        <v/>
      </c>
      <c r="H184" s="224" t="n"/>
      <c r="I184" s="71" t="n">
        <v>30206000201</v>
      </c>
      <c r="J184" s="77" t="inlineStr">
        <is>
          <t>4-1/2 位，双面显示，同一物理量能自动转换量程。直流电流：200 μA、2 mA、20 mA、200 mA、2 A、20 A，不确定度0.2％；直流电压：2 V、20 V、200 V，不确定度 0.1％；电阻：200 Ω、2 kΩ、20 kΩ、200 kΩ、2 MΩ、20 MΩ，不确定度 0.2％；交流电压：2 V、20 V、200 V，不确定度 0.5％；交流电流：2mA、20 mA、200 mA、2 A，不确定度 1.0％。2 A、20 A 自动过载保护，故障排除自动恢复。可测量电容、电感、频率、晶体管放大倍数、温度等；交流供电，采用II 类变压器</t>
        </is>
      </c>
      <c r="K184" s="48" t="inlineStr">
        <is>
          <t>乐百仕</t>
        </is>
      </c>
      <c r="L184" s="48" t="inlineStr">
        <is>
          <t>江苏乐百仕教育科技有限公司</t>
        </is>
      </c>
      <c r="M184" s="345" t="n">
        <v>1</v>
      </c>
      <c r="N184" s="345" t="n">
        <v>95</v>
      </c>
      <c r="O184" s="345" t="n">
        <v>95</v>
      </c>
      <c r="P184" s="345" t="inlineStr">
        <is>
          <t>只</t>
        </is>
      </c>
      <c r="Q184" s="345" t="inlineStr"/>
      <c r="R184" s="345" t="inlineStr"/>
      <c r="S184" s="345" t="inlineStr"/>
      <c r="T184" s="345" t="inlineStr"/>
      <c r="U184" s="345" t="n">
        <v>650</v>
      </c>
      <c r="V184" s="345" t="inlineStr"/>
      <c r="W184" s="345" t="n">
        <v>650</v>
      </c>
      <c r="X184" s="345" t="inlineStr"/>
      <c r="Y184" s="345" t="inlineStr">
        <is>
          <t>confirmed</t>
        </is>
      </c>
      <c r="Z184" s="345" t="n">
        <v>100</v>
      </c>
      <c r="AA184" s="345" t="inlineStr">
        <is>
          <t>价格分歧&gt;30%：历史报价分歧较大，需人工核对；同分多价：最高分候选存在不同历史价格</t>
        </is>
      </c>
      <c r="AB184" s="345" t="inlineStr">
        <is>
          <t>赛特尔25年.xls｜初中新课标物理｜第391行</t>
        </is>
      </c>
    </row>
    <row r="185" customFormat="1" s="190">
      <c r="A185" s="264" t="n">
        <v>367</v>
      </c>
      <c r="B185" s="325" t="n">
        <v>30206000802</v>
      </c>
      <c r="C185" s="53" t="inlineStr">
        <is>
          <t>直流电压表</t>
        </is>
      </c>
      <c r="D185" s="73" t="inlineStr">
        <is>
          <t>3 V、15 V 双量程，2.5 级</t>
        </is>
      </c>
      <c r="E185" s="53" t="n">
        <v>1</v>
      </c>
      <c r="F185" s="50" t="inlineStr">
        <is>
          <t>只</t>
        </is>
      </c>
      <c r="G185" s="76" t="n"/>
      <c r="H185" s="206" t="n"/>
      <c r="I185" s="71" t="n">
        <v>30206000802</v>
      </c>
      <c r="J185" s="77" t="inlineStr">
        <is>
          <t>3 V、15 V 双量程，2.5 级</t>
        </is>
      </c>
      <c r="K185" s="48" t="inlineStr">
        <is>
          <t>乐百仕</t>
        </is>
      </c>
      <c r="L185" s="48" t="inlineStr">
        <is>
          <t>江苏乐百仕教育科技有限公司</t>
        </is>
      </c>
      <c r="M185" s="345" t="n">
        <v>1</v>
      </c>
      <c r="N185" s="345" t="n">
        <v>17</v>
      </c>
      <c r="O185" s="345" t="n">
        <v>17</v>
      </c>
      <c r="P185" s="345" t="inlineStr">
        <is>
          <t>只</t>
        </is>
      </c>
      <c r="Q185" s="345" t="inlineStr"/>
      <c r="R185" s="345" t="inlineStr"/>
      <c r="S185" s="345" t="inlineStr"/>
      <c r="T185" s="345" t="inlineStr"/>
      <c r="U185" s="345" t="inlineStr"/>
      <c r="V185" s="345" t="inlineStr"/>
      <c r="W185" s="345" t="inlineStr"/>
      <c r="X185" s="345" t="inlineStr"/>
      <c r="Y185" s="345" t="inlineStr">
        <is>
          <t>confirmed</t>
        </is>
      </c>
      <c r="Z185" s="345" t="n">
        <v>0</v>
      </c>
      <c r="AA185" s="345" t="inlineStr">
        <is>
          <t>没有找到可靠候选</t>
        </is>
      </c>
      <c r="AB185" s="345" t="inlineStr">
        <is>
          <t>赛特尔25年.xls｜初中物理｜第92行</t>
        </is>
      </c>
    </row>
    <row r="186" customFormat="1" s="257">
      <c r="A186" s="264" t="n">
        <v>368</v>
      </c>
      <c r="B186" s="287" t="n">
        <v>30206000822</v>
      </c>
      <c r="C186" s="53" t="inlineStr">
        <is>
          <t>直流电压表</t>
        </is>
      </c>
      <c r="D186" s="52" t="inlineStr">
        <is>
          <t>3 V、6 V、15 V 三量程，2.5 级</t>
        </is>
      </c>
      <c r="E186" s="53" t="n">
        <v>13</v>
      </c>
      <c r="F186" s="50" t="inlineStr">
        <is>
          <t>只</t>
        </is>
      </c>
      <c r="G186" s="223">
        <f>_xlfn.DISPIMG("ID_34413B299EC34560985B85B154224013",1)</f>
        <v/>
      </c>
      <c r="H186" s="206" t="n"/>
      <c r="I186" s="53" t="n">
        <v>30206000822</v>
      </c>
      <c r="J186" s="54" t="inlineStr">
        <is>
          <t>3 V、6 V、15 V 三量程，2.5 级</t>
        </is>
      </c>
      <c r="K186" s="48" t="inlineStr">
        <is>
          <t>乐百仕</t>
        </is>
      </c>
      <c r="L186" s="48" t="inlineStr">
        <is>
          <t>江苏乐百仕教育科技有限公司</t>
        </is>
      </c>
      <c r="M186" s="345" t="n">
        <v>13</v>
      </c>
      <c r="N186" s="345" t="n">
        <v>17</v>
      </c>
      <c r="O186" s="345" t="n">
        <v>221</v>
      </c>
      <c r="P186" s="345" t="inlineStr">
        <is>
          <t>只</t>
        </is>
      </c>
      <c r="Q186" s="345" t="inlineStr"/>
      <c r="R186" s="345" t="inlineStr"/>
      <c r="S186" s="345" t="inlineStr"/>
      <c r="T186" s="345" t="inlineStr"/>
      <c r="U186" s="345" t="inlineStr"/>
      <c r="V186" s="345" t="inlineStr"/>
      <c r="W186" s="345" t="inlineStr"/>
      <c r="X186" s="345" t="inlineStr"/>
      <c r="Y186" s="345" t="inlineStr">
        <is>
          <t>confirmed</t>
        </is>
      </c>
      <c r="Z186" s="345" t="n">
        <v>0</v>
      </c>
      <c r="AA186" s="345" t="inlineStr">
        <is>
          <t>没有找到可靠候选</t>
        </is>
      </c>
      <c r="AB186" s="345" t="inlineStr">
        <is>
          <t>赛特尔25年.xls｜初中物理｜第92行</t>
        </is>
      </c>
    </row>
    <row r="187" customFormat="1" s="190">
      <c r="A187" s="264" t="n">
        <v>371</v>
      </c>
      <c r="B187" s="326" t="n">
        <v>30206000603</v>
      </c>
      <c r="C187" s="50" t="inlineStr">
        <is>
          <t>直流电流表</t>
        </is>
      </c>
      <c r="D187" s="73" t="inlineStr">
        <is>
          <t>0.6 A、3 A 双量程，2.5 级</t>
        </is>
      </c>
      <c r="E187" s="53" t="n">
        <v>1</v>
      </c>
      <c r="F187" s="50" t="inlineStr">
        <is>
          <t>只</t>
        </is>
      </c>
      <c r="G187" s="76" t="n"/>
      <c r="H187" s="206" t="n"/>
      <c r="I187" s="50" t="n">
        <v>30206000603</v>
      </c>
      <c r="J187" s="77" t="inlineStr">
        <is>
          <t>0.6 A、3 A 双量程，2.5 级</t>
        </is>
      </c>
      <c r="K187" s="48" t="inlineStr">
        <is>
          <t>乐百仕</t>
        </is>
      </c>
      <c r="L187" s="48" t="inlineStr">
        <is>
          <t>江苏乐百仕教育科技有限公司</t>
        </is>
      </c>
      <c r="M187" s="345" t="n">
        <v>1</v>
      </c>
      <c r="N187" s="345" t="n">
        <v>17</v>
      </c>
      <c r="O187" s="345" t="n">
        <v>17</v>
      </c>
      <c r="P187" s="345" t="inlineStr">
        <is>
          <t>只</t>
        </is>
      </c>
      <c r="Q187" s="345" t="inlineStr"/>
      <c r="R187" s="345" t="inlineStr"/>
      <c r="S187" s="345" t="inlineStr"/>
      <c r="T187" s="345" t="inlineStr"/>
      <c r="U187" s="345" t="inlineStr"/>
      <c r="V187" s="345" t="inlineStr"/>
      <c r="W187" s="345" t="inlineStr"/>
      <c r="X187" s="345" t="inlineStr"/>
      <c r="Y187" s="345" t="inlineStr">
        <is>
          <t>confirmed</t>
        </is>
      </c>
      <c r="Z187" s="345" t="n">
        <v>0</v>
      </c>
      <c r="AA187" s="345" t="inlineStr">
        <is>
          <t>没有找到可靠候选</t>
        </is>
      </c>
      <c r="AB187" s="345" t="inlineStr">
        <is>
          <t>赛特尔25年.xls｜初中物理｜第91行</t>
        </is>
      </c>
    </row>
    <row r="188" customFormat="1" s="195">
      <c r="A188" s="264" t="n">
        <v>372</v>
      </c>
      <c r="B188" s="221" t="n">
        <v>30206000623</v>
      </c>
      <c r="C188" s="50" t="inlineStr">
        <is>
          <t>直流电流表</t>
        </is>
      </c>
      <c r="D188" s="52" t="inlineStr">
        <is>
          <t>0.6 A、1.5 A、3 A 三量程，2.5 级</t>
        </is>
      </c>
      <c r="E188" s="53" t="n">
        <v>13</v>
      </c>
      <c r="F188" s="50" t="inlineStr">
        <is>
          <t>只</t>
        </is>
      </c>
      <c r="G188" s="223">
        <f>_xlfn.DISPIMG("ID_A9A46692EA27448CAF29B6D7CCB5EBF2",1)</f>
        <v/>
      </c>
      <c r="H188" s="206" t="n"/>
      <c r="I188" s="53" t="n">
        <v>30206000623</v>
      </c>
      <c r="J188" s="54" t="inlineStr">
        <is>
          <t>0.6 A、1.5 A、3 A 三量程，2.5 级</t>
        </is>
      </c>
      <c r="K188" s="48" t="inlineStr">
        <is>
          <t>乐百仕</t>
        </is>
      </c>
      <c r="L188" s="48" t="inlineStr">
        <is>
          <t>江苏乐百仕教育科技有限公司</t>
        </is>
      </c>
      <c r="M188" s="345" t="n">
        <v>13</v>
      </c>
      <c r="N188" s="345" t="n">
        <v>17</v>
      </c>
      <c r="O188" s="345" t="n">
        <v>221</v>
      </c>
      <c r="P188" s="345" t="inlineStr">
        <is>
          <t>只</t>
        </is>
      </c>
      <c r="Q188" s="345" t="inlineStr"/>
      <c r="R188" s="345" t="inlineStr"/>
      <c r="S188" s="345" t="inlineStr"/>
      <c r="T188" s="345" t="inlineStr"/>
      <c r="U188" s="345" t="inlineStr"/>
      <c r="V188" s="345" t="inlineStr"/>
      <c r="W188" s="345" t="inlineStr"/>
      <c r="X188" s="345" t="inlineStr"/>
      <c r="Y188" s="345" t="inlineStr">
        <is>
          <t>confirmed</t>
        </is>
      </c>
      <c r="Z188" s="345" t="n">
        <v>0</v>
      </c>
      <c r="AA188" s="345" t="inlineStr">
        <is>
          <t>没有找到可靠候选</t>
        </is>
      </c>
      <c r="AB188" s="345" t="inlineStr">
        <is>
          <t>赛特尔25年.xls｜初中物理｜第91行</t>
        </is>
      </c>
    </row>
    <row r="189" customFormat="1" s="195">
      <c r="A189" s="264" t="n">
        <v>373</v>
      </c>
      <c r="B189" s="221" t="n">
        <v>30206000604</v>
      </c>
      <c r="C189" s="53" t="inlineStr">
        <is>
          <t>直流电流表</t>
        </is>
      </c>
      <c r="D189" s="52" t="inlineStr">
        <is>
          <t>微安级。0 μA～100 μA，表头压降 100mV；0 μA～200 μA，表头压降 500 mV。2.5 级</t>
        </is>
      </c>
      <c r="E189" s="53" t="n">
        <v>13</v>
      </c>
      <c r="F189" s="50" t="inlineStr">
        <is>
          <t>只</t>
        </is>
      </c>
      <c r="G189" s="223">
        <f>_xlfn.DISPIMG("ID_B6C420DE0B9842E1B6A924DBFC243A86",1)</f>
        <v/>
      </c>
      <c r="H189" s="206" t="n"/>
      <c r="I189" s="53" t="n">
        <v>30206000604</v>
      </c>
      <c r="J189" s="54" t="inlineStr">
        <is>
          <t>微安级。0 μA～100 μA，表头压降 100mV；0 μA～200 μA，表头压降 500 mV。2.5 级</t>
        </is>
      </c>
      <c r="K189" s="48" t="inlineStr">
        <is>
          <t>乐百仕</t>
        </is>
      </c>
      <c r="L189" s="48" t="inlineStr">
        <is>
          <t>江苏乐百仕教育科技有限公司</t>
        </is>
      </c>
      <c r="M189" s="345" t="n">
        <v>13</v>
      </c>
      <c r="N189" s="345" t="n">
        <v>17</v>
      </c>
      <c r="O189" s="345" t="n">
        <v>221</v>
      </c>
      <c r="P189" s="345" t="inlineStr">
        <is>
          <t>只</t>
        </is>
      </c>
      <c r="Q189" s="345" t="inlineStr"/>
      <c r="R189" s="345" t="inlineStr"/>
      <c r="S189" s="345" t="inlineStr"/>
      <c r="T189" s="345" t="inlineStr"/>
      <c r="U189" s="345" t="inlineStr"/>
      <c r="V189" s="345" t="inlineStr"/>
      <c r="W189" s="345" t="inlineStr"/>
      <c r="X189" s="345" t="inlineStr"/>
      <c r="Y189" s="345" t="inlineStr">
        <is>
          <t>confirmed</t>
        </is>
      </c>
      <c r="Z189" s="345" t="n">
        <v>0</v>
      </c>
      <c r="AA189" s="345" t="inlineStr">
        <is>
          <t>没有找到可靠候选</t>
        </is>
      </c>
      <c r="AB189" s="345" t="inlineStr">
        <is>
          <t>赛特尔25年.xls｜初中物理｜第91行</t>
        </is>
      </c>
    </row>
    <row r="190" customFormat="1" s="257">
      <c r="A190" s="106" t="n">
        <v>374</v>
      </c>
      <c r="B190" s="285" t="n">
        <v>30206001102</v>
      </c>
      <c r="C190" s="293" t="inlineStr">
        <is>
          <t>多用电表</t>
        </is>
      </c>
      <c r="D190" s="141" t="inlineStr">
        <is>
          <t>指针式，不低于 2.5 级，学生用电表功能不低于 MF47 型电表，教师用电表功能不低于 MF10 型电表</t>
        </is>
      </c>
      <c r="E190" s="31" t="n">
        <v>13</v>
      </c>
      <c r="F190" s="26" t="inlineStr">
        <is>
          <t>套</t>
        </is>
      </c>
      <c r="G190" s="340">
        <f>_xlfn.DISPIMG("ID_146BEB83B36240DA8612727F35D4D78F",1)</f>
        <v/>
      </c>
      <c r="H190" s="154" t="n"/>
      <c r="I190" s="31" t="n">
        <v>30206001102</v>
      </c>
      <c r="J190" s="33" t="inlineStr">
        <is>
          <t>指针式，不低于 2.5 级，学生用电表功能不低于 MF47 型电表，教师用电表功能不低于 MF10 型电表</t>
        </is>
      </c>
      <c r="K190" s="303" t="inlineStr">
        <is>
          <t>华中</t>
        </is>
      </c>
      <c r="L190" s="303" t="inlineStr">
        <is>
          <t>温州市华中仪表有限公司</t>
        </is>
      </c>
      <c r="M190" s="345" t="n">
        <v>13</v>
      </c>
      <c r="N190" s="345" t="n">
        <v>65</v>
      </c>
      <c r="O190" s="345" t="n">
        <v>845</v>
      </c>
      <c r="P190" s="345" t="inlineStr">
        <is>
          <t>套</t>
        </is>
      </c>
      <c r="Q190" s="345" t="inlineStr"/>
      <c r="R190" s="345" t="inlineStr"/>
      <c r="S190" s="345" t="inlineStr"/>
      <c r="T190" s="345" t="inlineStr"/>
      <c r="U190" s="345" t="inlineStr"/>
      <c r="V190" s="345" t="inlineStr"/>
      <c r="W190" s="345" t="inlineStr"/>
      <c r="X190" s="345" t="inlineStr"/>
      <c r="Y190" s="345" t="inlineStr">
        <is>
          <t>confirmed</t>
        </is>
      </c>
      <c r="Z190" s="345" t="n">
        <v>0</v>
      </c>
      <c r="AA190" s="345" t="inlineStr">
        <is>
          <t>没有找到可靠候选</t>
        </is>
      </c>
      <c r="AB190" s="345" t="inlineStr">
        <is>
          <t>高中理化生报价.xlsx｜凯迪｜第95行</t>
        </is>
      </c>
    </row>
    <row r="191" customFormat="1" s="257">
      <c r="A191" s="106" t="n">
        <v>375</v>
      </c>
      <c r="B191" s="137" t="n">
        <v>30206001104</v>
      </c>
      <c r="C191" s="301" t="n"/>
      <c r="D191" s="141" t="inlineStr">
        <is>
          <t>数字式，4-1/2 位，电压、电流、电阻、电容、二极管、温度、频率测试</t>
        </is>
      </c>
      <c r="E191" s="31" t="n">
        <v>1</v>
      </c>
      <c r="F191" s="26" t="inlineStr">
        <is>
          <t>套</t>
        </is>
      </c>
      <c r="G191" s="147">
        <f>_xlfn.DISPIMG("ID_A1588C8637AE4CF4AB42BAD5BBACB369",1)</f>
        <v/>
      </c>
      <c r="H191" s="154" t="n"/>
      <c r="I191" s="31" t="n">
        <v>30206001104</v>
      </c>
      <c r="J191" s="33" t="inlineStr">
        <is>
          <t>数字式，4-1/2 位，电压、电流、电阻、电容、二极管、温度、频率测试</t>
        </is>
      </c>
      <c r="K191" s="303" t="inlineStr">
        <is>
          <t>存真</t>
        </is>
      </c>
      <c r="L191" s="303" t="inlineStr">
        <is>
          <t>上海存真仪器仪表有限公司</t>
        </is>
      </c>
      <c r="M191" s="345" t="n">
        <v>1</v>
      </c>
      <c r="N191" s="345" t="n">
        <v>65</v>
      </c>
      <c r="O191" s="345" t="n">
        <v>65</v>
      </c>
      <c r="P191" s="345" t="inlineStr">
        <is>
          <t>套</t>
        </is>
      </c>
      <c r="Q191" s="345" t="inlineStr"/>
      <c r="R191" s="345" t="inlineStr"/>
      <c r="S191" s="345" t="inlineStr"/>
      <c r="T191" s="345" t="inlineStr"/>
      <c r="U191" s="345" t="inlineStr"/>
      <c r="V191" s="345" t="inlineStr"/>
      <c r="W191" s="345" t="inlineStr"/>
      <c r="X191" s="345" t="inlineStr"/>
      <c r="Y191" s="345" t="inlineStr">
        <is>
          <t>confirmed</t>
        </is>
      </c>
      <c r="Z191" s="345" t="n">
        <v>0</v>
      </c>
      <c r="AA191" s="345" t="inlineStr">
        <is>
          <t>没有找到可靠候选</t>
        </is>
      </c>
      <c r="AB191" s="345" t="inlineStr">
        <is>
          <t>高中理化生报价.xlsx｜凯迪｜第95行</t>
        </is>
      </c>
    </row>
    <row r="192" customFormat="1" s="257">
      <c r="A192" s="264" t="n">
        <v>377</v>
      </c>
      <c r="B192" s="221" t="n">
        <v>30307304402</v>
      </c>
      <c r="C192" s="53" t="inlineStr">
        <is>
          <t>电阻定律实验器</t>
        </is>
      </c>
      <c r="D192" s="52" t="inlineStr">
        <is>
          <t>由底板、2 种金属导线（康铜、镍铬）、接线柱、连接片、支撑架等组成；康铜导线 2 根（长均为 500 mm，直径分别为0.5 mm、0.3 mm）；镍铬线 2 根（长分别为 500 mm、300 mm，直径均为 0.3 mm）</t>
        </is>
      </c>
      <c r="E192" s="53" t="n">
        <v>13</v>
      </c>
      <c r="F192" s="53" t="inlineStr">
        <is>
          <t>台</t>
        </is>
      </c>
      <c r="G192" s="223">
        <f>_xlfn.DISPIMG("ID_4E93D961D32A48F9808F09659F450745",1)</f>
        <v/>
      </c>
      <c r="H192" s="226" t="n"/>
      <c r="I192" s="53" t="n">
        <v>30307304400</v>
      </c>
      <c r="J192" s="54" t="inlineStr">
        <is>
          <t>由底板、2 种金属导线（康铜、镍铬）、接线柱、连接片、支撑架等组成；康铜导线 2 根（长均为 500 mm，直径分别为0.5 mm、0.3 mm）；镍铬线 2 根（长分别为 500 mm、300 mm，直径均为 0.3 mm）
技术参数：
型材底座：
尺寸规格：550*160*35（±5mm）；材质工艺：铝6063-T5，挤压拉模成型；表面处理工艺：黑色阳极氧化处理；功能描述：为器材提供安装固定的底座；表面刻度丝印，具有快速准确的测量长度的功能，同时具备较好的绝缘性，提高实验的准确度。
金属丝：
规格：D0.3mm、和D0.5mm；材质：镍铬丝，康铜丝；功能描述：提供倍数性变化的金属丝，配合不同的材料，采用控制变量的实验方法，确保实验的准确性。</t>
        </is>
      </c>
      <c r="K192" s="48" t="inlineStr">
        <is>
          <t>乐百仕</t>
        </is>
      </c>
      <c r="L192" s="48" t="inlineStr">
        <is>
          <t>江苏乐百仕教育科技有限公司</t>
        </is>
      </c>
      <c r="M192" s="345" t="n">
        <v>13</v>
      </c>
      <c r="N192" s="345" t="n">
        <v>20</v>
      </c>
      <c r="O192" s="345" t="n">
        <v>260</v>
      </c>
      <c r="P192" s="345" t="inlineStr">
        <is>
          <t>台</t>
        </is>
      </c>
      <c r="Q192" s="345" t="inlineStr"/>
      <c r="R192" s="345" t="inlineStr"/>
      <c r="S192" s="345" t="inlineStr"/>
      <c r="T192" s="345" t="inlineStr"/>
      <c r="U192" s="345" t="n">
        <v>20</v>
      </c>
      <c r="V192" s="345" t="inlineStr"/>
      <c r="W192" s="345" t="n">
        <v>60.5</v>
      </c>
      <c r="X192" s="345" t="inlineStr"/>
      <c r="Y192" s="345" t="inlineStr">
        <is>
          <t>confirmed</t>
        </is>
      </c>
      <c r="Z192" s="345" t="n">
        <v>100</v>
      </c>
      <c r="AA192" s="345" t="inlineStr">
        <is>
          <t>价格分歧&gt;30%：历史报价分歧较大，需人工核对</t>
        </is>
      </c>
      <c r="AB192" s="345" t="inlineStr">
        <is>
          <t>赛特尔25年.xls｜初中新课标物理｜第417行</t>
        </is>
      </c>
    </row>
    <row r="193" customFormat="1" s="257">
      <c r="A193" s="106" t="n">
        <v>381</v>
      </c>
      <c r="B193" s="137" t="n">
        <v>30307305413</v>
      </c>
      <c r="C193" s="59" t="inlineStr">
        <is>
          <t>电路实验板</t>
        </is>
      </c>
      <c r="D193" s="141" t="inlineStr">
        <is>
          <t>演示用，接插式或磁贴式</t>
        </is>
      </c>
      <c r="E193" s="327" t="n">
        <v>1</v>
      </c>
      <c r="F193" s="31" t="inlineStr">
        <is>
          <t>套</t>
        </is>
      </c>
      <c r="G193" s="340">
        <f>_xlfn.DISPIMG("ID_9D66E7F53A6D494199D3F048FD99DDEF",1)</f>
        <v/>
      </c>
      <c r="H193" s="147" t="n"/>
      <c r="I193" s="31" t="n">
        <v>30307305413</v>
      </c>
      <c r="J193" s="33" t="inlineStr">
        <is>
          <t>演示用，接插式或磁贴式</t>
        </is>
      </c>
      <c r="K193" s="39" t="inlineStr">
        <is>
          <t>乐百仕</t>
        </is>
      </c>
      <c r="L193" s="39" t="inlineStr">
        <is>
          <t>江苏乐百仕教育科技有限公司</t>
        </is>
      </c>
      <c r="M193" s="345" t="n">
        <v>1</v>
      </c>
      <c r="N193" s="345" t="n">
        <v>12</v>
      </c>
      <c r="O193" s="345" t="n">
        <v>12</v>
      </c>
      <c r="P193" s="345" t="inlineStr">
        <is>
          <t>套</t>
        </is>
      </c>
      <c r="Q193" s="345" t="inlineStr">
        <is>
          <t>群信</t>
        </is>
      </c>
      <c r="R193" s="345" t="inlineStr"/>
      <c r="S193" s="345" t="inlineStr">
        <is>
          <t>80113</t>
        </is>
      </c>
      <c r="T193" s="345" t="inlineStr">
        <is>
          <t>80113</t>
        </is>
      </c>
      <c r="U193" s="345" t="inlineStr"/>
      <c r="V193" s="345" t="inlineStr"/>
      <c r="W193" s="345" t="inlineStr"/>
      <c r="X193" s="345" t="inlineStr"/>
      <c r="Y193" s="345" t="inlineStr">
        <is>
          <t>confirmed</t>
        </is>
      </c>
      <c r="Z193" s="345" t="n">
        <v>0</v>
      </c>
      <c r="AA193" s="345" t="inlineStr">
        <is>
          <t>匹配到商品档案但无历史价格记录</t>
        </is>
      </c>
      <c r="AB193" s="345" t="inlineStr">
        <is>
          <t>高中理化生报价.xlsx｜凯迪｜第387行</t>
        </is>
      </c>
    </row>
    <row r="194" customFormat="1" s="257">
      <c r="A194" s="106" t="n">
        <v>387</v>
      </c>
      <c r="B194" s="137" t="n">
        <v>30206003302</v>
      </c>
      <c r="C194" s="293" t="inlineStr">
        <is>
          <t>电阻箱</t>
        </is>
      </c>
      <c r="D194" s="141" t="inlineStr">
        <is>
          <t>六位，99999.9 Ω，1 级</t>
        </is>
      </c>
      <c r="E194" s="31" t="n">
        <v>13</v>
      </c>
      <c r="F194" s="26" t="inlineStr">
        <is>
          <t>个</t>
        </is>
      </c>
      <c r="G194" s="147">
        <f>_xlfn.DISPIMG("ID_06B0F43D88264695A6668A8071645400",1)</f>
        <v/>
      </c>
      <c r="H194" s="330" t="n"/>
      <c r="I194" s="31" t="n">
        <v>30206003302</v>
      </c>
      <c r="J194" s="33" t="inlineStr">
        <is>
          <t>六位，99999.9 Ω，1 级</t>
        </is>
      </c>
      <c r="K194" s="39" t="inlineStr">
        <is>
          <t>乐百仕</t>
        </is>
      </c>
      <c r="L194" s="39" t="inlineStr">
        <is>
          <t>江苏乐百仕教育科技有限公司</t>
        </is>
      </c>
      <c r="M194" s="345" t="n">
        <v>13</v>
      </c>
      <c r="N194" s="345" t="n">
        <v>15</v>
      </c>
      <c r="O194" s="345" t="n">
        <v>195</v>
      </c>
      <c r="P194" s="345" t="inlineStr">
        <is>
          <t>个</t>
        </is>
      </c>
      <c r="Q194" s="345" t="inlineStr"/>
      <c r="R194" s="345" t="inlineStr"/>
      <c r="S194" s="345" t="inlineStr"/>
      <c r="T194" s="345" t="inlineStr"/>
      <c r="U194" s="345" t="n">
        <v>15</v>
      </c>
      <c r="V194" s="345" t="inlineStr"/>
      <c r="W194" s="345" t="n">
        <v>60</v>
      </c>
      <c r="X194" s="345" t="inlineStr"/>
      <c r="Y194" s="345" t="inlineStr">
        <is>
          <t>confirmed</t>
        </is>
      </c>
      <c r="Z194" s="345" t="n">
        <v>100</v>
      </c>
      <c r="AA194" s="345" t="inlineStr">
        <is>
          <t>价格分歧&gt;30%：历史报价分歧较大，需人工核对</t>
        </is>
      </c>
      <c r="AB194" s="345" t="inlineStr">
        <is>
          <t>赛特尔25年.xls｜初中新课标物理｜第413行</t>
        </is>
      </c>
    </row>
    <row r="195" customFormat="1" s="190">
      <c r="A195" s="106" t="n">
        <v>389</v>
      </c>
      <c r="B195" s="284" t="n">
        <v>30307303601</v>
      </c>
      <c r="C195" s="26" t="inlineStr">
        <is>
          <t>教学用E10螺口灯座</t>
        </is>
      </c>
      <c r="D195" s="68" t="inlineStr">
        <is>
          <t>由底座、接线柱和灯座等组成。最高工作电压应为 36 V，最大工作电流应为 2.5A。灯座口圈应采用厚 0.4 mm～0.5 mm 的黄铜材料制作，中心触点应采用厚 0.3mm～0.4 mm 的磷铜材料制作，中心电极应有弹性。抗电强度850V，两接线柱之间绝缘电阻应≥2 MΩ</t>
        </is>
      </c>
      <c r="E195" s="31" t="n">
        <v>13</v>
      </c>
      <c r="F195" s="26" t="inlineStr">
        <is>
          <t>个</t>
        </is>
      </c>
      <c r="G195" s="26" t="n"/>
      <c r="H195" s="330" t="n"/>
      <c r="I195" s="103" t="n">
        <v>30307303601</v>
      </c>
      <c r="J195" s="164" t="inlineStr">
        <is>
          <t>由底座、接线柱和灯座等组成。最高工作电压应为 36 V，最大工作电流应为 2.5A。灯座口圈应采用厚 0.4 mm～0.5 mm 的黄铜材料制作，中心触点应采用厚 0.3mm～0.4 mm 的磷铜材料制作，中心电极应有弹性。抗电强度850V，两接线柱之间绝缘电阻应≥2 MΩ</t>
        </is>
      </c>
      <c r="K195" s="39" t="inlineStr">
        <is>
          <t>乐百仕</t>
        </is>
      </c>
      <c r="L195" s="39" t="inlineStr">
        <is>
          <t>江苏乐百仕教育科技有限公司</t>
        </is>
      </c>
      <c r="M195" s="345" t="n">
        <v>13</v>
      </c>
      <c r="N195" s="345" t="n">
        <v>1.5</v>
      </c>
      <c r="O195" s="345" t="n">
        <v>19.5</v>
      </c>
      <c r="P195" s="345" t="inlineStr">
        <is>
          <t>个</t>
        </is>
      </c>
      <c r="Q195" s="345" t="inlineStr"/>
      <c r="R195" s="345" t="inlineStr"/>
      <c r="S195" s="345" t="inlineStr"/>
      <c r="T195" s="345" t="inlineStr">
        <is>
          <t>由底座、接线柱和灯座等组成。底座应采用硬质绝缘材料制成，最高工作电压应为 36 V，最大工作电流应为 2.5 A。灯座口圈应采用厚 0.4 mm～0.5 mm 的黄铜材料制作，中心触点应采用厚 0.3 mm～0.4 mm 的磷铜材料制作。两接线柱之间绝缘电阻应≥2 MΩ</t>
        </is>
      </c>
      <c r="U195" s="345" t="inlineStr"/>
      <c r="V195" s="345" t="inlineStr"/>
      <c r="W195" s="345" t="inlineStr"/>
      <c r="X195" s="345" t="inlineStr"/>
      <c r="Y195" s="345" t="inlineStr">
        <is>
          <t>confirmed</t>
        </is>
      </c>
      <c r="Z195" s="345" t="n">
        <v>100</v>
      </c>
      <c r="AA195" s="345" t="inlineStr"/>
      <c r="AB195" s="345" t="inlineStr">
        <is>
          <t>赛特尔25年.xls｜初中新课标物理｜第401行</t>
        </is>
      </c>
    </row>
    <row r="196" customFormat="1" s="257">
      <c r="A196" s="106" t="n">
        <v>390</v>
      </c>
      <c r="B196" s="137" t="n">
        <v>30807000901</v>
      </c>
      <c r="C196" s="293" t="inlineStr">
        <is>
          <t>电珠(小灯泡)</t>
        </is>
      </c>
      <c r="D196" s="141" t="inlineStr">
        <is>
          <t>1.5 V，0.3 A，螺口式，E10</t>
        </is>
      </c>
      <c r="E196" s="154" t="n">
        <v>100</v>
      </c>
      <c r="F196" s="26" t="inlineStr">
        <is>
          <t>个</t>
        </is>
      </c>
      <c r="G196" s="147">
        <f>_xlfn.DISPIMG("ID_2164E27F0CE14DD68D2290BAFFA1964D",1)</f>
        <v/>
      </c>
      <c r="H196" s="330" t="n"/>
      <c r="I196" s="31" t="n">
        <v>30807000901</v>
      </c>
      <c r="J196" s="33" t="inlineStr">
        <is>
          <t>1.5 V，0.3 A，螺口式，E10</t>
        </is>
      </c>
      <c r="K196" s="39" t="inlineStr">
        <is>
          <t>乐百仕</t>
        </is>
      </c>
      <c r="L196" s="39" t="inlineStr">
        <is>
          <t>江苏乐百仕教育科技有限公司</t>
        </is>
      </c>
      <c r="M196" s="345" t="n">
        <v>100</v>
      </c>
      <c r="N196" s="345" t="n">
        <v>0.45</v>
      </c>
      <c r="O196" s="345" t="n">
        <v>45</v>
      </c>
      <c r="P196" s="345" t="inlineStr">
        <is>
          <t>个</t>
        </is>
      </c>
      <c r="Q196" s="345" t="inlineStr"/>
      <c r="R196" s="345" t="inlineStr"/>
      <c r="S196" s="345" t="inlineStr"/>
      <c r="T196" s="345" t="inlineStr"/>
      <c r="U196" s="345" t="n">
        <v>0.5</v>
      </c>
      <c r="V196" s="345" t="inlineStr"/>
      <c r="W196" s="345" t="n">
        <v>0.8</v>
      </c>
      <c r="X196" s="345" t="inlineStr"/>
      <c r="Y196" s="345" t="inlineStr">
        <is>
          <t>confirmed</t>
        </is>
      </c>
      <c r="Z196" s="345" t="n">
        <v>100</v>
      </c>
      <c r="AA196" s="345" t="inlineStr">
        <is>
          <t>价格分歧&gt;30%：历史报价分歧较大，需人工核对；同分多价：最高分候选存在不同历史价格</t>
        </is>
      </c>
      <c r="AB196" s="345" t="inlineStr">
        <is>
          <t>赛特尔25年.xls｜初中物理｜第325行</t>
        </is>
      </c>
    </row>
    <row r="197" customFormat="1" s="257">
      <c r="A197" s="106" t="n">
        <v>391</v>
      </c>
      <c r="B197" s="137" t="n">
        <v>30807000902</v>
      </c>
      <c r="C197" s="295" t="n"/>
      <c r="D197" s="141" t="inlineStr">
        <is>
          <t>2.5 V，0.3 A，螺口式，E10</t>
        </is>
      </c>
      <c r="E197" s="154" t="n">
        <v>100</v>
      </c>
      <c r="F197" s="26" t="inlineStr">
        <is>
          <t>个</t>
        </is>
      </c>
      <c r="G197" s="147">
        <f>_xlfn.DISPIMG("ID_2A270E15F3C94B1A94F56474B2C5EB60",1)</f>
        <v/>
      </c>
      <c r="H197" s="330" t="n"/>
      <c r="I197" s="31" t="n">
        <v>30807000902</v>
      </c>
      <c r="J197" s="33" t="inlineStr">
        <is>
          <t>2.5 V，0.3 A，螺口式，E10</t>
        </is>
      </c>
      <c r="K197" s="39" t="inlineStr">
        <is>
          <t>乐百仕</t>
        </is>
      </c>
      <c r="L197" s="39" t="inlineStr">
        <is>
          <t>江苏乐百仕教育科技有限公司</t>
        </is>
      </c>
      <c r="M197" s="345" t="n">
        <v>100</v>
      </c>
      <c r="N197" s="345" t="n">
        <v>0.45</v>
      </c>
      <c r="O197" s="345" t="n">
        <v>45</v>
      </c>
      <c r="P197" s="345" t="inlineStr">
        <is>
          <t>个</t>
        </is>
      </c>
      <c r="Q197" s="345" t="inlineStr"/>
      <c r="R197" s="345" t="inlineStr"/>
      <c r="S197" s="345" t="inlineStr"/>
      <c r="T197" s="345" t="inlineStr"/>
      <c r="U197" s="345" t="n">
        <v>0.5</v>
      </c>
      <c r="V197" s="345" t="inlineStr"/>
      <c r="W197" s="345" t="n">
        <v>0.8</v>
      </c>
      <c r="X197" s="345" t="inlineStr"/>
      <c r="Y197" s="345" t="inlineStr">
        <is>
          <t>confirmed</t>
        </is>
      </c>
      <c r="Z197" s="345" t="n">
        <v>100</v>
      </c>
      <c r="AA197" s="345" t="inlineStr">
        <is>
          <t>价格分歧&gt;30%：历史报价分歧较大，需人工核对；同分多价：最高分候选存在不同历史价格</t>
        </is>
      </c>
      <c r="AB197" s="345" t="inlineStr">
        <is>
          <t>赛特尔25年.xls｜初中物理｜第325行</t>
        </is>
      </c>
    </row>
    <row r="198" customFormat="1" s="257">
      <c r="A198" s="106" t="n">
        <v>392</v>
      </c>
      <c r="B198" s="137" t="n">
        <v>30807000903</v>
      </c>
      <c r="C198" s="295" t="n"/>
      <c r="D198" s="141" t="inlineStr">
        <is>
          <t>3.8 V，0.3 A，螺口式，E10</t>
        </is>
      </c>
      <c r="E198" s="154" t="n">
        <v>100</v>
      </c>
      <c r="F198" s="26" t="inlineStr">
        <is>
          <t>个</t>
        </is>
      </c>
      <c r="G198" s="147">
        <f>_xlfn.DISPIMG("ID_071FDFB00D694293B496D38A04F3D3D2",1)</f>
        <v/>
      </c>
      <c r="H198" s="330" t="n"/>
      <c r="I198" s="31" t="n">
        <v>30807000903</v>
      </c>
      <c r="J198" s="33" t="inlineStr">
        <is>
          <t>3.8 V，0.3 A，螺口式，E10</t>
        </is>
      </c>
      <c r="K198" s="39" t="inlineStr">
        <is>
          <t>乐百仕</t>
        </is>
      </c>
      <c r="L198" s="39" t="inlineStr">
        <is>
          <t>江苏乐百仕教育科技有限公司</t>
        </is>
      </c>
      <c r="M198" s="345" t="n">
        <v>100</v>
      </c>
      <c r="N198" s="345" t="n">
        <v>0.45</v>
      </c>
      <c r="O198" s="345" t="n">
        <v>45</v>
      </c>
      <c r="P198" s="345" t="inlineStr">
        <is>
          <t>个</t>
        </is>
      </c>
      <c r="Q198" s="345" t="inlineStr"/>
      <c r="R198" s="345" t="inlineStr"/>
      <c r="S198" s="345" t="inlineStr"/>
      <c r="T198" s="345" t="inlineStr"/>
      <c r="U198" s="345" t="n">
        <v>0.5</v>
      </c>
      <c r="V198" s="345" t="inlineStr"/>
      <c r="W198" s="345" t="n">
        <v>0.8</v>
      </c>
      <c r="X198" s="345" t="inlineStr"/>
      <c r="Y198" s="345" t="inlineStr">
        <is>
          <t>confirmed</t>
        </is>
      </c>
      <c r="Z198" s="345" t="n">
        <v>100</v>
      </c>
      <c r="AA198" s="345" t="inlineStr">
        <is>
          <t>价格分歧&gt;30%：历史报价分歧较大，需人工核对；同分多价：最高分候选存在不同历史价格</t>
        </is>
      </c>
      <c r="AB198" s="345" t="inlineStr">
        <is>
          <t>赛特尔25年.xls｜初中物理｜第325行</t>
        </is>
      </c>
    </row>
    <row r="199" customFormat="1" s="257">
      <c r="A199" s="106" t="n">
        <v>393</v>
      </c>
      <c r="B199" s="137" t="n">
        <v>30807000904</v>
      </c>
      <c r="C199" s="301" t="n"/>
      <c r="D199" s="141" t="inlineStr">
        <is>
          <t xml:space="preserve"> 6 V，0.15 A，螺口式，E10</t>
        </is>
      </c>
      <c r="E199" s="154" t="n">
        <v>100</v>
      </c>
      <c r="F199" s="26" t="inlineStr">
        <is>
          <t>个</t>
        </is>
      </c>
      <c r="G199" s="147">
        <f>_xlfn.DISPIMG("ID_8AB30CEDE8134E208ABC40C9ABFE406C",1)</f>
        <v/>
      </c>
      <c r="H199" s="330" t="n"/>
      <c r="I199" s="31" t="n">
        <v>30807000904</v>
      </c>
      <c r="J199" s="33" t="inlineStr">
        <is>
          <t xml:space="preserve"> 6 V，0.15 A，螺口式，E10</t>
        </is>
      </c>
      <c r="K199" s="39" t="inlineStr">
        <is>
          <t>乐百仕</t>
        </is>
      </c>
      <c r="L199" s="39" t="inlineStr">
        <is>
          <t>江苏乐百仕教育科技有限公司</t>
        </is>
      </c>
      <c r="M199" s="345" t="n">
        <v>100</v>
      </c>
      <c r="N199" s="345" t="n">
        <v>0.45</v>
      </c>
      <c r="O199" s="345" t="n">
        <v>45</v>
      </c>
      <c r="P199" s="345" t="inlineStr">
        <is>
          <t>个</t>
        </is>
      </c>
      <c r="Q199" s="345" t="inlineStr"/>
      <c r="R199" s="345" t="inlineStr"/>
      <c r="S199" s="345" t="inlineStr"/>
      <c r="T199" s="345" t="inlineStr"/>
      <c r="U199" s="345" t="n">
        <v>0.5</v>
      </c>
      <c r="V199" s="345" t="inlineStr"/>
      <c r="W199" s="345" t="n">
        <v>0.8</v>
      </c>
      <c r="X199" s="345" t="inlineStr"/>
      <c r="Y199" s="345" t="inlineStr">
        <is>
          <t>confirmed</t>
        </is>
      </c>
      <c r="Z199" s="345" t="n">
        <v>100</v>
      </c>
      <c r="AA199" s="345" t="inlineStr">
        <is>
          <t>价格分歧&gt;30%：历史报价分歧较大，需人工核对；同分多价：最高分候选存在不同历史价格</t>
        </is>
      </c>
      <c r="AB199" s="345" t="inlineStr">
        <is>
          <t>赛特尔25年.xls｜初中物理｜第325行</t>
        </is>
      </c>
    </row>
    <row r="200" customFormat="1" s="257">
      <c r="A200" s="106" t="n">
        <v>394</v>
      </c>
      <c r="B200" s="349" t="n">
        <v>30307304202</v>
      </c>
      <c r="C200" s="328" t="inlineStr">
        <is>
          <t>滑动变阻器</t>
        </is>
      </c>
      <c r="D200" s="115" t="inlineStr">
        <is>
          <t>10 Ω , 2 A 滑杆宜采用正多边形截面（正六边形、正四边形、正三角形）；滑片不应滑出端夹以外；全部电阻线以额定电流连续工作 30min，温升不应超过300 ℃</t>
        </is>
      </c>
      <c r="E200" s="31" t="n">
        <v>13</v>
      </c>
      <c r="F200" s="117" t="inlineStr">
        <is>
          <t>个</t>
        </is>
      </c>
      <c r="G200" s="147">
        <f>_xlfn.DISPIMG("ID_F147F3C3DE7E4D7F8D1ACBFE0850A8C8",1)</f>
        <v/>
      </c>
      <c r="H200" s="330" t="n"/>
      <c r="I200" s="348" t="n">
        <v>30307304202</v>
      </c>
      <c r="J200" s="40" t="inlineStr">
        <is>
          <t>10 Ω , 2 A 滑杆宜采用正多边形截面（正六边形、正四边形、正三角形）；滑片不应滑出端夹以外；全部电阻线以额定电流连续工作 30min，温升不应超过300 ℃</t>
        </is>
      </c>
      <c r="K200" s="39" t="inlineStr">
        <is>
          <t>乐百仕</t>
        </is>
      </c>
      <c r="L200" s="39" t="inlineStr">
        <is>
          <t>江苏乐百仕教育科技有限公司</t>
        </is>
      </c>
      <c r="M200" s="345" t="n">
        <v>13</v>
      </c>
      <c r="N200" s="345" t="n">
        <v>14</v>
      </c>
      <c r="O200" s="345" t="n">
        <v>182</v>
      </c>
      <c r="P200" s="345" t="inlineStr">
        <is>
          <t>个</t>
        </is>
      </c>
      <c r="Q200" s="345" t="inlineStr"/>
      <c r="R200" s="345" t="inlineStr"/>
      <c r="S200" s="345" t="inlineStr"/>
      <c r="T200" s="345" t="inlineStr"/>
      <c r="U200" s="345" t="n">
        <v>15</v>
      </c>
      <c r="V200" s="345" t="inlineStr"/>
      <c r="W200" s="345" t="n">
        <v>20</v>
      </c>
      <c r="X200" s="345" t="inlineStr"/>
      <c r="Y200" s="345" t="inlineStr">
        <is>
          <t>confirmed</t>
        </is>
      </c>
      <c r="Z200" s="345" t="n">
        <v>100</v>
      </c>
      <c r="AA200" s="345" t="inlineStr">
        <is>
          <t>价格分歧&gt;30%：历史报价分歧较大，需人工核对；同分多价：最高分候选存在不同历史价格</t>
        </is>
      </c>
      <c r="AB200" s="345" t="inlineStr">
        <is>
          <t>赛特尔25年.xls｜初中新课标物理｜第409行</t>
        </is>
      </c>
    </row>
    <row r="201" customFormat="1" s="257">
      <c r="A201" s="106" t="n">
        <v>395</v>
      </c>
      <c r="B201" s="349" t="n">
        <v>30307304203</v>
      </c>
      <c r="C201" s="329" t="n"/>
      <c r="D201" s="115" t="inlineStr">
        <is>
          <t>20 Ω , 2 A 滑杆宜采用正多边形截面（正六边形、正四边形、正三角形）；滑片不应滑出端夹以外；全部电阻线以额定电流连续工作 30min，温升不应超过300 ℃</t>
        </is>
      </c>
      <c r="E201" s="31" t="n">
        <v>13</v>
      </c>
      <c r="F201" s="117" t="inlineStr">
        <is>
          <t>个</t>
        </is>
      </c>
      <c r="G201" s="340">
        <f>_xlfn.DISPIMG("ID_3F8553D974B8457CB4D4C0C8F856AA01",1)</f>
        <v/>
      </c>
      <c r="H201" s="330" t="n"/>
      <c r="I201" s="348" t="n">
        <v>30307304203</v>
      </c>
      <c r="J201" s="40" t="inlineStr">
        <is>
          <t>20 Ω , 2 A 滑杆宜采用正多边形截面（正六边形、正四边形、正三角形）；滑片不应滑出端夹以外；全部电阻线以额定电流连续工作 30min，温升不应超过300 ℃</t>
        </is>
      </c>
      <c r="K201" s="39" t="inlineStr">
        <is>
          <t>乐百仕</t>
        </is>
      </c>
      <c r="L201" s="39" t="inlineStr">
        <is>
          <t>江苏乐百仕教育科技有限公司</t>
        </is>
      </c>
      <c r="M201" s="345" t="n">
        <v>13</v>
      </c>
      <c r="N201" s="345" t="n">
        <v>14</v>
      </c>
      <c r="O201" s="345" t="n">
        <v>182</v>
      </c>
      <c r="P201" s="345" t="inlineStr">
        <is>
          <t>个</t>
        </is>
      </c>
      <c r="Q201" s="345" t="inlineStr"/>
      <c r="R201" s="345" t="inlineStr"/>
      <c r="S201" s="345" t="inlineStr"/>
      <c r="T201" s="345" t="inlineStr"/>
      <c r="U201" s="345" t="n">
        <v>15</v>
      </c>
      <c r="V201" s="345" t="inlineStr"/>
      <c r="W201" s="345" t="n">
        <v>20</v>
      </c>
      <c r="X201" s="345" t="inlineStr"/>
      <c r="Y201" s="345" t="inlineStr">
        <is>
          <t>confirmed</t>
        </is>
      </c>
      <c r="Z201" s="345" t="n">
        <v>100</v>
      </c>
      <c r="AA201" s="345" t="inlineStr">
        <is>
          <t>价格分歧&gt;30%：历史报价分歧较大，需人工核对；同分多价：最高分候选存在不同历史价格</t>
        </is>
      </c>
      <c r="AB201" s="345" t="inlineStr">
        <is>
          <t>赛特尔25年.xls｜初中新课标物理｜第409行</t>
        </is>
      </c>
    </row>
    <row r="202" customFormat="1" s="257">
      <c r="A202" s="106" t="n">
        <v>396</v>
      </c>
      <c r="B202" s="349" t="n">
        <v>30307304204</v>
      </c>
      <c r="C202" s="329" t="n"/>
      <c r="D202" s="115" t="inlineStr">
        <is>
          <t>50 Ω , 1.5 A 滑杆宜采用正多边形截面（正六边形、正四边形、正三角形）；滑片不应滑出端夹以外；全部电阻线以额定电流连续工作 30min，温升不应超过300 ℃</t>
        </is>
      </c>
      <c r="E202" s="347" t="n">
        <v>1</v>
      </c>
      <c r="F202" s="117" t="inlineStr">
        <is>
          <t>个</t>
        </is>
      </c>
      <c r="G202" s="340">
        <f>_xlfn.DISPIMG("ID_EEB4300879CB4E7EBC4222745A626225",1)</f>
        <v/>
      </c>
      <c r="H202" s="330" t="n"/>
      <c r="I202" s="348" t="n">
        <v>30307304204</v>
      </c>
      <c r="J202" s="40" t="inlineStr">
        <is>
          <t>50 Ω , 1.5 A 滑杆宜采用正多边形截面（正六边形、正四边形、正三角形）；滑片不应滑出端夹以外；全部电阻线以额定电流连续工作 30min，温升不应超过300 ℃</t>
        </is>
      </c>
      <c r="K202" s="39" t="inlineStr">
        <is>
          <t>乐百仕</t>
        </is>
      </c>
      <c r="L202" s="39" t="inlineStr">
        <is>
          <t>江苏乐百仕教育科技有限公司</t>
        </is>
      </c>
      <c r="M202" s="345" t="n">
        <v>1</v>
      </c>
      <c r="N202" s="345" t="n">
        <v>14</v>
      </c>
      <c r="O202" s="345" t="n">
        <v>14</v>
      </c>
      <c r="P202" s="345" t="inlineStr">
        <is>
          <t>个</t>
        </is>
      </c>
      <c r="Q202" s="345" t="inlineStr"/>
      <c r="R202" s="345" t="inlineStr"/>
      <c r="S202" s="345" t="inlineStr"/>
      <c r="T202" s="345" t="inlineStr"/>
      <c r="U202" s="345" t="n">
        <v>15</v>
      </c>
      <c r="V202" s="345" t="inlineStr"/>
      <c r="W202" s="345" t="n">
        <v>20</v>
      </c>
      <c r="X202" s="345" t="inlineStr"/>
      <c r="Y202" s="345" t="inlineStr">
        <is>
          <t>confirmed</t>
        </is>
      </c>
      <c r="Z202" s="345" t="n">
        <v>100</v>
      </c>
      <c r="AA202" s="345" t="inlineStr">
        <is>
          <t>价格分歧&gt;30%：历史报价分歧较大，需人工核对；同分多价：最高分候选存在不同历史价格</t>
        </is>
      </c>
      <c r="AB202" s="345" t="inlineStr">
        <is>
          <t>赛特尔25年.xls｜初中新课标物理｜第409行</t>
        </is>
      </c>
    </row>
    <row r="203" customFormat="1" s="257">
      <c r="A203" s="106" t="n">
        <v>399</v>
      </c>
      <c r="B203" s="31" t="n">
        <v>30807015311</v>
      </c>
      <c r="C203" s="31" t="inlineStr">
        <is>
          <t>接线夹导线</t>
        </is>
      </c>
      <c r="D203" s="141" t="inlineStr">
        <is>
          <t>纯铜接线夹；纯铜导线，长度分别为 200mm、300 mm、400 mm，芯线截面积不小于 0.5 mm2；宜用不同线色</t>
        </is>
      </c>
      <c r="E203" s="327" t="n">
        <v>50</v>
      </c>
      <c r="F203" s="31" t="inlineStr">
        <is>
          <t>根</t>
        </is>
      </c>
      <c r="G203" s="340">
        <f>_xlfn.DISPIMG("ID_01969DFC5DD04F72AB14666751076829",1)</f>
        <v/>
      </c>
      <c r="H203" s="147" t="n"/>
      <c r="I203" s="31" t="n">
        <v>30807015311</v>
      </c>
      <c r="J203" s="33" t="inlineStr">
        <is>
          <t>纯铜接线夹；纯铜导线，长度分别为 200mm、300 mm、400 mm，芯线截面积不小于 0.5 mm2；宜用不同线色</t>
        </is>
      </c>
      <c r="K203" s="39" t="inlineStr">
        <is>
          <t>乐百仕</t>
        </is>
      </c>
      <c r="L203" s="39" t="inlineStr">
        <is>
          <t>江苏乐百仕教育科技有限公司</t>
        </is>
      </c>
      <c r="M203" s="345" t="n">
        <v>50</v>
      </c>
      <c r="N203" s="345" t="n">
        <v>11</v>
      </c>
      <c r="O203" s="345" t="n">
        <v>550</v>
      </c>
      <c r="P203" s="345" t="inlineStr">
        <is>
          <t>根</t>
        </is>
      </c>
      <c r="Q203" s="345" t="inlineStr"/>
      <c r="R203" s="345" t="inlineStr"/>
      <c r="S203" s="345" t="inlineStr"/>
      <c r="T203" s="345" t="inlineStr">
        <is>
          <t>长度分别为 200 mm、300 mm、400 mm；单芯4 mm 纯铜接线夹，纯铜导线；宜用不同线色</t>
        </is>
      </c>
      <c r="U203" s="345" t="inlineStr"/>
      <c r="V203" s="345" t="inlineStr"/>
      <c r="W203" s="345" t="inlineStr"/>
      <c r="X203" s="345" t="inlineStr"/>
      <c r="Y203" s="345" t="inlineStr">
        <is>
          <t>confirmed</t>
        </is>
      </c>
      <c r="Z203" s="345" t="n">
        <v>0</v>
      </c>
      <c r="AA203" s="345" t="inlineStr">
        <is>
          <t>没有找到可靠候选</t>
        </is>
      </c>
      <c r="AB203" s="345" t="inlineStr">
        <is>
          <t>赛特尔25年.xls｜初中新课标物理｜第419行</t>
        </is>
      </c>
    </row>
    <row r="204" customFormat="1" s="257">
      <c r="A204" s="106" t="n">
        <v>400</v>
      </c>
      <c r="B204" s="31" t="n">
        <v>30807015411</v>
      </c>
      <c r="C204" s="31" t="inlineStr">
        <is>
          <t>接线叉导线</t>
        </is>
      </c>
      <c r="D204" s="141" t="inlineStr">
        <is>
          <t>纯铜接线叉，接线叉开口 5.9 mm；纯铜导线，长度分别为 200 mm、300 mm、400mm，芯线截面积不小于 0.5 mm2；宜用不同线色</t>
        </is>
      </c>
      <c r="E204" s="327" t="n">
        <v>50</v>
      </c>
      <c r="F204" s="31" t="inlineStr">
        <is>
          <t>套</t>
        </is>
      </c>
      <c r="G204" s="340">
        <f>_xlfn.DISPIMG("ID_7EC04D0FDAA144449A07B2EA908A4468",1)</f>
        <v/>
      </c>
      <c r="H204" s="330" t="n"/>
      <c r="I204" s="31" t="n">
        <v>30807015411</v>
      </c>
      <c r="J204" s="33" t="inlineStr">
        <is>
          <t>纯铜接线叉，接线叉开口 5.9 mm；纯铜导线，长度分别为 200 mm、300 mm、400mm，芯线截面积不小于 0.5 mm2；宜用不同线色</t>
        </is>
      </c>
      <c r="K204" s="39" t="inlineStr">
        <is>
          <t>乐百仕</t>
        </is>
      </c>
      <c r="L204" s="39" t="inlineStr">
        <is>
          <t>江苏乐百仕教育科技有限公司</t>
        </is>
      </c>
      <c r="M204" s="345" t="n">
        <v>50</v>
      </c>
      <c r="N204" s="345" t="n">
        <v>11</v>
      </c>
      <c r="O204" s="345" t="n">
        <v>550</v>
      </c>
      <c r="P204" s="345" t="inlineStr">
        <is>
          <t>套</t>
        </is>
      </c>
      <c r="Q204" s="345" t="inlineStr"/>
      <c r="R204" s="345" t="inlineStr"/>
      <c r="S204" s="345" t="inlineStr"/>
      <c r="T204" s="345" t="inlineStr">
        <is>
          <t>长度分别为 200 mm、300 mm、400 mm；单芯4 mm 纯铜接线叉，接线叉开口 5.9 mm，纯铜导线；宜用不同线色</t>
        </is>
      </c>
      <c r="U204" s="345" t="inlineStr"/>
      <c r="V204" s="345" t="inlineStr"/>
      <c r="W204" s="345" t="inlineStr"/>
      <c r="X204" s="345" t="inlineStr"/>
      <c r="Y204" s="345" t="inlineStr">
        <is>
          <t>confirmed</t>
        </is>
      </c>
      <c r="Z204" s="345" t="n">
        <v>100</v>
      </c>
      <c r="AA204" s="345" t="inlineStr"/>
      <c r="AB204" s="345" t="inlineStr">
        <is>
          <t>赛特尔25年.xls｜初中新课标物理｜第420行</t>
        </is>
      </c>
    </row>
    <row r="205" customFormat="1" s="257">
      <c r="A205" s="106" t="n">
        <v>401</v>
      </c>
      <c r="B205" s="31" t="n">
        <v>30807015511</v>
      </c>
      <c r="C205" s="31" t="inlineStr">
        <is>
          <t>香蕉头导线</t>
        </is>
      </c>
      <c r="D205" s="141" t="inlineStr">
        <is>
          <t>带有转接口，4 mm 香蕉插头；纯铜导线，长度分别为 200 mm、300 mm、400 mm，芯线截面积不小于 0.5 mm2；宜用不同线色</t>
        </is>
      </c>
      <c r="E205" s="327" t="n">
        <v>50</v>
      </c>
      <c r="F205" s="31" t="inlineStr">
        <is>
          <t>套</t>
        </is>
      </c>
      <c r="G205" s="340">
        <f>_xlfn.DISPIMG("ID_E3122B89497141F491D1F2B47CC23395",1)</f>
        <v/>
      </c>
      <c r="H205" s="330" t="n"/>
      <c r="I205" s="31" t="n">
        <v>30807015511</v>
      </c>
      <c r="J205" s="33" t="inlineStr">
        <is>
          <t>带有转接口，4 mm 香蕉插头；纯铜导线，长度分别为 200 mm、300 mm、400 mm，芯线截面积不小于 0.5 mm2；宜用不同线色</t>
        </is>
      </c>
      <c r="K205" s="39" t="inlineStr">
        <is>
          <t>乐百仕</t>
        </is>
      </c>
      <c r="L205" s="39" t="inlineStr">
        <is>
          <t>江苏乐百仕教育科技有限公司</t>
        </is>
      </c>
      <c r="M205" s="345" t="n">
        <v>50</v>
      </c>
      <c r="N205" s="345" t="n">
        <v>11</v>
      </c>
      <c r="O205" s="345" t="n">
        <v>550</v>
      </c>
      <c r="P205" s="345" t="inlineStr">
        <is>
          <t>套</t>
        </is>
      </c>
      <c r="Q205" s="345" t="inlineStr"/>
      <c r="R205" s="345" t="inlineStr"/>
      <c r="S205" s="345" t="inlineStr"/>
      <c r="T205" s="345" t="inlineStr">
        <is>
          <t>长度分别为 200 mm、300 mm、400 mm；单芯4 mm 纯铜插头，纯铜导线；宜用不同线色</t>
        </is>
      </c>
      <c r="U205" s="345" t="inlineStr"/>
      <c r="V205" s="345" t="inlineStr"/>
      <c r="W205" s="345" t="inlineStr"/>
      <c r="X205" s="345" t="inlineStr"/>
      <c r="Y205" s="345" t="inlineStr">
        <is>
          <t>confirmed</t>
        </is>
      </c>
      <c r="Z205" s="345" t="n">
        <v>66.7</v>
      </c>
      <c r="AA205" s="345" t="inlineStr"/>
      <c r="AB205" s="345" t="inlineStr">
        <is>
          <t>赛特尔25年.xls｜初中新课标物理｜第418行</t>
        </is>
      </c>
    </row>
    <row r="206" customFormat="1" s="257">
      <c r="A206" s="106" t="n">
        <v>402</v>
      </c>
      <c r="B206" s="31" t="n">
        <v>30807015911</v>
      </c>
      <c r="C206" s="31" t="inlineStr">
        <is>
          <t>组合接头导线</t>
        </is>
      </c>
      <c r="D206" s="141" t="inlineStr">
        <is>
          <t>一头为纯铜接线叉，一头为接线夹，接线叉开口 5.9 mm；纯铜导线，长度分别为 200 mm、300 mm、400 mm，芯线截面积不小于 0.5 mm2；宜用不同线色</t>
        </is>
      </c>
      <c r="E206" s="327" t="n">
        <v>50</v>
      </c>
      <c r="F206" s="31" t="inlineStr">
        <is>
          <t>套</t>
        </is>
      </c>
      <c r="G206" s="340">
        <f>_xlfn.DISPIMG("ID_6DDCF3E45D3D44E9AFA7BA3497A78AE4",1)</f>
        <v/>
      </c>
      <c r="H206" s="330" t="n"/>
      <c r="I206" s="31" t="n">
        <v>30807015911</v>
      </c>
      <c r="J206" s="33" t="inlineStr">
        <is>
          <t>一头为纯铜接线叉，一头为接线夹，接线叉开口 5.9 mm；纯铜导线，长度分别为 200 mm、300 mm、400 mm，芯线截面积不小于 0.5 mm2；宜用不同线色</t>
        </is>
      </c>
      <c r="K206" s="39" t="inlineStr">
        <is>
          <t>乐百仕</t>
        </is>
      </c>
      <c r="L206" s="39" t="inlineStr">
        <is>
          <t>江苏乐百仕教育科技有限公司</t>
        </is>
      </c>
      <c r="M206" s="345" t="n">
        <v>50</v>
      </c>
      <c r="N206" s="345" t="n">
        <v>11</v>
      </c>
      <c r="O206" s="345" t="n">
        <v>550</v>
      </c>
      <c r="P206" s="345" t="inlineStr">
        <is>
          <t>套</t>
        </is>
      </c>
      <c r="Q206" s="345" t="inlineStr"/>
      <c r="R206" s="345" t="inlineStr"/>
      <c r="S206" s="345" t="inlineStr"/>
      <c r="T206" s="345" t="inlineStr">
        <is>
          <t>长度分别为 200 mm、300 mm、400 mm；一头为单芯 4 mm 纯铜接线叉，一头为接线夹，接线叉开口 5.9 mm，纯铜导线；宜用不同线色</t>
        </is>
      </c>
      <c r="U206" s="345" t="inlineStr"/>
      <c r="V206" s="345" t="inlineStr"/>
      <c r="W206" s="345" t="inlineStr"/>
      <c r="X206" s="345" t="inlineStr"/>
      <c r="Y206" s="345" t="inlineStr">
        <is>
          <t>confirmed</t>
        </is>
      </c>
      <c r="Z206" s="345" t="n">
        <v>100</v>
      </c>
      <c r="AA206" s="345" t="inlineStr"/>
      <c r="AB206" s="345" t="inlineStr">
        <is>
          <t>赛特尔25年.xls｜初中新课标物理｜第421行</t>
        </is>
      </c>
    </row>
    <row r="207" customFormat="1" s="257">
      <c r="A207" s="106" t="n">
        <v>404</v>
      </c>
      <c r="B207" s="31" t="n">
        <v>30307400701</v>
      </c>
      <c r="C207" s="26" t="inlineStr">
        <is>
          <t>菱形小磁针</t>
        </is>
      </c>
      <c r="D207" s="141" t="inlineStr">
        <is>
          <t>16 支，磁针 28 mm×8 mm，座Φ25 mm×25 mm，磁针体中间铆接铜轴承套，内嵌玻璃轴承，平均磁感应强度≥5 mT</t>
        </is>
      </c>
      <c r="E207" s="31" t="n">
        <v>13</v>
      </c>
      <c r="F207" s="26" t="inlineStr">
        <is>
          <t>个</t>
        </is>
      </c>
      <c r="G207" s="147">
        <f>_xlfn.DISPIMG("ID_83CD67EE560E46EFAA32C9215109525C",1)</f>
        <v/>
      </c>
      <c r="H207" s="330" t="n"/>
      <c r="I207" s="31" t="n">
        <v>30307400701</v>
      </c>
      <c r="J207" s="33" t="inlineStr">
        <is>
          <t>16 支，磁针 28 mm×8 mm，座Φ25 mm×25 mm，磁针体中间铆接铜轴承套，内嵌玻璃轴承，平均磁感应强度≥5 mT</t>
        </is>
      </c>
      <c r="K207" s="39" t="inlineStr">
        <is>
          <t>乐百仕</t>
        </is>
      </c>
      <c r="L207" s="39" t="inlineStr">
        <is>
          <t>江苏乐百仕教育科技有限公司</t>
        </is>
      </c>
      <c r="M207" s="345" t="n">
        <v>13</v>
      </c>
      <c r="N207" s="345" t="n">
        <v>6</v>
      </c>
      <c r="O207" s="345" t="n">
        <v>78</v>
      </c>
      <c r="P207" s="345" t="inlineStr">
        <is>
          <t>个</t>
        </is>
      </c>
      <c r="Q207" s="345" t="inlineStr"/>
      <c r="R207" s="345" t="inlineStr"/>
      <c r="S207" s="345" t="inlineStr"/>
      <c r="T207" s="345" t="inlineStr"/>
      <c r="U207" s="345" t="inlineStr"/>
      <c r="V207" s="345" t="inlineStr"/>
      <c r="W207" s="345" t="inlineStr"/>
      <c r="X207" s="345" t="inlineStr"/>
      <c r="Y207" s="345" t="inlineStr">
        <is>
          <t>confirmed</t>
        </is>
      </c>
      <c r="Z207" s="345" t="n">
        <v>0</v>
      </c>
      <c r="AA207" s="345" t="inlineStr">
        <is>
          <t>没有找到可靠候选</t>
        </is>
      </c>
      <c r="AB207" s="345" t="inlineStr">
        <is>
          <t>赛特尔25年.xls｜初中物理｜第193行</t>
        </is>
      </c>
    </row>
    <row r="208" customFormat="1" s="257">
      <c r="A208" s="106" t="n">
        <v>405</v>
      </c>
      <c r="B208" s="31" t="n">
        <v>30307400801</v>
      </c>
      <c r="C208" s="26" t="inlineStr">
        <is>
          <t>翼形磁针</t>
        </is>
      </c>
      <c r="D208" s="141" t="inlineStr">
        <is>
          <t>2 支，针体 140 mm×8 mm，座Φ71 mm×112 mm，磁针体中间铆接铜轴承套，内嵌玻璃轴承，平均磁感应强度≥9 mT</t>
        </is>
      </c>
      <c r="E208" s="154" t="n">
        <v>1</v>
      </c>
      <c r="F208" s="26" t="inlineStr">
        <is>
          <t>对</t>
        </is>
      </c>
      <c r="G208" s="147">
        <f>_xlfn.DISPIMG("ID_FF36ACD96C684554BEBF4950DFE5C20C",1)</f>
        <v/>
      </c>
      <c r="H208" s="330" t="n"/>
      <c r="I208" s="31" t="n">
        <v>30307400801</v>
      </c>
      <c r="J208" s="33" t="inlineStr">
        <is>
          <t>2 支，针体 140 mm×8 mm，座Φ71 mm×112 mm，磁针体中间铆接铜轴承套，内嵌玻璃轴承，平均磁感应强度≥9 mT</t>
        </is>
      </c>
      <c r="K208" s="39" t="inlineStr">
        <is>
          <t>乐百仕</t>
        </is>
      </c>
      <c r="L208" s="39" t="inlineStr">
        <is>
          <t>江苏乐百仕教育科技有限公司</t>
        </is>
      </c>
      <c r="M208" s="345" t="n">
        <v>1</v>
      </c>
      <c r="N208" s="345" t="n">
        <v>4</v>
      </c>
      <c r="O208" s="345" t="n">
        <v>4</v>
      </c>
      <c r="P208" s="345" t="inlineStr">
        <is>
          <t>对</t>
        </is>
      </c>
      <c r="Q208" s="345" t="inlineStr"/>
      <c r="R208" s="345" t="inlineStr"/>
      <c r="S208" s="345" t="inlineStr"/>
      <c r="T208" s="345" t="inlineStr"/>
      <c r="U208" s="345" t="n">
        <v>4</v>
      </c>
      <c r="V208" s="345" t="inlineStr"/>
      <c r="W208" s="345" t="n">
        <v>4.4</v>
      </c>
      <c r="X208" s="345" t="inlineStr"/>
      <c r="Y208" s="345" t="inlineStr">
        <is>
          <t>confirmed</t>
        </is>
      </c>
      <c r="Z208" s="345" t="n">
        <v>100</v>
      </c>
      <c r="AA208" s="345" t="inlineStr"/>
      <c r="AB208" s="345" t="inlineStr">
        <is>
          <t>赛特尔25年.xls｜初中物理｜第194行</t>
        </is>
      </c>
    </row>
    <row r="209" customFormat="1" s="190">
      <c r="A209" s="106" t="n">
        <v>406</v>
      </c>
      <c r="B209" s="103" t="n">
        <v>30307400204</v>
      </c>
      <c r="C209" s="108" t="inlineStr">
        <is>
          <t>条形磁铁</t>
        </is>
      </c>
      <c r="D209" s="278" t="inlineStr">
        <is>
          <t>D－CG－LT－180，表面磁感应强度≥0.07 T</t>
        </is>
      </c>
      <c r="E209" s="31" t="n">
        <v>13</v>
      </c>
      <c r="F209" s="26" t="inlineStr">
        <is>
          <t>对</t>
        </is>
      </c>
      <c r="G209" s="67">
        <f>_xlfn.DISPIMG("ID_7DDFEC0816734D58AFB8A187A7324BAF",1)</f>
        <v/>
      </c>
      <c r="H209" s="330" t="n"/>
      <c r="I209" s="103" t="n">
        <v>30307400204</v>
      </c>
      <c r="J209" s="109" t="inlineStr">
        <is>
          <t>D－CG－LT－180，表面磁感应强度≥0.07 T</t>
        </is>
      </c>
      <c r="K209" s="39" t="inlineStr">
        <is>
          <t>乐百仕</t>
        </is>
      </c>
      <c r="L209" s="39" t="inlineStr">
        <is>
          <t>江苏乐百仕教育科技有限公司</t>
        </is>
      </c>
      <c r="M209" s="345" t="n">
        <v>13</v>
      </c>
      <c r="N209" s="345" t="n">
        <v>16</v>
      </c>
      <c r="O209" s="345" t="n">
        <v>208</v>
      </c>
      <c r="P209" s="345" t="inlineStr">
        <is>
          <t>对</t>
        </is>
      </c>
      <c r="Q209" s="345" t="inlineStr"/>
      <c r="R209" s="345" t="inlineStr"/>
      <c r="S209" s="345" t="inlineStr"/>
      <c r="T209" s="345" t="inlineStr"/>
      <c r="U209" s="345" t="n">
        <v>17.6</v>
      </c>
      <c r="V209" s="345" t="inlineStr"/>
      <c r="W209" s="345" t="n">
        <v>26</v>
      </c>
      <c r="X209" s="345" t="inlineStr"/>
      <c r="Y209" s="345" t="inlineStr">
        <is>
          <t>confirmed</t>
        </is>
      </c>
      <c r="Z209" s="345" t="n">
        <v>100</v>
      </c>
      <c r="AA209" s="345" t="inlineStr">
        <is>
          <t>价格分歧&gt;30%：历史报价分歧较大，需人工核对；同分多价：最高分候选存在不同历史价格</t>
        </is>
      </c>
      <c r="AB209" s="345" t="inlineStr">
        <is>
          <t>赛特尔25年.xls｜初中新课标物理｜第328行</t>
        </is>
      </c>
    </row>
    <row r="210" customFormat="1" s="190">
      <c r="A210" s="106" t="n">
        <v>407</v>
      </c>
      <c r="B210" s="103" t="n">
        <v>30307400305</v>
      </c>
      <c r="C210" s="108" t="inlineStr">
        <is>
          <t>蹄形磁铁</t>
        </is>
      </c>
      <c r="D210" s="278" t="inlineStr">
        <is>
          <t>一体成型，D－CG－LU－100，表面磁感应强度≥0.07 T</t>
        </is>
      </c>
      <c r="E210" s="67" t="n">
        <v>1</v>
      </c>
      <c r="F210" s="26" t="inlineStr">
        <is>
          <t>对</t>
        </is>
      </c>
      <c r="G210" s="67">
        <f>_xlfn.DISPIMG("ID_17B8AA7169AB4ACABE752C907392B4B0",1)</f>
        <v/>
      </c>
      <c r="H210" s="330" t="n"/>
      <c r="I210" s="103" t="n">
        <v>30307400305</v>
      </c>
      <c r="J210" s="109" t="inlineStr">
        <is>
          <t>一体成型，D－CG－LU－100，表面磁感应强度≥0.07 T</t>
        </is>
      </c>
      <c r="K210" s="39" t="inlineStr">
        <is>
          <t>乐百仕</t>
        </is>
      </c>
      <c r="L210" s="39" t="inlineStr">
        <is>
          <t>江苏乐百仕教育科技有限公司</t>
        </is>
      </c>
      <c r="M210" s="345" t="n">
        <v>1</v>
      </c>
      <c r="N210" s="345" t="n">
        <v>0.03</v>
      </c>
      <c r="O210" s="345" t="n">
        <v>0.03</v>
      </c>
      <c r="P210" s="345" t="inlineStr">
        <is>
          <t>对</t>
        </is>
      </c>
      <c r="Q210" s="345" t="inlineStr"/>
      <c r="R210" s="345" t="inlineStr"/>
      <c r="S210" s="345" t="inlineStr"/>
      <c r="T210" s="345" t="inlineStr"/>
      <c r="U210" s="345" t="inlineStr"/>
      <c r="V210" s="345" t="inlineStr"/>
      <c r="W210" s="345" t="inlineStr"/>
      <c r="X210" s="345" t="inlineStr"/>
      <c r="Y210" s="345" t="inlineStr">
        <is>
          <t>confirmed</t>
        </is>
      </c>
      <c r="Z210" s="345" t="n">
        <v>0</v>
      </c>
      <c r="AA210" s="345" t="inlineStr">
        <is>
          <t>没有找到可靠候选</t>
        </is>
      </c>
      <c r="AB210" s="345" t="inlineStr">
        <is>
          <t>赛特尔25年.xls｜高中化学｜第314行</t>
        </is>
      </c>
    </row>
    <row r="211" customFormat="1" s="257">
      <c r="A211" s="106" t="n">
        <v>410</v>
      </c>
      <c r="B211" s="31" t="n">
        <v>30199002301</v>
      </c>
      <c r="C211" s="26" t="inlineStr">
        <is>
          <t>充磁器</t>
        </is>
      </c>
      <c r="D211" s="141" t="inlineStr">
        <is>
          <t>有充磁时间自动控制功能，外壳为非铁磁性材料，线圈轴向长度不小于 80 mm，能充两极间距大于 28 mm、磁极截面积小于 42 mm ×24 mm 的 U 形磁铁以及截面积小于 42 mm ×24 mm 的条形磁铁，电源与线圈骨架以及外壳金属件之间抗电强度 3000 V</t>
        </is>
      </c>
      <c r="E211" s="154" t="n">
        <v>1</v>
      </c>
      <c r="F211" s="26" t="inlineStr">
        <is>
          <t>台</t>
        </is>
      </c>
      <c r="G211" s="147">
        <f>_xlfn.DISPIMG("ID_5A0CB6EBBDF5499D98DFCC19B9BF6785",1)</f>
        <v/>
      </c>
      <c r="H211" s="330" t="n"/>
      <c r="I211" s="31" t="n">
        <v>30199002301</v>
      </c>
      <c r="J211" s="33" t="inlineStr">
        <is>
          <t>有充磁时间自动控制功能，外壳为非铁磁性材料，线圈轴向长度不小于 80 mm，能充两极间距大于 28 mm、磁极截面积小于 42 mm ×24 mm 的 U 形磁铁以及截面积小于 42 mm ×24 mm 的条形磁铁，电源与线圈骨架以及外壳金属件之间抗电强度 3000 V</t>
        </is>
      </c>
      <c r="K211" s="39" t="inlineStr">
        <is>
          <t>乐百仕</t>
        </is>
      </c>
      <c r="L211" s="39" t="inlineStr">
        <is>
          <t>江苏乐百仕教育科技有限公司</t>
        </is>
      </c>
      <c r="M211" s="345" t="n">
        <v>1</v>
      </c>
      <c r="N211" s="345" t="n">
        <v>95</v>
      </c>
      <c r="O211" s="345" t="n">
        <v>95</v>
      </c>
      <c r="P211" s="345" t="inlineStr">
        <is>
          <t>台</t>
        </is>
      </c>
      <c r="Q211" s="345" t="inlineStr"/>
      <c r="R211" s="345" t="inlineStr"/>
      <c r="S211" s="345" t="inlineStr"/>
      <c r="T211" s="345" t="inlineStr"/>
      <c r="U211" s="345" t="n">
        <v>98</v>
      </c>
      <c r="V211" s="345" t="inlineStr"/>
      <c r="W211" s="345" t="n">
        <v>107.8</v>
      </c>
      <c r="X211" s="345" t="inlineStr"/>
      <c r="Y211" s="345" t="inlineStr">
        <is>
          <t>confirmed</t>
        </is>
      </c>
      <c r="Z211" s="345" t="n">
        <v>100</v>
      </c>
      <c r="AA211" s="345" t="inlineStr">
        <is>
          <t>同分多价：最高分候选存在不同历史价格</t>
        </is>
      </c>
      <c r="AB211" s="345" t="inlineStr">
        <is>
          <t>高中理化生报价.xlsx｜凯迪｜第483行</t>
        </is>
      </c>
    </row>
    <row r="212" customFormat="1" s="257">
      <c r="A212" s="106" t="n">
        <v>418</v>
      </c>
      <c r="B212" s="347" t="n">
        <v>30307404710</v>
      </c>
      <c r="C212" s="117" t="inlineStr">
        <is>
          <t>电磁感应演示器</t>
        </is>
      </c>
      <c r="D212" s="115" t="inlineStr">
        <is>
          <t>匀强磁场的磁感应强度应足够大，闭合矩形线框面积应小于匀强磁场区域的面积。部分切割或旋转时能够产生较大电流：单根导线切割磁感线，经过微电流放大器，可用演示电表指示；电动机线圈及支架在电磁铁磁场的匀强区内旋转，感生电动势（峰值）应为 0.5 V～1.6V；软线圈移出电磁铁匀强区时感生电动势应为 0.4 V～1.5 V（峰值）；长方形线圈的长边在匀强磁场中约 0.5 m/s～1m/s 的速度作切割磁感线运动，感生电动势应为 0.3 V～1.0 V（峰值）</t>
        </is>
      </c>
      <c r="E212" s="347" t="n">
        <v>1</v>
      </c>
      <c r="F212" s="117" t="inlineStr">
        <is>
          <t>套</t>
        </is>
      </c>
      <c r="G212" s="330">
        <f>_xlfn.DISPIMG("ID_2C54275B1DD74F978F8F280D1F9F12BA",1)</f>
        <v/>
      </c>
      <c r="H212" s="330" t="n"/>
      <c r="I212" s="348" t="n">
        <v>30307404710</v>
      </c>
      <c r="J212" s="40" t="inlineStr">
        <is>
          <t>匀强磁场的磁感应强度应足够大，闭合矩形线框面积应小于匀强磁场区域的面积。部分切割或旋转时能够产生较大电流：单根导线切割磁感线，经过微电流放大器，可用演示电表指示；电动机线圈及支架在电磁铁磁场的匀强区内旋转，感生电动势（峰值）应为 0.5 V～1.6V；软线圈移出电磁铁匀强区时感生电动势应为 0.4 V～1.5 V（峰值）；长方形线圈的长边在匀强磁场中约 0.5 m/s～1m/s 的速度作切割磁感线运动，感生电动势应为 0.3 V～1.0 V（峰值）</t>
        </is>
      </c>
      <c r="K212" s="39" t="inlineStr">
        <is>
          <t>乐百仕</t>
        </is>
      </c>
      <c r="L212" s="39" t="inlineStr">
        <is>
          <t>江苏乐百仕教育科技有限公司</t>
        </is>
      </c>
      <c r="M212" s="345" t="n">
        <v>1</v>
      </c>
      <c r="N212" s="345" t="n">
        <v>32</v>
      </c>
      <c r="O212" s="345" t="n">
        <v>32</v>
      </c>
      <c r="P212" s="345" t="inlineStr">
        <is>
          <t>套</t>
        </is>
      </c>
      <c r="Q212" s="345" t="inlineStr"/>
      <c r="R212" s="345" t="inlineStr"/>
      <c r="S212" s="345" t="inlineStr"/>
      <c r="T212" s="345" t="inlineStr"/>
      <c r="U212" s="345" t="n">
        <v>32</v>
      </c>
      <c r="V212" s="345" t="inlineStr"/>
      <c r="W212" s="345" t="n">
        <v>35.2</v>
      </c>
      <c r="X212" s="345" t="inlineStr"/>
      <c r="Y212" s="345" t="inlineStr">
        <is>
          <t>confirmed</t>
        </is>
      </c>
      <c r="Z212" s="345" t="n">
        <v>76.90000000000001</v>
      </c>
      <c r="AA212" s="345" t="inlineStr"/>
      <c r="AB212" s="345" t="inlineStr">
        <is>
          <t>赛特尔25年.xls｜初中新课标物理｜第334行</t>
        </is>
      </c>
    </row>
    <row r="213" customFormat="1" s="257">
      <c r="A213" s="106" t="n">
        <v>428</v>
      </c>
      <c r="B213" s="347" t="n">
        <v>30206000710</v>
      </c>
      <c r="C213" s="117" t="inlineStr">
        <is>
          <t>磁电式电流表模型</t>
        </is>
      </c>
      <c r="D213" s="115" t="inlineStr">
        <is>
          <t>由永久磁体、铁芯、线圈、螺旋弹簧、指针、刻度盘等组成。外壳透明，从电表的前后应能观察到电表的内部测量结构和主要结构件以及动作原理。通过电
流时线圈能旋转</t>
        </is>
      </c>
      <c r="E213" s="347" t="n">
        <v>1</v>
      </c>
      <c r="F213" s="117" t="inlineStr">
        <is>
          <t>台</t>
        </is>
      </c>
      <c r="G213" s="31" t="n"/>
      <c r="H213" s="330" t="n"/>
      <c r="I213" s="348" t="n">
        <v>30206001001</v>
      </c>
      <c r="J213" s="40" t="inlineStr">
        <is>
          <t>由永久磁体、铁芯、线圈、螺旋弹簧、指针、刻度盘等组成。外壳透明，从电表的前后应能观察到电表的内部测量结构和主要结构件以及动作原理。通过电
流时线圈能旋转</t>
        </is>
      </c>
      <c r="K213" s="39" t="inlineStr">
        <is>
          <t>乐百仕</t>
        </is>
      </c>
      <c r="L213" s="39" t="inlineStr">
        <is>
          <t>江苏乐百仕教育科技有限公司</t>
        </is>
      </c>
      <c r="M213" s="345" t="n">
        <v>1</v>
      </c>
      <c r="N213" s="345" t="n">
        <v>35</v>
      </c>
      <c r="O213" s="345" t="n">
        <v>35</v>
      </c>
      <c r="P213" s="345" t="inlineStr">
        <is>
          <t>台</t>
        </is>
      </c>
      <c r="Q213" s="345" t="inlineStr"/>
      <c r="R213" s="345" t="inlineStr"/>
      <c r="S213" s="345" t="inlineStr">
        <is>
          <t>3</t>
        </is>
      </c>
      <c r="T213" s="345" t="inlineStr"/>
      <c r="U213" s="345" t="inlineStr"/>
      <c r="V213" s="345" t="inlineStr"/>
      <c r="W213" s="345" t="inlineStr"/>
      <c r="X213" s="345" t="inlineStr"/>
      <c r="Y213" s="345" t="inlineStr">
        <is>
          <t>confirmed</t>
        </is>
      </c>
      <c r="Z213" s="345" t="n">
        <v>0</v>
      </c>
      <c r="AA213" s="345" t="inlineStr">
        <is>
          <t>匹配到商品档案但无历史价格记录</t>
        </is>
      </c>
      <c r="AB213" s="345" t="inlineStr">
        <is>
          <t>赛特尔25年.xls｜初中物理｜第328行</t>
        </is>
      </c>
    </row>
    <row r="214" customFormat="1" s="252">
      <c r="A214" s="264" t="n">
        <v>431</v>
      </c>
      <c r="B214" s="53" t="n">
        <v>30307303010</v>
      </c>
      <c r="C214" s="50" t="inlineStr">
        <is>
          <t>电场中带电粒子运动模拟演示器</t>
        </is>
      </c>
      <c r="D214" s="52" t="inlineStr">
        <is>
          <t>用实验球模拟带电粒子，有加速电极、偏转电极</t>
        </is>
      </c>
      <c r="E214" s="53" t="n">
        <v>1</v>
      </c>
      <c r="F214" s="53" t="inlineStr">
        <is>
          <t>台</t>
        </is>
      </c>
      <c r="G214" s="280">
        <f>_xlfn.DISPIMG("ID_C45D6C8C07164E9293015B09CBC1FB03",1)</f>
        <v/>
      </c>
      <c r="H214" s="224" t="n"/>
      <c r="I214" s="53" t="n">
        <v>30307303000</v>
      </c>
      <c r="J214" s="54" t="inlineStr">
        <is>
          <t>用实验球模拟带电粒子，有加速电极、偏转电极
技术参数：
外形尺寸666*470mm（±5mm）；上下为铝型材结构，6063-T5材料,具有良好的抗拉强度，表面黑色氧化细喷砂处理。左右为ABS塑料精密注塑成型边框；可模拟粒子运动：通过调节加速旋钮，粒子做匀加速直线运动。调节偏转旋钮粒子做平抛运动。
能够完成的教学演示：
模拟电场中带电粒子的运动。</t>
        </is>
      </c>
      <c r="K214" s="48" t="inlineStr">
        <is>
          <t>乐百仕</t>
        </is>
      </c>
      <c r="L214" s="48" t="inlineStr">
        <is>
          <t>江苏乐百仕教育科技有限公司</t>
        </is>
      </c>
      <c r="M214" s="345" t="n">
        <v>1</v>
      </c>
      <c r="N214" s="345" t="n">
        <v>310</v>
      </c>
      <c r="O214" s="345" t="n">
        <v>310</v>
      </c>
      <c r="P214" s="345" t="inlineStr">
        <is>
          <t>台</t>
        </is>
      </c>
      <c r="Q214" s="345" t="inlineStr">
        <is>
          <t>群信</t>
        </is>
      </c>
      <c r="R214" s="345" t="inlineStr"/>
      <c r="S214" s="345" t="inlineStr">
        <is>
          <t>23057</t>
        </is>
      </c>
      <c r="T214" s="345" t="inlineStr">
        <is>
          <t>23057</t>
        </is>
      </c>
      <c r="U214" s="345" t="inlineStr"/>
      <c r="V214" s="345" t="inlineStr"/>
      <c r="W214" s="345" t="inlineStr"/>
      <c r="X214" s="345" t="inlineStr"/>
      <c r="Y214" s="345" t="inlineStr">
        <is>
          <t>confirmed</t>
        </is>
      </c>
      <c r="Z214" s="345" t="n">
        <v>0</v>
      </c>
      <c r="AA214" s="345" t="inlineStr">
        <is>
          <t>没有找到可靠候选</t>
        </is>
      </c>
      <c r="AB214" s="345" t="inlineStr">
        <is>
          <t>高中理化生报价.xlsx｜凯迪｜第239行</t>
        </is>
      </c>
    </row>
    <row r="215" customFormat="1" s="13">
      <c r="A215" s="264" t="n">
        <v>432</v>
      </c>
      <c r="B215" s="42" t="n">
        <v>30307424501</v>
      </c>
      <c r="C215" s="46" t="inlineStr">
        <is>
          <t>阴极射线管</t>
        </is>
      </c>
      <c r="D215" s="280" t="inlineStr">
        <is>
          <t>磁偏转管，使用高压为 60 kV，负载电流为 200 μA 的直流高压电源，阴极射线管应能工作，电子束轨迹的亮度应≥100cd/m2</t>
        </is>
      </c>
      <c r="E215" s="71" t="n">
        <v>1</v>
      </c>
      <c r="F215" s="50" t="inlineStr">
        <is>
          <t>支</t>
        </is>
      </c>
      <c r="G215" s="71">
        <f>_xlfn.DISPIMG("ID_F60E36C10D364DCCB6CAFCA14DEF9824",1)</f>
        <v/>
      </c>
      <c r="H215" s="224" t="n"/>
      <c r="I215" s="42" t="n">
        <v>30307424501</v>
      </c>
      <c r="J215" s="47" t="inlineStr">
        <is>
          <t>磁偏转管，使用高压为 60 kV，负载电流为 200 μA 的直流高压电源，阴极射线管应能工作，电子束轨迹的亮度应≥100cd/m2</t>
        </is>
      </c>
      <c r="K215" s="48" t="inlineStr">
        <is>
          <t>乐百仕</t>
        </is>
      </c>
      <c r="L215" s="48" t="inlineStr">
        <is>
          <t>江苏乐百仕教育科技有限公司</t>
        </is>
      </c>
      <c r="M215" s="345" t="n">
        <v>1</v>
      </c>
      <c r="N215" s="345" t="n">
        <v>150</v>
      </c>
      <c r="O215" s="345" t="n">
        <v>150</v>
      </c>
      <c r="P215" s="345" t="inlineStr">
        <is>
          <t>支</t>
        </is>
      </c>
      <c r="Q215" s="345" t="inlineStr"/>
      <c r="R215" s="345" t="inlineStr"/>
      <c r="S215" s="345" t="inlineStr"/>
      <c r="T215" s="345" t="inlineStr"/>
      <c r="U215" s="345" t="inlineStr"/>
      <c r="V215" s="345" t="inlineStr"/>
      <c r="W215" s="345" t="inlineStr"/>
      <c r="X215" s="345" t="inlineStr"/>
      <c r="Y215" s="345" t="inlineStr">
        <is>
          <t>confirmed</t>
        </is>
      </c>
      <c r="Z215" s="345" t="n">
        <v>0</v>
      </c>
      <c r="AA215" s="345" t="inlineStr">
        <is>
          <t>匹配到商品档案但无历史价格记录</t>
        </is>
      </c>
      <c r="AB215" s="345" t="inlineStr">
        <is>
          <t>赛特尔25年.xls｜初中物理｜第207行</t>
        </is>
      </c>
    </row>
    <row r="216" customFormat="1" s="257">
      <c r="A216" s="264" t="n">
        <v>434</v>
      </c>
      <c r="B216" s="53" t="n">
        <v>30206001001</v>
      </c>
      <c r="C216" s="53" t="inlineStr">
        <is>
          <t>灵敏电流计</t>
        </is>
      </c>
      <c r="D216" s="52" t="inlineStr">
        <is>
          <t>测量精度 2.5 级，测量范围-300 μA～0μA～300 μA；表头内阻：G0挡 80 Ω～125 Ω，G1挡 2400 Ω～3000 Ω</t>
        </is>
      </c>
      <c r="E216" s="53" t="n">
        <v>13</v>
      </c>
      <c r="F216" s="50" t="inlineStr">
        <is>
          <t>只</t>
        </is>
      </c>
      <c r="G216" s="223">
        <f>_xlfn.DISPIMG("ID_BDAA34C2641B4C6A83914CC19C807DAE",1)</f>
        <v/>
      </c>
      <c r="H216" s="224" t="n"/>
      <c r="I216" s="53" t="n">
        <v>30206001001</v>
      </c>
      <c r="J216" s="54" t="inlineStr">
        <is>
          <t>测量精度 2.5 级，测量范围：-300 μA～0μA～300 μA；表头内阻：G0挡 80 Ω～125 Ω，G1挡 2400 Ω～3000 Ω</t>
        </is>
      </c>
      <c r="K216" s="48" t="inlineStr">
        <is>
          <t>乐百仕</t>
        </is>
      </c>
      <c r="L216" s="48" t="inlineStr">
        <is>
          <t>江苏乐百仕教育科技有限公司</t>
        </is>
      </c>
      <c r="M216" s="345" t="n">
        <v>13</v>
      </c>
      <c r="N216" s="345" t="n">
        <v>17</v>
      </c>
      <c r="O216" s="345" t="n">
        <v>221</v>
      </c>
      <c r="P216" s="345" t="inlineStr">
        <is>
          <t>只</t>
        </is>
      </c>
      <c r="Q216" s="345" t="inlineStr"/>
      <c r="R216" s="345" t="inlineStr"/>
      <c r="S216" s="345" t="inlineStr"/>
      <c r="T216" s="345" t="inlineStr"/>
      <c r="U216" s="345" t="n">
        <v>17</v>
      </c>
      <c r="V216" s="345" t="inlineStr"/>
      <c r="W216" s="345" t="n">
        <v>18.7</v>
      </c>
      <c r="X216" s="345" t="inlineStr"/>
      <c r="Y216" s="345" t="inlineStr">
        <is>
          <t>confirmed</t>
        </is>
      </c>
      <c r="Z216" s="345" t="n">
        <v>100</v>
      </c>
      <c r="AA216" s="345" t="inlineStr"/>
      <c r="AB216" s="345" t="inlineStr">
        <is>
          <t>赛特尔25年.xls｜初中新课标物理｜第394行</t>
        </is>
      </c>
    </row>
    <row r="217" customFormat="1" s="257">
      <c r="A217" s="106" t="n">
        <v>435</v>
      </c>
      <c r="B217" s="31" t="n">
        <v>30311002501</v>
      </c>
      <c r="C217" s="31" t="inlineStr">
        <is>
          <t>环形磁体</t>
        </is>
      </c>
      <c r="D217" s="141" t="inlineStr">
        <is>
          <t>一体成型，D－CG－YT－36，表面磁感应强度≥0.05 T</t>
        </is>
      </c>
      <c r="E217" s="327" t="n">
        <v>1</v>
      </c>
      <c r="F217" s="26" t="inlineStr">
        <is>
          <t>个</t>
        </is>
      </c>
      <c r="G217" s="340">
        <f>_xlfn.DISPIMG("ID_2BD5A92BE28F43CF99F020A95B4F7A7A",1)</f>
        <v/>
      </c>
      <c r="H217" s="330" t="n"/>
      <c r="I217" s="31" t="n">
        <v>30311002501</v>
      </c>
      <c r="J217" s="33" t="inlineStr">
        <is>
          <t>一体成型，D－CG－YT－36，表面磁感应强度≥0.05 T</t>
        </is>
      </c>
      <c r="K217" s="39" t="inlineStr">
        <is>
          <t>乐百仕</t>
        </is>
      </c>
      <c r="L217" s="39" t="inlineStr">
        <is>
          <t>江苏乐百仕教育科技有限公司</t>
        </is>
      </c>
      <c r="M217" s="345" t="n">
        <v>1</v>
      </c>
      <c r="N217" s="345" t="n">
        <v>40</v>
      </c>
      <c r="O217" s="345" t="n">
        <v>40</v>
      </c>
      <c r="P217" s="345" t="inlineStr">
        <is>
          <t>个</t>
        </is>
      </c>
      <c r="Q217" s="345" t="inlineStr">
        <is>
          <t>群信</t>
        </is>
      </c>
      <c r="R217" s="345" t="inlineStr"/>
      <c r="S217" s="345" t="inlineStr">
        <is>
          <t>24030</t>
        </is>
      </c>
      <c r="T217" s="345" t="inlineStr">
        <is>
          <t>24030</t>
        </is>
      </c>
      <c r="U217" s="345" t="inlineStr"/>
      <c r="V217" s="345" t="inlineStr"/>
      <c r="W217" s="345" t="inlineStr"/>
      <c r="X217" s="345" t="inlineStr"/>
      <c r="Y217" s="345" t="inlineStr">
        <is>
          <t>confirmed</t>
        </is>
      </c>
      <c r="Z217" s="345" t="n">
        <v>66.7</v>
      </c>
      <c r="AA217" s="345" t="inlineStr"/>
      <c r="AB217" s="345" t="inlineStr">
        <is>
          <t>高中理化生报价.xlsx｜凯迪｜第266行</t>
        </is>
      </c>
    </row>
    <row r="218" customFormat="1" s="257">
      <c r="A218" s="106" t="n">
        <v>437</v>
      </c>
      <c r="B218" s="31" t="n">
        <v>30307401701</v>
      </c>
      <c r="C218" s="26" t="inlineStr">
        <is>
          <t>原副线圈</t>
        </is>
      </c>
      <c r="D218" s="141" t="inlineStr">
        <is>
          <t>原线圈：0.56 mm QZ 型漆包线 310 匝～330 匝，线圈架内径 11 mm，绕线宽度 57mm。副线圈 0.25 mm QZ 型漆包线 670 匝～680 匝，线圈架内径 24 mm，绕线宽度 52mm。性能要求：各线圈都应带绕向标识</t>
        </is>
      </c>
      <c r="E218" s="31" t="n">
        <v>13</v>
      </c>
      <c r="F218" s="26" t="inlineStr">
        <is>
          <t>套</t>
        </is>
      </c>
      <c r="G218" s="147">
        <f>_xlfn.DISPIMG("ID_E654453E11364CE2A13B36BC94D16588",1)</f>
        <v/>
      </c>
      <c r="H218" s="330" t="n"/>
      <c r="I218" s="31" t="n">
        <v>30307401701</v>
      </c>
      <c r="J218" s="33" t="inlineStr">
        <is>
          <t>原线圈：0.56 mm QZ 型漆包线 310 匝～330 匝，线圈架内径 11 mm，绕线宽度 57mm。副线圈 0.25 mm QZ 型漆包线 670 匝～680 匝，线圈架内径 24 mm，绕线宽度 52mm。性能要求：各线圈都应带绕向标识</t>
        </is>
      </c>
      <c r="K218" s="39" t="inlineStr">
        <is>
          <t>乐百仕</t>
        </is>
      </c>
      <c r="L218" s="39" t="inlineStr">
        <is>
          <t>江苏乐百仕教育科技有限公司</t>
        </is>
      </c>
      <c r="M218" s="345" t="n">
        <v>13</v>
      </c>
      <c r="N218" s="345" t="n">
        <v>12</v>
      </c>
      <c r="O218" s="345" t="n">
        <v>156</v>
      </c>
      <c r="P218" s="345" t="inlineStr">
        <is>
          <t>套</t>
        </is>
      </c>
      <c r="Q218" s="345" t="inlineStr"/>
      <c r="R218" s="345" t="inlineStr"/>
      <c r="S218" s="345" t="inlineStr"/>
      <c r="T218" s="345" t="inlineStr"/>
      <c r="U218" s="345" t="n">
        <v>12</v>
      </c>
      <c r="V218" s="345" t="inlineStr"/>
      <c r="W218" s="345" t="n">
        <v>13.2</v>
      </c>
      <c r="X218" s="345" t="inlineStr"/>
      <c r="Y218" s="345" t="inlineStr">
        <is>
          <t>confirmed</t>
        </is>
      </c>
      <c r="Z218" s="345" t="n">
        <v>100</v>
      </c>
      <c r="AA218" s="345" t="inlineStr"/>
      <c r="AB218" s="345" t="inlineStr">
        <is>
          <t>赛特尔25年.xls｜初中新课标物理｜第345行</t>
        </is>
      </c>
    </row>
    <row r="219" customFormat="1" s="257">
      <c r="A219" s="264" t="n">
        <v>438</v>
      </c>
      <c r="B219" s="354" t="n">
        <v>30307405805</v>
      </c>
      <c r="C219" s="332" t="inlineStr">
        <is>
          <t>楞次定律演示器</t>
        </is>
      </c>
      <c r="D219" s="333" t="inlineStr">
        <is>
          <t>平面型开口环和闭口环；环的外径应不小于 90 mm，内径应不小于 50 mm，总厚度应不小于 1.6 mm；用教学用条形磁钢迅速抽出(或插入)闭合环时，梁的偏转角应不小于 30°，用强磁条形磁钢迅速抽出(或插入)开口环时，环带动梁的偏转角应为 0°</t>
        </is>
      </c>
      <c r="E219" s="354" t="n">
        <v>1</v>
      </c>
      <c r="F219" s="334" t="inlineStr">
        <is>
          <t>套</t>
        </is>
      </c>
      <c r="G219" s="226">
        <f>_xlfn.DISPIMG("ID_72E5561C9E3B49F2998307C25AE3E4C1",1)</f>
        <v/>
      </c>
      <c r="H219" s="206" t="n"/>
      <c r="I219" s="355" t="n">
        <v>30307405805</v>
      </c>
      <c r="J219" s="336" t="inlineStr">
        <is>
          <t>平面型开口环和闭口环；环的外径应不小于 90 mm，内径应不小于 50 mm，总厚度应不小于 1.6 mm；用教学用条形磁钢迅速抽出(或插入)闭合环时，梁的偏转角应不小于 30°，用强磁条形磁钢迅速抽出(或插入)开口环时，环带动梁的偏转角应为 0°</t>
        </is>
      </c>
      <c r="K219" s="48" t="inlineStr">
        <is>
          <t>乐百仕</t>
        </is>
      </c>
      <c r="L219" s="48" t="inlineStr">
        <is>
          <t>江苏乐百仕教育科技有限公司</t>
        </is>
      </c>
      <c r="M219" s="345" t="n">
        <v>1</v>
      </c>
      <c r="N219" s="345" t="n">
        <v>38</v>
      </c>
      <c r="O219" s="345" t="n">
        <v>38</v>
      </c>
      <c r="P219" s="345" t="inlineStr">
        <is>
          <t>套</t>
        </is>
      </c>
      <c r="Q219" s="345" t="inlineStr"/>
      <c r="R219" s="345" t="inlineStr"/>
      <c r="S219" s="345" t="inlineStr"/>
      <c r="T219" s="345" t="inlineStr"/>
      <c r="U219" s="345" t="n">
        <v>40</v>
      </c>
      <c r="V219" s="345" t="inlineStr"/>
      <c r="W219" s="345" t="n">
        <v>300</v>
      </c>
      <c r="X219" s="345" t="inlineStr"/>
      <c r="Y219" s="345" t="inlineStr">
        <is>
          <t>confirmed</t>
        </is>
      </c>
      <c r="Z219" s="345" t="n">
        <v>71.40000000000001</v>
      </c>
      <c r="AA219" s="345" t="inlineStr">
        <is>
          <t>价格分歧&gt;30%：历史报价分歧较大，需人工核对；同分多价：最高分候选存在不同历史价格</t>
        </is>
      </c>
      <c r="AB219" s="345" t="inlineStr">
        <is>
          <t>高中理化生报价.xlsx｜凯迪｜第662行</t>
        </is>
      </c>
    </row>
    <row r="220" customFormat="1" s="257">
      <c r="A220" s="264" t="n">
        <v>440</v>
      </c>
      <c r="B220" s="355" t="n">
        <v>30307405910</v>
      </c>
      <c r="C220" s="50" t="inlineStr">
        <is>
          <t>电磁阻尼演示器</t>
        </is>
      </c>
      <c r="D220" s="337" t="inlineStr">
        <is>
          <t>管式；由底座、支架、透明亚克力管、铜管 2 根（其中一根侧壁开有等间距细缝）、铝管 1 根以及同尺寸的塑料柱、钕磁铁等组成；管的尺寸：长 400 mm～600 mm；内径 20 mm、厚 2 mm；可呈现强阻尼、弱阻尼、无阻尼</t>
        </is>
      </c>
      <c r="E220" s="355" t="n">
        <v>1</v>
      </c>
      <c r="F220" s="334" t="inlineStr">
        <is>
          <t>套</t>
        </is>
      </c>
      <c r="G220" s="226">
        <f>_xlfn.DISPIMG("ID_985C7B96A3C74DB9B029D0E0FB2530B8",1)</f>
        <v/>
      </c>
      <c r="H220" s="318" t="n"/>
      <c r="I220" s="355" t="n">
        <v>30307405910</v>
      </c>
      <c r="J220" s="336" t="inlineStr">
        <is>
          <t>管式；由底座、支架、透明亚克力管、铜管 2 根（其中一根侧壁开有等间距细缝）、铝管 1 根以及同尺寸的塑料柱、钕磁铁等组成；管的尺寸：长 400 mm～600 mm；内径 20 mm、厚 2 mm；可呈现强阻尼、弱阻尼、无阻尼
技术参数：
外形尺寸673*568*160mm（±5mm）；左右为铝型材结构，6063-T5材料,具有良好的抗拉强度，表面黑色氧化细喷砂处理；拐角连接件为ABS塑料精密注塑成型角件。功能描述：演示板正面由透明亚克力管、铜管 2 根（其中一根侧壁开有等间距细缝）、铝管组成，通过观察磁铁在不同材质的管内下落的速度，探究电阻阻尼现象。
型材底座：
尺寸规格：568*160*35mm（±5mm）；材质工艺：铝6063-T5，挤压拉模成型；表面处理工艺：黑色阳极氧化处理，端盖尺寸：164*40mm，ABS塑料精密注塑成型；功能描述：为器材提供安装固定的底座。
能够完成的教学演示：
电磁阻尼相关实验。</t>
        </is>
      </c>
      <c r="K220" s="48" t="inlineStr">
        <is>
          <t>乐百仕</t>
        </is>
      </c>
      <c r="L220" s="48" t="inlineStr">
        <is>
          <t>江苏乐百仕教育科技有限公司</t>
        </is>
      </c>
      <c r="M220" s="345" t="n">
        <v>1</v>
      </c>
      <c r="N220" s="345" t="n">
        <v>45</v>
      </c>
      <c r="O220" s="345" t="n">
        <v>45</v>
      </c>
      <c r="P220" s="345" t="inlineStr">
        <is>
          <t>套</t>
        </is>
      </c>
      <c r="Q220" s="345" t="inlineStr"/>
      <c r="R220" s="345" t="inlineStr"/>
      <c r="S220" s="345" t="inlineStr"/>
      <c r="T220" s="345" t="inlineStr"/>
      <c r="U220" s="345" t="n">
        <v>45</v>
      </c>
      <c r="V220" s="345" t="inlineStr"/>
      <c r="W220" s="345" t="n">
        <v>120</v>
      </c>
      <c r="X220" s="345" t="inlineStr"/>
      <c r="Y220" s="345" t="inlineStr">
        <is>
          <t>confirmed</t>
        </is>
      </c>
      <c r="Z220" s="345" t="n">
        <v>71.40000000000001</v>
      </c>
      <c r="AA220" s="345" t="inlineStr"/>
      <c r="AB220" s="345" t="inlineStr">
        <is>
          <t>赛特尔25年.xls｜初中新课标物理｜第341行</t>
        </is>
      </c>
    </row>
    <row r="221" customFormat="1" s="252">
      <c r="A221" s="264" t="n">
        <v>445</v>
      </c>
      <c r="B221" s="50" t="n">
        <v>30307412701</v>
      </c>
      <c r="C221" s="173" t="inlineStr">
        <is>
          <t>法拉第电磁感应定律演示仪</t>
        </is>
      </c>
      <c r="D221" s="280" t="inlineStr">
        <is>
          <t>由底座、单匝线圈、可移动式磁体、内置微电流或电压传感器、磁感应强度传感器、光电门传感器等组成。可通过控制变量法，分别验证感生电动势与运动速度、磁感应强度、切割磁场导线长度的关系，可与计算机直接通信</t>
        </is>
      </c>
      <c r="E221" s="53" t="n">
        <v>1</v>
      </c>
      <c r="F221" s="42" t="inlineStr">
        <is>
          <t>套</t>
        </is>
      </c>
      <c r="G221" s="280">
        <f>_xlfn.DISPIMG("ID_2AB9B1B92C2C4090B37A8BE43B66C3F1",1)</f>
        <v/>
      </c>
      <c r="H221" s="206" t="n"/>
      <c r="I221" s="50" t="n">
        <v>30307412701</v>
      </c>
      <c r="J221" s="47" t="inlineStr">
        <is>
          <t>由底座、单匝线圈、可移动式磁体、内置微电流或电压传感器、磁感应强度传感器、光电门传感器等组成。可通过控制变量法，分别验证感生电动势与运动速度、磁感应强度、切割磁场导线长度的关系，可与计算机直接通信</t>
        </is>
      </c>
      <c r="K221" s="48" t="inlineStr">
        <is>
          <t>乐百仕</t>
        </is>
      </c>
      <c r="L221" s="48" t="inlineStr">
        <is>
          <t>江苏乐百仕教育科技有限公司</t>
        </is>
      </c>
      <c r="M221" s="345" t="n">
        <v>1</v>
      </c>
      <c r="N221" s="345" t="n">
        <v>145</v>
      </c>
      <c r="O221" s="345" t="n">
        <v>145</v>
      </c>
      <c r="P221" s="345" t="inlineStr">
        <is>
          <t>套</t>
        </is>
      </c>
      <c r="Q221" s="345" t="inlineStr">
        <is>
          <t>群信</t>
        </is>
      </c>
      <c r="R221" s="345" t="inlineStr"/>
      <c r="S221" s="345" t="inlineStr">
        <is>
          <t>21059</t>
        </is>
      </c>
      <c r="T221" s="345" t="inlineStr">
        <is>
          <t>21059</t>
        </is>
      </c>
      <c r="U221" s="345" t="inlineStr"/>
      <c r="V221" s="345" t="inlineStr"/>
      <c r="W221" s="345" t="inlineStr"/>
      <c r="X221" s="345" t="inlineStr"/>
      <c r="Y221" s="345" t="inlineStr">
        <is>
          <t>confirmed</t>
        </is>
      </c>
      <c r="Z221" s="345" t="n">
        <v>57.1</v>
      </c>
      <c r="AA221" s="345" t="inlineStr"/>
      <c r="AB221" s="345" t="inlineStr">
        <is>
          <t>高中理化生报价.xlsx｜凯迪｜第143行</t>
        </is>
      </c>
    </row>
    <row r="222" customFormat="1" s="13">
      <c r="A222" s="106" t="n">
        <v>449</v>
      </c>
      <c r="B222" s="103" t="n">
        <v>30206003101</v>
      </c>
      <c r="C222" s="26" t="inlineStr">
        <is>
          <t>学生示波器</t>
        </is>
      </c>
      <c r="D222" s="278" t="inlineStr">
        <is>
          <t>DC～5 MHz，扫描范围 10 Hz～100 kHz，I 类电器，电源端与信号输出端抗电强度 3000 V</t>
        </is>
      </c>
      <c r="E222" s="31" t="n">
        <v>13</v>
      </c>
      <c r="F222" s="26" t="inlineStr">
        <is>
          <t>台</t>
        </is>
      </c>
      <c r="G222" s="67">
        <f>_xlfn.DISPIMG("ID_0E01948553D4492F951CBD0F0285D0A3",1)</f>
        <v/>
      </c>
      <c r="H222" s="330" t="n"/>
      <c r="I222" s="103" t="n">
        <v>30206003101</v>
      </c>
      <c r="J222" s="109" t="inlineStr">
        <is>
          <t>DC～5 MHz，扫描范围 10 Hz～100 kHz，I 类电器，电源端与信号输出端抗电强度 3000 V</t>
        </is>
      </c>
      <c r="K222" s="39" t="inlineStr">
        <is>
          <t>乐百仕</t>
        </is>
      </c>
      <c r="L222" s="39" t="inlineStr">
        <is>
          <t>江苏乐百仕教育科技有限公司</t>
        </is>
      </c>
      <c r="M222" s="345" t="n">
        <v>13</v>
      </c>
      <c r="N222" s="345" t="n">
        <v>1100</v>
      </c>
      <c r="O222" s="345" t="n">
        <v>14300</v>
      </c>
      <c r="P222" s="345" t="inlineStr">
        <is>
          <t>台</t>
        </is>
      </c>
      <c r="Q222" s="345" t="inlineStr"/>
      <c r="R222" s="345" t="inlineStr"/>
      <c r="S222" s="345" t="inlineStr"/>
      <c r="T222" s="345" t="inlineStr"/>
      <c r="U222" s="345" t="n">
        <v>1200</v>
      </c>
      <c r="V222" s="345" t="inlineStr"/>
      <c r="W222" s="345" t="n">
        <v>1250</v>
      </c>
      <c r="X222" s="345" t="inlineStr"/>
      <c r="Y222" s="345" t="inlineStr">
        <is>
          <t>confirmed</t>
        </is>
      </c>
      <c r="Z222" s="345" t="n">
        <v>80</v>
      </c>
      <c r="AA222" s="345" t="inlineStr">
        <is>
          <t>同分多价：最高分候选存在不同历史价格</t>
        </is>
      </c>
      <c r="AB222" s="345" t="inlineStr">
        <is>
          <t>高中理化生报价.xlsx｜凯迪｜第102行</t>
        </is>
      </c>
    </row>
    <row r="223" customFormat="1" s="13">
      <c r="A223" s="106" t="n">
        <v>450</v>
      </c>
      <c r="B223" s="103" t="n">
        <v>30206003201</v>
      </c>
      <c r="C223" s="26" t="inlineStr">
        <is>
          <t>示波器</t>
        </is>
      </c>
      <c r="D223" s="278" t="inlineStr">
        <is>
          <t>数字式，双通道，带宽不低于 100 MHz，采样频率不低于 1 GSa/s，屏不小于 18cm，有存储功能，I 类电器，电源端与信号输出端抗电强度 3000 V。宜有投影机等显示设备接口</t>
        </is>
      </c>
      <c r="E223" s="67" t="n">
        <v>1</v>
      </c>
      <c r="F223" s="26" t="inlineStr">
        <is>
          <t>台</t>
        </is>
      </c>
      <c r="G223" s="67">
        <f>_xlfn.DISPIMG("ID_43D3D0ECBE8546EE8B5A23FADA34DF41",1)</f>
        <v/>
      </c>
      <c r="H223" s="330" t="n"/>
      <c r="I223" s="103" t="n">
        <v>30206003201</v>
      </c>
      <c r="J223" s="109" t="inlineStr">
        <is>
          <t>数字式，双通道，带宽不低于 100 MHz，采样频率不低于 1 GSa/s，屏不小于 18cm，有存储功能，I 类电器，电源端与信号输出端抗电强度 3000 V。宜有投影机等显示设备接口</t>
        </is>
      </c>
      <c r="K223" s="39" t="inlineStr">
        <is>
          <t>乐百仕</t>
        </is>
      </c>
      <c r="L223" s="39" t="inlineStr">
        <is>
          <t>江苏乐百仕教育科技有限公司</t>
        </is>
      </c>
      <c r="M223" s="345" t="n">
        <v>1</v>
      </c>
      <c r="N223" s="345" t="n">
        <v>1300</v>
      </c>
      <c r="O223" s="345" t="n">
        <v>1300</v>
      </c>
      <c r="P223" s="345" t="inlineStr">
        <is>
          <t>台</t>
        </is>
      </c>
      <c r="Q223" s="345" t="inlineStr"/>
      <c r="R223" s="345" t="inlineStr"/>
      <c r="S223" s="345" t="inlineStr"/>
      <c r="T223" s="345" t="inlineStr"/>
      <c r="U223" s="345" t="n">
        <v>1500</v>
      </c>
      <c r="V223" s="345" t="inlineStr"/>
      <c r="W223" s="345" t="n">
        <v>1500</v>
      </c>
      <c r="X223" s="345" t="inlineStr"/>
      <c r="Y223" s="345" t="inlineStr">
        <is>
          <t>confirmed</t>
        </is>
      </c>
      <c r="Z223" s="345" t="n">
        <v>100</v>
      </c>
      <c r="AA223" s="345" t="inlineStr">
        <is>
          <t>同分多价：最高分候选存在不同历史价格</t>
        </is>
      </c>
      <c r="AB223" s="345" t="inlineStr">
        <is>
          <t>赛特尔25年.xls｜初中新课标物理｜第273行</t>
        </is>
      </c>
    </row>
    <row r="224" customFormat="1" s="13">
      <c r="A224" s="106" t="n">
        <v>452</v>
      </c>
      <c r="B224" s="103" t="n">
        <v>30307403901</v>
      </c>
      <c r="C224" s="26" t="inlineStr">
        <is>
          <t>高频信号发生器</t>
        </is>
      </c>
      <c r="D224" s="278" t="inlineStr">
        <is>
          <t>0.4 MHz～130 MHz 分段连续可调，误差±5%</t>
        </is>
      </c>
      <c r="E224" s="67" t="n">
        <v>1</v>
      </c>
      <c r="F224" s="26" t="inlineStr">
        <is>
          <t>台</t>
        </is>
      </c>
      <c r="G224" s="67">
        <f>_xlfn.DISPIMG("ID_92EA61E1966546F7B7F55F509D2C8D2D",1)</f>
        <v/>
      </c>
      <c r="H224" s="314" t="n"/>
      <c r="I224" s="103" t="n">
        <v>30307403901</v>
      </c>
      <c r="J224" s="109" t="inlineStr">
        <is>
          <t>0.4 MHz～130 MHz 分段连续可调，误差±5%</t>
        </is>
      </c>
      <c r="K224" s="39" t="inlineStr">
        <is>
          <t>乐百仕</t>
        </is>
      </c>
      <c r="L224" s="39" t="inlineStr">
        <is>
          <t>江苏乐百仕教育科技有限公司</t>
        </is>
      </c>
      <c r="M224" s="345" t="n">
        <v>1</v>
      </c>
      <c r="N224" s="345" t="n">
        <v>268</v>
      </c>
      <c r="O224" s="345" t="n">
        <v>268</v>
      </c>
      <c r="P224" s="345" t="inlineStr">
        <is>
          <t>台</t>
        </is>
      </c>
      <c r="Q224" s="345" t="inlineStr"/>
      <c r="R224" s="345" t="inlineStr"/>
      <c r="S224" s="345" t="inlineStr"/>
      <c r="T224" s="345" t="inlineStr"/>
      <c r="U224" s="345" t="n">
        <v>325</v>
      </c>
      <c r="V224" s="345" t="inlineStr"/>
      <c r="W224" s="345" t="n">
        <v>350</v>
      </c>
      <c r="X224" s="345" t="inlineStr"/>
      <c r="Y224" s="345" t="inlineStr">
        <is>
          <t>confirmed</t>
        </is>
      </c>
      <c r="Z224" s="345" t="n">
        <v>85.7</v>
      </c>
      <c r="AA224" s="345" t="inlineStr">
        <is>
          <t>价格分歧&gt;30%：历史报价分歧较大，需人工核对；同分多价：最高分候选存在不同历史价格</t>
        </is>
      </c>
      <c r="AB224" s="345" t="inlineStr">
        <is>
          <t>高中理化生报价.xlsx｜凯迪｜第694行</t>
        </is>
      </c>
    </row>
    <row r="225" customFormat="1" s="252">
      <c r="A225" s="264" t="n">
        <v>453</v>
      </c>
      <c r="B225" s="53" t="n">
        <v>30307326701</v>
      </c>
      <c r="C225" s="50" t="inlineStr">
        <is>
          <t>交流电路特性演示器</t>
        </is>
      </c>
      <c r="D225" s="52" t="inlineStr">
        <is>
          <t>频率连续可变（1 Hz～60 Hz）的正弦电源；用于交流电路中感抗、容抗和纯电阻实验，需包含大电感、小电感，大电容、小电容，电阻等比较实验</t>
        </is>
      </c>
      <c r="E225" s="53" t="n">
        <v>1</v>
      </c>
      <c r="F225" s="50" t="inlineStr">
        <is>
          <t>台</t>
        </is>
      </c>
      <c r="G225" s="52">
        <f>_xlfn.DISPIMG("ID_11989BD9B8CD42839B3609639372050A",1)</f>
        <v/>
      </c>
      <c r="H225" s="338" t="n"/>
      <c r="I225" s="53" t="n">
        <v>30307326701</v>
      </c>
      <c r="J225" s="54" t="inlineStr">
        <is>
          <t>频率连续可变（1 Hz～60 Hz）的正弦电源；用于交流电路中感抗、容抗和纯电阻实验，需包含大电感、小电感，大电容、小电容，电阻等比较实验
技术参数：
外形尺寸666*470mm（±5mm）；上下为铝型材结构，6063-T5材料，具有良好的抗拉强度，表面黑色氧化细喷砂处理。左右为ABS塑料精密注塑成型边框；仪器面板设有交直流标识，表面印有电路图，分别列有电阻、电容、电感专有电路。导线采用暗线布置，内部接线与面板上的电路图一致。
能够完成的教学演示：
电感、电容对交变电流的阻碍作用；观察感抗、容抗和纯电阻。</t>
        </is>
      </c>
      <c r="K225" s="48" t="inlineStr">
        <is>
          <t>乐百仕</t>
        </is>
      </c>
      <c r="L225" s="48" t="inlineStr">
        <is>
          <t>江苏乐百仕教育科技有限公司</t>
        </is>
      </c>
      <c r="M225" s="345" t="n">
        <v>1</v>
      </c>
      <c r="N225" s="345" t="n">
        <v>178</v>
      </c>
      <c r="O225" s="345" t="n">
        <v>178</v>
      </c>
      <c r="P225" s="345" t="inlineStr">
        <is>
          <t>台</t>
        </is>
      </c>
      <c r="Q225" s="345" t="inlineStr">
        <is>
          <t>群信</t>
        </is>
      </c>
      <c r="R225" s="345" t="inlineStr"/>
      <c r="S225" s="345" t="inlineStr">
        <is>
          <t>24047</t>
        </is>
      </c>
      <c r="T225" s="345" t="inlineStr">
        <is>
          <t>24047</t>
        </is>
      </c>
      <c r="U225" s="345" t="inlineStr"/>
      <c r="V225" s="345" t="inlineStr"/>
      <c r="W225" s="345" t="inlineStr"/>
      <c r="X225" s="345" t="inlineStr"/>
      <c r="Y225" s="345" t="inlineStr">
        <is>
          <t>confirmed</t>
        </is>
      </c>
      <c r="Z225" s="345" t="n">
        <v>100</v>
      </c>
      <c r="AA225" s="345" t="inlineStr"/>
      <c r="AB225" s="345" t="inlineStr">
        <is>
          <t>高中理化生报价.xlsx｜凯迪｜第282行</t>
        </is>
      </c>
    </row>
    <row r="226" customFormat="1" s="257">
      <c r="A226" s="106" t="n">
        <v>454</v>
      </c>
      <c r="B226" s="31" t="n">
        <v>30307407510</v>
      </c>
      <c r="C226" s="31" t="inlineStr">
        <is>
          <t>变压器原理说明器</t>
        </is>
      </c>
      <c r="D226" s="141" t="inlineStr">
        <is>
          <t>由线圈、U 形铁芯、条形铁轭、极掌、压板螺钉、强阻尼摆、弱阻尼摆、摆架、示教板、感应线圈、铝环、低压小灯泡（6 V、1.5 V 等规格）、可调电阻、接线铝片、感应灯等组成；1600 匝线圈接220 V 时空载电流应不大于 60 mA</t>
        </is>
      </c>
      <c r="E226" s="327" t="n">
        <v>1</v>
      </c>
      <c r="F226" s="26" t="inlineStr">
        <is>
          <t>套</t>
        </is>
      </c>
      <c r="G226" s="340">
        <f>_xlfn.DISPIMG("ID_B85D2E1B1A55468D9E3953C8C40EABB8",1)</f>
        <v/>
      </c>
      <c r="H226" s="314" t="n"/>
      <c r="I226" s="31" t="n">
        <v>30307407510</v>
      </c>
      <c r="J226" s="33" t="inlineStr">
        <is>
          <t>由线圈、U 形铁芯、条形铁轭、极掌、压板螺钉、强阻尼摆、弱阻尼摆、摆架、示教板、感应线圈、铝环、低压小灯泡（6 V、1.5 V 等规格）、可调电阻、接线铝片、感应灯等组成；1600 匝线圈接220 V 时空载电流应不大于 60 mA</t>
        </is>
      </c>
      <c r="K226" s="39" t="inlineStr">
        <is>
          <t>乐百仕</t>
        </is>
      </c>
      <c r="L226" s="39" t="inlineStr">
        <is>
          <t>江苏乐百仕教育科技有限公司</t>
        </is>
      </c>
      <c r="M226" s="345" t="n">
        <v>1</v>
      </c>
      <c r="N226" s="345" t="n">
        <v>300</v>
      </c>
      <c r="O226" s="345" t="n">
        <v>300</v>
      </c>
      <c r="P226" s="345" t="inlineStr">
        <is>
          <t>套</t>
        </is>
      </c>
      <c r="Q226" s="345" t="inlineStr">
        <is>
          <t>群信</t>
        </is>
      </c>
      <c r="R226" s="345" t="inlineStr"/>
      <c r="S226" s="345" t="inlineStr">
        <is>
          <t>24050</t>
        </is>
      </c>
      <c r="T226" s="345" t="inlineStr">
        <is>
          <t>24050</t>
        </is>
      </c>
      <c r="U226" s="345" t="inlineStr"/>
      <c r="V226" s="345" t="inlineStr"/>
      <c r="W226" s="345" t="inlineStr"/>
      <c r="X226" s="345" t="inlineStr"/>
      <c r="Y226" s="345" t="inlineStr">
        <is>
          <t>confirmed</t>
        </is>
      </c>
      <c r="Z226" s="345" t="n">
        <v>0</v>
      </c>
      <c r="AA226" s="345" t="inlineStr">
        <is>
          <t>没有找到可靠候选</t>
        </is>
      </c>
      <c r="AB226" s="345" t="inlineStr">
        <is>
          <t>高中理化生报价.xlsx｜凯迪｜第285行</t>
        </is>
      </c>
    </row>
    <row r="227" customFormat="1" s="257">
      <c r="A227" s="106" t="n">
        <v>456</v>
      </c>
      <c r="B227" s="31" t="n">
        <v>30307407310</v>
      </c>
      <c r="C227" s="31" t="inlineStr">
        <is>
          <t>可拆变压器</t>
        </is>
      </c>
      <c r="D227" s="141" t="inlineStr">
        <is>
          <t>单相芯式结构，铁芯以优质钢硅片冲制并经绝缘处理。变压器初级线圈 1400 匝在 220 V、50 Hz 电源供电时，空载电流应不大于 100 mA。 空载时变压器电压比与线圈匝数比误差应不大于 3%；变压器的电流比与线圈匝数比的误差升压时应不大于 10%，降压时应不大于 15%，均不应出现正误差。变压器的效率应不低于 65%。额定功率 35 VA，变压器在额定功率时连续运行 30 min，温升应不高于 30 ℃。变压器抗电强度：初级线圈与铁芯间应不小于 3000 V。初级线圈与铁芯、初级线圈与次级线圈绕组间的电气间隙和爬电距离应均不小于 6 mm。接线柱周围不应使用金属面板</t>
        </is>
      </c>
      <c r="E227" s="31" t="n">
        <v>13</v>
      </c>
      <c r="F227" s="31" t="inlineStr">
        <is>
          <t>个</t>
        </is>
      </c>
      <c r="G227" s="340">
        <f>_xlfn.DISPIMG("ID_8C5A060C0DE9442D96BA22BC4FCE80F0",1)</f>
        <v/>
      </c>
      <c r="H227" s="314" t="n"/>
      <c r="I227" s="31" t="n">
        <v>30307407600</v>
      </c>
      <c r="J227" s="33" t="inlineStr">
        <is>
          <t>单相芯式结构，铁芯以优质钢硅片冲制并经绝缘处理。变压器初级线圈 1400 匝在 220 V、50 Hz 电源供电时，空载电流应不大于 100 mA。 空载时变压器电压比与线圈匝数比误差应不大于 3%；变压器的电流比与线圈匝数比的误差升压时应不大于 10%，降压时应不大于 15%，均不应出现正误差。变压器的效率应不低于 65%。额定功率 35 VA，变压器在额定功率时连续运行 30 min，温升应不高于 30 ℃。变压器抗电强度：初级线圈与铁芯间应不小于 3000 V。初级线圈与铁芯、初级线圈与次级线圈绕组间的电气间隙和爬电距离应均不小于 6 mm。接线柱周围不应使用金属面板
技术参数：
1600匝线圈：
规格：尺寸45×45×72.5mm（±5mm），匝数分别为400匝、800匝、1600匝，阻抗分别为11.5欧姆、21.7欧姆、45欧姆，最大过电流0.25A，电感量50mH；主要材质：PC、铜；工艺：塑料注塑成型、叠层密绕漆包线加工工艺；功能描述：用于提供不同匝数的线圈进行电磁学相关实验。
U型铁芯：
规格：尺寸76×72×20.8mm（±5mm），开口宽度32mm（±5mm）；主要材质：矽钢片；工艺：层叠铆接、浸漆、喷涂烤漆处理；功能描述：变压器铁芯主体。
条形铁芯：
规格：尺寸72×20×20.8mm（±5mm）；主要材质：矽钢片；工艺：层叠铆接、浸漆、喷涂烤漆处理；功能描述：变压器封口铁芯。
可探究变压器原、副线圈电压与匝数的关系</t>
        </is>
      </c>
      <c r="K227" s="39" t="inlineStr">
        <is>
          <t>乐百仕</t>
        </is>
      </c>
      <c r="L227" s="39" t="inlineStr">
        <is>
          <t>江苏乐百仕教育科技有限公司</t>
        </is>
      </c>
      <c r="M227" s="345" t="n">
        <v>13</v>
      </c>
      <c r="N227" s="345" t="n">
        <v>210</v>
      </c>
      <c r="O227" s="345" t="n">
        <v>2730</v>
      </c>
      <c r="P227" s="345" t="inlineStr">
        <is>
          <t>个</t>
        </is>
      </c>
      <c r="Q227" s="345" t="inlineStr">
        <is>
          <t>群信</t>
        </is>
      </c>
      <c r="R227" s="345" t="inlineStr"/>
      <c r="S227" s="345" t="inlineStr">
        <is>
          <t>24048</t>
        </is>
      </c>
      <c r="T227" s="345" t="inlineStr">
        <is>
          <t>24048</t>
        </is>
      </c>
      <c r="U227" s="345" t="inlineStr"/>
      <c r="V227" s="345" t="inlineStr"/>
      <c r="W227" s="345" t="inlineStr"/>
      <c r="X227" s="345" t="inlineStr"/>
      <c r="Y227" s="345" t="inlineStr">
        <is>
          <t>confirmed</t>
        </is>
      </c>
      <c r="Z227" s="345" t="n">
        <v>0</v>
      </c>
      <c r="AA227" s="345" t="inlineStr">
        <is>
          <t>没有找到可靠候选</t>
        </is>
      </c>
      <c r="AB227" s="345" t="inlineStr">
        <is>
          <t>高中理化生报价.xlsx｜凯迪｜第283行</t>
        </is>
      </c>
    </row>
    <row r="228" customFormat="1" s="13">
      <c r="A228" s="106" t="n">
        <v>459</v>
      </c>
      <c r="B228" s="103" t="n">
        <v>30307403001</v>
      </c>
      <c r="C228" s="26" t="inlineStr">
        <is>
          <t>手摇交直流发电机</t>
        </is>
      </c>
      <c r="D228" s="278" t="inlineStr">
        <is>
          <t>包括定子、转子、整流器、集流环、电刷、灯座（带灯泡）、手摇驱动机构和底板等部分。定子应由永磁体和极靴组成，转子应由转轴、两极电枢铁芯、电枢线圈以及整流器和集流环等组成。整流器在任何位置不应将两电刷短路，电刷与整流器和集流环应使用弹性接触，转动灵活。转子转速为 1600 r/min 空载时，输出端交流和直流电压均应不小于 8V。接 16Ω电阻负载时，输出端交流和直流电压均应不小于 5 V。不带皮带轮用作电动机使用时启动电压应不大于 4 V，电流应不大于 0.4 A</t>
        </is>
      </c>
      <c r="E228" s="67" t="n">
        <v>1</v>
      </c>
      <c r="F228" s="26" t="inlineStr">
        <is>
          <t>个</t>
        </is>
      </c>
      <c r="G228" s="67">
        <f>_xlfn.DISPIMG("ID_E501E0F8DC114EB08CF01305C6812850",1)</f>
        <v/>
      </c>
      <c r="H228" s="314" t="n"/>
      <c r="I228" s="103" t="n">
        <v>30307403001</v>
      </c>
      <c r="J228" s="109" t="inlineStr">
        <is>
          <t>包括定子、转子、整流器、集流环、电刷、灯座（带灯泡）、手摇驱动机构和底板等部分。定子应由永磁体和极靴组成，转子应由转轴、两极电枢铁芯、电枢线圈以及整流器和集流环等组成。整流器在任何位置不应将两电刷短路，电刷与整流器和集流环应使用弹性接触，转动灵活。转子转速为 1600 r/min 空载时，输出端交流和直流电压均应不小于 8V。接 16Ω电阻负载时，输出端交流和直流电压均应不小于 5 V。不带皮带轮用作电动机使用时启动电压应不大于 4 V，电流应不大于 0.4 A</t>
        </is>
      </c>
      <c r="K228" s="39" t="inlineStr">
        <is>
          <t>乐百仕</t>
        </is>
      </c>
      <c r="L228" s="39" t="inlineStr">
        <is>
          <t>江苏乐百仕教育科技有限公司</t>
        </is>
      </c>
      <c r="M228" s="345" t="n">
        <v>1</v>
      </c>
      <c r="N228" s="345" t="n">
        <v>21</v>
      </c>
      <c r="O228" s="345" t="n">
        <v>21</v>
      </c>
      <c r="P228" s="345" t="inlineStr">
        <is>
          <t>个</t>
        </is>
      </c>
      <c r="Q228" s="345" t="inlineStr"/>
      <c r="R228" s="345" t="inlineStr"/>
      <c r="S228" s="345" t="inlineStr"/>
      <c r="T228" s="345" t="inlineStr"/>
      <c r="U228" s="345" t="n">
        <v>90</v>
      </c>
      <c r="V228" s="345" t="inlineStr"/>
      <c r="W228" s="345" t="n">
        <v>95</v>
      </c>
      <c r="X228" s="345" t="inlineStr"/>
      <c r="Y228" s="345" t="inlineStr">
        <is>
          <t>confirmed</t>
        </is>
      </c>
      <c r="Z228" s="345" t="n">
        <v>100</v>
      </c>
      <c r="AA228" s="345" t="inlineStr">
        <is>
          <t>价格分歧&gt;30%：历史报价分歧较大，需人工核对；同分多价：最高分候选存在不同历史价格</t>
        </is>
      </c>
      <c r="AB228" s="345" t="inlineStr">
        <is>
          <t>赛特尔25年.xls｜小学科学｜第85行</t>
        </is>
      </c>
    </row>
    <row r="229" customFormat="1" s="252">
      <c r="A229" s="264" t="n">
        <v>461</v>
      </c>
      <c r="B229" s="53" t="n">
        <v>30307408810</v>
      </c>
      <c r="C229" s="50" t="inlineStr">
        <is>
          <t>电磁振荡演示仪</t>
        </is>
      </c>
      <c r="D229" s="52" t="inlineStr">
        <is>
          <t>由具有铁芯的电感线圈、电容器、集成电路等组成，包括等幅振荡演示电路和阻尼振荡演示电路，仪器面板上印有原理图</t>
        </is>
      </c>
      <c r="E229" s="53" t="n">
        <v>1</v>
      </c>
      <c r="F229" s="50" t="inlineStr">
        <is>
          <t>台</t>
        </is>
      </c>
      <c r="G229" s="280">
        <f>_xlfn.DISPIMG("ID_E3F9386C809D44D899868674F873DFD1",1)</f>
        <v/>
      </c>
      <c r="H229" s="339" t="n"/>
      <c r="I229" s="53" t="n">
        <v>30307408800</v>
      </c>
      <c r="J229" s="54" t="inlineStr">
        <is>
          <t>由具有铁芯的电感线圈、电容器、集成电路等组成，包括等幅振荡演示电路和阻尼振荡演示电路，仪器面板上印有原理图
技术参数：
外形尺寸666*470mm（±5mm）；上下为铝型材结构，6063-T5材料,具有良好的抗拉强度，表面黑色氧化细喷砂处理。左右为ABS塑料精密注塑成型边框。包括等幅振荡演示电路和减幅振荡演示电路。仪器面板表面印有原理电路图，导线采用暗线布置，内部接线与面板上的电路图一致。
能够完成的教学演示：
等幅振荡；减幅振荡。</t>
        </is>
      </c>
      <c r="K229" s="48" t="inlineStr">
        <is>
          <t>乐百仕</t>
        </is>
      </c>
      <c r="L229" s="48" t="inlineStr">
        <is>
          <t>江苏乐百仕教育科技有限公司</t>
        </is>
      </c>
      <c r="M229" s="345" t="n">
        <v>1</v>
      </c>
      <c r="N229" s="345" t="n">
        <v>180</v>
      </c>
      <c r="O229" s="345" t="n">
        <v>180</v>
      </c>
      <c r="P229" s="345" t="inlineStr">
        <is>
          <t>台</t>
        </is>
      </c>
      <c r="Q229" s="345" t="inlineStr">
        <is>
          <t>群信</t>
        </is>
      </c>
      <c r="R229" s="345" t="inlineStr"/>
      <c r="S229" s="345" t="inlineStr">
        <is>
          <t>24061</t>
        </is>
      </c>
      <c r="T229" s="345" t="inlineStr">
        <is>
          <t>24061</t>
        </is>
      </c>
      <c r="U229" s="345" t="inlineStr"/>
      <c r="V229" s="345" t="inlineStr"/>
      <c r="W229" s="345" t="inlineStr"/>
      <c r="X229" s="345" t="inlineStr"/>
      <c r="Y229" s="345" t="inlineStr">
        <is>
          <t>confirmed</t>
        </is>
      </c>
      <c r="Z229" s="345" t="n">
        <v>100</v>
      </c>
      <c r="AA229" s="345" t="inlineStr"/>
      <c r="AB229" s="345" t="inlineStr">
        <is>
          <t>高中理化生报价.xlsx｜凯迪｜第294行</t>
        </is>
      </c>
    </row>
    <row r="230" customFormat="1" s="252">
      <c r="A230" s="264" t="n">
        <v>462</v>
      </c>
      <c r="B230" s="42" t="n">
        <v>30307408710</v>
      </c>
      <c r="C230" s="50" t="inlineStr">
        <is>
          <t>赫兹实验演示器</t>
        </is>
      </c>
      <c r="D230" s="280" t="inlineStr">
        <is>
          <t>由带电球、发射天线杆、接收天线杆、接收金属杆、感应圈连接金属杆、固定螺丝、氖泡架、底座等组成。接收端天线与发射端天线平行，相距 400 mm；在环境照度为 240 lx±50 lx 的室内接通高压电源，接收端氖灯发光；接收天线与发射天线距离减小到 200 mm 时，氖灯亮度应不低于 6 cd/m2；接收端天线与发射端天线垂直，距离在 200 mm 以内（不接触），接收端氖灯应不亮</t>
        </is>
      </c>
      <c r="E230" s="53" t="n">
        <v>1</v>
      </c>
      <c r="F230" s="50" t="inlineStr">
        <is>
          <t>台</t>
        </is>
      </c>
      <c r="G230" s="53">
        <f>_xlfn.DISPIMG("ID_4F3C2BFA82914065801BF33F86A0C470",1)</f>
        <v/>
      </c>
      <c r="H230" s="339" t="n"/>
      <c r="I230" s="42" t="n">
        <v>30307408700</v>
      </c>
      <c r="J230" s="47" t="inlineStr">
        <is>
          <t>由带电球、发射天线杆、接收天线杆、接收金属杆、感应圈连接金属杆、固定螺丝、氖泡架、底座等组成。接收端天线与发射端天线平行，相距 400 mm；在环境照度为 240 lx±50 lx 的室内接通高压电源，接收端氖灯发光；接收天线与发射天线距离减小到 200 mm 时，氖灯亮度应不低于 6 cd/m2；接收端天线与发射端天线垂直，距离在 200 mm 以内（不接触），接收端氖灯应不亮
技术参数：
铝型材底座组件：
组成产品：端盖、铝型材底座、EVA自粘板等。
规格：底座尺寸：300*90*35mm（±5mm）；材质工艺：铝6063-T5，挤压拉模成型；表面处理工艺：电泳发黑；端盖尺寸：95*35mm，ABS塑料精密注塑成型；功能描述：多个零件组合集成在底座，为赫兹演示器提供实验和安装平台。
氖泡架：
组成产品：亚克力管、弹簧、氖灯、螺母等。
规格：亚克力管尺寸：60*15mm（±5mm）。材质工艺：高透光亚克力，机械加工。功能描述：表面光滑，易于观察内部氖灯的情况。
能够完成的教学演示：
赫兹实验；电磁波的发射与接收。</t>
        </is>
      </c>
      <c r="K230" s="48" t="inlineStr">
        <is>
          <t>乐百仕</t>
        </is>
      </c>
      <c r="L230" s="48" t="inlineStr">
        <is>
          <t>江苏乐百仕教育科技有限公司</t>
        </is>
      </c>
      <c r="M230" s="345" t="n">
        <v>1</v>
      </c>
      <c r="N230" s="345" t="n">
        <v>200</v>
      </c>
      <c r="O230" s="345" t="n">
        <v>200</v>
      </c>
      <c r="P230" s="345" t="inlineStr">
        <is>
          <t>台</t>
        </is>
      </c>
      <c r="Q230" s="345" t="inlineStr">
        <is>
          <t>群信</t>
        </is>
      </c>
      <c r="R230" s="345" t="inlineStr"/>
      <c r="S230" s="345" t="inlineStr">
        <is>
          <t>24060</t>
        </is>
      </c>
      <c r="T230" s="345" t="inlineStr">
        <is>
          <t>24060</t>
        </is>
      </c>
      <c r="U230" s="345" t="n">
        <v>400</v>
      </c>
      <c r="V230" s="345" t="inlineStr"/>
      <c r="W230" s="345" t="inlineStr"/>
      <c r="X230" s="345" t="inlineStr"/>
      <c r="Y230" s="345" t="inlineStr">
        <is>
          <t>confirmed</t>
        </is>
      </c>
      <c r="Z230" s="345" t="n">
        <v>100</v>
      </c>
      <c r="AA230" s="345" t="inlineStr">
        <is>
          <t>同分多价：最高分候选存在不同历史价格</t>
        </is>
      </c>
      <c r="AB230" s="345" t="inlineStr">
        <is>
          <t>赛特尔25年.xls｜初中新课标物理｜第371行</t>
        </is>
      </c>
    </row>
    <row r="231" customFormat="1" s="252">
      <c r="A231" s="264" t="n">
        <v>463</v>
      </c>
      <c r="B231" s="50" t="n">
        <v>30102000901</v>
      </c>
      <c r="C231" s="50" t="inlineStr">
        <is>
          <t>感应圈</t>
        </is>
      </c>
      <c r="D231" s="73" t="inlineStr">
        <is>
          <t>应带有高压输出插座和高压连接导线，可有放电电极。输出电压调节范围应为9 kV～300 kV（单边脉冲峰值），正反向（或反正向）电压峰值之比应不小于1.5。输出电流最大应达到 4 mA（平均值）。不设放电电极，外部没有火花放电时感应圈不应损坏；设放电电极时，放电电极应定位，在可能调节到的最大放电距离时感应圈应不损坏。在最高输出电压，放电间隙 5 mm 时感应圈连续放电 15 min，温升应不超过 15 ℃。感应圈高压绕组与电源输入端的抗电强度应不低于 3000 V，高压绕组与保护接地线之间的抗电强度应不低于 3000 V。应带有高压输出插座和高压连接导线，可有放电电极；应设防护罩，面板显著位置应有“当心触电”的安全警示标志</t>
        </is>
      </c>
      <c r="E231" s="53" t="n">
        <v>1</v>
      </c>
      <c r="F231" s="50" t="inlineStr">
        <is>
          <t>台</t>
        </is>
      </c>
      <c r="G231" s="53">
        <f>_xlfn.DISPIMG("ID_166D1608532C4DEAADAF74ABBA35E7AC",1)</f>
        <v/>
      </c>
      <c r="H231" s="339" t="n"/>
      <c r="I231" s="50" t="n">
        <v>30102000901</v>
      </c>
      <c r="J231" s="77" t="inlineStr">
        <is>
          <t>应带有高压输出插座和高压连接导线，可有放电电极。输出电压调节范围应为9 kV～300 kV（单边脉冲峰值），正反向（或反正向）电压峰值之比应不小于1.5。输出电流最大应达到 4 mA（平均值）。不设放电电极，外部没有火花放电时感应圈不应损坏；设放电电极时，放电电极应定位，在可能调节到的最大放电距离时感应圈应不损坏。在最高输出电压，放电间隙 5 mm 时感应圈连续放电 15 min，温升应不超过 15 ℃。感应圈高压绕组与电源输入端的抗电强度应不低于 3000 V，高压绕组与保护接地线之间的抗电强度应不低于 3000 V。应带有高压输出插座和高压连接导线，可有放电电极；应设防护罩，面板显著位置应有“当心触电”的安全警示标志</t>
        </is>
      </c>
      <c r="K231" s="48" t="inlineStr">
        <is>
          <t>乐百仕</t>
        </is>
      </c>
      <c r="L231" s="48" t="inlineStr">
        <is>
          <t>江苏乐百仕教育科技有限公司</t>
        </is>
      </c>
      <c r="M231" s="345" t="n">
        <v>1</v>
      </c>
      <c r="N231" s="345" t="n">
        <v>220</v>
      </c>
      <c r="O231" s="345" t="n">
        <v>220</v>
      </c>
      <c r="P231" s="345" t="inlineStr">
        <is>
          <t>台</t>
        </is>
      </c>
      <c r="Q231" s="345" t="inlineStr"/>
      <c r="R231" s="345" t="inlineStr"/>
      <c r="S231" s="345" t="inlineStr"/>
      <c r="T231" s="345" t="inlineStr"/>
      <c r="U231" s="345" t="n">
        <v>380</v>
      </c>
      <c r="V231" s="345" t="inlineStr"/>
      <c r="W231" s="345" t="n">
        <v>418</v>
      </c>
      <c r="X231" s="345" t="inlineStr"/>
      <c r="Y231" s="345" t="inlineStr">
        <is>
          <t>confirmed</t>
        </is>
      </c>
      <c r="Z231" s="345" t="n">
        <v>100</v>
      </c>
      <c r="AA231" s="345" t="inlineStr">
        <is>
          <t>同分多价：最高分候选存在不同历史价格</t>
        </is>
      </c>
      <c r="AB231" s="345" t="inlineStr">
        <is>
          <t>高中理化生报价.xlsx｜凯迪｜第508行</t>
        </is>
      </c>
    </row>
    <row r="232" customFormat="1" s="252">
      <c r="A232" s="264" t="n">
        <v>467</v>
      </c>
      <c r="B232" s="53" t="n">
        <v>30307307610</v>
      </c>
      <c r="C232" s="50" t="inlineStr">
        <is>
          <t>热敏电阻及应用演示板</t>
        </is>
      </c>
      <c r="D232" s="223" t="inlineStr">
        <is>
          <t>由热敏电阻及应用电路组成，负温度系数型热敏电阻</t>
        </is>
      </c>
      <c r="E232" s="53" t="n">
        <v>1</v>
      </c>
      <c r="F232" s="50" t="inlineStr">
        <is>
          <t>个</t>
        </is>
      </c>
      <c r="G232" s="280">
        <f>_xlfn.DISPIMG("ID_7CC58415FFF847D0A78E55CB910F9916",1)</f>
        <v/>
      </c>
      <c r="H232" s="224" t="n"/>
      <c r="I232" s="53" t="n">
        <v>30307307600</v>
      </c>
      <c r="J232" s="54" t="inlineStr">
        <is>
          <t>由热敏电阻及应用电路组成，负温度系数型热敏电阻
技术参数：
外形尺寸666*470mm（±5mm）；上下为铝型材结构，6063-T5材料,具有良好的抗拉强度，表面黑色氧化细喷砂处理。左右为ABS塑料精密注塑成型边框；仪器面板表面印有原理电路图，应用此电路可通过热敏电阻控制发光二极管发光及蜂鸣器鸣叫。
能够完成的教学演示：
热敏电阻的电阻大小随温度的变化情况；热敏电阻控制发光二极管发光；热敏电阻控制蜂鸣器鸣叫。</t>
        </is>
      </c>
      <c r="K232" s="48" t="inlineStr">
        <is>
          <t>乐百仕</t>
        </is>
      </c>
      <c r="L232" s="48" t="inlineStr">
        <is>
          <t>江苏乐百仕教育科技有限公司</t>
        </is>
      </c>
      <c r="M232" s="345" t="n">
        <v>1</v>
      </c>
      <c r="N232" s="345" t="n">
        <v>45</v>
      </c>
      <c r="O232" s="345" t="n">
        <v>45</v>
      </c>
      <c r="P232" s="345" t="inlineStr">
        <is>
          <t>个</t>
        </is>
      </c>
      <c r="Q232" s="345" t="inlineStr"/>
      <c r="R232" s="345" t="inlineStr"/>
      <c r="S232" s="345" t="inlineStr"/>
      <c r="T232" s="345" t="inlineStr"/>
      <c r="U232" s="345" t="inlineStr"/>
      <c r="V232" s="345" t="inlineStr"/>
      <c r="W232" s="345" t="inlineStr"/>
      <c r="X232" s="345" t="inlineStr"/>
      <c r="Y232" s="345" t="inlineStr">
        <is>
          <t>confirmed</t>
        </is>
      </c>
      <c r="Z232" s="345" t="n">
        <v>0</v>
      </c>
      <c r="AA232" s="345" t="inlineStr">
        <is>
          <t>匹配到商品档案但无历史价格记录</t>
        </is>
      </c>
      <c r="AB232" s="345" t="inlineStr">
        <is>
          <t>赛特尔25年.xls｜初中新课标物理｜第416行</t>
        </is>
      </c>
    </row>
    <row r="233" customFormat="1" s="252">
      <c r="A233" s="264" t="n">
        <v>468</v>
      </c>
      <c r="B233" s="53" t="n">
        <v>30307307710</v>
      </c>
      <c r="C233" s="50" t="inlineStr">
        <is>
          <t>光敏电阻及应用演示板</t>
        </is>
      </c>
      <c r="D233" s="223" t="inlineStr">
        <is>
          <t>由光敏电阻及其应用电路组成；光敏电阻应用环氧树脂封装</t>
        </is>
      </c>
      <c r="E233" s="53" t="n">
        <v>1</v>
      </c>
      <c r="F233" s="50" t="inlineStr">
        <is>
          <t>个</t>
        </is>
      </c>
      <c r="G233" s="280">
        <f>_xlfn.DISPIMG("ID_9239DA741591485F9DEFF5C7EA47BBB7",1)</f>
        <v/>
      </c>
      <c r="H233" s="224" t="n"/>
      <c r="I233" s="53" t="n">
        <v>30307307700</v>
      </c>
      <c r="J233" s="54" t="inlineStr">
        <is>
          <t>由光敏电阻及其应用电路组成；光敏电阻应用环氧树脂封装
技术参数：
外形尺寸666*470mm（±5mm）；上下为铝型材结构，6063-T5材料,具有良好的抗拉强度，表面黑色氧化细喷砂处理。左右为ABS塑料精密注塑成型边框；仪器面板表面印有原理电路图，导线采用暗线布置，内部接线与面板上的原理图一致。应用此电路可通过光敏电阻控制发光二极管。
能够完成的教学演示：
光敏电阻及其应用；光敏电阻的电阻大小随光强的变化情况；光敏电阻控制发光二极管发光。</t>
        </is>
      </c>
      <c r="K233" s="48" t="inlineStr">
        <is>
          <t>乐百仕</t>
        </is>
      </c>
      <c r="L233" s="48" t="inlineStr">
        <is>
          <t>江苏乐百仕教育科技有限公司</t>
        </is>
      </c>
      <c r="M233" s="345" t="n">
        <v>1</v>
      </c>
      <c r="N233" s="345" t="n">
        <v>200</v>
      </c>
      <c r="O233" s="345" t="n">
        <v>200</v>
      </c>
      <c r="P233" s="345" t="inlineStr">
        <is>
          <t>个</t>
        </is>
      </c>
      <c r="Q233" s="345" t="inlineStr">
        <is>
          <t>群信</t>
        </is>
      </c>
      <c r="R233" s="345" t="inlineStr"/>
      <c r="S233" s="345" t="inlineStr">
        <is>
          <t>25022</t>
        </is>
      </c>
      <c r="T233" s="345" t="inlineStr">
        <is>
          <t>25022</t>
        </is>
      </c>
      <c r="U233" s="345" t="inlineStr"/>
      <c r="V233" s="345" t="inlineStr"/>
      <c r="W233" s="345" t="inlineStr"/>
      <c r="X233" s="345" t="inlineStr"/>
      <c r="Y233" s="345" t="inlineStr">
        <is>
          <t>confirmed</t>
        </is>
      </c>
      <c r="Z233" s="345" t="n">
        <v>0</v>
      </c>
      <c r="AA233" s="345" t="inlineStr">
        <is>
          <t>匹配到商品档案但无历史价格记录</t>
        </is>
      </c>
      <c r="AB233" s="345" t="inlineStr">
        <is>
          <t>赛特尔25年.xls｜初中新课标物理｜第367行</t>
        </is>
      </c>
    </row>
    <row r="234" customFormat="1" s="252">
      <c r="A234" s="106" t="n">
        <v>469</v>
      </c>
      <c r="B234" s="31" t="n">
        <v>30807001201</v>
      </c>
      <c r="C234" s="26" t="inlineStr">
        <is>
          <t>面包板</t>
        </is>
      </c>
      <c r="D234" s="340" t="inlineStr">
        <is>
          <t>孔数：1660孔，整体尺寸：21.3*13cm</t>
        </is>
      </c>
      <c r="E234" s="31" t="n">
        <v>13</v>
      </c>
      <c r="F234" s="26" t="inlineStr">
        <is>
          <t>块</t>
        </is>
      </c>
      <c r="G234" s="278">
        <f>_xlfn.DISPIMG("ID_77567008D72E46CC9BA4FC6B0B88B74E",1)</f>
        <v/>
      </c>
      <c r="H234" s="314" t="n"/>
      <c r="I234" s="31" t="n">
        <v>30807001201</v>
      </c>
      <c r="J234" s="33" t="inlineStr">
        <is>
          <t>孔数：1660孔，整体尺寸：21.3*13cm</t>
        </is>
      </c>
      <c r="K234" s="39" t="inlineStr">
        <is>
          <t>乐百仕</t>
        </is>
      </c>
      <c r="L234" s="39" t="inlineStr">
        <is>
          <t>江苏乐百仕教育科技有限公司</t>
        </is>
      </c>
      <c r="M234" s="345" t="n">
        <v>13</v>
      </c>
      <c r="N234" s="345" t="n">
        <v>2</v>
      </c>
      <c r="O234" s="345" t="n">
        <v>26</v>
      </c>
      <c r="P234" s="345" t="inlineStr">
        <is>
          <t>块</t>
        </is>
      </c>
      <c r="Q234" s="345" t="inlineStr"/>
      <c r="R234" s="345" t="inlineStr"/>
      <c r="S234" s="345" t="inlineStr"/>
      <c r="T234" s="345" t="inlineStr">
        <is>
          <t>学生用，塑料注塑成型，140mm×140mm，正反面均有钉子，应符合JY0344《钉板》的要求。</t>
        </is>
      </c>
      <c r="U234" s="345" t="inlineStr"/>
      <c r="V234" s="345" t="inlineStr"/>
      <c r="W234" s="345" t="inlineStr"/>
      <c r="X234" s="345" t="inlineStr"/>
      <c r="Y234" s="345" t="inlineStr">
        <is>
          <t>confirmed</t>
        </is>
      </c>
      <c r="Z234" s="345" t="n">
        <v>0</v>
      </c>
      <c r="AA234" s="345" t="inlineStr">
        <is>
          <t>匹配到商品档案但无历史价格记录</t>
        </is>
      </c>
      <c r="AB234" s="345" t="inlineStr">
        <is>
          <t>赛特尔25年.xls｜小学数学｜第28行</t>
        </is>
      </c>
    </row>
    <row r="235" customFormat="1" s="13">
      <c r="A235" s="106" t="n">
        <v>473</v>
      </c>
      <c r="B235" s="103" t="n">
        <v>30307403403</v>
      </c>
      <c r="C235" s="293" t="inlineStr">
        <is>
          <t>阴极射线管</t>
        </is>
      </c>
      <c r="D235" s="115" t="inlineStr">
        <is>
          <t>机械效应管，卧式、立式。滚轮叶片上应涂有不同颜色的荧光粉。工作时亮度应不低于 50 cd/m2</t>
        </is>
      </c>
      <c r="E235" s="67" t="n">
        <v>1</v>
      </c>
      <c r="F235" s="26" t="inlineStr">
        <is>
          <t>支</t>
        </is>
      </c>
      <c r="G235" s="67">
        <f>_xlfn.DISPIMG("ID_6EE7FE0A960B4F55A626971E9A4F6AB2",1)</f>
        <v/>
      </c>
      <c r="H235" s="314" t="n"/>
      <c r="I235" s="103" t="n">
        <v>30307403403</v>
      </c>
      <c r="J235" s="40" t="inlineStr">
        <is>
          <t>机械效应管，卧式、立式。滚轮叶片上应涂有不同颜色的荧光粉。工作时亮度应不低于 50 cd/m2</t>
        </is>
      </c>
      <c r="K235" s="39" t="inlineStr">
        <is>
          <t>乐百仕</t>
        </is>
      </c>
      <c r="L235" s="39" t="inlineStr">
        <is>
          <t>江苏乐百仕教育科技有限公司</t>
        </is>
      </c>
      <c r="M235" s="345" t="n">
        <v>1</v>
      </c>
      <c r="N235" s="345" t="n">
        <v>150</v>
      </c>
      <c r="O235" s="345" t="n">
        <v>150</v>
      </c>
      <c r="P235" s="345" t="inlineStr">
        <is>
          <t>支</t>
        </is>
      </c>
      <c r="Q235" s="345" t="inlineStr"/>
      <c r="R235" s="345" t="inlineStr"/>
      <c r="S235" s="345" t="inlineStr"/>
      <c r="T235" s="345" t="inlineStr"/>
      <c r="U235" s="345" t="inlineStr"/>
      <c r="V235" s="345" t="inlineStr"/>
      <c r="W235" s="345" t="inlineStr"/>
      <c r="X235" s="345" t="inlineStr"/>
      <c r="Y235" s="345" t="inlineStr">
        <is>
          <t>confirmed</t>
        </is>
      </c>
      <c r="Z235" s="345" t="n">
        <v>0</v>
      </c>
      <c r="AA235" s="345" t="inlineStr">
        <is>
          <t>匹配到商品档案但无历史价格记录</t>
        </is>
      </c>
      <c r="AB235" s="345" t="inlineStr">
        <is>
          <t>赛特尔25年.xls｜初中物理｜第207行</t>
        </is>
      </c>
    </row>
    <row r="236" customFormat="1" s="13">
      <c r="A236" s="106" t="n">
        <v>474</v>
      </c>
      <c r="B236" s="103" t="n">
        <v>30307403404</v>
      </c>
      <c r="C236" s="293" t="inlineStr">
        <is>
          <t>阴极射线管</t>
        </is>
      </c>
      <c r="D236" s="115" t="inlineStr">
        <is>
          <t>静电偏转管，在偏转板上加 250 V 直流电压时，电子束轨迹末端偏转应不小于12 mm，工作时亮度不低于 100 cd/m2</t>
        </is>
      </c>
      <c r="E236" s="67" t="n">
        <v>1</v>
      </c>
      <c r="F236" s="26" t="inlineStr">
        <is>
          <t>支</t>
        </is>
      </c>
      <c r="G236" s="67">
        <f>_xlfn.DISPIMG("ID_607528D297A847DCAA16FC5676396695",1)</f>
        <v/>
      </c>
      <c r="H236" s="314" t="n"/>
      <c r="I236" s="103" t="n">
        <v>30307403404</v>
      </c>
      <c r="J236" s="40" t="inlineStr">
        <is>
          <t>静电偏转管，在偏转板上加 250 V 直流电压时，电子束轨迹末端偏转应不小于12 mm，工作时亮度不低于 100 cd/m2</t>
        </is>
      </c>
      <c r="K236" s="39" t="inlineStr">
        <is>
          <t>乐百仕</t>
        </is>
      </c>
      <c r="L236" s="39" t="inlineStr">
        <is>
          <t>江苏乐百仕教育科技有限公司</t>
        </is>
      </c>
      <c r="M236" s="345" t="n">
        <v>1</v>
      </c>
      <c r="N236" s="345" t="n">
        <v>150</v>
      </c>
      <c r="O236" s="345" t="n">
        <v>150</v>
      </c>
      <c r="P236" s="345" t="inlineStr">
        <is>
          <t>支</t>
        </is>
      </c>
      <c r="Q236" s="345" t="inlineStr"/>
      <c r="R236" s="345" t="inlineStr"/>
      <c r="S236" s="345" t="inlineStr"/>
      <c r="T236" s="345" t="inlineStr"/>
      <c r="U236" s="345" t="inlineStr"/>
      <c r="V236" s="345" t="inlineStr"/>
      <c r="W236" s="345" t="inlineStr"/>
      <c r="X236" s="345" t="inlineStr"/>
      <c r="Y236" s="345" t="inlineStr">
        <is>
          <t>confirmed</t>
        </is>
      </c>
      <c r="Z236" s="345" t="n">
        <v>0</v>
      </c>
      <c r="AA236" s="345" t="inlineStr">
        <is>
          <t>匹配到商品档案但无历史价格记录</t>
        </is>
      </c>
      <c r="AB236" s="345" t="inlineStr">
        <is>
          <t>赛特尔25年.xls｜初中物理｜第207行</t>
        </is>
      </c>
    </row>
    <row r="237" customFormat="1" s="252">
      <c r="A237" s="264" t="n">
        <v>475</v>
      </c>
      <c r="B237" s="53" t="n">
        <v>30307504810</v>
      </c>
      <c r="C237" s="53" t="inlineStr">
        <is>
          <t>光谱管组</t>
        </is>
      </c>
      <c r="D237" s="52" t="inlineStr">
        <is>
          <t>可选光谱管：Ne 光谱管、Hg 光谱管、H2光谱管、He 光谱管、Ar 光谱管、O2 光谱管、Kr 光谱管、N2光谱管、CO2光谱管、Xe 光谱管等</t>
        </is>
      </c>
      <c r="E237" s="53" t="n">
        <v>1</v>
      </c>
      <c r="F237" s="50" t="inlineStr">
        <is>
          <t>套</t>
        </is>
      </c>
      <c r="G237" s="280">
        <f>_xlfn.DISPIMG("ID_D16F8017A1E54030BD3E6D7BFA17B874",1)</f>
        <v/>
      </c>
      <c r="H237" s="318" t="n"/>
      <c r="I237" s="53" t="n">
        <v>30307504800</v>
      </c>
      <c r="J237" s="54" t="inlineStr">
        <is>
          <t>可选光谱管：Ne 光谱管、Hg 光谱管、H2光谱管、He 光谱管、Ar 光谱管、O2 光谱管、Kr 光谱管、N2光谱管、CO2光谱管、Xe 光谱管等
技术参数：
塑料底座：
尺寸规格：436*274*49（±5mm）；材质工艺：ABS塑料精密注塑成型；功能描述：为整个演示器提供牢固稳定的底座，内嵌垫片，使得底座具备防滑耐磨的特点。
上弹片：
尺寸规格：260*35（±5mm），材质工艺：优质黄铜弹片，良好的导电性能；功能描述：作为仪器的导电连接使用，连接电源的负极。</t>
        </is>
      </c>
      <c r="K237" s="48" t="inlineStr">
        <is>
          <t>乐百仕</t>
        </is>
      </c>
      <c r="L237" s="48" t="inlineStr">
        <is>
          <t>江苏乐百仕教育科技有限公司</t>
        </is>
      </c>
      <c r="M237" s="345" t="n">
        <v>1</v>
      </c>
      <c r="N237" s="345" t="n">
        <v>300</v>
      </c>
      <c r="O237" s="345" t="n">
        <v>300</v>
      </c>
      <c r="P237" s="345" t="inlineStr">
        <is>
          <t>套</t>
        </is>
      </c>
      <c r="Q237" s="345" t="inlineStr">
        <is>
          <t>烛光</t>
        </is>
      </c>
      <c r="R237" s="345" t="inlineStr"/>
      <c r="S237" s="345" t="inlineStr">
        <is>
          <t>25107</t>
        </is>
      </c>
      <c r="T237" s="345" t="inlineStr">
        <is>
          <t>25107</t>
        </is>
      </c>
      <c r="U237" s="345" t="inlineStr"/>
      <c r="V237" s="345" t="inlineStr"/>
      <c r="W237" s="345" t="inlineStr"/>
      <c r="X237" s="345" t="inlineStr"/>
      <c r="Y237" s="345" t="inlineStr">
        <is>
          <t>confirmed</t>
        </is>
      </c>
      <c r="Z237" s="345" t="n">
        <v>100</v>
      </c>
      <c r="AA237" s="345" t="inlineStr"/>
      <c r="AB237" s="345" t="inlineStr">
        <is>
          <t>高中理化生报价.xlsx｜凯迪｜第322行</t>
        </is>
      </c>
    </row>
    <row r="238" customFormat="1" s="252">
      <c r="A238" s="106" t="n">
        <v>481</v>
      </c>
      <c r="B238" s="347" t="n">
        <v>30807007210</v>
      </c>
      <c r="C238" s="117" t="inlineStr">
        <is>
          <t>光源</t>
        </is>
      </c>
      <c r="D238" s="115" t="inlineStr">
        <is>
          <t>距光源500mm处照度8001x～9001x；发光亮度可调，可装在光具座上</t>
        </is>
      </c>
      <c r="E238" s="31" t="n">
        <v>13</v>
      </c>
      <c r="F238" s="117" t="inlineStr">
        <is>
          <t>台</t>
        </is>
      </c>
      <c r="G238" s="278">
        <f>_xlfn.DISPIMG("ID_A0F95067D45B40E29D3B9924957F1903",1)</f>
        <v/>
      </c>
      <c r="H238" s="314" t="n"/>
      <c r="I238" s="348" t="n">
        <v>30807007210</v>
      </c>
      <c r="J238" s="40" t="inlineStr">
        <is>
          <t>距光源500mm处照度8001x～9001x；发光亮度可调，可装在光具座上</t>
        </is>
      </c>
      <c r="K238" s="39" t="inlineStr">
        <is>
          <t>乐百仕</t>
        </is>
      </c>
      <c r="L238" s="39" t="inlineStr">
        <is>
          <t>江苏乐百仕教育科技有限公司</t>
        </is>
      </c>
      <c r="M238" s="345" t="n">
        <v>13</v>
      </c>
      <c r="N238" s="345" t="n">
        <v>110</v>
      </c>
      <c r="O238" s="345" t="n">
        <v>1430</v>
      </c>
      <c r="P238" s="345" t="inlineStr">
        <is>
          <t>台</t>
        </is>
      </c>
      <c r="Q238" s="345" t="inlineStr">
        <is>
          <t>群信</t>
        </is>
      </c>
      <c r="R238" s="345" t="inlineStr"/>
      <c r="S238" s="345" t="inlineStr">
        <is>
          <t>12008</t>
        </is>
      </c>
      <c r="T238" s="345" t="inlineStr">
        <is>
          <t>12008</t>
        </is>
      </c>
      <c r="U238" s="345" t="inlineStr"/>
      <c r="V238" s="345" t="inlineStr"/>
      <c r="W238" s="345" t="inlineStr"/>
      <c r="X238" s="345" t="inlineStr"/>
      <c r="Y238" s="345" t="inlineStr">
        <is>
          <t>confirmed</t>
        </is>
      </c>
      <c r="Z238" s="345" t="n">
        <v>100</v>
      </c>
      <c r="AA238" s="345" t="inlineStr"/>
      <c r="AB238" s="345" t="inlineStr">
        <is>
          <t>高中理化生报价.xlsx｜凯迪｜第70行</t>
        </is>
      </c>
    </row>
    <row r="239" customFormat="1" s="252">
      <c r="A239" s="106" t="n">
        <v>482</v>
      </c>
      <c r="B239" s="347" t="n">
        <v>30307505610</v>
      </c>
      <c r="C239" s="117" t="inlineStr">
        <is>
          <t>普朗克常量测定器</t>
        </is>
      </c>
      <c r="D239" s="115" t="inlineStr">
        <is>
          <t>光电管，能演示光电效应四个基本规律</t>
        </is>
      </c>
      <c r="E239" s="347" t="n">
        <v>1</v>
      </c>
      <c r="F239" s="117" t="inlineStr">
        <is>
          <t>台</t>
        </is>
      </c>
      <c r="G239" s="278">
        <f>_xlfn.DISPIMG("ID_2264A0C81D60482181B3BE99330EA878",1)</f>
        <v/>
      </c>
      <c r="H239" s="314" t="n"/>
      <c r="I239" s="348" t="n">
        <v>30307505610</v>
      </c>
      <c r="J239" s="40" t="inlineStr">
        <is>
          <t>光电管，能演示光电效应四个基本规律</t>
        </is>
      </c>
      <c r="K239" s="39" t="inlineStr">
        <is>
          <t>乐百仕</t>
        </is>
      </c>
      <c r="L239" s="39" t="inlineStr">
        <is>
          <t>江苏乐百仕教育科技有限公司</t>
        </is>
      </c>
      <c r="M239" s="345" t="n">
        <v>1</v>
      </c>
      <c r="N239" s="345" t="n">
        <v>600</v>
      </c>
      <c r="O239" s="345" t="n">
        <v>600</v>
      </c>
      <c r="P239" s="345" t="inlineStr">
        <is>
          <t>台</t>
        </is>
      </c>
      <c r="Q239" s="345" t="inlineStr">
        <is>
          <t>嘉远</t>
        </is>
      </c>
      <c r="R239" s="345" t="inlineStr"/>
      <c r="S239" s="345" t="inlineStr">
        <is>
          <t>25116</t>
        </is>
      </c>
      <c r="T239" s="345" t="inlineStr">
        <is>
          <t>25116</t>
        </is>
      </c>
      <c r="U239" s="345" t="inlineStr"/>
      <c r="V239" s="345" t="inlineStr"/>
      <c r="W239" s="345" t="inlineStr"/>
      <c r="X239" s="345" t="inlineStr"/>
      <c r="Y239" s="345" t="inlineStr">
        <is>
          <t>confirmed</t>
        </is>
      </c>
      <c r="Z239" s="345" t="n">
        <v>100</v>
      </c>
      <c r="AA239" s="345" t="inlineStr"/>
      <c r="AB239" s="345" t="inlineStr">
        <is>
          <t>高中理化生报价.xlsx｜凯迪｜第331行</t>
        </is>
      </c>
    </row>
    <row r="240" customFormat="1" s="253">
      <c r="A240" s="264" t="n">
        <v>485</v>
      </c>
      <c r="B240" s="71" t="inlineStr">
        <is>
          <t>V1.0</t>
        </is>
      </c>
      <c r="C240" s="50" t="inlineStr">
        <is>
          <t>高中物理虚拟仿真实验资源</t>
        </is>
      </c>
      <c r="D240" s="223" t="inlineStr">
        <is>
          <t>1.针对人教版高中物理课程配套开发的虚拟仿真实验平台，提供119个物理教材实验资源，该平台采用H5技术，模拟真实实验环境，精准还原实验现象，确保实验结果科学合理。实验资源按照年级、教材、章节进行分类，方便用户查找。同时，用户可以通过模糊搜索功能，快速找到相关教材实验资源。
2.提供可编辑表格功能，用于记录实验数据，可依据所填数据生成相应的实验数据图像；
3.系统提供物理探究实验室，涵盖电与磁、力学与运动、热学、光学、声学、家庭电路六大领域，包含中学物理教材主流实验器材模型320个（声学器材19个，光学器材32个，热学器材47个，力学与运动器材99个，电与磁器材90，家庭电路器材33）。物理探究实验室基于强大的实验引擎，实验仪器模型参数支持任意调节，用户可以自由拼装，创建新实验，具有良好的交互性和扩展性。它提供了实验保存、清屏、屏幕缩放及物理领域切换功能，确保用户在不同领域间轻松切换，同时探究实验室的器材列表会自动刷新。
4.实验室提供实验目的要求查看、操作步骤提示、实验数据记录、实验保存、清屏、重置、锁屏及屏幕缩放功能，针对实验中存在较为复杂的操作过程，提供短视频讲解演示功能，帮助用户快速熟悉实验和完成操作学习；
5.物理探究实验室-电与磁是一款专为物理实验设计的模拟软件，特别是针对电与磁的实验。此系统不仅提供正常的实验操作和现象展示，更独特的是，它具备错误操作现象展示功能，通过模拟各种因错误操作而引发的危险现象，为用户提供警示，从而降低实际实验操作中的危险系数。
6.物理探究实验室-力学与运动通过先进的模拟技术，将复杂的物理现象简单化，如：模拟物体在重力与浮力作用下的运动，解释沉浮原理；展示弹簧在不同外力下的伸长与压缩，以及能量守恒等现象。提供多种复杂或基础的物理模型，满足不同层次的教学需求。
7.物理探究实验室-热学是一个专为热学实验设计的模拟软件，旨在为学生和教师提供深入探索热学现象的平台。该软件不仅展示常见的热学现象，如分子扩散、热胀冷缩、融化、升华等，还通过实验验证温度变化的影响。
8.物理探究实验室-光学是一个专为光学实验设计的模拟软件，旨在为学生和教师提供深入探索光学现象的平台。该软件通过先进的模拟技术，提供各种光学器材，如激光笔、手电筒光源、凸透镜、凹透镜、平面镜和三棱镜等，以及各种光路展示功能，用先进的模拟技术，将复杂的光学现象简单化，使教师易于讲解，学生易于理解。
9.物理探究实验室-声学是一个专为声学实验设计的模拟软件，旨在为学生和教师提供深入探索声学现象的平台。该软件通过提供各种声学实验器材，如示波器、铝片琴、钢管钟和多种形态的橡皮筋等，帮助学生通过实验观察和验证声学的原理和现象。例如：提供铝片琴和钢管钟模型，让学生观察不同材料和结构对声音的影响。多种形态的橡皮筋：提供不同形态和材质的橡皮筋，用于产生不同频率的声音。
10.提供家庭电路模块，实验室模拟入户电路，提供电能表、闸刀开关、保险丝、漏电保护装置、火线、零线、底线等基本入户电路结构，同时实验室提供开关面板类用品16个、家用电器类用品17种，家庭电路实验室可实现家庭用电场景的各类模拟，含试电笔对线路是否带点的检验、数字电能表与机械电能表的切换、空气开关与闸刀式开关的切换、零线损坏场景模拟、各类用电器的模拟连接、开关面板内部电路的模拟连接、家庭电路中常见电路故障（如断路、短路、过载等）情况的模拟；
11.仿真实验室提供电子白板功能，辅助教师进行实验讲解过程中板书记录；并提供不少于3种画笔颜色选择，板书记录支持撤销、还原及一键清空功能。
12.系统提供实验库管理功能，保存到库里的实验资源支持编辑、删除、查找、筛选等功能；
13.系统提供足迹查看功能，自动记录使用足迹，方便下次查找，并且支持编辑、删除等功能；</t>
        </is>
      </c>
      <c r="E240" s="53" t="n">
        <v>1</v>
      </c>
      <c r="F240" s="50" t="inlineStr">
        <is>
          <t>套</t>
        </is>
      </c>
      <c r="G240" s="341" t="n"/>
      <c r="H240" s="318" t="n"/>
      <c r="I240" s="71" t="inlineStr">
        <is>
          <t>V1.0</t>
        </is>
      </c>
      <c r="J240" s="54" t="inlineStr">
        <is>
          <t>1.针对人教版高中物理课程配套开发的虚拟仿真实验平台，提供119个物理教材实验资源，该平台采用H5技术，模拟真实实验环境，精准还原实验现象，确保实验结果科学合理。实验资源按照年级、教材、章节进行分类，方便用户查找。同时，用户可以通过模糊搜索功能，快速找到相关教材实验资源。
2.提供可编辑表格功能，用于记录实验数据，可依据所填数据生成相应的实验数据图像；
3.系统提供物理探究实验室，涵盖电与磁、力学与运动、热学、光学、声学、家庭电路六大领域，包含中学物理教材主流实验器材模型320个（声学器材19个，光学器材32个，热学器材47个，力学与运动器材99个，电与磁器材90，家庭电路器材33）。物理探究实验室基于强大的实验引擎，实验仪器模型参数支持任意调节，用户可以自由拼装，创建新实验，具有良好的交互性和扩展性。它提供了实验保存、清屏、屏幕缩放及物理领域切换功能，确保用户在不同领域间轻松切换，同时探究实验室的器材列表会自动刷新。
4.实验室提供实验目的要求查看、操作步骤提示、实验数据记录、实验保存、清屏、重置、锁屏及屏幕缩放功能，针对实验中存在较为复杂的操作过程，提供短视频讲解演示功能，帮助用户快速熟悉实验和完成操作学习；
5.物理探究实验室-电与磁是一款专为物理实验设计的模拟软件，特别是针对电与磁的实验。此系统不仅提供正常的实验操作和现象展示，更独特的是，它具备错误操作现象展示功能，通过模拟各种因错误操作而引发的危险现象，为用户提供警示，从而降低实际实验操作中的危险系数。
6.物理探究实验室-力学与运动通过先进的模拟技术，将复杂的物理现象简单化，如：模拟物体在重力与浮力作用下的运动，解释沉浮原理；展示弹簧在不同外力下的伸长与压缩，以及能量守恒等现象。提供多种复杂或基础的物理模型，满足不同层次的教学需求。
7.物理探究实验室-热学是一个专为热学实验设计的模拟软件，旨在为学生和教师提供深入探索热学现象的平台。该软件不仅展示常见的热学现象，如分子扩散、热胀冷缩、融化、升华等，还通过实验验证温度变化的影响。
8.物理探究实验室-光学是一个专为光学实验设计的模拟软件，旨在为学生和教师提供深入探索光学现象的平台。该软件通过先进的模拟技术，提供各种光学器材，如激光笔、手电筒光源、凸透镜、凹透镜、平面镜和三棱镜等，以及各种光路展示功能，用先进的模拟技术，将复杂的光学现象简单化，使教师易于讲解，学生易于理解。
9.物理探究实验室-声学是一个专为声学实验设计的模拟软件，旨在为学生和教师提供深入探索声学现象的平台。该软件通过提供各种声学实验器材，如示波器、铝片琴、钢管钟和多种形态的橡皮筋等，帮助学生通过实验观察和验证声学的原理和现象。例如：提供铝片琴和钢管钟模型，让学生观察不同材料和结构对声音的影响。多种形态的橡皮筋：提供不同形态和材质的橡皮筋，用于产生不同频率的声音。
10.提供家庭电路模块，实验室模拟入户电路，提供电能表、闸刀开关、保险丝、漏电保护装置、火线、零线、底线等基本入户电路结构，同时实验室提供开关面板类用品16个、家用电器类用品17种，家庭电路实验室可实现家庭用电场景的各类模拟，含试电笔对线路是否带点的检验、数字电能表与机械电能表的切换、空气开关与闸刀式开关的切换、零线损坏场景模拟、各类用电器的模拟连接、开关面板内部电路的模拟连接、家庭电路中常见电路故障（如断路、短路、过载等）情况的模拟；
11.仿真实验室提供电子白板功能，辅助教师进行实验讲解过程中板书记录；并提供不少于3种画笔颜色选择，板书记录支持撤销、还原及一键清空功能。
12.系统提供实验库管理功能，保存到库里的实验资源支持编辑、删除、查找、筛选等功能；
13.系统提供足迹查看功能，自动记录使用足迹，方便下次查找，并且支持编辑、删除等功能；</t>
        </is>
      </c>
      <c r="K240" s="48" t="inlineStr">
        <is>
          <t>乐百仕</t>
        </is>
      </c>
      <c r="L240" s="48" t="inlineStr">
        <is>
          <t>江苏乐百仕教育科技有限公司</t>
        </is>
      </c>
      <c r="M240" s="356" t="n">
        <v>1</v>
      </c>
      <c r="N240" s="356" t="n">
        <v>0</v>
      </c>
      <c r="O240" s="356" t="n">
        <v>0</v>
      </c>
      <c r="P240" s="356" t="inlineStr">
        <is>
          <t>套</t>
        </is>
      </c>
      <c r="Q240" s="356" t="inlineStr"/>
      <c r="R240" s="356" t="inlineStr"/>
      <c r="S240" s="356" t="inlineStr"/>
      <c r="T240" s="356" t="inlineStr"/>
      <c r="U240" s="356" t="inlineStr"/>
      <c r="V240" s="356" t="inlineStr"/>
      <c r="W240" s="356" t="inlineStr"/>
      <c r="X240" s="356" t="inlineStr"/>
      <c r="Y240" s="356" t="inlineStr">
        <is>
          <t>review</t>
        </is>
      </c>
      <c r="Z240" s="356" t="n">
        <v>0</v>
      </c>
      <c r="AA240" s="356" t="inlineStr">
        <is>
          <t>匹配到商品档案但无历史价格记录</t>
        </is>
      </c>
      <c r="AB240" s="356" t="inlineStr">
        <is>
          <t>高中理化生报价.xlsx｜凯迪｜第1358行</t>
        </is>
      </c>
    </row>
    <row r="241" customFormat="1" s="13">
      <c r="A241" s="211" t="n"/>
      <c r="B241" s="211" t="n"/>
      <c r="C241" s="211" t="n"/>
      <c r="D241" s="211" t="n"/>
      <c r="E241" s="211" t="n"/>
      <c r="F241" s="211" t="n"/>
      <c r="G241" s="211" t="n"/>
      <c r="H241" s="211" t="n"/>
    </row>
  </sheetData>
  <mergeCells count="2">
    <mergeCell ref="A1:H1"/>
    <mergeCell ref="I2:L2"/>
  </mergeCells>
  <pageMargins left="0.75" right="0.75" top="1" bottom="1" header="0.5" footer="0.5"/>
  <pageSetup orientation="portrait" paperSize="8"/>
</worksheet>
</file>

<file path=xl/worksheets/sheet2.xml><?xml version="1.0" encoding="utf-8"?>
<worksheet xmlns="http://schemas.openxmlformats.org/spreadsheetml/2006/main">
  <sheetPr>
    <outlinePr summaryBelow="1" summaryRight="1"/>
    <pageSetUpPr/>
  </sheetPr>
  <dimension ref="A1:XEG336"/>
  <sheetViews>
    <sheetView workbookViewId="0">
      <selection activeCell="I2" sqref="I2:L2"/>
    </sheetView>
  </sheetViews>
  <sheetFormatPr baseColWidth="8" defaultColWidth="8" defaultRowHeight="40" customHeight="1"/>
  <cols>
    <col width="8" customWidth="1" style="13" min="1" max="1"/>
    <col width="12.4" customWidth="1" style="13" min="2" max="2"/>
    <col width="13.6" customWidth="1" style="13" min="3" max="3"/>
    <col width="34.4" customWidth="1" style="13" min="4" max="4"/>
    <col width="8" customWidth="1" style="13" min="5" max="6"/>
    <col width="13.5" customWidth="1" style="13" min="7" max="7"/>
    <col width="8" customWidth="1" style="13" min="8" max="8"/>
    <col width="15.2" customWidth="1" style="13" min="9" max="9"/>
    <col width="8" customWidth="1" style="13" min="10" max="16384"/>
  </cols>
  <sheetData>
    <row r="1" customFormat="1" s="257">
      <c r="A1" s="198" t="inlineStr">
        <is>
          <t>高中化学新课标仪器（依据：教育部JY/T 0655－2025《普通高中化学教学装备配置标准》）</t>
        </is>
      </c>
      <c r="I1" s="251" t="n"/>
      <c r="J1" s="251" t="n"/>
      <c r="K1" s="251" t="n"/>
      <c r="L1" s="251" t="n"/>
      <c r="M1" s="251" t="n"/>
      <c r="N1" s="251" t="n"/>
      <c r="O1" s="251" t="n"/>
      <c r="P1" s="251" t="n"/>
      <c r="Q1" s="251" t="n"/>
      <c r="R1" s="251" t="n"/>
      <c r="S1" s="251" t="n"/>
      <c r="T1" s="251" t="n"/>
      <c r="U1" s="251" t="n"/>
      <c r="V1" s="251" t="n"/>
      <c r="W1" s="251" t="n"/>
      <c r="X1" s="251" t="n"/>
      <c r="Y1" s="251" t="n"/>
      <c r="Z1" s="251" t="n"/>
      <c r="AA1" s="251" t="n"/>
      <c r="AB1" s="251" t="n"/>
      <c r="AC1" s="251" t="n"/>
      <c r="AD1" s="251" t="n"/>
      <c r="AE1" s="251" t="n"/>
      <c r="AF1" s="251" t="n"/>
      <c r="AG1" s="251" t="n"/>
      <c r="AH1" s="251" t="n"/>
      <c r="AI1" s="251" t="n"/>
      <c r="AJ1" s="251" t="n"/>
      <c r="AK1" s="251" t="n"/>
      <c r="AL1" s="251" t="n"/>
      <c r="AM1" s="251" t="n"/>
      <c r="AN1" s="251" t="n"/>
      <c r="AO1" s="251" t="n"/>
      <c r="AP1" s="251" t="n"/>
      <c r="AQ1" s="251" t="n"/>
      <c r="AR1" s="251" t="n"/>
      <c r="AS1" s="251" t="n"/>
      <c r="AT1" s="251" t="n"/>
      <c r="AU1" s="251" t="n"/>
      <c r="AV1" s="251" t="n"/>
      <c r="AW1" s="251" t="n"/>
      <c r="AX1" s="251" t="n"/>
      <c r="AY1" s="251" t="n"/>
      <c r="AZ1" s="251" t="n"/>
      <c r="BA1" s="251" t="n"/>
      <c r="BB1" s="251" t="n"/>
      <c r="BC1" s="251" t="n"/>
      <c r="BD1" s="251" t="n"/>
      <c r="BE1" s="251" t="n"/>
      <c r="BF1" s="251" t="n"/>
      <c r="BG1" s="251" t="n"/>
      <c r="BH1" s="251" t="n"/>
      <c r="BI1" s="251" t="n"/>
      <c r="BJ1" s="251" t="n"/>
      <c r="BK1" s="251" t="n"/>
      <c r="BL1" s="251" t="n"/>
      <c r="BM1" s="251" t="n"/>
      <c r="BN1" s="251" t="n"/>
      <c r="BO1" s="251" t="n"/>
      <c r="BP1" s="251" t="n"/>
      <c r="BQ1" s="251" t="n"/>
      <c r="BR1" s="251" t="n"/>
      <c r="BS1" s="251" t="n"/>
      <c r="BT1" s="251" t="n"/>
      <c r="BU1" s="251" t="n"/>
      <c r="BV1" s="251" t="n"/>
      <c r="BW1" s="251" t="n"/>
      <c r="BX1" s="251" t="n"/>
      <c r="BY1" s="251" t="n"/>
      <c r="BZ1" s="251" t="n"/>
      <c r="CA1" s="251" t="n"/>
      <c r="CB1" s="251" t="n"/>
      <c r="CC1" s="251" t="n"/>
      <c r="CD1" s="251" t="n"/>
      <c r="CE1" s="251" t="n"/>
      <c r="CF1" s="251" t="n"/>
      <c r="CG1" s="251" t="n"/>
      <c r="CH1" s="251" t="n"/>
      <c r="CI1" s="251" t="n"/>
      <c r="CJ1" s="251" t="n"/>
      <c r="CK1" s="251" t="n"/>
      <c r="CL1" s="251" t="n"/>
      <c r="CM1" s="251" t="n"/>
      <c r="CN1" s="251" t="n"/>
      <c r="CO1" s="251" t="n"/>
      <c r="CP1" s="251" t="n"/>
      <c r="CQ1" s="251" t="n"/>
      <c r="CR1" s="251" t="n"/>
      <c r="CS1" s="251" t="n"/>
      <c r="CT1" s="251" t="n"/>
      <c r="CU1" s="251" t="n"/>
      <c r="CV1" s="251" t="n"/>
      <c r="CW1" s="251" t="n"/>
      <c r="CX1" s="251" t="n"/>
      <c r="CY1" s="251" t="n"/>
      <c r="CZ1" s="251" t="n"/>
      <c r="DA1" s="251" t="n"/>
      <c r="DB1" s="251" t="n"/>
      <c r="DC1" s="251" t="n"/>
      <c r="DD1" s="251" t="n"/>
      <c r="DE1" s="251" t="n"/>
      <c r="DF1" s="251" t="n"/>
      <c r="DG1" s="251" t="n"/>
      <c r="DH1" s="251" t="n"/>
      <c r="DI1" s="251" t="n"/>
      <c r="DJ1" s="251" t="n"/>
      <c r="DK1" s="251" t="n"/>
      <c r="DL1" s="251" t="n"/>
      <c r="DM1" s="251" t="n"/>
      <c r="DN1" s="251" t="n"/>
      <c r="DO1" s="251" t="n"/>
      <c r="DP1" s="251" t="n"/>
      <c r="DQ1" s="251" t="n"/>
      <c r="DR1" s="251" t="n"/>
      <c r="DS1" s="251" t="n"/>
      <c r="DT1" s="251" t="n"/>
      <c r="DU1" s="251" t="n"/>
      <c r="DV1" s="251" t="n"/>
      <c r="DW1" s="251" t="n"/>
      <c r="DX1" s="251" t="n"/>
      <c r="DY1" s="251" t="n"/>
      <c r="DZ1" s="251" t="n"/>
      <c r="EA1" s="251" t="n"/>
      <c r="EB1" s="251" t="n"/>
      <c r="EC1" s="251" t="n"/>
      <c r="ED1" s="251" t="n"/>
      <c r="EE1" s="251" t="n"/>
      <c r="EF1" s="251" t="n"/>
      <c r="EG1" s="251" t="n"/>
      <c r="EH1" s="251" t="n"/>
      <c r="EI1" s="251" t="n"/>
      <c r="EJ1" s="251" t="n"/>
      <c r="EK1" s="251" t="n"/>
      <c r="EL1" s="251" t="n"/>
      <c r="EM1" s="251" t="n"/>
      <c r="EN1" s="251" t="n"/>
      <c r="EO1" s="251" t="n"/>
      <c r="EP1" s="251" t="n"/>
      <c r="EQ1" s="251" t="n"/>
      <c r="ER1" s="251" t="n"/>
      <c r="ES1" s="251" t="n"/>
      <c r="ET1" s="251" t="n"/>
      <c r="EU1" s="251" t="n"/>
      <c r="EV1" s="251" t="n"/>
      <c r="EW1" s="251" t="n"/>
      <c r="EX1" s="251" t="n"/>
      <c r="EY1" s="251" t="n"/>
      <c r="EZ1" s="251" t="n"/>
      <c r="FA1" s="251" t="n"/>
      <c r="FB1" s="251" t="n"/>
      <c r="FC1" s="251" t="n"/>
      <c r="FD1" s="251" t="n"/>
      <c r="FE1" s="251" t="n"/>
      <c r="FF1" s="251" t="n"/>
      <c r="FG1" s="251" t="n"/>
      <c r="FH1" s="251" t="n"/>
      <c r="FI1" s="251" t="n"/>
      <c r="FJ1" s="251" t="n"/>
      <c r="FK1" s="251" t="n"/>
      <c r="FL1" s="251" t="n"/>
      <c r="FM1" s="251" t="n"/>
      <c r="FN1" s="251" t="n"/>
      <c r="FO1" s="251" t="n"/>
      <c r="FP1" s="251" t="n"/>
      <c r="FQ1" s="251" t="n"/>
      <c r="FR1" s="251" t="n"/>
      <c r="FS1" s="251" t="n"/>
      <c r="FT1" s="251" t="n"/>
      <c r="FU1" s="251" t="n"/>
      <c r="FV1" s="251" t="n"/>
      <c r="FW1" s="251" t="n"/>
      <c r="FX1" s="251" t="n"/>
      <c r="FY1" s="251" t="n"/>
      <c r="FZ1" s="251" t="n"/>
      <c r="GA1" s="251" t="n"/>
      <c r="GB1" s="251" t="n"/>
      <c r="GC1" s="251" t="n"/>
      <c r="GD1" s="251" t="n"/>
      <c r="GE1" s="251" t="n"/>
      <c r="GF1" s="251" t="n"/>
      <c r="GG1" s="251" t="n"/>
      <c r="GH1" s="251" t="n"/>
      <c r="GI1" s="251" t="n"/>
      <c r="GJ1" s="251" t="n"/>
      <c r="GK1" s="251" t="n"/>
      <c r="GL1" s="251" t="n"/>
      <c r="GM1" s="251" t="n"/>
      <c r="GN1" s="251" t="n"/>
      <c r="GO1" s="251" t="n"/>
      <c r="GP1" s="251" t="n"/>
      <c r="GQ1" s="251" t="n"/>
      <c r="GR1" s="251" t="n"/>
      <c r="GS1" s="251" t="n"/>
      <c r="GT1" s="251" t="n"/>
      <c r="GU1" s="251" t="n"/>
      <c r="GV1" s="251" t="n"/>
      <c r="GW1" s="251" t="n"/>
      <c r="GX1" s="251" t="n"/>
      <c r="GY1" s="251" t="n"/>
      <c r="GZ1" s="251" t="n"/>
      <c r="HA1" s="251" t="n"/>
      <c r="HB1" s="251" t="n"/>
      <c r="HC1" s="251" t="n"/>
      <c r="HD1" s="251" t="n"/>
      <c r="HE1" s="251" t="n"/>
      <c r="HF1" s="251" t="n"/>
      <c r="HG1" s="251" t="n"/>
      <c r="HH1" s="251" t="n"/>
      <c r="HI1" s="251" t="n"/>
      <c r="HJ1" s="251" t="n"/>
      <c r="HK1" s="251" t="n"/>
      <c r="HL1" s="251" t="n"/>
      <c r="HM1" s="251" t="n"/>
      <c r="HN1" s="251" t="n"/>
      <c r="HO1" s="251" t="n"/>
      <c r="HP1" s="251" t="n"/>
      <c r="HQ1" s="251" t="n"/>
      <c r="HR1" s="251" t="n"/>
      <c r="HS1" s="251" t="n"/>
      <c r="HT1" s="251" t="n"/>
      <c r="HU1" s="251" t="n"/>
      <c r="HV1" s="251" t="n"/>
      <c r="HW1" s="251" t="n"/>
      <c r="HX1" s="251" t="n"/>
      <c r="HY1" s="251" t="n"/>
      <c r="HZ1" s="251" t="n"/>
      <c r="IA1" s="251" t="n"/>
      <c r="IB1" s="251" t="n"/>
      <c r="IC1" s="251" t="n"/>
      <c r="ID1" s="251" t="n"/>
      <c r="IE1" s="251" t="n"/>
      <c r="IF1" s="251" t="n"/>
      <c r="IG1" s="251" t="n"/>
      <c r="IH1" s="251" t="n"/>
      <c r="II1" s="251" t="n"/>
      <c r="IJ1" s="251" t="n"/>
      <c r="IK1" s="251" t="n"/>
      <c r="IL1" s="251" t="n"/>
      <c r="IM1" s="251" t="n"/>
      <c r="IN1" s="251" t="n"/>
      <c r="IO1" s="251" t="n"/>
      <c r="IP1" s="251" t="n"/>
      <c r="IQ1" s="251" t="n"/>
      <c r="IR1" s="251" t="n"/>
      <c r="IS1" s="251" t="n"/>
      <c r="IT1" s="251" t="n"/>
      <c r="IU1" s="251" t="n"/>
      <c r="IV1" s="251" t="n"/>
      <c r="IW1" s="251" t="n"/>
      <c r="IX1" s="251" t="n"/>
      <c r="IY1" s="251" t="n"/>
      <c r="IZ1" s="251" t="n"/>
      <c r="JA1" s="251" t="n"/>
      <c r="JB1" s="251" t="n"/>
      <c r="JC1" s="251" t="n"/>
      <c r="JD1" s="251" t="n"/>
      <c r="JE1" s="251" t="n"/>
      <c r="JF1" s="251" t="n"/>
      <c r="JG1" s="251" t="n"/>
      <c r="JH1" s="251" t="n"/>
      <c r="JI1" s="251" t="n"/>
      <c r="JJ1" s="251" t="n"/>
      <c r="JK1" s="251" t="n"/>
      <c r="JL1" s="251" t="n"/>
      <c r="JM1" s="251" t="n"/>
      <c r="JN1" s="251" t="n"/>
      <c r="JO1" s="251" t="n"/>
      <c r="JP1" s="251" t="n"/>
      <c r="JQ1" s="251" t="n"/>
      <c r="JR1" s="251" t="n"/>
      <c r="JS1" s="251" t="n"/>
      <c r="JT1" s="251" t="n"/>
      <c r="JU1" s="251" t="n"/>
      <c r="JV1" s="251" t="n"/>
      <c r="JW1" s="251" t="n"/>
      <c r="JX1" s="251" t="n"/>
      <c r="JY1" s="251" t="n"/>
      <c r="JZ1" s="251" t="n"/>
      <c r="KA1" s="251" t="n"/>
      <c r="KB1" s="251" t="n"/>
      <c r="KC1" s="251" t="n"/>
      <c r="KD1" s="251" t="n"/>
      <c r="KE1" s="251" t="n"/>
      <c r="KF1" s="251" t="n"/>
      <c r="KG1" s="251" t="n"/>
      <c r="KH1" s="251" t="n"/>
      <c r="KI1" s="251" t="n"/>
      <c r="KJ1" s="251" t="n"/>
      <c r="KK1" s="251" t="n"/>
      <c r="KL1" s="251" t="n"/>
      <c r="KM1" s="251" t="n"/>
      <c r="KN1" s="251" t="n"/>
      <c r="KO1" s="251" t="n"/>
      <c r="KP1" s="251" t="n"/>
      <c r="KQ1" s="251" t="n"/>
      <c r="KR1" s="251" t="n"/>
      <c r="KS1" s="251" t="n"/>
      <c r="KT1" s="251" t="n"/>
      <c r="KU1" s="251" t="n"/>
      <c r="KV1" s="251" t="n"/>
      <c r="KW1" s="251" t="n"/>
      <c r="KX1" s="251" t="n"/>
      <c r="KY1" s="251" t="n"/>
      <c r="KZ1" s="251" t="n"/>
      <c r="LA1" s="251" t="n"/>
      <c r="LB1" s="251" t="n"/>
      <c r="LC1" s="251" t="n"/>
      <c r="LD1" s="251" t="n"/>
      <c r="LE1" s="251" t="n"/>
      <c r="LF1" s="251" t="n"/>
      <c r="LG1" s="251" t="n"/>
      <c r="LH1" s="251" t="n"/>
      <c r="LI1" s="251" t="n"/>
      <c r="LJ1" s="251" t="n"/>
      <c r="LK1" s="251" t="n"/>
      <c r="LL1" s="251" t="n"/>
      <c r="LM1" s="251" t="n"/>
      <c r="LN1" s="251" t="n"/>
      <c r="LO1" s="251" t="n"/>
      <c r="LP1" s="251" t="n"/>
      <c r="LQ1" s="251" t="n"/>
      <c r="LR1" s="251" t="n"/>
      <c r="LS1" s="251" t="n"/>
      <c r="LT1" s="251" t="n"/>
      <c r="LU1" s="251" t="n"/>
      <c r="LV1" s="251" t="n"/>
      <c r="LW1" s="251" t="n"/>
      <c r="LX1" s="251" t="n"/>
      <c r="LY1" s="251" t="n"/>
      <c r="LZ1" s="251" t="n"/>
      <c r="MA1" s="251" t="n"/>
      <c r="MB1" s="251" t="n"/>
      <c r="MC1" s="251" t="n"/>
      <c r="MD1" s="251" t="n"/>
      <c r="ME1" s="251" t="n"/>
      <c r="MF1" s="251" t="n"/>
      <c r="MG1" s="251" t="n"/>
      <c r="MH1" s="251" t="n"/>
      <c r="MI1" s="251" t="n"/>
      <c r="MJ1" s="251" t="n"/>
      <c r="MK1" s="251" t="n"/>
      <c r="ML1" s="251" t="n"/>
      <c r="MM1" s="251" t="n"/>
      <c r="MN1" s="251" t="n"/>
      <c r="MO1" s="251" t="n"/>
      <c r="MP1" s="251" t="n"/>
      <c r="MQ1" s="251" t="n"/>
      <c r="MR1" s="251" t="n"/>
      <c r="MS1" s="251" t="n"/>
      <c r="MT1" s="251" t="n"/>
      <c r="MU1" s="251" t="n"/>
      <c r="MV1" s="251" t="n"/>
      <c r="MW1" s="251" t="n"/>
      <c r="MX1" s="251" t="n"/>
      <c r="MY1" s="251" t="n"/>
      <c r="MZ1" s="251" t="n"/>
      <c r="NA1" s="251" t="n"/>
      <c r="NB1" s="251" t="n"/>
      <c r="NC1" s="251" t="n"/>
      <c r="ND1" s="251" t="n"/>
      <c r="NE1" s="251" t="n"/>
      <c r="NF1" s="251" t="n"/>
      <c r="NG1" s="251" t="n"/>
      <c r="NH1" s="251" t="n"/>
      <c r="NI1" s="251" t="n"/>
      <c r="NJ1" s="251" t="n"/>
      <c r="NK1" s="251" t="n"/>
      <c r="NL1" s="251" t="n"/>
      <c r="NM1" s="251" t="n"/>
      <c r="NN1" s="251" t="n"/>
      <c r="NO1" s="251" t="n"/>
      <c r="NP1" s="251" t="n"/>
      <c r="NQ1" s="251" t="n"/>
      <c r="NR1" s="251" t="n"/>
      <c r="NS1" s="251" t="n"/>
      <c r="NT1" s="251" t="n"/>
      <c r="NU1" s="251" t="n"/>
      <c r="NV1" s="251" t="n"/>
      <c r="NW1" s="251" t="n"/>
      <c r="NX1" s="251" t="n"/>
      <c r="NY1" s="251" t="n"/>
      <c r="NZ1" s="251" t="n"/>
      <c r="OA1" s="251" t="n"/>
      <c r="OB1" s="251" t="n"/>
      <c r="OC1" s="251" t="n"/>
      <c r="OD1" s="251" t="n"/>
      <c r="OE1" s="251" t="n"/>
      <c r="OF1" s="251" t="n"/>
      <c r="OG1" s="251" t="n"/>
      <c r="OH1" s="251" t="n"/>
      <c r="OI1" s="251" t="n"/>
      <c r="OJ1" s="251" t="n"/>
      <c r="OK1" s="251" t="n"/>
      <c r="OL1" s="251" t="n"/>
      <c r="OM1" s="251" t="n"/>
      <c r="ON1" s="251" t="n"/>
      <c r="OO1" s="251" t="n"/>
      <c r="OP1" s="251" t="n"/>
      <c r="OQ1" s="251" t="n"/>
      <c r="OR1" s="251" t="n"/>
      <c r="OS1" s="251" t="n"/>
      <c r="OT1" s="251" t="n"/>
      <c r="OU1" s="251" t="n"/>
      <c r="OV1" s="251" t="n"/>
      <c r="OW1" s="251" t="n"/>
      <c r="OX1" s="251" t="n"/>
      <c r="OY1" s="251" t="n"/>
      <c r="OZ1" s="251" t="n"/>
      <c r="PA1" s="251" t="n"/>
      <c r="PB1" s="251" t="n"/>
      <c r="PC1" s="251" t="n"/>
      <c r="PD1" s="251" t="n"/>
      <c r="PE1" s="251" t="n"/>
      <c r="PF1" s="251" t="n"/>
      <c r="PG1" s="251" t="n"/>
      <c r="PH1" s="251" t="n"/>
      <c r="PI1" s="251" t="n"/>
      <c r="PJ1" s="251" t="n"/>
      <c r="PK1" s="251" t="n"/>
      <c r="PL1" s="251" t="n"/>
      <c r="PM1" s="251" t="n"/>
      <c r="PN1" s="251" t="n"/>
      <c r="PO1" s="251" t="n"/>
      <c r="PP1" s="251" t="n"/>
      <c r="PQ1" s="251" t="n"/>
      <c r="PR1" s="251" t="n"/>
      <c r="PS1" s="251" t="n"/>
      <c r="PT1" s="251" t="n"/>
      <c r="PU1" s="251" t="n"/>
      <c r="PV1" s="251" t="n"/>
      <c r="PW1" s="251" t="n"/>
      <c r="PX1" s="251" t="n"/>
      <c r="PY1" s="251" t="n"/>
      <c r="PZ1" s="251" t="n"/>
      <c r="QA1" s="251" t="n"/>
      <c r="QB1" s="251" t="n"/>
      <c r="QC1" s="251" t="n"/>
      <c r="QD1" s="251" t="n"/>
      <c r="QE1" s="251" t="n"/>
      <c r="QF1" s="251" t="n"/>
      <c r="QG1" s="251" t="n"/>
      <c r="QH1" s="251" t="n"/>
      <c r="QI1" s="251" t="n"/>
      <c r="QJ1" s="251" t="n"/>
      <c r="QK1" s="251" t="n"/>
      <c r="QL1" s="251" t="n"/>
      <c r="QM1" s="251" t="n"/>
      <c r="QN1" s="251" t="n"/>
      <c r="QO1" s="251" t="n"/>
      <c r="QP1" s="251" t="n"/>
      <c r="QQ1" s="251" t="n"/>
      <c r="QR1" s="251" t="n"/>
      <c r="QS1" s="251" t="n"/>
      <c r="QT1" s="251" t="n"/>
      <c r="QU1" s="251" t="n"/>
      <c r="QV1" s="251" t="n"/>
      <c r="QW1" s="251" t="n"/>
      <c r="QX1" s="251" t="n"/>
      <c r="QY1" s="251" t="n"/>
      <c r="QZ1" s="251" t="n"/>
      <c r="RA1" s="251" t="n"/>
      <c r="RB1" s="251" t="n"/>
      <c r="RC1" s="251" t="n"/>
      <c r="RD1" s="251" t="n"/>
      <c r="RE1" s="251" t="n"/>
      <c r="RF1" s="251" t="n"/>
      <c r="RG1" s="251" t="n"/>
      <c r="RH1" s="251" t="n"/>
      <c r="RI1" s="251" t="n"/>
      <c r="RJ1" s="251" t="n"/>
      <c r="RK1" s="251" t="n"/>
      <c r="RL1" s="251" t="n"/>
      <c r="RM1" s="251" t="n"/>
      <c r="RN1" s="251" t="n"/>
      <c r="RO1" s="251" t="n"/>
      <c r="RP1" s="251" t="n"/>
      <c r="RQ1" s="251" t="n"/>
      <c r="RR1" s="251" t="n"/>
      <c r="RS1" s="251" t="n"/>
      <c r="RT1" s="251" t="n"/>
      <c r="RU1" s="251" t="n"/>
      <c r="RV1" s="251" t="n"/>
      <c r="RW1" s="251" t="n"/>
      <c r="RX1" s="251" t="n"/>
      <c r="RY1" s="251" t="n"/>
      <c r="RZ1" s="251" t="n"/>
      <c r="SA1" s="251" t="n"/>
      <c r="SB1" s="251" t="n"/>
      <c r="SC1" s="251" t="n"/>
      <c r="SD1" s="251" t="n"/>
      <c r="SE1" s="251" t="n"/>
      <c r="SF1" s="251" t="n"/>
      <c r="SG1" s="251" t="n"/>
      <c r="SH1" s="251" t="n"/>
      <c r="SI1" s="251" t="n"/>
      <c r="SJ1" s="251" t="n"/>
      <c r="SK1" s="251" t="n"/>
      <c r="SL1" s="251" t="n"/>
      <c r="SM1" s="251" t="n"/>
      <c r="SN1" s="251" t="n"/>
      <c r="SO1" s="251" t="n"/>
      <c r="SP1" s="251" t="n"/>
      <c r="SQ1" s="251" t="n"/>
      <c r="SR1" s="251" t="n"/>
      <c r="SS1" s="251" t="n"/>
      <c r="ST1" s="251" t="n"/>
      <c r="SU1" s="251" t="n"/>
      <c r="SV1" s="251" t="n"/>
      <c r="SW1" s="251" t="n"/>
      <c r="SX1" s="251" t="n"/>
      <c r="SY1" s="251" t="n"/>
      <c r="SZ1" s="251" t="n"/>
      <c r="TA1" s="251" t="n"/>
      <c r="TB1" s="251" t="n"/>
      <c r="TC1" s="251" t="n"/>
      <c r="TD1" s="251" t="n"/>
      <c r="TE1" s="251" t="n"/>
      <c r="TF1" s="251" t="n"/>
      <c r="TG1" s="251" t="n"/>
      <c r="TH1" s="251" t="n"/>
      <c r="TI1" s="251" t="n"/>
      <c r="TJ1" s="251" t="n"/>
      <c r="TK1" s="251" t="n"/>
      <c r="TL1" s="251" t="n"/>
      <c r="TM1" s="251" t="n"/>
      <c r="TN1" s="251" t="n"/>
      <c r="TO1" s="251" t="n"/>
      <c r="TP1" s="251" t="n"/>
      <c r="TQ1" s="251" t="n"/>
      <c r="TR1" s="251" t="n"/>
      <c r="TS1" s="251" t="n"/>
      <c r="TT1" s="251" t="n"/>
      <c r="TU1" s="251" t="n"/>
      <c r="TV1" s="251" t="n"/>
      <c r="TW1" s="251" t="n"/>
      <c r="TX1" s="251" t="n"/>
      <c r="TY1" s="251" t="n"/>
      <c r="TZ1" s="251" t="n"/>
      <c r="UA1" s="251" t="n"/>
      <c r="UB1" s="251" t="n"/>
      <c r="UC1" s="251" t="n"/>
      <c r="UD1" s="251" t="n"/>
      <c r="UE1" s="251" t="n"/>
      <c r="UF1" s="251" t="n"/>
      <c r="UG1" s="251" t="n"/>
      <c r="UH1" s="251" t="n"/>
      <c r="UI1" s="251" t="n"/>
      <c r="UJ1" s="251" t="n"/>
      <c r="UK1" s="251" t="n"/>
      <c r="UL1" s="251" t="n"/>
      <c r="UM1" s="251" t="n"/>
      <c r="UN1" s="251" t="n"/>
      <c r="UO1" s="251" t="n"/>
      <c r="UP1" s="251" t="n"/>
      <c r="UQ1" s="251" t="n"/>
      <c r="UR1" s="251" t="n"/>
      <c r="US1" s="251" t="n"/>
      <c r="UT1" s="251" t="n"/>
      <c r="UU1" s="251" t="n"/>
      <c r="UV1" s="251" t="n"/>
      <c r="UW1" s="251" t="n"/>
      <c r="UX1" s="251" t="n"/>
      <c r="UY1" s="251" t="n"/>
      <c r="UZ1" s="251" t="n"/>
      <c r="VA1" s="251" t="n"/>
      <c r="VB1" s="251" t="n"/>
      <c r="VC1" s="251" t="n"/>
      <c r="VD1" s="251" t="n"/>
      <c r="VE1" s="251" t="n"/>
      <c r="VF1" s="251" t="n"/>
      <c r="VG1" s="251" t="n"/>
      <c r="VH1" s="251" t="n"/>
      <c r="VI1" s="251" t="n"/>
      <c r="VJ1" s="251" t="n"/>
      <c r="VK1" s="251" t="n"/>
      <c r="VL1" s="251" t="n"/>
      <c r="VM1" s="251" t="n"/>
      <c r="VN1" s="251" t="n"/>
      <c r="VO1" s="251" t="n"/>
      <c r="VP1" s="251" t="n"/>
      <c r="VQ1" s="251" t="n"/>
      <c r="VR1" s="251" t="n"/>
      <c r="VS1" s="251" t="n"/>
      <c r="VT1" s="251" t="n"/>
      <c r="VU1" s="251" t="n"/>
      <c r="VV1" s="251" t="n"/>
      <c r="VW1" s="251" t="n"/>
      <c r="VX1" s="251" t="n"/>
      <c r="VY1" s="251" t="n"/>
      <c r="VZ1" s="251" t="n"/>
      <c r="WA1" s="251" t="n"/>
      <c r="WB1" s="251" t="n"/>
      <c r="WC1" s="251" t="n"/>
      <c r="WD1" s="251" t="n"/>
      <c r="WE1" s="251" t="n"/>
      <c r="WF1" s="251" t="n"/>
      <c r="WG1" s="251" t="n"/>
      <c r="WH1" s="251" t="n"/>
      <c r="WI1" s="251" t="n"/>
      <c r="WJ1" s="251" t="n"/>
      <c r="WK1" s="251" t="n"/>
      <c r="WL1" s="251" t="n"/>
      <c r="WM1" s="251" t="n"/>
      <c r="WN1" s="251" t="n"/>
      <c r="WO1" s="251" t="n"/>
      <c r="WP1" s="251" t="n"/>
      <c r="WQ1" s="251" t="n"/>
      <c r="WR1" s="251" t="n"/>
      <c r="WS1" s="251" t="n"/>
      <c r="WT1" s="251" t="n"/>
      <c r="WU1" s="251" t="n"/>
      <c r="WV1" s="251" t="n"/>
      <c r="WW1" s="251" t="n"/>
      <c r="WX1" s="251" t="n"/>
      <c r="WY1" s="251" t="n"/>
      <c r="WZ1" s="251" t="n"/>
      <c r="XA1" s="251" t="n"/>
      <c r="XB1" s="251" t="n"/>
      <c r="XC1" s="251" t="n"/>
      <c r="XD1" s="251" t="n"/>
      <c r="XE1" s="251" t="n"/>
      <c r="XF1" s="251" t="n"/>
      <c r="XG1" s="251" t="n"/>
      <c r="XH1" s="251" t="n"/>
      <c r="XI1" s="251" t="n"/>
      <c r="XJ1" s="251" t="n"/>
      <c r="XK1" s="251" t="n"/>
      <c r="XL1" s="251" t="n"/>
      <c r="XM1" s="251" t="n"/>
      <c r="XN1" s="251" t="n"/>
      <c r="XO1" s="251" t="n"/>
      <c r="XP1" s="251" t="n"/>
      <c r="XQ1" s="251" t="n"/>
      <c r="XR1" s="251" t="n"/>
      <c r="XS1" s="251" t="n"/>
      <c r="XT1" s="251" t="n"/>
      <c r="XU1" s="251" t="n"/>
      <c r="XV1" s="251" t="n"/>
      <c r="XW1" s="251" t="n"/>
      <c r="XX1" s="251" t="n"/>
      <c r="XY1" s="251" t="n"/>
      <c r="XZ1" s="251" t="n"/>
      <c r="YA1" s="251" t="n"/>
      <c r="YB1" s="251" t="n"/>
      <c r="YC1" s="251" t="n"/>
      <c r="YD1" s="251" t="n"/>
      <c r="YE1" s="251" t="n"/>
      <c r="YF1" s="251" t="n"/>
      <c r="YG1" s="251" t="n"/>
      <c r="YH1" s="251" t="n"/>
      <c r="YI1" s="251" t="n"/>
      <c r="YJ1" s="251" t="n"/>
      <c r="YK1" s="251" t="n"/>
      <c r="YL1" s="251" t="n"/>
      <c r="YM1" s="251" t="n"/>
      <c r="YN1" s="251" t="n"/>
      <c r="YO1" s="251" t="n"/>
      <c r="YP1" s="251" t="n"/>
      <c r="YQ1" s="251" t="n"/>
      <c r="YR1" s="251" t="n"/>
      <c r="YS1" s="251" t="n"/>
      <c r="YT1" s="251" t="n"/>
      <c r="YU1" s="251" t="n"/>
      <c r="YV1" s="251" t="n"/>
      <c r="YW1" s="251" t="n"/>
      <c r="YX1" s="251" t="n"/>
      <c r="YY1" s="251" t="n"/>
      <c r="YZ1" s="251" t="n"/>
      <c r="ZA1" s="251" t="n"/>
      <c r="ZB1" s="251" t="n"/>
      <c r="ZC1" s="251" t="n"/>
      <c r="ZD1" s="251" t="n"/>
      <c r="ZE1" s="251" t="n"/>
      <c r="ZF1" s="251" t="n"/>
      <c r="ZG1" s="251" t="n"/>
      <c r="ZH1" s="251" t="n"/>
      <c r="ZI1" s="251" t="n"/>
      <c r="ZJ1" s="251" t="n"/>
      <c r="ZK1" s="251" t="n"/>
      <c r="ZL1" s="251" t="n"/>
      <c r="ZM1" s="251" t="n"/>
      <c r="ZN1" s="251" t="n"/>
      <c r="ZO1" s="251" t="n"/>
      <c r="ZP1" s="251" t="n"/>
      <c r="ZQ1" s="251" t="n"/>
      <c r="ZR1" s="251" t="n"/>
      <c r="ZS1" s="251" t="n"/>
      <c r="ZT1" s="251" t="n"/>
      <c r="ZU1" s="251" t="n"/>
      <c r="ZV1" s="251" t="n"/>
      <c r="ZW1" s="251" t="n"/>
      <c r="ZX1" s="251" t="n"/>
      <c r="ZY1" s="251" t="n"/>
      <c r="ZZ1" s="251" t="n"/>
      <c r="AAA1" s="251" t="n"/>
      <c r="AAB1" s="251" t="n"/>
      <c r="AAC1" s="251" t="n"/>
      <c r="AAD1" s="251" t="n"/>
      <c r="AAE1" s="251" t="n"/>
      <c r="AAF1" s="251" t="n"/>
      <c r="AAG1" s="251" t="n"/>
      <c r="AAH1" s="251" t="n"/>
      <c r="AAI1" s="251" t="n"/>
      <c r="AAJ1" s="251" t="n"/>
      <c r="AAK1" s="251" t="n"/>
      <c r="AAL1" s="251" t="n"/>
      <c r="AAM1" s="251" t="n"/>
      <c r="AAN1" s="251" t="n"/>
      <c r="AAO1" s="251" t="n"/>
      <c r="AAP1" s="251" t="n"/>
      <c r="AAQ1" s="251" t="n"/>
      <c r="AAR1" s="251" t="n"/>
      <c r="AAS1" s="251" t="n"/>
      <c r="AAT1" s="251" t="n"/>
      <c r="AAU1" s="251" t="n"/>
      <c r="AAV1" s="251" t="n"/>
      <c r="AAW1" s="251" t="n"/>
      <c r="AAX1" s="251" t="n"/>
      <c r="AAY1" s="251" t="n"/>
      <c r="AAZ1" s="251" t="n"/>
      <c r="ABA1" s="251" t="n"/>
      <c r="ABB1" s="251" t="n"/>
      <c r="ABC1" s="251" t="n"/>
      <c r="ABD1" s="251" t="n"/>
      <c r="ABE1" s="251" t="n"/>
      <c r="ABF1" s="251" t="n"/>
      <c r="ABG1" s="251" t="n"/>
      <c r="ABH1" s="251" t="n"/>
      <c r="ABI1" s="251" t="n"/>
      <c r="ABJ1" s="251" t="n"/>
      <c r="ABK1" s="251" t="n"/>
      <c r="ABL1" s="251" t="n"/>
      <c r="ABM1" s="251" t="n"/>
      <c r="ABN1" s="251" t="n"/>
      <c r="ABO1" s="251" t="n"/>
      <c r="ABP1" s="251" t="n"/>
      <c r="ABQ1" s="251" t="n"/>
      <c r="ABR1" s="251" t="n"/>
      <c r="ABS1" s="251" t="n"/>
      <c r="ABT1" s="251" t="n"/>
      <c r="ABU1" s="251" t="n"/>
      <c r="ABV1" s="251" t="n"/>
      <c r="ABW1" s="251" t="n"/>
      <c r="ABX1" s="251" t="n"/>
      <c r="ABY1" s="251" t="n"/>
      <c r="ABZ1" s="251" t="n"/>
      <c r="ACA1" s="251" t="n"/>
      <c r="ACB1" s="251" t="n"/>
      <c r="ACC1" s="251" t="n"/>
      <c r="ACD1" s="251" t="n"/>
      <c r="ACE1" s="251" t="n"/>
      <c r="ACF1" s="251" t="n"/>
      <c r="ACG1" s="251" t="n"/>
      <c r="ACH1" s="251" t="n"/>
      <c r="ACI1" s="251" t="n"/>
      <c r="ACJ1" s="251" t="n"/>
      <c r="ACK1" s="251" t="n"/>
      <c r="ACL1" s="251" t="n"/>
      <c r="ACM1" s="251" t="n"/>
      <c r="ACN1" s="251" t="n"/>
      <c r="ACO1" s="251" t="n"/>
      <c r="ACP1" s="251" t="n"/>
      <c r="ACQ1" s="251" t="n"/>
      <c r="ACR1" s="251" t="n"/>
      <c r="ACS1" s="251" t="n"/>
      <c r="ACT1" s="251" t="n"/>
      <c r="ACU1" s="251" t="n"/>
      <c r="ACV1" s="251" t="n"/>
      <c r="ACW1" s="251" t="n"/>
      <c r="ACX1" s="251" t="n"/>
      <c r="ACY1" s="251" t="n"/>
      <c r="ACZ1" s="251" t="n"/>
      <c r="ADA1" s="251" t="n"/>
      <c r="ADB1" s="251" t="n"/>
      <c r="ADC1" s="251" t="n"/>
      <c r="ADD1" s="251" t="n"/>
      <c r="ADE1" s="251" t="n"/>
      <c r="ADF1" s="251" t="n"/>
      <c r="ADG1" s="251" t="n"/>
      <c r="ADH1" s="251" t="n"/>
      <c r="ADI1" s="251" t="n"/>
      <c r="ADJ1" s="251" t="n"/>
      <c r="ADK1" s="251" t="n"/>
      <c r="ADL1" s="251" t="n"/>
      <c r="ADM1" s="251" t="n"/>
      <c r="ADN1" s="251" t="n"/>
      <c r="ADO1" s="251" t="n"/>
      <c r="ADP1" s="251" t="n"/>
      <c r="ADQ1" s="251" t="n"/>
      <c r="ADR1" s="251" t="n"/>
      <c r="ADS1" s="251" t="n"/>
      <c r="ADT1" s="251" t="n"/>
      <c r="ADU1" s="251" t="n"/>
      <c r="ADV1" s="251" t="n"/>
      <c r="ADW1" s="251" t="n"/>
      <c r="ADX1" s="251" t="n"/>
      <c r="ADY1" s="251" t="n"/>
      <c r="ADZ1" s="251" t="n"/>
      <c r="AEA1" s="251" t="n"/>
      <c r="AEB1" s="251" t="n"/>
      <c r="AEC1" s="251" t="n"/>
      <c r="AED1" s="251" t="n"/>
      <c r="AEE1" s="251" t="n"/>
      <c r="AEF1" s="251" t="n"/>
      <c r="AEG1" s="251" t="n"/>
      <c r="AEH1" s="251" t="n"/>
      <c r="AEI1" s="251" t="n"/>
      <c r="AEJ1" s="251" t="n"/>
      <c r="AEK1" s="251" t="n"/>
      <c r="AEL1" s="251" t="n"/>
      <c r="AEM1" s="251" t="n"/>
      <c r="AEN1" s="251" t="n"/>
      <c r="AEO1" s="251" t="n"/>
      <c r="AEP1" s="251" t="n"/>
      <c r="AEQ1" s="251" t="n"/>
      <c r="AER1" s="251" t="n"/>
      <c r="AES1" s="251" t="n"/>
      <c r="AET1" s="251" t="n"/>
      <c r="AEU1" s="251" t="n"/>
      <c r="AEV1" s="251" t="n"/>
      <c r="AEW1" s="251" t="n"/>
      <c r="AEX1" s="251" t="n"/>
      <c r="AEY1" s="251" t="n"/>
      <c r="AEZ1" s="251" t="n"/>
      <c r="AFA1" s="251" t="n"/>
      <c r="AFB1" s="251" t="n"/>
      <c r="AFC1" s="251" t="n"/>
      <c r="AFD1" s="251" t="n"/>
      <c r="AFE1" s="251" t="n"/>
      <c r="AFF1" s="251" t="n"/>
      <c r="AFG1" s="251" t="n"/>
      <c r="AFH1" s="251" t="n"/>
      <c r="AFI1" s="251" t="n"/>
      <c r="AFJ1" s="251" t="n"/>
      <c r="AFK1" s="251" t="n"/>
      <c r="AFL1" s="251" t="n"/>
      <c r="AFM1" s="251" t="n"/>
      <c r="AFN1" s="251" t="n"/>
      <c r="AFO1" s="251" t="n"/>
      <c r="AFP1" s="251" t="n"/>
      <c r="AFQ1" s="251" t="n"/>
      <c r="AFR1" s="251" t="n"/>
      <c r="AFS1" s="251" t="n"/>
      <c r="AFT1" s="251" t="n"/>
      <c r="AFU1" s="251" t="n"/>
      <c r="AFV1" s="251" t="n"/>
      <c r="AFW1" s="251" t="n"/>
      <c r="AFX1" s="251" t="n"/>
      <c r="AFY1" s="251" t="n"/>
      <c r="AFZ1" s="251" t="n"/>
      <c r="AGA1" s="251" t="n"/>
      <c r="AGB1" s="251" t="n"/>
      <c r="AGC1" s="251" t="n"/>
      <c r="AGD1" s="251" t="n"/>
      <c r="AGE1" s="251" t="n"/>
      <c r="AGF1" s="251" t="n"/>
      <c r="AGG1" s="251" t="n"/>
      <c r="AGH1" s="251" t="n"/>
      <c r="AGI1" s="251" t="n"/>
      <c r="AGJ1" s="251" t="n"/>
      <c r="AGK1" s="251" t="n"/>
      <c r="AGL1" s="251" t="n"/>
      <c r="AGM1" s="251" t="n"/>
      <c r="AGN1" s="251" t="n"/>
      <c r="AGO1" s="251" t="n"/>
      <c r="AGP1" s="251" t="n"/>
      <c r="AGQ1" s="251" t="n"/>
      <c r="AGR1" s="251" t="n"/>
      <c r="AGS1" s="251" t="n"/>
      <c r="AGT1" s="251" t="n"/>
      <c r="AGU1" s="251" t="n"/>
      <c r="AGV1" s="251" t="n"/>
      <c r="AGW1" s="251" t="n"/>
      <c r="AGX1" s="251" t="n"/>
      <c r="AGY1" s="251" t="n"/>
      <c r="AGZ1" s="251" t="n"/>
      <c r="AHA1" s="251" t="n"/>
      <c r="AHB1" s="251" t="n"/>
      <c r="AHC1" s="251" t="n"/>
      <c r="AHD1" s="251" t="n"/>
      <c r="AHE1" s="251" t="n"/>
      <c r="AHF1" s="251" t="n"/>
      <c r="AHG1" s="251" t="n"/>
      <c r="AHH1" s="251" t="n"/>
      <c r="AHI1" s="251" t="n"/>
      <c r="AHJ1" s="251" t="n"/>
      <c r="AHK1" s="251" t="n"/>
      <c r="AHL1" s="251" t="n"/>
      <c r="AHM1" s="251" t="n"/>
      <c r="AHN1" s="251" t="n"/>
      <c r="AHO1" s="251" t="n"/>
      <c r="AHP1" s="251" t="n"/>
      <c r="AHQ1" s="251" t="n"/>
      <c r="AHR1" s="251" t="n"/>
      <c r="AHS1" s="251" t="n"/>
      <c r="AHT1" s="251" t="n"/>
      <c r="AHU1" s="251" t="n"/>
      <c r="AHV1" s="251" t="n"/>
      <c r="AHW1" s="251" t="n"/>
      <c r="AHX1" s="251" t="n"/>
      <c r="AHY1" s="251" t="n"/>
      <c r="AHZ1" s="251" t="n"/>
      <c r="AIA1" s="251" t="n"/>
      <c r="AIB1" s="251" t="n"/>
      <c r="AIC1" s="251" t="n"/>
      <c r="AID1" s="251" t="n"/>
      <c r="AIE1" s="251" t="n"/>
      <c r="AIF1" s="251" t="n"/>
      <c r="AIG1" s="251" t="n"/>
      <c r="AIH1" s="251" t="n"/>
      <c r="AII1" s="251" t="n"/>
      <c r="AIJ1" s="251" t="n"/>
      <c r="AIK1" s="251" t="n"/>
      <c r="AIL1" s="251" t="n"/>
      <c r="AIM1" s="251" t="n"/>
      <c r="AIN1" s="251" t="n"/>
      <c r="AIO1" s="251" t="n"/>
      <c r="AIP1" s="251" t="n"/>
      <c r="AIQ1" s="251" t="n"/>
      <c r="AIR1" s="251" t="n"/>
      <c r="AIS1" s="251" t="n"/>
      <c r="AIT1" s="251" t="n"/>
      <c r="AIU1" s="251" t="n"/>
      <c r="AIV1" s="251" t="n"/>
      <c r="AIW1" s="251" t="n"/>
      <c r="AIX1" s="251" t="n"/>
      <c r="AIY1" s="251" t="n"/>
      <c r="AIZ1" s="251" t="n"/>
      <c r="AJA1" s="251" t="n"/>
      <c r="AJB1" s="251" t="n"/>
      <c r="AJC1" s="251" t="n"/>
      <c r="AJD1" s="251" t="n"/>
      <c r="AJE1" s="251" t="n"/>
      <c r="AJF1" s="251" t="n"/>
      <c r="AJG1" s="251" t="n"/>
      <c r="AJH1" s="251" t="n"/>
      <c r="AJI1" s="251" t="n"/>
      <c r="AJJ1" s="251" t="n"/>
      <c r="AJK1" s="251" t="n"/>
      <c r="AJL1" s="251" t="n"/>
      <c r="AJM1" s="251" t="n"/>
      <c r="AJN1" s="251" t="n"/>
      <c r="AJO1" s="251" t="n"/>
      <c r="AJP1" s="251" t="n"/>
      <c r="AJQ1" s="251" t="n"/>
      <c r="AJR1" s="251" t="n"/>
      <c r="AJS1" s="251" t="n"/>
      <c r="AJT1" s="251" t="n"/>
      <c r="AJU1" s="251" t="n"/>
      <c r="AJV1" s="251" t="n"/>
      <c r="AJW1" s="251" t="n"/>
      <c r="AJX1" s="251" t="n"/>
      <c r="AJY1" s="251" t="n"/>
      <c r="AJZ1" s="251" t="n"/>
      <c r="AKA1" s="251" t="n"/>
      <c r="AKB1" s="251" t="n"/>
      <c r="AKC1" s="251" t="n"/>
      <c r="AKD1" s="251" t="n"/>
      <c r="AKE1" s="251" t="n"/>
      <c r="AKF1" s="251" t="n"/>
      <c r="AKG1" s="251" t="n"/>
      <c r="AKH1" s="251" t="n"/>
      <c r="AKI1" s="251" t="n"/>
      <c r="AKJ1" s="251" t="n"/>
      <c r="AKK1" s="251" t="n"/>
      <c r="AKL1" s="251" t="n"/>
      <c r="AKM1" s="251" t="n"/>
      <c r="AKN1" s="251" t="n"/>
      <c r="AKO1" s="251" t="n"/>
      <c r="AKP1" s="251" t="n"/>
      <c r="AKQ1" s="251" t="n"/>
      <c r="AKR1" s="251" t="n"/>
      <c r="AKS1" s="251" t="n"/>
      <c r="AKT1" s="251" t="n"/>
      <c r="AKU1" s="251" t="n"/>
      <c r="AKV1" s="251" t="n"/>
      <c r="AKW1" s="251" t="n"/>
      <c r="AKX1" s="251" t="n"/>
      <c r="AKY1" s="251" t="n"/>
      <c r="AKZ1" s="251" t="n"/>
      <c r="ALA1" s="251" t="n"/>
      <c r="ALB1" s="251" t="n"/>
      <c r="ALC1" s="251" t="n"/>
      <c r="ALD1" s="251" t="n"/>
      <c r="ALE1" s="251" t="n"/>
      <c r="ALF1" s="251" t="n"/>
      <c r="ALG1" s="251" t="n"/>
      <c r="ALH1" s="251" t="n"/>
      <c r="ALI1" s="251" t="n"/>
      <c r="ALJ1" s="251" t="n"/>
      <c r="ALK1" s="251" t="n"/>
      <c r="ALL1" s="251" t="n"/>
      <c r="ALM1" s="251" t="n"/>
      <c r="ALN1" s="251" t="n"/>
      <c r="ALO1" s="251" t="n"/>
      <c r="ALP1" s="251" t="n"/>
      <c r="ALQ1" s="251" t="n"/>
      <c r="ALR1" s="251" t="n"/>
      <c r="ALS1" s="251" t="n"/>
      <c r="ALT1" s="251" t="n"/>
      <c r="ALU1" s="251" t="n"/>
      <c r="ALV1" s="251" t="n"/>
      <c r="ALW1" s="251" t="n"/>
      <c r="ALX1" s="251" t="n"/>
      <c r="ALY1" s="251" t="n"/>
      <c r="ALZ1" s="251" t="n"/>
      <c r="AMA1" s="251" t="n"/>
      <c r="AMB1" s="251" t="n"/>
      <c r="AMC1" s="251" t="n"/>
      <c r="AMD1" s="251" t="n"/>
      <c r="AME1" s="251" t="n"/>
      <c r="AMF1" s="251" t="n"/>
      <c r="AMG1" s="251" t="n"/>
      <c r="AMH1" s="251" t="n"/>
      <c r="AMI1" s="251" t="n"/>
      <c r="AMJ1" s="251" t="n"/>
      <c r="AMK1" s="251" t="n"/>
      <c r="AML1" s="251" t="n"/>
      <c r="AMM1" s="251" t="n"/>
      <c r="AMN1" s="251" t="n"/>
      <c r="AMO1" s="251" t="n"/>
      <c r="AMP1" s="251" t="n"/>
      <c r="AMQ1" s="251" t="n"/>
      <c r="AMR1" s="251" t="n"/>
      <c r="AMS1" s="251" t="n"/>
      <c r="AMT1" s="251" t="n"/>
      <c r="AMU1" s="251" t="n"/>
      <c r="AMV1" s="251" t="n"/>
      <c r="AMW1" s="251" t="n"/>
      <c r="AMX1" s="251" t="n"/>
      <c r="AMY1" s="251" t="n"/>
      <c r="AMZ1" s="251" t="n"/>
      <c r="ANA1" s="251" t="n"/>
      <c r="ANB1" s="251" t="n"/>
      <c r="ANC1" s="251" t="n"/>
      <c r="AND1" s="251" t="n"/>
      <c r="ANE1" s="251" t="n"/>
      <c r="ANF1" s="251" t="n"/>
      <c r="ANG1" s="251" t="n"/>
      <c r="ANH1" s="251" t="n"/>
      <c r="ANI1" s="251" t="n"/>
      <c r="ANJ1" s="251" t="n"/>
      <c r="ANK1" s="251" t="n"/>
      <c r="ANL1" s="251" t="n"/>
      <c r="ANM1" s="251" t="n"/>
      <c r="ANN1" s="251" t="n"/>
      <c r="ANO1" s="251" t="n"/>
      <c r="ANP1" s="251" t="n"/>
      <c r="ANQ1" s="251" t="n"/>
      <c r="ANR1" s="251" t="n"/>
      <c r="ANS1" s="251" t="n"/>
      <c r="ANT1" s="251" t="n"/>
      <c r="ANU1" s="251" t="n"/>
      <c r="ANV1" s="251" t="n"/>
      <c r="ANW1" s="251" t="n"/>
      <c r="ANX1" s="251" t="n"/>
      <c r="ANY1" s="251" t="n"/>
      <c r="ANZ1" s="251" t="n"/>
      <c r="AOA1" s="251" t="n"/>
      <c r="AOB1" s="251" t="n"/>
      <c r="AOC1" s="251" t="n"/>
      <c r="AOD1" s="251" t="n"/>
      <c r="AOE1" s="251" t="n"/>
      <c r="AOF1" s="251" t="n"/>
      <c r="AOG1" s="251" t="n"/>
      <c r="AOH1" s="251" t="n"/>
      <c r="AOI1" s="251" t="n"/>
      <c r="AOJ1" s="251" t="n"/>
      <c r="AOK1" s="251" t="n"/>
      <c r="AOL1" s="251" t="n"/>
      <c r="AOM1" s="251" t="n"/>
      <c r="AON1" s="251" t="n"/>
      <c r="AOO1" s="251" t="n"/>
      <c r="AOP1" s="251" t="n"/>
      <c r="AOQ1" s="251" t="n"/>
      <c r="AOR1" s="251" t="n"/>
      <c r="AOS1" s="251" t="n"/>
      <c r="AOT1" s="251" t="n"/>
      <c r="AOU1" s="251" t="n"/>
      <c r="AOV1" s="251" t="n"/>
      <c r="AOW1" s="251" t="n"/>
      <c r="AOX1" s="251" t="n"/>
      <c r="AOY1" s="251" t="n"/>
      <c r="AOZ1" s="251" t="n"/>
      <c r="APA1" s="251" t="n"/>
      <c r="APB1" s="251" t="n"/>
      <c r="APC1" s="251" t="n"/>
      <c r="APD1" s="251" t="n"/>
      <c r="APE1" s="251" t="n"/>
      <c r="APF1" s="251" t="n"/>
      <c r="APG1" s="251" t="n"/>
      <c r="APH1" s="251" t="n"/>
      <c r="API1" s="251" t="n"/>
      <c r="APJ1" s="251" t="n"/>
      <c r="APK1" s="251" t="n"/>
      <c r="APL1" s="251" t="n"/>
      <c r="APM1" s="251" t="n"/>
      <c r="APN1" s="251" t="n"/>
      <c r="APO1" s="251" t="n"/>
      <c r="APP1" s="251" t="n"/>
      <c r="APQ1" s="251" t="n"/>
      <c r="APR1" s="251" t="n"/>
      <c r="APS1" s="251" t="n"/>
      <c r="APT1" s="251" t="n"/>
      <c r="APU1" s="251" t="n"/>
      <c r="APV1" s="251" t="n"/>
      <c r="APW1" s="251" t="n"/>
      <c r="APX1" s="251" t="n"/>
      <c r="APY1" s="251" t="n"/>
      <c r="APZ1" s="251" t="n"/>
      <c r="AQA1" s="251" t="n"/>
      <c r="AQB1" s="251" t="n"/>
      <c r="AQC1" s="251" t="n"/>
      <c r="AQD1" s="251" t="n"/>
      <c r="AQE1" s="251" t="n"/>
      <c r="AQF1" s="251" t="n"/>
      <c r="AQG1" s="251" t="n"/>
      <c r="AQH1" s="251" t="n"/>
      <c r="AQI1" s="251" t="n"/>
      <c r="AQJ1" s="251" t="n"/>
      <c r="AQK1" s="251" t="n"/>
      <c r="AQL1" s="251" t="n"/>
      <c r="AQM1" s="251" t="n"/>
      <c r="AQN1" s="251" t="n"/>
      <c r="AQO1" s="251" t="n"/>
      <c r="AQP1" s="251" t="n"/>
      <c r="AQQ1" s="251" t="n"/>
      <c r="AQR1" s="251" t="n"/>
      <c r="AQS1" s="251" t="n"/>
      <c r="AQT1" s="251" t="n"/>
      <c r="AQU1" s="251" t="n"/>
      <c r="AQV1" s="251" t="n"/>
      <c r="AQW1" s="251" t="n"/>
      <c r="AQX1" s="251" t="n"/>
      <c r="AQY1" s="251" t="n"/>
      <c r="AQZ1" s="251" t="n"/>
      <c r="ARA1" s="251" t="n"/>
      <c r="ARB1" s="251" t="n"/>
      <c r="ARC1" s="251" t="n"/>
      <c r="ARD1" s="251" t="n"/>
      <c r="ARE1" s="251" t="n"/>
      <c r="ARF1" s="251" t="n"/>
      <c r="ARG1" s="251" t="n"/>
      <c r="ARH1" s="251" t="n"/>
      <c r="ARI1" s="251" t="n"/>
      <c r="ARJ1" s="251" t="n"/>
      <c r="ARK1" s="251" t="n"/>
      <c r="ARL1" s="251" t="n"/>
      <c r="ARM1" s="251" t="n"/>
      <c r="ARN1" s="251" t="n"/>
      <c r="ARO1" s="251" t="n"/>
      <c r="ARP1" s="251" t="n"/>
      <c r="ARQ1" s="251" t="n"/>
      <c r="ARR1" s="251" t="n"/>
      <c r="ARS1" s="251" t="n"/>
      <c r="ART1" s="251" t="n"/>
      <c r="ARU1" s="251" t="n"/>
      <c r="ARV1" s="251" t="n"/>
      <c r="ARW1" s="251" t="n"/>
      <c r="ARX1" s="251" t="n"/>
      <c r="ARY1" s="251" t="n"/>
      <c r="ARZ1" s="251" t="n"/>
      <c r="ASA1" s="251" t="n"/>
      <c r="ASB1" s="251" t="n"/>
      <c r="ASC1" s="251" t="n"/>
      <c r="ASD1" s="251" t="n"/>
      <c r="ASE1" s="251" t="n"/>
      <c r="ASF1" s="251" t="n"/>
      <c r="ASG1" s="251" t="n"/>
      <c r="ASH1" s="251" t="n"/>
      <c r="ASI1" s="251" t="n"/>
      <c r="ASJ1" s="251" t="n"/>
      <c r="ASK1" s="251" t="n"/>
      <c r="ASL1" s="251" t="n"/>
      <c r="ASM1" s="251" t="n"/>
      <c r="ASN1" s="251" t="n"/>
      <c r="ASO1" s="251" t="n"/>
      <c r="ASP1" s="251" t="n"/>
      <c r="ASQ1" s="251" t="n"/>
      <c r="ASR1" s="251" t="n"/>
      <c r="ASS1" s="251" t="n"/>
      <c r="AST1" s="251" t="n"/>
      <c r="ASU1" s="251" t="n"/>
      <c r="ASV1" s="251" t="n"/>
      <c r="ASW1" s="251" t="n"/>
      <c r="ASX1" s="251" t="n"/>
      <c r="ASY1" s="251" t="n"/>
      <c r="ASZ1" s="251" t="n"/>
      <c r="ATA1" s="251" t="n"/>
      <c r="ATB1" s="251" t="n"/>
      <c r="ATC1" s="251" t="n"/>
      <c r="ATD1" s="251" t="n"/>
      <c r="ATE1" s="251" t="n"/>
      <c r="ATF1" s="251" t="n"/>
      <c r="ATG1" s="251" t="n"/>
      <c r="ATH1" s="251" t="n"/>
      <c r="ATI1" s="251" t="n"/>
      <c r="ATJ1" s="251" t="n"/>
      <c r="ATK1" s="251" t="n"/>
      <c r="ATL1" s="251" t="n"/>
      <c r="ATM1" s="251" t="n"/>
      <c r="ATN1" s="251" t="n"/>
      <c r="ATO1" s="251" t="n"/>
      <c r="ATP1" s="251" t="n"/>
      <c r="ATQ1" s="251" t="n"/>
      <c r="ATR1" s="251" t="n"/>
      <c r="ATS1" s="251" t="n"/>
      <c r="ATT1" s="251" t="n"/>
      <c r="ATU1" s="251" t="n"/>
      <c r="ATV1" s="251" t="n"/>
      <c r="ATW1" s="251" t="n"/>
      <c r="ATX1" s="251" t="n"/>
      <c r="ATY1" s="251" t="n"/>
      <c r="ATZ1" s="251" t="n"/>
      <c r="AUA1" s="251" t="n"/>
      <c r="AUB1" s="251" t="n"/>
      <c r="AUC1" s="251" t="n"/>
      <c r="AUD1" s="251" t="n"/>
      <c r="AUE1" s="251" t="n"/>
      <c r="AUF1" s="251" t="n"/>
      <c r="AUG1" s="251" t="n"/>
      <c r="AUH1" s="251" t="n"/>
      <c r="AUI1" s="251" t="n"/>
      <c r="AUJ1" s="251" t="n"/>
      <c r="AUK1" s="251" t="n"/>
      <c r="AUL1" s="251" t="n"/>
      <c r="AUM1" s="251" t="n"/>
      <c r="AUN1" s="251" t="n"/>
      <c r="AUO1" s="251" t="n"/>
      <c r="AUP1" s="251" t="n"/>
      <c r="AUQ1" s="251" t="n"/>
      <c r="AUR1" s="251" t="n"/>
      <c r="AUS1" s="251" t="n"/>
      <c r="AUT1" s="251" t="n"/>
      <c r="AUU1" s="251" t="n"/>
      <c r="AUV1" s="251" t="n"/>
      <c r="AUW1" s="251" t="n"/>
      <c r="AUX1" s="251" t="n"/>
      <c r="AUY1" s="251" t="n"/>
      <c r="AUZ1" s="251" t="n"/>
      <c r="AVA1" s="251" t="n"/>
      <c r="AVB1" s="251" t="n"/>
      <c r="AVC1" s="251" t="n"/>
      <c r="AVD1" s="251" t="n"/>
      <c r="AVE1" s="251" t="n"/>
      <c r="AVF1" s="251" t="n"/>
      <c r="AVG1" s="251" t="n"/>
      <c r="AVH1" s="251" t="n"/>
      <c r="AVI1" s="251" t="n"/>
      <c r="AVJ1" s="251" t="n"/>
      <c r="AVK1" s="251" t="n"/>
      <c r="AVL1" s="251" t="n"/>
      <c r="AVM1" s="251" t="n"/>
      <c r="AVN1" s="251" t="n"/>
      <c r="AVO1" s="251" t="n"/>
      <c r="AVP1" s="251" t="n"/>
      <c r="AVQ1" s="251" t="n"/>
      <c r="AVR1" s="251" t="n"/>
      <c r="AVS1" s="251" t="n"/>
      <c r="AVT1" s="251" t="n"/>
      <c r="AVU1" s="251" t="n"/>
      <c r="AVV1" s="251" t="n"/>
      <c r="AVW1" s="251" t="n"/>
      <c r="AVX1" s="251" t="n"/>
      <c r="AVY1" s="251" t="n"/>
      <c r="AVZ1" s="251" t="n"/>
      <c r="AWA1" s="251" t="n"/>
      <c r="AWB1" s="251" t="n"/>
      <c r="AWC1" s="251" t="n"/>
      <c r="AWD1" s="251" t="n"/>
      <c r="AWE1" s="251" t="n"/>
      <c r="AWF1" s="251" t="n"/>
      <c r="AWG1" s="251" t="n"/>
      <c r="AWH1" s="251" t="n"/>
      <c r="AWI1" s="251" t="n"/>
      <c r="AWJ1" s="251" t="n"/>
      <c r="AWK1" s="251" t="n"/>
      <c r="AWL1" s="251" t="n"/>
      <c r="AWM1" s="251" t="n"/>
      <c r="AWN1" s="251" t="n"/>
      <c r="AWO1" s="251" t="n"/>
      <c r="AWP1" s="251" t="n"/>
      <c r="AWQ1" s="251" t="n"/>
      <c r="AWR1" s="251" t="n"/>
      <c r="AWS1" s="251" t="n"/>
      <c r="AWT1" s="251" t="n"/>
      <c r="AWU1" s="251" t="n"/>
      <c r="AWV1" s="251" t="n"/>
      <c r="AWW1" s="251" t="n"/>
      <c r="AWX1" s="251" t="n"/>
      <c r="AWY1" s="251" t="n"/>
      <c r="AWZ1" s="251" t="n"/>
      <c r="AXA1" s="251" t="n"/>
      <c r="AXB1" s="251" t="n"/>
      <c r="AXC1" s="251" t="n"/>
      <c r="AXD1" s="251" t="n"/>
      <c r="AXE1" s="251" t="n"/>
      <c r="AXF1" s="251" t="n"/>
      <c r="AXG1" s="251" t="n"/>
      <c r="AXH1" s="251" t="n"/>
      <c r="AXI1" s="251" t="n"/>
      <c r="AXJ1" s="251" t="n"/>
      <c r="AXK1" s="251" t="n"/>
      <c r="AXL1" s="251" t="n"/>
      <c r="AXM1" s="251" t="n"/>
      <c r="AXN1" s="251" t="n"/>
      <c r="AXO1" s="251" t="n"/>
      <c r="AXP1" s="251" t="n"/>
      <c r="AXQ1" s="251" t="n"/>
      <c r="AXR1" s="251" t="n"/>
      <c r="AXS1" s="251" t="n"/>
      <c r="AXT1" s="251" t="n"/>
      <c r="AXU1" s="251" t="n"/>
      <c r="AXV1" s="251" t="n"/>
      <c r="AXW1" s="251" t="n"/>
      <c r="AXX1" s="251" t="n"/>
      <c r="AXY1" s="251" t="n"/>
      <c r="AXZ1" s="251" t="n"/>
      <c r="AYA1" s="251" t="n"/>
      <c r="AYB1" s="251" t="n"/>
      <c r="AYC1" s="251" t="n"/>
      <c r="AYD1" s="251" t="n"/>
      <c r="AYE1" s="251" t="n"/>
      <c r="AYF1" s="251" t="n"/>
      <c r="AYG1" s="251" t="n"/>
      <c r="AYH1" s="251" t="n"/>
      <c r="AYI1" s="251" t="n"/>
      <c r="AYJ1" s="251" t="n"/>
      <c r="AYK1" s="251" t="n"/>
      <c r="AYL1" s="251" t="n"/>
      <c r="AYM1" s="251" t="n"/>
      <c r="AYN1" s="251" t="n"/>
      <c r="AYO1" s="251" t="n"/>
      <c r="AYP1" s="251" t="n"/>
      <c r="AYQ1" s="251" t="n"/>
      <c r="AYR1" s="251" t="n"/>
      <c r="AYS1" s="251" t="n"/>
      <c r="AYT1" s="251" t="n"/>
      <c r="AYU1" s="251" t="n"/>
      <c r="AYV1" s="251" t="n"/>
      <c r="AYW1" s="251" t="n"/>
      <c r="AYX1" s="251" t="n"/>
      <c r="AYY1" s="251" t="n"/>
      <c r="AYZ1" s="251" t="n"/>
      <c r="AZA1" s="251" t="n"/>
      <c r="AZB1" s="251" t="n"/>
      <c r="AZC1" s="251" t="n"/>
      <c r="AZD1" s="251" t="n"/>
      <c r="AZE1" s="251" t="n"/>
      <c r="AZF1" s="251" t="n"/>
      <c r="AZG1" s="251" t="n"/>
      <c r="AZH1" s="251" t="n"/>
      <c r="AZI1" s="251" t="n"/>
      <c r="AZJ1" s="251" t="n"/>
      <c r="AZK1" s="251" t="n"/>
      <c r="AZL1" s="251" t="n"/>
      <c r="AZM1" s="251" t="n"/>
      <c r="AZN1" s="251" t="n"/>
      <c r="AZO1" s="251" t="n"/>
      <c r="AZP1" s="251" t="n"/>
      <c r="AZQ1" s="251" t="n"/>
      <c r="AZR1" s="251" t="n"/>
      <c r="AZS1" s="251" t="n"/>
      <c r="AZT1" s="251" t="n"/>
      <c r="AZU1" s="251" t="n"/>
      <c r="AZV1" s="251" t="n"/>
      <c r="AZW1" s="251" t="n"/>
      <c r="AZX1" s="251" t="n"/>
      <c r="AZY1" s="251" t="n"/>
      <c r="AZZ1" s="251" t="n"/>
      <c r="BAA1" s="251" t="n"/>
      <c r="BAB1" s="251" t="n"/>
      <c r="BAC1" s="251" t="n"/>
      <c r="BAD1" s="251" t="n"/>
      <c r="BAE1" s="251" t="n"/>
      <c r="BAF1" s="251" t="n"/>
      <c r="BAG1" s="251" t="n"/>
      <c r="BAH1" s="251" t="n"/>
      <c r="BAI1" s="251" t="n"/>
      <c r="BAJ1" s="251" t="n"/>
      <c r="BAK1" s="251" t="n"/>
      <c r="BAL1" s="251" t="n"/>
      <c r="BAM1" s="251" t="n"/>
      <c r="BAN1" s="251" t="n"/>
      <c r="BAO1" s="251" t="n"/>
      <c r="BAP1" s="251" t="n"/>
      <c r="BAQ1" s="251" t="n"/>
      <c r="BAR1" s="251" t="n"/>
      <c r="BAS1" s="251" t="n"/>
      <c r="BAT1" s="251" t="n"/>
      <c r="BAU1" s="251" t="n"/>
      <c r="BAV1" s="251" t="n"/>
      <c r="BAW1" s="251" t="n"/>
      <c r="BAX1" s="251" t="n"/>
      <c r="BAY1" s="251" t="n"/>
      <c r="BAZ1" s="251" t="n"/>
      <c r="BBA1" s="251" t="n"/>
      <c r="BBB1" s="251" t="n"/>
      <c r="BBC1" s="251" t="n"/>
      <c r="BBD1" s="251" t="n"/>
      <c r="BBE1" s="251" t="n"/>
      <c r="BBF1" s="251" t="n"/>
      <c r="BBG1" s="251" t="n"/>
      <c r="BBH1" s="251" t="n"/>
      <c r="BBI1" s="251" t="n"/>
      <c r="BBJ1" s="251" t="n"/>
      <c r="BBK1" s="251" t="n"/>
      <c r="BBL1" s="251" t="n"/>
      <c r="BBM1" s="251" t="n"/>
      <c r="BBN1" s="251" t="n"/>
      <c r="BBO1" s="251" t="n"/>
      <c r="BBP1" s="251" t="n"/>
      <c r="BBQ1" s="251" t="n"/>
      <c r="BBR1" s="251" t="n"/>
      <c r="BBS1" s="251" t="n"/>
      <c r="BBT1" s="251" t="n"/>
      <c r="BBU1" s="251" t="n"/>
      <c r="BBV1" s="251" t="n"/>
      <c r="BBW1" s="251" t="n"/>
      <c r="BBX1" s="251" t="n"/>
      <c r="BBY1" s="251" t="n"/>
      <c r="BBZ1" s="251" t="n"/>
      <c r="BCA1" s="251" t="n"/>
      <c r="BCB1" s="251" t="n"/>
      <c r="BCC1" s="251" t="n"/>
      <c r="BCD1" s="251" t="n"/>
      <c r="BCE1" s="251" t="n"/>
      <c r="BCF1" s="251" t="n"/>
      <c r="BCG1" s="251" t="n"/>
      <c r="BCH1" s="251" t="n"/>
      <c r="BCI1" s="251" t="n"/>
      <c r="BCJ1" s="251" t="n"/>
      <c r="BCK1" s="251" t="n"/>
      <c r="BCL1" s="251" t="n"/>
      <c r="BCM1" s="251" t="n"/>
      <c r="BCN1" s="251" t="n"/>
      <c r="BCO1" s="251" t="n"/>
      <c r="BCP1" s="251" t="n"/>
      <c r="BCQ1" s="251" t="n"/>
      <c r="BCR1" s="251" t="n"/>
      <c r="BCS1" s="251" t="n"/>
      <c r="BCT1" s="251" t="n"/>
      <c r="BCU1" s="251" t="n"/>
      <c r="BCV1" s="251" t="n"/>
      <c r="BCW1" s="251" t="n"/>
      <c r="BCX1" s="251" t="n"/>
      <c r="BCY1" s="251" t="n"/>
      <c r="BCZ1" s="251" t="n"/>
      <c r="BDA1" s="251" t="n"/>
      <c r="BDB1" s="251" t="n"/>
      <c r="BDC1" s="251" t="n"/>
      <c r="BDD1" s="251" t="n"/>
      <c r="BDE1" s="251" t="n"/>
      <c r="BDF1" s="251" t="n"/>
      <c r="BDG1" s="251" t="n"/>
      <c r="BDH1" s="251" t="n"/>
      <c r="BDI1" s="251" t="n"/>
      <c r="BDJ1" s="251" t="n"/>
      <c r="BDK1" s="251" t="n"/>
      <c r="BDL1" s="251" t="n"/>
      <c r="BDM1" s="251" t="n"/>
      <c r="BDN1" s="251" t="n"/>
      <c r="BDO1" s="251" t="n"/>
      <c r="BDP1" s="251" t="n"/>
      <c r="BDQ1" s="251" t="n"/>
      <c r="BDR1" s="251" t="n"/>
      <c r="BDS1" s="251" t="n"/>
      <c r="BDT1" s="251" t="n"/>
      <c r="BDU1" s="251" t="n"/>
      <c r="BDV1" s="251" t="n"/>
      <c r="BDW1" s="251" t="n"/>
      <c r="BDX1" s="251" t="n"/>
      <c r="BDY1" s="251" t="n"/>
      <c r="BDZ1" s="251" t="n"/>
      <c r="BEA1" s="251" t="n"/>
      <c r="BEB1" s="251" t="n"/>
      <c r="BEC1" s="251" t="n"/>
      <c r="BED1" s="251" t="n"/>
      <c r="BEE1" s="251" t="n"/>
      <c r="BEF1" s="251" t="n"/>
      <c r="BEG1" s="251" t="n"/>
      <c r="BEH1" s="251" t="n"/>
      <c r="BEI1" s="251" t="n"/>
      <c r="BEJ1" s="251" t="n"/>
      <c r="BEK1" s="251" t="n"/>
      <c r="BEL1" s="251" t="n"/>
      <c r="BEM1" s="251" t="n"/>
      <c r="BEN1" s="251" t="n"/>
      <c r="BEO1" s="251" t="n"/>
      <c r="BEP1" s="251" t="n"/>
      <c r="BEQ1" s="251" t="n"/>
      <c r="BER1" s="251" t="n"/>
      <c r="BES1" s="251" t="n"/>
      <c r="BET1" s="251" t="n"/>
      <c r="BEU1" s="251" t="n"/>
      <c r="BEV1" s="251" t="n"/>
      <c r="BEW1" s="251" t="n"/>
      <c r="BEX1" s="251" t="n"/>
      <c r="BEY1" s="251" t="n"/>
      <c r="BEZ1" s="251" t="n"/>
      <c r="BFA1" s="251" t="n"/>
      <c r="BFB1" s="251" t="n"/>
      <c r="BFC1" s="251" t="n"/>
      <c r="BFD1" s="251" t="n"/>
      <c r="BFE1" s="251" t="n"/>
      <c r="BFF1" s="251" t="n"/>
      <c r="BFG1" s="251" t="n"/>
      <c r="BFH1" s="251" t="n"/>
      <c r="BFI1" s="251" t="n"/>
      <c r="BFJ1" s="251" t="n"/>
      <c r="BFK1" s="251" t="n"/>
      <c r="BFL1" s="251" t="n"/>
      <c r="BFM1" s="251" t="n"/>
      <c r="BFN1" s="251" t="n"/>
      <c r="BFO1" s="251" t="n"/>
      <c r="BFP1" s="251" t="n"/>
      <c r="BFQ1" s="251" t="n"/>
      <c r="BFR1" s="251" t="n"/>
      <c r="BFS1" s="251" t="n"/>
      <c r="BFT1" s="251" t="n"/>
      <c r="BFU1" s="251" t="n"/>
      <c r="BFV1" s="251" t="n"/>
      <c r="BFW1" s="251" t="n"/>
      <c r="BFX1" s="251" t="n"/>
      <c r="BFY1" s="251" t="n"/>
      <c r="BFZ1" s="251" t="n"/>
      <c r="BGA1" s="251" t="n"/>
      <c r="BGB1" s="251" t="n"/>
      <c r="BGC1" s="251" t="n"/>
      <c r="BGD1" s="251" t="n"/>
      <c r="BGE1" s="251" t="n"/>
      <c r="BGF1" s="251" t="n"/>
      <c r="BGG1" s="251" t="n"/>
      <c r="BGH1" s="251" t="n"/>
      <c r="BGI1" s="251" t="n"/>
      <c r="BGJ1" s="251" t="n"/>
      <c r="BGK1" s="251" t="n"/>
      <c r="BGL1" s="251" t="n"/>
      <c r="BGM1" s="251" t="n"/>
      <c r="BGN1" s="251" t="n"/>
      <c r="BGO1" s="251" t="n"/>
      <c r="BGP1" s="251" t="n"/>
      <c r="BGQ1" s="251" t="n"/>
      <c r="BGR1" s="251" t="n"/>
      <c r="BGS1" s="251" t="n"/>
      <c r="BGT1" s="251" t="n"/>
      <c r="BGU1" s="251" t="n"/>
      <c r="BGV1" s="251" t="n"/>
      <c r="BGW1" s="251" t="n"/>
      <c r="BGX1" s="251" t="n"/>
      <c r="BGY1" s="251" t="n"/>
      <c r="BGZ1" s="251" t="n"/>
      <c r="BHA1" s="251" t="n"/>
      <c r="BHB1" s="251" t="n"/>
      <c r="BHC1" s="251" t="n"/>
      <c r="BHD1" s="251" t="n"/>
      <c r="BHE1" s="251" t="n"/>
      <c r="BHF1" s="251" t="n"/>
      <c r="BHG1" s="251" t="n"/>
      <c r="BHH1" s="251" t="n"/>
      <c r="BHI1" s="251" t="n"/>
      <c r="BHJ1" s="251" t="n"/>
      <c r="BHK1" s="251" t="n"/>
      <c r="BHL1" s="251" t="n"/>
      <c r="BHM1" s="251" t="n"/>
      <c r="BHN1" s="251" t="n"/>
      <c r="BHO1" s="251" t="n"/>
      <c r="BHP1" s="251" t="n"/>
      <c r="BHQ1" s="251" t="n"/>
      <c r="BHR1" s="251" t="n"/>
      <c r="BHS1" s="251" t="n"/>
      <c r="BHT1" s="251" t="n"/>
      <c r="BHU1" s="251" t="n"/>
      <c r="BHV1" s="251" t="n"/>
      <c r="BHW1" s="251" t="n"/>
      <c r="BHX1" s="251" t="n"/>
      <c r="BHY1" s="251" t="n"/>
      <c r="BHZ1" s="251" t="n"/>
      <c r="BIA1" s="251" t="n"/>
      <c r="BIB1" s="251" t="n"/>
      <c r="BIC1" s="251" t="n"/>
      <c r="BID1" s="251" t="n"/>
      <c r="BIE1" s="251" t="n"/>
      <c r="BIF1" s="251" t="n"/>
      <c r="BIG1" s="251" t="n"/>
      <c r="BIH1" s="251" t="n"/>
      <c r="BII1" s="251" t="n"/>
      <c r="BIJ1" s="251" t="n"/>
      <c r="BIK1" s="251" t="n"/>
      <c r="BIL1" s="251" t="n"/>
      <c r="BIM1" s="251" t="n"/>
      <c r="BIN1" s="251" t="n"/>
      <c r="BIO1" s="251" t="n"/>
      <c r="BIP1" s="251" t="n"/>
      <c r="BIQ1" s="251" t="n"/>
      <c r="BIR1" s="251" t="n"/>
      <c r="BIS1" s="251" t="n"/>
      <c r="BIT1" s="251" t="n"/>
      <c r="BIU1" s="251" t="n"/>
      <c r="BIV1" s="251" t="n"/>
      <c r="BIW1" s="251" t="n"/>
      <c r="BIX1" s="251" t="n"/>
      <c r="BIY1" s="251" t="n"/>
      <c r="BIZ1" s="251" t="n"/>
      <c r="BJA1" s="251" t="n"/>
      <c r="BJB1" s="251" t="n"/>
      <c r="BJC1" s="251" t="n"/>
      <c r="BJD1" s="251" t="n"/>
      <c r="BJE1" s="251" t="n"/>
      <c r="BJF1" s="251" t="n"/>
      <c r="BJG1" s="251" t="n"/>
      <c r="BJH1" s="251" t="n"/>
      <c r="BJI1" s="251" t="n"/>
      <c r="BJJ1" s="251" t="n"/>
      <c r="BJK1" s="251" t="n"/>
      <c r="BJL1" s="251" t="n"/>
      <c r="BJM1" s="251" t="n"/>
      <c r="BJN1" s="251" t="n"/>
      <c r="BJO1" s="251" t="n"/>
      <c r="BJP1" s="251" t="n"/>
      <c r="BJQ1" s="251" t="n"/>
      <c r="BJR1" s="251" t="n"/>
      <c r="BJS1" s="251" t="n"/>
      <c r="BJT1" s="251" t="n"/>
      <c r="BJU1" s="251" t="n"/>
      <c r="BJV1" s="251" t="n"/>
      <c r="BJW1" s="251" t="n"/>
      <c r="BJX1" s="251" t="n"/>
      <c r="BJY1" s="251" t="n"/>
      <c r="BJZ1" s="251" t="n"/>
      <c r="BKA1" s="251" t="n"/>
      <c r="BKB1" s="251" t="n"/>
      <c r="BKC1" s="251" t="n"/>
      <c r="BKD1" s="251" t="n"/>
      <c r="BKE1" s="251" t="n"/>
      <c r="BKF1" s="251" t="n"/>
      <c r="BKG1" s="251" t="n"/>
      <c r="BKH1" s="251" t="n"/>
      <c r="BKI1" s="251" t="n"/>
      <c r="BKJ1" s="251" t="n"/>
      <c r="BKK1" s="251" t="n"/>
      <c r="BKL1" s="251" t="n"/>
      <c r="BKM1" s="251" t="n"/>
      <c r="BKN1" s="251" t="n"/>
      <c r="BKO1" s="251" t="n"/>
      <c r="BKP1" s="251" t="n"/>
      <c r="BKQ1" s="251" t="n"/>
      <c r="BKR1" s="251" t="n"/>
      <c r="BKS1" s="251" t="n"/>
      <c r="BKT1" s="251" t="n"/>
      <c r="BKU1" s="251" t="n"/>
      <c r="BKV1" s="251" t="n"/>
      <c r="BKW1" s="251" t="n"/>
      <c r="BKX1" s="251" t="n"/>
      <c r="BKY1" s="251" t="n"/>
      <c r="BKZ1" s="251" t="n"/>
      <c r="BLA1" s="251" t="n"/>
      <c r="BLB1" s="251" t="n"/>
      <c r="BLC1" s="251" t="n"/>
      <c r="BLD1" s="251" t="n"/>
      <c r="BLE1" s="251" t="n"/>
      <c r="BLF1" s="251" t="n"/>
      <c r="BLG1" s="251" t="n"/>
      <c r="BLH1" s="251" t="n"/>
      <c r="BLI1" s="251" t="n"/>
      <c r="BLJ1" s="251" t="n"/>
      <c r="BLK1" s="251" t="n"/>
      <c r="BLL1" s="251" t="n"/>
      <c r="BLM1" s="251" t="n"/>
      <c r="BLN1" s="251" t="n"/>
      <c r="BLO1" s="251" t="n"/>
      <c r="BLP1" s="251" t="n"/>
      <c r="BLQ1" s="251" t="n"/>
      <c r="BLR1" s="251" t="n"/>
      <c r="BLS1" s="251" t="n"/>
      <c r="BLT1" s="251" t="n"/>
      <c r="BLU1" s="251" t="n"/>
      <c r="BLV1" s="251" t="n"/>
      <c r="BLW1" s="251" t="n"/>
      <c r="BLX1" s="251" t="n"/>
      <c r="BLY1" s="251" t="n"/>
      <c r="BLZ1" s="251" t="n"/>
      <c r="BMA1" s="251" t="n"/>
      <c r="BMB1" s="251" t="n"/>
      <c r="BMC1" s="251" t="n"/>
      <c r="BMD1" s="251" t="n"/>
      <c r="BME1" s="251" t="n"/>
      <c r="BMF1" s="251" t="n"/>
      <c r="BMG1" s="251" t="n"/>
      <c r="BMH1" s="251" t="n"/>
      <c r="BMI1" s="251" t="n"/>
      <c r="BMJ1" s="251" t="n"/>
      <c r="BMK1" s="251" t="n"/>
      <c r="BML1" s="251" t="n"/>
      <c r="BMM1" s="251" t="n"/>
      <c r="BMN1" s="251" t="n"/>
      <c r="BMO1" s="251" t="n"/>
      <c r="BMP1" s="251" t="n"/>
      <c r="BMQ1" s="251" t="n"/>
      <c r="BMR1" s="251" t="n"/>
      <c r="BMS1" s="251" t="n"/>
      <c r="BMT1" s="251" t="n"/>
      <c r="BMU1" s="251" t="n"/>
      <c r="BMV1" s="251" t="n"/>
      <c r="BMW1" s="251" t="n"/>
      <c r="BMX1" s="251" t="n"/>
      <c r="BMY1" s="251" t="n"/>
      <c r="BMZ1" s="251" t="n"/>
      <c r="BNA1" s="251" t="n"/>
      <c r="BNB1" s="251" t="n"/>
      <c r="BNC1" s="251" t="n"/>
      <c r="BND1" s="251" t="n"/>
      <c r="BNE1" s="251" t="n"/>
      <c r="BNF1" s="251" t="n"/>
      <c r="BNG1" s="251" t="n"/>
      <c r="BNH1" s="251" t="n"/>
      <c r="BNI1" s="251" t="n"/>
      <c r="BNJ1" s="251" t="n"/>
      <c r="BNK1" s="251" t="n"/>
      <c r="BNL1" s="251" t="n"/>
      <c r="BNM1" s="251" t="n"/>
      <c r="BNN1" s="251" t="n"/>
      <c r="BNO1" s="251" t="n"/>
      <c r="BNP1" s="251" t="n"/>
      <c r="BNQ1" s="251" t="n"/>
      <c r="BNR1" s="251" t="n"/>
      <c r="BNS1" s="251" t="n"/>
      <c r="BNT1" s="251" t="n"/>
      <c r="BNU1" s="251" t="n"/>
      <c r="BNV1" s="251" t="n"/>
      <c r="BNW1" s="251" t="n"/>
      <c r="BNX1" s="251" t="n"/>
      <c r="BNY1" s="251" t="n"/>
      <c r="BNZ1" s="251" t="n"/>
      <c r="BOA1" s="251" t="n"/>
      <c r="BOB1" s="251" t="n"/>
      <c r="BOC1" s="251" t="n"/>
      <c r="BOD1" s="251" t="n"/>
      <c r="BOE1" s="251" t="n"/>
      <c r="BOF1" s="251" t="n"/>
      <c r="BOG1" s="251" t="n"/>
      <c r="BOH1" s="251" t="n"/>
      <c r="BOI1" s="251" t="n"/>
      <c r="BOJ1" s="251" t="n"/>
      <c r="BOK1" s="251" t="n"/>
      <c r="BOL1" s="251" t="n"/>
      <c r="BOM1" s="251" t="n"/>
      <c r="BON1" s="251" t="n"/>
      <c r="BOO1" s="251" t="n"/>
      <c r="BOP1" s="251" t="n"/>
      <c r="BOQ1" s="251" t="n"/>
      <c r="BOR1" s="251" t="n"/>
      <c r="BOS1" s="251" t="n"/>
      <c r="BOT1" s="251" t="n"/>
      <c r="BOU1" s="251" t="n"/>
      <c r="BOV1" s="251" t="n"/>
      <c r="BOW1" s="251" t="n"/>
      <c r="BOX1" s="251" t="n"/>
      <c r="BOY1" s="251" t="n"/>
      <c r="BOZ1" s="251" t="n"/>
      <c r="BPA1" s="251" t="n"/>
      <c r="BPB1" s="251" t="n"/>
      <c r="BPC1" s="251" t="n"/>
      <c r="BPD1" s="251" t="n"/>
      <c r="BPE1" s="251" t="n"/>
      <c r="BPF1" s="251" t="n"/>
      <c r="BPG1" s="251" t="n"/>
      <c r="BPH1" s="251" t="n"/>
      <c r="BPI1" s="251" t="n"/>
      <c r="BPJ1" s="251" t="n"/>
      <c r="BPK1" s="251" t="n"/>
      <c r="BPL1" s="251" t="n"/>
      <c r="BPM1" s="251" t="n"/>
      <c r="BPN1" s="251" t="n"/>
      <c r="BPO1" s="251" t="n"/>
      <c r="BPP1" s="251" t="n"/>
      <c r="BPQ1" s="251" t="n"/>
      <c r="BPR1" s="251" t="n"/>
      <c r="BPS1" s="251" t="n"/>
      <c r="BPT1" s="251" t="n"/>
      <c r="BPU1" s="251" t="n"/>
      <c r="BPV1" s="251" t="n"/>
      <c r="BPW1" s="251" t="n"/>
      <c r="BPX1" s="251" t="n"/>
      <c r="BPY1" s="251" t="n"/>
      <c r="BPZ1" s="251" t="n"/>
      <c r="BQA1" s="251" t="n"/>
      <c r="BQB1" s="251" t="n"/>
      <c r="BQC1" s="251" t="n"/>
      <c r="BQD1" s="251" t="n"/>
      <c r="BQE1" s="251" t="n"/>
      <c r="BQF1" s="251" t="n"/>
      <c r="BQG1" s="251" t="n"/>
      <c r="BQH1" s="251" t="n"/>
      <c r="BQI1" s="251" t="n"/>
      <c r="BQJ1" s="251" t="n"/>
      <c r="BQK1" s="251" t="n"/>
      <c r="BQL1" s="251" t="n"/>
      <c r="BQM1" s="251" t="n"/>
      <c r="BQN1" s="251" t="n"/>
      <c r="BQO1" s="251" t="n"/>
      <c r="BQP1" s="251" t="n"/>
      <c r="BQQ1" s="251" t="n"/>
      <c r="BQR1" s="251" t="n"/>
      <c r="BQS1" s="251" t="n"/>
      <c r="BQT1" s="251" t="n"/>
      <c r="BQU1" s="251" t="n"/>
      <c r="BQV1" s="251" t="n"/>
      <c r="BQW1" s="251" t="n"/>
      <c r="BQX1" s="251" t="n"/>
      <c r="BQY1" s="251" t="n"/>
      <c r="BQZ1" s="251" t="n"/>
      <c r="BRA1" s="251" t="n"/>
      <c r="BRB1" s="251" t="n"/>
      <c r="BRC1" s="251" t="n"/>
      <c r="BRD1" s="251" t="n"/>
      <c r="BRE1" s="251" t="n"/>
      <c r="BRF1" s="251" t="n"/>
      <c r="BRG1" s="251" t="n"/>
      <c r="BRH1" s="251" t="n"/>
      <c r="BRI1" s="251" t="n"/>
      <c r="BRJ1" s="251" t="n"/>
      <c r="BRK1" s="251" t="n"/>
      <c r="BRL1" s="251" t="n"/>
      <c r="BRM1" s="251" t="n"/>
      <c r="BRN1" s="251" t="n"/>
      <c r="BRO1" s="251" t="n"/>
      <c r="BRP1" s="251" t="n"/>
      <c r="BRQ1" s="251" t="n"/>
      <c r="BRR1" s="251" t="n"/>
      <c r="BRS1" s="251" t="n"/>
      <c r="BRT1" s="251" t="n"/>
      <c r="BRU1" s="251" t="n"/>
      <c r="BRV1" s="251" t="n"/>
      <c r="BRW1" s="251" t="n"/>
      <c r="BRX1" s="251" t="n"/>
      <c r="BRY1" s="251" t="n"/>
      <c r="BRZ1" s="251" t="n"/>
      <c r="BSA1" s="251" t="n"/>
      <c r="BSB1" s="251" t="n"/>
      <c r="BSC1" s="251" t="n"/>
      <c r="BSD1" s="251" t="n"/>
      <c r="BSE1" s="251" t="n"/>
      <c r="BSF1" s="251" t="n"/>
      <c r="BSG1" s="251" t="n"/>
      <c r="BSH1" s="251" t="n"/>
      <c r="BSI1" s="251" t="n"/>
      <c r="BSJ1" s="251" t="n"/>
      <c r="BSK1" s="251" t="n"/>
      <c r="BSL1" s="251" t="n"/>
      <c r="BSM1" s="251" t="n"/>
      <c r="BSN1" s="251" t="n"/>
      <c r="BSO1" s="251" t="n"/>
      <c r="BSP1" s="251" t="n"/>
      <c r="BSQ1" s="251" t="n"/>
      <c r="BSR1" s="251" t="n"/>
      <c r="BSS1" s="251" t="n"/>
      <c r="BST1" s="251" t="n"/>
      <c r="BSU1" s="251" t="n"/>
      <c r="BSV1" s="251" t="n"/>
      <c r="BSW1" s="251" t="n"/>
      <c r="BSX1" s="251" t="n"/>
      <c r="BSY1" s="251" t="n"/>
      <c r="BSZ1" s="251" t="n"/>
      <c r="BTA1" s="251" t="n"/>
      <c r="BTB1" s="251" t="n"/>
      <c r="BTC1" s="251" t="n"/>
      <c r="BTD1" s="251" t="n"/>
      <c r="BTE1" s="251" t="n"/>
      <c r="BTF1" s="251" t="n"/>
      <c r="BTG1" s="251" t="n"/>
      <c r="BTH1" s="251" t="n"/>
      <c r="BTI1" s="251" t="n"/>
      <c r="BTJ1" s="251" t="n"/>
      <c r="BTK1" s="251" t="n"/>
      <c r="BTL1" s="251" t="n"/>
      <c r="BTM1" s="251" t="n"/>
      <c r="BTN1" s="251" t="n"/>
      <c r="BTO1" s="251" t="n"/>
      <c r="BTP1" s="251" t="n"/>
      <c r="BTQ1" s="251" t="n"/>
      <c r="BTR1" s="251" t="n"/>
      <c r="BTS1" s="251" t="n"/>
      <c r="BTT1" s="251" t="n"/>
      <c r="BTU1" s="251" t="n"/>
      <c r="BTV1" s="251" t="n"/>
      <c r="BTW1" s="251" t="n"/>
      <c r="BTX1" s="251" t="n"/>
      <c r="BTY1" s="251" t="n"/>
      <c r="BTZ1" s="251" t="n"/>
      <c r="BUA1" s="251" t="n"/>
      <c r="BUB1" s="251" t="n"/>
      <c r="BUC1" s="251" t="n"/>
      <c r="BUD1" s="251" t="n"/>
      <c r="BUE1" s="251" t="n"/>
      <c r="BUF1" s="251" t="n"/>
      <c r="BUG1" s="251" t="n"/>
      <c r="BUH1" s="251" t="n"/>
      <c r="BUI1" s="251" t="n"/>
      <c r="BUJ1" s="251" t="n"/>
      <c r="BUK1" s="251" t="n"/>
      <c r="BUL1" s="251" t="n"/>
      <c r="BUM1" s="251" t="n"/>
      <c r="BUN1" s="251" t="n"/>
      <c r="BUO1" s="251" t="n"/>
      <c r="BUP1" s="251" t="n"/>
      <c r="BUQ1" s="251" t="n"/>
      <c r="BUR1" s="251" t="n"/>
      <c r="BUS1" s="251" t="n"/>
      <c r="BUT1" s="251" t="n"/>
      <c r="BUU1" s="251" t="n"/>
      <c r="BUV1" s="251" t="n"/>
      <c r="BUW1" s="251" t="n"/>
      <c r="BUX1" s="251" t="n"/>
      <c r="BUY1" s="251" t="n"/>
      <c r="BUZ1" s="251" t="n"/>
      <c r="BVA1" s="251" t="n"/>
      <c r="BVB1" s="251" t="n"/>
      <c r="BVC1" s="251" t="n"/>
      <c r="BVD1" s="251" t="n"/>
      <c r="BVE1" s="251" t="n"/>
      <c r="BVF1" s="251" t="n"/>
      <c r="BVG1" s="251" t="n"/>
      <c r="BVH1" s="251" t="n"/>
      <c r="BVI1" s="251" t="n"/>
      <c r="BVJ1" s="251" t="n"/>
      <c r="BVK1" s="251" t="n"/>
      <c r="BVL1" s="251" t="n"/>
      <c r="BVM1" s="251" t="n"/>
      <c r="BVN1" s="251" t="n"/>
      <c r="BVO1" s="251" t="n"/>
      <c r="BVP1" s="251" t="n"/>
      <c r="BVQ1" s="251" t="n"/>
      <c r="BVR1" s="251" t="n"/>
      <c r="BVS1" s="251" t="n"/>
      <c r="BVT1" s="251" t="n"/>
      <c r="BVU1" s="251" t="n"/>
      <c r="BVV1" s="251" t="n"/>
      <c r="BVW1" s="251" t="n"/>
      <c r="BVX1" s="251" t="n"/>
      <c r="BVY1" s="251" t="n"/>
      <c r="BVZ1" s="251" t="n"/>
      <c r="BWA1" s="251" t="n"/>
      <c r="BWB1" s="251" t="n"/>
      <c r="BWC1" s="251" t="n"/>
      <c r="BWD1" s="251" t="n"/>
      <c r="BWE1" s="251" t="n"/>
      <c r="BWF1" s="251" t="n"/>
      <c r="BWG1" s="251" t="n"/>
      <c r="BWH1" s="251" t="n"/>
      <c r="BWI1" s="251" t="n"/>
      <c r="BWJ1" s="251" t="n"/>
      <c r="BWK1" s="251" t="n"/>
      <c r="BWL1" s="251" t="n"/>
      <c r="BWM1" s="251" t="n"/>
      <c r="BWN1" s="251" t="n"/>
      <c r="BWO1" s="251" t="n"/>
      <c r="BWP1" s="251" t="n"/>
      <c r="BWQ1" s="251" t="n"/>
      <c r="BWR1" s="251" t="n"/>
      <c r="BWS1" s="251" t="n"/>
      <c r="BWT1" s="251" t="n"/>
      <c r="BWU1" s="251" t="n"/>
      <c r="BWV1" s="251" t="n"/>
      <c r="BWW1" s="251" t="n"/>
      <c r="BWX1" s="251" t="n"/>
      <c r="BWY1" s="251" t="n"/>
      <c r="BWZ1" s="251" t="n"/>
      <c r="BXA1" s="251" t="n"/>
      <c r="BXB1" s="251" t="n"/>
      <c r="BXC1" s="251" t="n"/>
      <c r="BXD1" s="251" t="n"/>
      <c r="BXE1" s="251" t="n"/>
      <c r="BXF1" s="251" t="n"/>
      <c r="BXG1" s="251" t="n"/>
      <c r="BXH1" s="251" t="n"/>
      <c r="BXI1" s="251" t="n"/>
      <c r="BXJ1" s="251" t="n"/>
      <c r="BXK1" s="251" t="n"/>
      <c r="BXL1" s="251" t="n"/>
      <c r="BXM1" s="251" t="n"/>
      <c r="BXN1" s="251" t="n"/>
      <c r="BXO1" s="251" t="n"/>
      <c r="BXP1" s="251" t="n"/>
      <c r="BXQ1" s="251" t="n"/>
      <c r="BXR1" s="251" t="n"/>
      <c r="BXS1" s="251" t="n"/>
      <c r="BXT1" s="251" t="n"/>
      <c r="BXU1" s="251" t="n"/>
      <c r="BXV1" s="251" t="n"/>
      <c r="BXW1" s="251" t="n"/>
      <c r="BXX1" s="251" t="n"/>
      <c r="BXY1" s="251" t="n"/>
      <c r="BXZ1" s="251" t="n"/>
      <c r="BYA1" s="251" t="n"/>
      <c r="BYB1" s="251" t="n"/>
      <c r="BYC1" s="251" t="n"/>
      <c r="BYD1" s="251" t="n"/>
      <c r="BYE1" s="251" t="n"/>
      <c r="BYF1" s="251" t="n"/>
      <c r="BYG1" s="251" t="n"/>
      <c r="BYH1" s="251" t="n"/>
      <c r="BYI1" s="251" t="n"/>
      <c r="BYJ1" s="251" t="n"/>
      <c r="BYK1" s="251" t="n"/>
      <c r="BYL1" s="251" t="n"/>
      <c r="BYM1" s="251" t="n"/>
      <c r="BYN1" s="251" t="n"/>
      <c r="BYO1" s="251" t="n"/>
      <c r="BYP1" s="251" t="n"/>
      <c r="BYQ1" s="251" t="n"/>
      <c r="BYR1" s="251" t="n"/>
      <c r="BYS1" s="251" t="n"/>
      <c r="BYT1" s="251" t="n"/>
      <c r="BYU1" s="251" t="n"/>
      <c r="BYV1" s="251" t="n"/>
      <c r="BYW1" s="251" t="n"/>
      <c r="BYX1" s="251" t="n"/>
      <c r="BYY1" s="251" t="n"/>
      <c r="BYZ1" s="251" t="n"/>
      <c r="BZA1" s="251" t="n"/>
      <c r="BZB1" s="251" t="n"/>
      <c r="BZC1" s="251" t="n"/>
      <c r="BZD1" s="251" t="n"/>
      <c r="BZE1" s="251" t="n"/>
      <c r="BZF1" s="251" t="n"/>
      <c r="BZG1" s="251" t="n"/>
      <c r="BZH1" s="251" t="n"/>
      <c r="BZI1" s="251" t="n"/>
      <c r="BZJ1" s="251" t="n"/>
      <c r="BZK1" s="251" t="n"/>
      <c r="BZL1" s="251" t="n"/>
      <c r="BZM1" s="251" t="n"/>
      <c r="BZN1" s="251" t="n"/>
      <c r="BZO1" s="251" t="n"/>
      <c r="BZP1" s="251" t="n"/>
      <c r="BZQ1" s="251" t="n"/>
      <c r="BZR1" s="251" t="n"/>
      <c r="BZS1" s="251" t="n"/>
      <c r="BZT1" s="251" t="n"/>
      <c r="BZU1" s="251" t="n"/>
      <c r="BZV1" s="251" t="n"/>
      <c r="BZW1" s="251" t="n"/>
      <c r="BZX1" s="251" t="n"/>
      <c r="BZY1" s="251" t="n"/>
      <c r="BZZ1" s="251" t="n"/>
      <c r="CAA1" s="251" t="n"/>
      <c r="CAB1" s="251" t="n"/>
      <c r="CAC1" s="251" t="n"/>
      <c r="CAD1" s="251" t="n"/>
      <c r="CAE1" s="251" t="n"/>
      <c r="CAF1" s="251" t="n"/>
      <c r="CAG1" s="251" t="n"/>
      <c r="CAH1" s="251" t="n"/>
      <c r="CAI1" s="251" t="n"/>
      <c r="CAJ1" s="251" t="n"/>
      <c r="CAK1" s="251" t="n"/>
      <c r="CAL1" s="251" t="n"/>
      <c r="CAM1" s="251" t="n"/>
      <c r="CAN1" s="251" t="n"/>
      <c r="CAO1" s="251" t="n"/>
      <c r="CAP1" s="251" t="n"/>
      <c r="CAQ1" s="251" t="n"/>
      <c r="CAR1" s="251" t="n"/>
      <c r="CAS1" s="251" t="n"/>
      <c r="CAT1" s="251" t="n"/>
      <c r="CAU1" s="251" t="n"/>
      <c r="CAV1" s="251" t="n"/>
      <c r="CAW1" s="251" t="n"/>
      <c r="CAX1" s="251" t="n"/>
      <c r="CAY1" s="251" t="n"/>
      <c r="CAZ1" s="251" t="n"/>
      <c r="CBA1" s="251" t="n"/>
      <c r="CBB1" s="251" t="n"/>
      <c r="CBC1" s="251" t="n"/>
      <c r="CBD1" s="251" t="n"/>
      <c r="CBE1" s="251" t="n"/>
      <c r="CBF1" s="251" t="n"/>
      <c r="CBG1" s="251" t="n"/>
      <c r="CBH1" s="251" t="n"/>
      <c r="CBI1" s="251" t="n"/>
      <c r="CBJ1" s="251" t="n"/>
      <c r="CBK1" s="251" t="n"/>
      <c r="CBL1" s="251" t="n"/>
      <c r="CBM1" s="251" t="n"/>
      <c r="CBN1" s="251" t="n"/>
      <c r="CBO1" s="251" t="n"/>
      <c r="CBP1" s="251" t="n"/>
      <c r="CBQ1" s="251" t="n"/>
      <c r="CBR1" s="251" t="n"/>
      <c r="CBS1" s="251" t="n"/>
      <c r="CBT1" s="251" t="n"/>
      <c r="CBU1" s="251" t="n"/>
      <c r="CBV1" s="251" t="n"/>
      <c r="CBW1" s="251" t="n"/>
      <c r="CBX1" s="251" t="n"/>
      <c r="CBY1" s="251" t="n"/>
      <c r="CBZ1" s="251" t="n"/>
      <c r="CCA1" s="251" t="n"/>
      <c r="CCB1" s="251" t="n"/>
      <c r="CCC1" s="251" t="n"/>
      <c r="CCD1" s="251" t="n"/>
      <c r="CCE1" s="251" t="n"/>
      <c r="CCF1" s="251" t="n"/>
      <c r="CCG1" s="251" t="n"/>
      <c r="CCH1" s="251" t="n"/>
      <c r="CCI1" s="251" t="n"/>
      <c r="CCJ1" s="251" t="n"/>
      <c r="CCK1" s="251" t="n"/>
      <c r="CCL1" s="251" t="n"/>
      <c r="CCM1" s="251" t="n"/>
      <c r="CCN1" s="251" t="n"/>
      <c r="CCO1" s="251" t="n"/>
      <c r="CCP1" s="251" t="n"/>
      <c r="CCQ1" s="251" t="n"/>
      <c r="CCR1" s="251" t="n"/>
      <c r="CCS1" s="251" t="n"/>
      <c r="CCT1" s="251" t="n"/>
      <c r="CCU1" s="251" t="n"/>
      <c r="CCV1" s="251" t="n"/>
      <c r="CCW1" s="251" t="n"/>
      <c r="CCX1" s="251" t="n"/>
      <c r="CCY1" s="251" t="n"/>
      <c r="CCZ1" s="251" t="n"/>
      <c r="CDA1" s="251" t="n"/>
      <c r="CDB1" s="251" t="n"/>
      <c r="CDC1" s="251" t="n"/>
      <c r="CDD1" s="251" t="n"/>
      <c r="CDE1" s="251" t="n"/>
      <c r="CDF1" s="251" t="n"/>
      <c r="CDG1" s="251" t="n"/>
      <c r="CDH1" s="251" t="n"/>
      <c r="CDI1" s="251" t="n"/>
      <c r="CDJ1" s="251" t="n"/>
      <c r="CDK1" s="251" t="n"/>
      <c r="CDL1" s="251" t="n"/>
      <c r="CDM1" s="251" t="n"/>
      <c r="CDN1" s="251" t="n"/>
      <c r="CDO1" s="251" t="n"/>
      <c r="CDP1" s="251" t="n"/>
      <c r="CDQ1" s="251" t="n"/>
      <c r="CDR1" s="251" t="n"/>
      <c r="CDS1" s="251" t="n"/>
      <c r="CDT1" s="251" t="n"/>
      <c r="CDU1" s="251" t="n"/>
      <c r="CDV1" s="251" t="n"/>
      <c r="CDW1" s="251" t="n"/>
      <c r="CDX1" s="251" t="n"/>
      <c r="CDY1" s="251" t="n"/>
      <c r="CDZ1" s="251" t="n"/>
      <c r="CEA1" s="251" t="n"/>
      <c r="CEB1" s="251" t="n"/>
      <c r="CEC1" s="251" t="n"/>
      <c r="CED1" s="251" t="n"/>
      <c r="CEE1" s="251" t="n"/>
      <c r="CEF1" s="251" t="n"/>
      <c r="CEG1" s="251" t="n"/>
      <c r="CEH1" s="251" t="n"/>
      <c r="CEI1" s="251" t="n"/>
      <c r="CEJ1" s="251" t="n"/>
      <c r="CEK1" s="251" t="n"/>
      <c r="CEL1" s="251" t="n"/>
      <c r="CEM1" s="251" t="n"/>
      <c r="CEN1" s="251" t="n"/>
      <c r="CEO1" s="251" t="n"/>
      <c r="CEP1" s="251" t="n"/>
      <c r="CEQ1" s="251" t="n"/>
      <c r="CER1" s="251" t="n"/>
      <c r="CES1" s="251" t="n"/>
      <c r="CET1" s="251" t="n"/>
      <c r="CEU1" s="251" t="n"/>
      <c r="CEV1" s="251" t="n"/>
      <c r="CEW1" s="251" t="n"/>
      <c r="CEX1" s="251" t="n"/>
      <c r="CEY1" s="251" t="n"/>
      <c r="CEZ1" s="251" t="n"/>
      <c r="CFA1" s="251" t="n"/>
      <c r="CFB1" s="251" t="n"/>
      <c r="CFC1" s="251" t="n"/>
      <c r="CFD1" s="251" t="n"/>
      <c r="CFE1" s="251" t="n"/>
      <c r="CFF1" s="251" t="n"/>
      <c r="CFG1" s="251" t="n"/>
      <c r="CFH1" s="251" t="n"/>
      <c r="CFI1" s="251" t="n"/>
      <c r="CFJ1" s="251" t="n"/>
      <c r="CFK1" s="251" t="n"/>
      <c r="CFL1" s="251" t="n"/>
      <c r="CFM1" s="251" t="n"/>
      <c r="CFN1" s="251" t="n"/>
      <c r="CFO1" s="251" t="n"/>
      <c r="CFP1" s="251" t="n"/>
      <c r="CFQ1" s="251" t="n"/>
      <c r="CFR1" s="251" t="n"/>
      <c r="CFS1" s="251" t="n"/>
      <c r="CFT1" s="251" t="n"/>
      <c r="CFU1" s="251" t="n"/>
      <c r="CFV1" s="251" t="n"/>
      <c r="CFW1" s="251" t="n"/>
      <c r="CFX1" s="251" t="n"/>
      <c r="CFY1" s="251" t="n"/>
      <c r="CFZ1" s="251" t="n"/>
      <c r="CGA1" s="251" t="n"/>
      <c r="CGB1" s="251" t="n"/>
      <c r="CGC1" s="251" t="n"/>
      <c r="CGD1" s="251" t="n"/>
      <c r="CGE1" s="251" t="n"/>
      <c r="CGF1" s="251" t="n"/>
      <c r="CGG1" s="251" t="n"/>
      <c r="CGH1" s="251" t="n"/>
      <c r="CGI1" s="251" t="n"/>
      <c r="CGJ1" s="251" t="n"/>
      <c r="CGK1" s="251" t="n"/>
      <c r="CGL1" s="251" t="n"/>
      <c r="CGM1" s="251" t="n"/>
      <c r="CGN1" s="251" t="n"/>
      <c r="CGO1" s="251" t="n"/>
      <c r="CGP1" s="251" t="n"/>
      <c r="CGQ1" s="251" t="n"/>
      <c r="CGR1" s="251" t="n"/>
      <c r="CGS1" s="251" t="n"/>
      <c r="CGT1" s="251" t="n"/>
      <c r="CGU1" s="251" t="n"/>
      <c r="CGV1" s="251" t="n"/>
      <c r="CGW1" s="251" t="n"/>
      <c r="CGX1" s="251" t="n"/>
      <c r="CGY1" s="251" t="n"/>
      <c r="CGZ1" s="251" t="n"/>
      <c r="CHA1" s="251" t="n"/>
      <c r="CHB1" s="251" t="n"/>
      <c r="CHC1" s="251" t="n"/>
      <c r="CHD1" s="251" t="n"/>
      <c r="CHE1" s="251" t="n"/>
      <c r="CHF1" s="251" t="n"/>
      <c r="CHG1" s="251" t="n"/>
      <c r="CHH1" s="251" t="n"/>
      <c r="CHI1" s="251" t="n"/>
      <c r="CHJ1" s="251" t="n"/>
      <c r="CHK1" s="251" t="n"/>
      <c r="CHL1" s="251" t="n"/>
      <c r="CHM1" s="251" t="n"/>
      <c r="CHN1" s="251" t="n"/>
      <c r="CHO1" s="251" t="n"/>
      <c r="CHP1" s="251" t="n"/>
      <c r="CHQ1" s="251" t="n"/>
      <c r="CHR1" s="251" t="n"/>
      <c r="CHS1" s="251" t="n"/>
      <c r="CHT1" s="251" t="n"/>
      <c r="CHU1" s="251" t="n"/>
      <c r="CHV1" s="251" t="n"/>
      <c r="CHW1" s="251" t="n"/>
      <c r="CHX1" s="251" t="n"/>
      <c r="CHY1" s="251" t="n"/>
      <c r="CHZ1" s="251" t="n"/>
      <c r="CIA1" s="251" t="n"/>
      <c r="CIB1" s="251" t="n"/>
      <c r="CIC1" s="251" t="n"/>
      <c r="CID1" s="251" t="n"/>
      <c r="CIE1" s="251" t="n"/>
      <c r="CIF1" s="251" t="n"/>
      <c r="CIG1" s="251" t="n"/>
      <c r="CIH1" s="251" t="n"/>
      <c r="CII1" s="251" t="n"/>
      <c r="CIJ1" s="251" t="n"/>
      <c r="CIK1" s="251" t="n"/>
      <c r="CIL1" s="251" t="n"/>
      <c r="CIM1" s="251" t="n"/>
      <c r="CIN1" s="251" t="n"/>
      <c r="CIO1" s="251" t="n"/>
      <c r="CIP1" s="251" t="n"/>
      <c r="CIQ1" s="251" t="n"/>
      <c r="CIR1" s="251" t="n"/>
      <c r="CIS1" s="251" t="n"/>
      <c r="CIT1" s="251" t="n"/>
      <c r="CIU1" s="251" t="n"/>
      <c r="CIV1" s="251" t="n"/>
      <c r="CIW1" s="251" t="n"/>
      <c r="CIX1" s="251" t="n"/>
      <c r="CIY1" s="251" t="n"/>
      <c r="CIZ1" s="251" t="n"/>
      <c r="CJA1" s="251" t="n"/>
      <c r="CJB1" s="251" t="n"/>
      <c r="CJC1" s="251" t="n"/>
      <c r="CJD1" s="251" t="n"/>
      <c r="CJE1" s="251" t="n"/>
      <c r="CJF1" s="251" t="n"/>
      <c r="CJG1" s="251" t="n"/>
      <c r="CJH1" s="251" t="n"/>
      <c r="CJI1" s="251" t="n"/>
      <c r="CJJ1" s="251" t="n"/>
      <c r="CJK1" s="251" t="n"/>
      <c r="CJL1" s="251" t="n"/>
      <c r="CJM1" s="251" t="n"/>
      <c r="CJN1" s="251" t="n"/>
      <c r="CJO1" s="251" t="n"/>
      <c r="CJP1" s="251" t="n"/>
      <c r="CJQ1" s="251" t="n"/>
      <c r="CJR1" s="251" t="n"/>
      <c r="CJS1" s="251" t="n"/>
      <c r="CJT1" s="251" t="n"/>
      <c r="CJU1" s="251" t="n"/>
      <c r="CJV1" s="251" t="n"/>
      <c r="CJW1" s="251" t="n"/>
      <c r="CJX1" s="251" t="n"/>
      <c r="CJY1" s="251" t="n"/>
      <c r="CJZ1" s="251" t="n"/>
      <c r="CKA1" s="251" t="n"/>
      <c r="CKB1" s="251" t="n"/>
      <c r="CKC1" s="251" t="n"/>
      <c r="CKD1" s="251" t="n"/>
      <c r="CKE1" s="251" t="n"/>
      <c r="CKF1" s="251" t="n"/>
      <c r="CKG1" s="251" t="n"/>
      <c r="CKH1" s="251" t="n"/>
      <c r="CKI1" s="251" t="n"/>
      <c r="CKJ1" s="251" t="n"/>
      <c r="CKK1" s="251" t="n"/>
      <c r="CKL1" s="251" t="n"/>
      <c r="CKM1" s="251" t="n"/>
      <c r="CKN1" s="251" t="n"/>
      <c r="CKO1" s="251" t="n"/>
      <c r="CKP1" s="251" t="n"/>
      <c r="CKQ1" s="251" t="n"/>
      <c r="CKR1" s="251" t="n"/>
      <c r="CKS1" s="251" t="n"/>
      <c r="CKT1" s="251" t="n"/>
      <c r="CKU1" s="251" t="n"/>
      <c r="CKV1" s="251" t="n"/>
      <c r="CKW1" s="251" t="n"/>
      <c r="CKX1" s="251" t="n"/>
      <c r="CKY1" s="251" t="n"/>
      <c r="CKZ1" s="251" t="n"/>
      <c r="CLA1" s="251" t="n"/>
      <c r="CLB1" s="251" t="n"/>
      <c r="CLC1" s="251" t="n"/>
      <c r="CLD1" s="251" t="n"/>
      <c r="CLE1" s="251" t="n"/>
      <c r="CLF1" s="251" t="n"/>
      <c r="CLG1" s="251" t="n"/>
      <c r="CLH1" s="251" t="n"/>
      <c r="CLI1" s="251" t="n"/>
      <c r="CLJ1" s="251" t="n"/>
      <c r="CLK1" s="251" t="n"/>
      <c r="CLL1" s="251" t="n"/>
      <c r="CLM1" s="251" t="n"/>
      <c r="CLN1" s="251" t="n"/>
      <c r="CLO1" s="251" t="n"/>
      <c r="CLP1" s="251" t="n"/>
      <c r="CLQ1" s="251" t="n"/>
      <c r="CLR1" s="251" t="n"/>
      <c r="CLS1" s="251" t="n"/>
      <c r="CLT1" s="251" t="n"/>
      <c r="CLU1" s="251" t="n"/>
      <c r="CLV1" s="251" t="n"/>
      <c r="CLW1" s="251" t="n"/>
      <c r="CLX1" s="251" t="n"/>
      <c r="CLY1" s="251" t="n"/>
      <c r="CLZ1" s="251" t="n"/>
      <c r="CMA1" s="251" t="n"/>
      <c r="CMB1" s="251" t="n"/>
      <c r="CMC1" s="251" t="n"/>
      <c r="CMD1" s="251" t="n"/>
      <c r="CME1" s="251" t="n"/>
      <c r="CMF1" s="251" t="n"/>
      <c r="CMG1" s="251" t="n"/>
      <c r="CMH1" s="251" t="n"/>
      <c r="CMI1" s="251" t="n"/>
      <c r="CMJ1" s="251" t="n"/>
      <c r="CMK1" s="251" t="n"/>
      <c r="CML1" s="251" t="n"/>
      <c r="CMM1" s="251" t="n"/>
      <c r="CMN1" s="251" t="n"/>
      <c r="CMO1" s="251" t="n"/>
      <c r="CMP1" s="251" t="n"/>
      <c r="CMQ1" s="251" t="n"/>
      <c r="CMR1" s="251" t="n"/>
      <c r="CMS1" s="251" t="n"/>
      <c r="CMT1" s="251" t="n"/>
      <c r="CMU1" s="251" t="n"/>
      <c r="CMV1" s="251" t="n"/>
      <c r="CMW1" s="251" t="n"/>
      <c r="CMX1" s="251" t="n"/>
      <c r="CMY1" s="251" t="n"/>
      <c r="CMZ1" s="251" t="n"/>
      <c r="CNA1" s="251" t="n"/>
      <c r="CNB1" s="251" t="n"/>
      <c r="CNC1" s="251" t="n"/>
      <c r="CND1" s="251" t="n"/>
      <c r="CNE1" s="251" t="n"/>
      <c r="CNF1" s="251" t="n"/>
      <c r="CNG1" s="251" t="n"/>
      <c r="CNH1" s="251" t="n"/>
      <c r="CNI1" s="251" t="n"/>
      <c r="CNJ1" s="251" t="n"/>
      <c r="CNK1" s="251" t="n"/>
      <c r="CNL1" s="251" t="n"/>
      <c r="CNM1" s="251" t="n"/>
      <c r="CNN1" s="251" t="n"/>
      <c r="CNO1" s="251" t="n"/>
      <c r="CNP1" s="251" t="n"/>
      <c r="CNQ1" s="251" t="n"/>
      <c r="CNR1" s="251" t="n"/>
      <c r="CNS1" s="251" t="n"/>
      <c r="CNT1" s="251" t="n"/>
      <c r="CNU1" s="251" t="n"/>
      <c r="CNV1" s="251" t="n"/>
      <c r="CNW1" s="251" t="n"/>
      <c r="CNX1" s="251" t="n"/>
      <c r="CNY1" s="251" t="n"/>
      <c r="CNZ1" s="251" t="n"/>
      <c r="COA1" s="251" t="n"/>
      <c r="COB1" s="251" t="n"/>
      <c r="COC1" s="251" t="n"/>
      <c r="COD1" s="251" t="n"/>
      <c r="COE1" s="251" t="n"/>
      <c r="COF1" s="251" t="n"/>
      <c r="COG1" s="251" t="n"/>
      <c r="COH1" s="251" t="n"/>
      <c r="COI1" s="251" t="n"/>
      <c r="COJ1" s="251" t="n"/>
      <c r="COK1" s="251" t="n"/>
      <c r="COL1" s="251" t="n"/>
      <c r="COM1" s="251" t="n"/>
      <c r="CON1" s="251" t="n"/>
      <c r="COO1" s="251" t="n"/>
      <c r="COP1" s="251" t="n"/>
      <c r="COQ1" s="251" t="n"/>
      <c r="COR1" s="251" t="n"/>
      <c r="COS1" s="251" t="n"/>
      <c r="COT1" s="251" t="n"/>
      <c r="COU1" s="251" t="n"/>
      <c r="COV1" s="251" t="n"/>
      <c r="COW1" s="251" t="n"/>
      <c r="COX1" s="251" t="n"/>
      <c r="COY1" s="251" t="n"/>
      <c r="COZ1" s="251" t="n"/>
      <c r="CPA1" s="251" t="n"/>
      <c r="CPB1" s="251" t="n"/>
      <c r="CPC1" s="251" t="n"/>
      <c r="CPD1" s="251" t="n"/>
      <c r="CPE1" s="251" t="n"/>
      <c r="CPF1" s="251" t="n"/>
      <c r="CPG1" s="251" t="n"/>
      <c r="CPH1" s="251" t="n"/>
      <c r="CPI1" s="251" t="n"/>
      <c r="CPJ1" s="251" t="n"/>
      <c r="CPK1" s="251" t="n"/>
      <c r="CPL1" s="251" t="n"/>
      <c r="CPM1" s="251" t="n"/>
      <c r="CPN1" s="251" t="n"/>
      <c r="CPO1" s="251" t="n"/>
      <c r="CPP1" s="251" t="n"/>
      <c r="CPQ1" s="251" t="n"/>
      <c r="CPR1" s="251" t="n"/>
      <c r="CPS1" s="251" t="n"/>
      <c r="CPT1" s="251" t="n"/>
      <c r="CPU1" s="251" t="n"/>
      <c r="CPV1" s="251" t="n"/>
      <c r="CPW1" s="251" t="n"/>
      <c r="CPX1" s="251" t="n"/>
      <c r="CPY1" s="251" t="n"/>
      <c r="CPZ1" s="251" t="n"/>
      <c r="CQA1" s="251" t="n"/>
      <c r="CQB1" s="251" t="n"/>
      <c r="CQC1" s="251" t="n"/>
      <c r="CQD1" s="251" t="n"/>
      <c r="CQE1" s="251" t="n"/>
      <c r="CQF1" s="251" t="n"/>
      <c r="CQG1" s="251" t="n"/>
      <c r="CQH1" s="251" t="n"/>
      <c r="CQI1" s="251" t="n"/>
      <c r="CQJ1" s="251" t="n"/>
      <c r="CQK1" s="251" t="n"/>
      <c r="CQL1" s="251" t="n"/>
      <c r="CQM1" s="251" t="n"/>
      <c r="CQN1" s="251" t="n"/>
      <c r="CQO1" s="251" t="n"/>
      <c r="CQP1" s="251" t="n"/>
      <c r="CQQ1" s="251" t="n"/>
      <c r="CQR1" s="251" t="n"/>
      <c r="CQS1" s="251" t="n"/>
      <c r="CQT1" s="251" t="n"/>
      <c r="CQU1" s="251" t="n"/>
      <c r="CQV1" s="251" t="n"/>
      <c r="CQW1" s="251" t="n"/>
      <c r="CQX1" s="251" t="n"/>
      <c r="CQY1" s="251" t="n"/>
      <c r="CQZ1" s="251" t="n"/>
      <c r="CRA1" s="251" t="n"/>
      <c r="CRB1" s="251" t="n"/>
      <c r="CRC1" s="251" t="n"/>
      <c r="CRD1" s="251" t="n"/>
      <c r="CRE1" s="251" t="n"/>
      <c r="CRF1" s="251" t="n"/>
      <c r="CRG1" s="251" t="n"/>
      <c r="CRH1" s="251" t="n"/>
      <c r="CRI1" s="251" t="n"/>
      <c r="CRJ1" s="251" t="n"/>
      <c r="CRK1" s="251" t="n"/>
      <c r="CRL1" s="251" t="n"/>
      <c r="CRM1" s="251" t="n"/>
      <c r="CRN1" s="251" t="n"/>
      <c r="CRO1" s="251" t="n"/>
      <c r="CRP1" s="251" t="n"/>
      <c r="CRQ1" s="251" t="n"/>
      <c r="CRR1" s="251" t="n"/>
      <c r="CRS1" s="251" t="n"/>
      <c r="CRT1" s="251" t="n"/>
      <c r="CRU1" s="251" t="n"/>
      <c r="CRV1" s="251" t="n"/>
      <c r="CRW1" s="251" t="n"/>
      <c r="CRX1" s="251" t="n"/>
      <c r="CRY1" s="251" t="n"/>
      <c r="CRZ1" s="251" t="n"/>
      <c r="CSA1" s="251" t="n"/>
      <c r="CSB1" s="251" t="n"/>
      <c r="CSC1" s="251" t="n"/>
      <c r="CSD1" s="251" t="n"/>
      <c r="CSE1" s="251" t="n"/>
      <c r="CSF1" s="251" t="n"/>
      <c r="CSG1" s="251" t="n"/>
      <c r="CSH1" s="251" t="n"/>
      <c r="CSI1" s="251" t="n"/>
      <c r="CSJ1" s="251" t="n"/>
      <c r="CSK1" s="251" t="n"/>
      <c r="CSL1" s="251" t="n"/>
      <c r="CSM1" s="251" t="n"/>
      <c r="CSN1" s="251" t="n"/>
      <c r="CSO1" s="251" t="n"/>
      <c r="CSP1" s="251" t="n"/>
      <c r="CSQ1" s="251" t="n"/>
      <c r="CSR1" s="251" t="n"/>
      <c r="CSS1" s="251" t="n"/>
      <c r="CST1" s="251" t="n"/>
      <c r="CSU1" s="251" t="n"/>
      <c r="CSV1" s="251" t="n"/>
      <c r="CSW1" s="251" t="n"/>
      <c r="CSX1" s="251" t="n"/>
      <c r="CSY1" s="251" t="n"/>
      <c r="CSZ1" s="251" t="n"/>
      <c r="CTA1" s="251" t="n"/>
      <c r="CTB1" s="251" t="n"/>
      <c r="CTC1" s="251" t="n"/>
      <c r="CTD1" s="251" t="n"/>
      <c r="CTE1" s="251" t="n"/>
      <c r="CTF1" s="251" t="n"/>
      <c r="CTG1" s="251" t="n"/>
      <c r="CTH1" s="251" t="n"/>
      <c r="CTI1" s="251" t="n"/>
      <c r="CTJ1" s="251" t="n"/>
      <c r="CTK1" s="251" t="n"/>
      <c r="CTL1" s="251" t="n"/>
      <c r="CTM1" s="251" t="n"/>
      <c r="CTN1" s="251" t="n"/>
      <c r="CTO1" s="251" t="n"/>
      <c r="CTP1" s="251" t="n"/>
      <c r="CTQ1" s="251" t="n"/>
      <c r="CTR1" s="251" t="n"/>
      <c r="CTS1" s="251" t="n"/>
      <c r="CTT1" s="251" t="n"/>
      <c r="CTU1" s="251" t="n"/>
      <c r="CTV1" s="251" t="n"/>
      <c r="CTW1" s="251" t="n"/>
      <c r="CTX1" s="251" t="n"/>
      <c r="CTY1" s="251" t="n"/>
      <c r="CTZ1" s="251" t="n"/>
      <c r="CUA1" s="251" t="n"/>
      <c r="CUB1" s="251" t="n"/>
      <c r="CUC1" s="251" t="n"/>
      <c r="CUD1" s="251" t="n"/>
      <c r="CUE1" s="251" t="n"/>
      <c r="CUF1" s="251" t="n"/>
      <c r="CUG1" s="251" t="n"/>
      <c r="CUH1" s="251" t="n"/>
      <c r="CUI1" s="251" t="n"/>
      <c r="CUJ1" s="251" t="n"/>
      <c r="CUK1" s="251" t="n"/>
      <c r="CUL1" s="251" t="n"/>
      <c r="CUM1" s="251" t="n"/>
      <c r="CUN1" s="251" t="n"/>
      <c r="CUO1" s="251" t="n"/>
      <c r="CUP1" s="251" t="n"/>
      <c r="CUQ1" s="251" t="n"/>
      <c r="CUR1" s="251" t="n"/>
      <c r="CUS1" s="251" t="n"/>
      <c r="CUT1" s="251" t="n"/>
      <c r="CUU1" s="251" t="n"/>
      <c r="CUV1" s="251" t="n"/>
      <c r="CUW1" s="251" t="n"/>
      <c r="CUX1" s="251" t="n"/>
      <c r="CUY1" s="251" t="n"/>
      <c r="CUZ1" s="251" t="n"/>
      <c r="CVA1" s="251" t="n"/>
      <c r="CVB1" s="251" t="n"/>
      <c r="CVC1" s="251" t="n"/>
      <c r="CVD1" s="251" t="n"/>
      <c r="CVE1" s="251" t="n"/>
      <c r="CVF1" s="251" t="n"/>
      <c r="CVG1" s="251" t="n"/>
      <c r="CVH1" s="251" t="n"/>
      <c r="CVI1" s="251" t="n"/>
      <c r="CVJ1" s="251" t="n"/>
      <c r="CVK1" s="251" t="n"/>
      <c r="CVL1" s="251" t="n"/>
      <c r="CVM1" s="251" t="n"/>
      <c r="CVN1" s="251" t="n"/>
      <c r="CVO1" s="251" t="n"/>
      <c r="CVP1" s="251" t="n"/>
      <c r="CVQ1" s="251" t="n"/>
      <c r="CVR1" s="251" t="n"/>
      <c r="CVS1" s="251" t="n"/>
      <c r="CVT1" s="251" t="n"/>
      <c r="CVU1" s="251" t="n"/>
      <c r="CVV1" s="251" t="n"/>
      <c r="CVW1" s="251" t="n"/>
      <c r="CVX1" s="251" t="n"/>
      <c r="CVY1" s="251" t="n"/>
      <c r="CVZ1" s="251" t="n"/>
      <c r="CWA1" s="251" t="n"/>
      <c r="CWB1" s="251" t="n"/>
      <c r="CWC1" s="251" t="n"/>
      <c r="CWD1" s="251" t="n"/>
      <c r="CWE1" s="251" t="n"/>
      <c r="CWF1" s="251" t="n"/>
      <c r="CWG1" s="251" t="n"/>
      <c r="CWH1" s="251" t="n"/>
      <c r="CWI1" s="251" t="n"/>
      <c r="CWJ1" s="251" t="n"/>
      <c r="CWK1" s="251" t="n"/>
      <c r="CWL1" s="251" t="n"/>
      <c r="CWM1" s="251" t="n"/>
      <c r="CWN1" s="251" t="n"/>
      <c r="CWO1" s="251" t="n"/>
      <c r="CWP1" s="251" t="n"/>
      <c r="CWQ1" s="251" t="n"/>
      <c r="CWR1" s="251" t="n"/>
      <c r="CWS1" s="251" t="n"/>
      <c r="CWT1" s="251" t="n"/>
      <c r="CWU1" s="251" t="n"/>
      <c r="CWV1" s="251" t="n"/>
      <c r="CWW1" s="251" t="n"/>
      <c r="CWX1" s="251" t="n"/>
      <c r="CWY1" s="251" t="n"/>
      <c r="CWZ1" s="251" t="n"/>
      <c r="CXA1" s="251" t="n"/>
      <c r="CXB1" s="251" t="n"/>
      <c r="CXC1" s="251" t="n"/>
      <c r="CXD1" s="251" t="n"/>
      <c r="CXE1" s="251" t="n"/>
      <c r="CXF1" s="251" t="n"/>
      <c r="CXG1" s="251" t="n"/>
      <c r="CXH1" s="251" t="n"/>
      <c r="CXI1" s="251" t="n"/>
      <c r="CXJ1" s="251" t="n"/>
      <c r="CXK1" s="251" t="n"/>
      <c r="CXL1" s="251" t="n"/>
      <c r="CXM1" s="251" t="n"/>
      <c r="CXN1" s="251" t="n"/>
      <c r="CXO1" s="251" t="n"/>
      <c r="CXP1" s="251" t="n"/>
      <c r="CXQ1" s="251" t="n"/>
      <c r="CXR1" s="251" t="n"/>
      <c r="CXS1" s="251" t="n"/>
      <c r="CXT1" s="251" t="n"/>
      <c r="CXU1" s="251" t="n"/>
      <c r="CXV1" s="251" t="n"/>
      <c r="CXW1" s="251" t="n"/>
      <c r="CXX1" s="251" t="n"/>
      <c r="CXY1" s="251" t="n"/>
      <c r="CXZ1" s="251" t="n"/>
      <c r="CYA1" s="251" t="n"/>
      <c r="CYB1" s="251" t="n"/>
      <c r="CYC1" s="251" t="n"/>
      <c r="CYD1" s="251" t="n"/>
      <c r="CYE1" s="251" t="n"/>
      <c r="CYF1" s="251" t="n"/>
      <c r="CYG1" s="251" t="n"/>
      <c r="CYH1" s="251" t="n"/>
      <c r="CYI1" s="251" t="n"/>
      <c r="CYJ1" s="251" t="n"/>
      <c r="CYK1" s="251" t="n"/>
      <c r="CYL1" s="251" t="n"/>
      <c r="CYM1" s="251" t="n"/>
      <c r="CYN1" s="251" t="n"/>
      <c r="CYO1" s="251" t="n"/>
      <c r="CYP1" s="251" t="n"/>
      <c r="CYQ1" s="251" t="n"/>
      <c r="CYR1" s="251" t="n"/>
      <c r="CYS1" s="251" t="n"/>
      <c r="CYT1" s="251" t="n"/>
      <c r="CYU1" s="251" t="n"/>
      <c r="CYV1" s="251" t="n"/>
      <c r="CYW1" s="251" t="n"/>
      <c r="CYX1" s="251" t="n"/>
      <c r="CYY1" s="251" t="n"/>
      <c r="CYZ1" s="251" t="n"/>
      <c r="CZA1" s="251" t="n"/>
      <c r="CZB1" s="251" t="n"/>
      <c r="CZC1" s="251" t="n"/>
      <c r="CZD1" s="251" t="n"/>
      <c r="CZE1" s="251" t="n"/>
      <c r="CZF1" s="251" t="n"/>
      <c r="CZG1" s="251" t="n"/>
      <c r="CZH1" s="251" t="n"/>
      <c r="CZI1" s="251" t="n"/>
      <c r="CZJ1" s="251" t="n"/>
      <c r="CZK1" s="251" t="n"/>
      <c r="CZL1" s="251" t="n"/>
      <c r="CZM1" s="251" t="n"/>
      <c r="CZN1" s="251" t="n"/>
      <c r="CZO1" s="251" t="n"/>
      <c r="CZP1" s="251" t="n"/>
      <c r="CZQ1" s="251" t="n"/>
      <c r="CZR1" s="251" t="n"/>
      <c r="CZS1" s="251" t="n"/>
      <c r="CZT1" s="251" t="n"/>
      <c r="CZU1" s="251" t="n"/>
      <c r="CZV1" s="251" t="n"/>
      <c r="CZW1" s="251" t="n"/>
      <c r="CZX1" s="251" t="n"/>
      <c r="CZY1" s="251" t="n"/>
      <c r="CZZ1" s="251" t="n"/>
      <c r="DAA1" s="251" t="n"/>
      <c r="DAB1" s="251" t="n"/>
      <c r="DAC1" s="251" t="n"/>
      <c r="DAD1" s="251" t="n"/>
      <c r="DAE1" s="251" t="n"/>
      <c r="DAF1" s="251" t="n"/>
      <c r="DAG1" s="251" t="n"/>
      <c r="DAH1" s="251" t="n"/>
      <c r="DAI1" s="251" t="n"/>
      <c r="DAJ1" s="251" t="n"/>
      <c r="DAK1" s="251" t="n"/>
      <c r="DAL1" s="251" t="n"/>
      <c r="DAM1" s="251" t="n"/>
      <c r="DAN1" s="251" t="n"/>
      <c r="DAO1" s="251" t="n"/>
      <c r="DAP1" s="251" t="n"/>
      <c r="DAQ1" s="251" t="n"/>
      <c r="DAR1" s="251" t="n"/>
      <c r="DAS1" s="251" t="n"/>
      <c r="DAT1" s="251" t="n"/>
      <c r="DAU1" s="251" t="n"/>
      <c r="DAV1" s="251" t="n"/>
      <c r="DAW1" s="251" t="n"/>
      <c r="DAX1" s="251" t="n"/>
      <c r="DAY1" s="251" t="n"/>
      <c r="DAZ1" s="251" t="n"/>
      <c r="DBA1" s="251" t="n"/>
      <c r="DBB1" s="251" t="n"/>
      <c r="DBC1" s="251" t="n"/>
      <c r="DBD1" s="251" t="n"/>
      <c r="DBE1" s="251" t="n"/>
      <c r="DBF1" s="251" t="n"/>
      <c r="DBG1" s="251" t="n"/>
      <c r="DBH1" s="251" t="n"/>
      <c r="DBI1" s="251" t="n"/>
      <c r="DBJ1" s="251" t="n"/>
      <c r="DBK1" s="251" t="n"/>
      <c r="DBL1" s="251" t="n"/>
      <c r="DBM1" s="251" t="n"/>
      <c r="DBN1" s="251" t="n"/>
      <c r="DBO1" s="251" t="n"/>
      <c r="DBP1" s="251" t="n"/>
      <c r="DBQ1" s="251" t="n"/>
      <c r="DBR1" s="251" t="n"/>
      <c r="DBS1" s="251" t="n"/>
      <c r="DBT1" s="251" t="n"/>
      <c r="DBU1" s="251" t="n"/>
      <c r="DBV1" s="251" t="n"/>
      <c r="DBW1" s="251" t="n"/>
      <c r="DBX1" s="251" t="n"/>
      <c r="DBY1" s="251" t="n"/>
      <c r="DBZ1" s="251" t="n"/>
      <c r="DCA1" s="251" t="n"/>
      <c r="DCB1" s="251" t="n"/>
      <c r="DCC1" s="251" t="n"/>
      <c r="DCD1" s="251" t="n"/>
      <c r="DCE1" s="251" t="n"/>
      <c r="DCF1" s="251" t="n"/>
      <c r="DCG1" s="251" t="n"/>
      <c r="DCH1" s="251" t="n"/>
      <c r="DCI1" s="251" t="n"/>
      <c r="DCJ1" s="251" t="n"/>
      <c r="DCK1" s="251" t="n"/>
      <c r="DCL1" s="251" t="n"/>
      <c r="DCM1" s="251" t="n"/>
      <c r="DCN1" s="251" t="n"/>
      <c r="DCO1" s="251" t="n"/>
      <c r="DCP1" s="251" t="n"/>
      <c r="DCQ1" s="251" t="n"/>
      <c r="DCR1" s="251" t="n"/>
      <c r="DCS1" s="251" t="n"/>
      <c r="DCT1" s="251" t="n"/>
      <c r="DCU1" s="251" t="n"/>
      <c r="DCV1" s="251" t="n"/>
      <c r="DCW1" s="251" t="n"/>
      <c r="DCX1" s="251" t="n"/>
      <c r="DCY1" s="251" t="n"/>
      <c r="DCZ1" s="251" t="n"/>
      <c r="DDA1" s="251" t="n"/>
      <c r="DDB1" s="251" t="n"/>
      <c r="DDC1" s="251" t="n"/>
      <c r="DDD1" s="251" t="n"/>
      <c r="DDE1" s="251" t="n"/>
      <c r="DDF1" s="251" t="n"/>
      <c r="DDG1" s="251" t="n"/>
      <c r="DDH1" s="251" t="n"/>
      <c r="DDI1" s="251" t="n"/>
      <c r="DDJ1" s="251" t="n"/>
      <c r="DDK1" s="251" t="n"/>
      <c r="DDL1" s="251" t="n"/>
      <c r="DDM1" s="251" t="n"/>
      <c r="DDN1" s="251" t="n"/>
      <c r="DDO1" s="251" t="n"/>
      <c r="DDP1" s="251" t="n"/>
      <c r="DDQ1" s="251" t="n"/>
      <c r="DDR1" s="251" t="n"/>
      <c r="DDS1" s="251" t="n"/>
      <c r="DDT1" s="251" t="n"/>
      <c r="DDU1" s="251" t="n"/>
      <c r="DDV1" s="251" t="n"/>
      <c r="DDW1" s="251" t="n"/>
      <c r="DDX1" s="251" t="n"/>
      <c r="DDY1" s="251" t="n"/>
      <c r="DDZ1" s="251" t="n"/>
      <c r="DEA1" s="251" t="n"/>
      <c r="DEB1" s="251" t="n"/>
      <c r="DEC1" s="251" t="n"/>
      <c r="DED1" s="251" t="n"/>
      <c r="DEE1" s="251" t="n"/>
      <c r="DEF1" s="251" t="n"/>
      <c r="DEG1" s="251" t="n"/>
      <c r="DEH1" s="251" t="n"/>
      <c r="DEI1" s="251" t="n"/>
      <c r="DEJ1" s="251" t="n"/>
      <c r="DEK1" s="251" t="n"/>
      <c r="DEL1" s="251" t="n"/>
      <c r="DEM1" s="251" t="n"/>
      <c r="DEN1" s="251" t="n"/>
      <c r="DEO1" s="251" t="n"/>
      <c r="DEP1" s="251" t="n"/>
      <c r="DEQ1" s="251" t="n"/>
      <c r="DER1" s="251" t="n"/>
      <c r="DES1" s="251" t="n"/>
      <c r="DET1" s="251" t="n"/>
      <c r="DEU1" s="251" t="n"/>
      <c r="DEV1" s="251" t="n"/>
      <c r="DEW1" s="251" t="n"/>
      <c r="DEX1" s="251" t="n"/>
      <c r="DEY1" s="251" t="n"/>
      <c r="DEZ1" s="251" t="n"/>
      <c r="DFA1" s="251" t="n"/>
      <c r="DFB1" s="251" t="n"/>
      <c r="DFC1" s="251" t="n"/>
      <c r="DFD1" s="251" t="n"/>
      <c r="DFE1" s="251" t="n"/>
      <c r="DFF1" s="251" t="n"/>
      <c r="DFG1" s="251" t="n"/>
      <c r="DFH1" s="251" t="n"/>
      <c r="DFI1" s="251" t="n"/>
      <c r="DFJ1" s="251" t="n"/>
      <c r="DFK1" s="251" t="n"/>
      <c r="DFL1" s="251" t="n"/>
      <c r="DFM1" s="251" t="n"/>
      <c r="DFN1" s="251" t="n"/>
      <c r="DFO1" s="251" t="n"/>
      <c r="DFP1" s="251" t="n"/>
      <c r="DFQ1" s="251" t="n"/>
      <c r="DFR1" s="251" t="n"/>
      <c r="DFS1" s="251" t="n"/>
      <c r="DFT1" s="251" t="n"/>
      <c r="DFU1" s="251" t="n"/>
      <c r="DFV1" s="251" t="n"/>
      <c r="DFW1" s="251" t="n"/>
      <c r="DFX1" s="251" t="n"/>
      <c r="DFY1" s="251" t="n"/>
      <c r="DFZ1" s="251" t="n"/>
      <c r="DGA1" s="251" t="n"/>
      <c r="DGB1" s="251" t="n"/>
      <c r="DGC1" s="251" t="n"/>
      <c r="DGD1" s="251" t="n"/>
      <c r="DGE1" s="251" t="n"/>
      <c r="DGF1" s="251" t="n"/>
      <c r="DGG1" s="251" t="n"/>
      <c r="DGH1" s="251" t="n"/>
      <c r="DGI1" s="251" t="n"/>
      <c r="DGJ1" s="251" t="n"/>
      <c r="DGK1" s="251" t="n"/>
      <c r="DGL1" s="251" t="n"/>
      <c r="DGM1" s="251" t="n"/>
      <c r="DGN1" s="251" t="n"/>
      <c r="DGO1" s="251" t="n"/>
      <c r="DGP1" s="251" t="n"/>
      <c r="DGQ1" s="251" t="n"/>
      <c r="DGR1" s="251" t="n"/>
      <c r="DGS1" s="251" t="n"/>
      <c r="DGT1" s="251" t="n"/>
      <c r="DGU1" s="251" t="n"/>
      <c r="DGV1" s="251" t="n"/>
      <c r="DGW1" s="251" t="n"/>
      <c r="DGX1" s="251" t="n"/>
      <c r="DGY1" s="251" t="n"/>
      <c r="DGZ1" s="251" t="n"/>
      <c r="DHA1" s="251" t="n"/>
      <c r="DHB1" s="251" t="n"/>
      <c r="DHC1" s="251" t="n"/>
      <c r="DHD1" s="251" t="n"/>
      <c r="DHE1" s="251" t="n"/>
      <c r="DHF1" s="251" t="n"/>
      <c r="DHG1" s="251" t="n"/>
      <c r="DHH1" s="251" t="n"/>
      <c r="DHI1" s="251" t="n"/>
      <c r="DHJ1" s="251" t="n"/>
      <c r="DHK1" s="251" t="n"/>
      <c r="DHL1" s="251" t="n"/>
      <c r="DHM1" s="251" t="n"/>
      <c r="DHN1" s="251" t="n"/>
      <c r="DHO1" s="251" t="n"/>
      <c r="DHP1" s="251" t="n"/>
      <c r="DHQ1" s="251" t="n"/>
      <c r="DHR1" s="251" t="n"/>
      <c r="DHS1" s="251" t="n"/>
      <c r="DHT1" s="251" t="n"/>
      <c r="DHU1" s="251" t="n"/>
      <c r="DHV1" s="251" t="n"/>
      <c r="DHW1" s="251" t="n"/>
      <c r="DHX1" s="251" t="n"/>
      <c r="DHY1" s="251" t="n"/>
      <c r="DHZ1" s="251" t="n"/>
      <c r="DIA1" s="251" t="n"/>
      <c r="DIB1" s="251" t="n"/>
      <c r="DIC1" s="251" t="n"/>
      <c r="DID1" s="251" t="n"/>
      <c r="DIE1" s="251" t="n"/>
      <c r="DIF1" s="251" t="n"/>
      <c r="DIG1" s="251" t="n"/>
      <c r="DIH1" s="251" t="n"/>
      <c r="DII1" s="251" t="n"/>
      <c r="DIJ1" s="251" t="n"/>
      <c r="DIK1" s="251" t="n"/>
      <c r="DIL1" s="251" t="n"/>
      <c r="DIM1" s="251" t="n"/>
      <c r="DIN1" s="251" t="n"/>
      <c r="DIO1" s="251" t="n"/>
      <c r="DIP1" s="251" t="n"/>
      <c r="DIQ1" s="251" t="n"/>
      <c r="DIR1" s="251" t="n"/>
      <c r="DIS1" s="251" t="n"/>
      <c r="DIT1" s="251" t="n"/>
      <c r="DIU1" s="251" t="n"/>
      <c r="DIV1" s="251" t="n"/>
      <c r="DIW1" s="251" t="n"/>
      <c r="DIX1" s="251" t="n"/>
      <c r="DIY1" s="251" t="n"/>
      <c r="DIZ1" s="251" t="n"/>
      <c r="DJA1" s="251" t="n"/>
      <c r="DJB1" s="251" t="n"/>
      <c r="DJC1" s="251" t="n"/>
      <c r="DJD1" s="251" t="n"/>
      <c r="DJE1" s="251" t="n"/>
      <c r="DJF1" s="251" t="n"/>
      <c r="DJG1" s="251" t="n"/>
      <c r="DJH1" s="251" t="n"/>
      <c r="DJI1" s="251" t="n"/>
      <c r="DJJ1" s="251" t="n"/>
      <c r="DJK1" s="251" t="n"/>
      <c r="DJL1" s="251" t="n"/>
      <c r="DJM1" s="251" t="n"/>
      <c r="DJN1" s="251" t="n"/>
      <c r="DJO1" s="251" t="n"/>
      <c r="DJP1" s="251" t="n"/>
      <c r="DJQ1" s="251" t="n"/>
      <c r="DJR1" s="251" t="n"/>
      <c r="DJS1" s="251" t="n"/>
      <c r="DJT1" s="251" t="n"/>
      <c r="DJU1" s="251" t="n"/>
      <c r="DJV1" s="251" t="n"/>
      <c r="DJW1" s="251" t="n"/>
      <c r="DJX1" s="251" t="n"/>
      <c r="DJY1" s="251" t="n"/>
      <c r="DJZ1" s="251" t="n"/>
      <c r="DKA1" s="251" t="n"/>
      <c r="DKB1" s="251" t="n"/>
      <c r="DKC1" s="251" t="n"/>
      <c r="DKD1" s="251" t="n"/>
      <c r="DKE1" s="251" t="n"/>
      <c r="DKF1" s="251" t="n"/>
      <c r="DKG1" s="251" t="n"/>
      <c r="DKH1" s="251" t="n"/>
      <c r="DKI1" s="251" t="n"/>
      <c r="DKJ1" s="251" t="n"/>
      <c r="DKK1" s="251" t="n"/>
      <c r="DKL1" s="251" t="n"/>
      <c r="DKM1" s="251" t="n"/>
      <c r="DKN1" s="251" t="n"/>
      <c r="DKO1" s="251" t="n"/>
      <c r="DKP1" s="251" t="n"/>
      <c r="DKQ1" s="251" t="n"/>
      <c r="DKR1" s="251" t="n"/>
      <c r="DKS1" s="251" t="n"/>
      <c r="DKT1" s="251" t="n"/>
      <c r="DKU1" s="251" t="n"/>
      <c r="DKV1" s="251" t="n"/>
      <c r="DKW1" s="251" t="n"/>
      <c r="DKX1" s="251" t="n"/>
      <c r="DKY1" s="251" t="n"/>
      <c r="DKZ1" s="251" t="n"/>
      <c r="DLA1" s="251" t="n"/>
      <c r="DLB1" s="251" t="n"/>
      <c r="DLC1" s="251" t="n"/>
      <c r="DLD1" s="251" t="n"/>
      <c r="DLE1" s="251" t="n"/>
      <c r="DLF1" s="251" t="n"/>
      <c r="DLG1" s="251" t="n"/>
      <c r="DLH1" s="251" t="n"/>
      <c r="DLI1" s="251" t="n"/>
      <c r="DLJ1" s="251" t="n"/>
      <c r="DLK1" s="251" t="n"/>
      <c r="DLL1" s="251" t="n"/>
      <c r="DLM1" s="251" t="n"/>
      <c r="DLN1" s="251" t="n"/>
      <c r="DLO1" s="251" t="n"/>
      <c r="DLP1" s="251" t="n"/>
      <c r="DLQ1" s="251" t="n"/>
      <c r="DLR1" s="251" t="n"/>
      <c r="DLS1" s="251" t="n"/>
      <c r="DLT1" s="251" t="n"/>
      <c r="DLU1" s="251" t="n"/>
      <c r="DLV1" s="251" t="n"/>
      <c r="DLW1" s="251" t="n"/>
      <c r="DLX1" s="251" t="n"/>
      <c r="DLY1" s="251" t="n"/>
      <c r="DLZ1" s="251" t="n"/>
      <c r="DMA1" s="251" t="n"/>
      <c r="DMB1" s="251" t="n"/>
      <c r="DMC1" s="251" t="n"/>
      <c r="DMD1" s="251" t="n"/>
      <c r="DME1" s="251" t="n"/>
      <c r="DMF1" s="251" t="n"/>
      <c r="DMG1" s="251" t="n"/>
      <c r="DMH1" s="251" t="n"/>
      <c r="DMI1" s="251" t="n"/>
      <c r="DMJ1" s="251" t="n"/>
      <c r="DMK1" s="251" t="n"/>
      <c r="DML1" s="251" t="n"/>
      <c r="DMM1" s="251" t="n"/>
      <c r="DMN1" s="251" t="n"/>
      <c r="DMO1" s="251" t="n"/>
      <c r="DMP1" s="251" t="n"/>
      <c r="DMQ1" s="251" t="n"/>
      <c r="DMR1" s="251" t="n"/>
      <c r="DMS1" s="251" t="n"/>
      <c r="DMT1" s="251" t="n"/>
      <c r="DMU1" s="251" t="n"/>
      <c r="DMV1" s="251" t="n"/>
      <c r="DMW1" s="251" t="n"/>
      <c r="DMX1" s="251" t="n"/>
      <c r="DMY1" s="251" t="n"/>
      <c r="DMZ1" s="251" t="n"/>
      <c r="DNA1" s="251" t="n"/>
      <c r="DNB1" s="251" t="n"/>
      <c r="DNC1" s="251" t="n"/>
      <c r="DND1" s="251" t="n"/>
      <c r="DNE1" s="251" t="n"/>
      <c r="DNF1" s="251" t="n"/>
      <c r="DNG1" s="251" t="n"/>
      <c r="DNH1" s="251" t="n"/>
      <c r="DNI1" s="251" t="n"/>
      <c r="DNJ1" s="251" t="n"/>
      <c r="DNK1" s="251" t="n"/>
      <c r="DNL1" s="251" t="n"/>
      <c r="DNM1" s="251" t="n"/>
      <c r="DNN1" s="251" t="n"/>
      <c r="DNO1" s="251" t="n"/>
      <c r="DNP1" s="251" t="n"/>
      <c r="DNQ1" s="251" t="n"/>
      <c r="DNR1" s="251" t="n"/>
      <c r="DNS1" s="251" t="n"/>
      <c r="DNT1" s="251" t="n"/>
      <c r="DNU1" s="251" t="n"/>
      <c r="DNV1" s="251" t="n"/>
      <c r="DNW1" s="251" t="n"/>
      <c r="DNX1" s="251" t="n"/>
      <c r="DNY1" s="251" t="n"/>
      <c r="DNZ1" s="251" t="n"/>
      <c r="DOA1" s="251" t="n"/>
      <c r="DOB1" s="251" t="n"/>
      <c r="DOC1" s="251" t="n"/>
      <c r="DOD1" s="251" t="n"/>
      <c r="DOE1" s="251" t="n"/>
      <c r="DOF1" s="251" t="n"/>
      <c r="DOG1" s="251" t="n"/>
      <c r="DOH1" s="251" t="n"/>
      <c r="DOI1" s="251" t="n"/>
      <c r="DOJ1" s="251" t="n"/>
      <c r="DOK1" s="251" t="n"/>
      <c r="DOL1" s="251" t="n"/>
      <c r="DOM1" s="251" t="n"/>
      <c r="DON1" s="251" t="n"/>
      <c r="DOO1" s="251" t="n"/>
      <c r="DOP1" s="251" t="n"/>
      <c r="DOQ1" s="251" t="n"/>
      <c r="DOR1" s="251" t="n"/>
      <c r="DOS1" s="251" t="n"/>
      <c r="DOT1" s="251" t="n"/>
      <c r="DOU1" s="251" t="n"/>
      <c r="DOV1" s="251" t="n"/>
      <c r="DOW1" s="251" t="n"/>
      <c r="DOX1" s="251" t="n"/>
      <c r="DOY1" s="251" t="n"/>
      <c r="DOZ1" s="251" t="n"/>
      <c r="DPA1" s="251" t="n"/>
      <c r="DPB1" s="251" t="n"/>
      <c r="DPC1" s="251" t="n"/>
      <c r="DPD1" s="251" t="n"/>
      <c r="DPE1" s="251" t="n"/>
      <c r="DPF1" s="251" t="n"/>
      <c r="DPG1" s="251" t="n"/>
      <c r="DPH1" s="251" t="n"/>
      <c r="DPI1" s="251" t="n"/>
      <c r="DPJ1" s="251" t="n"/>
      <c r="DPK1" s="251" t="n"/>
      <c r="DPL1" s="251" t="n"/>
      <c r="DPM1" s="251" t="n"/>
      <c r="DPN1" s="251" t="n"/>
      <c r="DPO1" s="251" t="n"/>
      <c r="DPP1" s="251" t="n"/>
      <c r="DPQ1" s="251" t="n"/>
      <c r="DPR1" s="251" t="n"/>
      <c r="DPS1" s="251" t="n"/>
      <c r="DPT1" s="251" t="n"/>
      <c r="DPU1" s="251" t="n"/>
      <c r="DPV1" s="251" t="n"/>
      <c r="DPW1" s="251" t="n"/>
      <c r="DPX1" s="251" t="n"/>
      <c r="DPY1" s="251" t="n"/>
      <c r="DPZ1" s="251" t="n"/>
      <c r="DQA1" s="251" t="n"/>
      <c r="DQB1" s="251" t="n"/>
      <c r="DQC1" s="251" t="n"/>
      <c r="DQD1" s="251" t="n"/>
      <c r="DQE1" s="251" t="n"/>
      <c r="DQF1" s="251" t="n"/>
      <c r="DQG1" s="251" t="n"/>
      <c r="DQH1" s="251" t="n"/>
      <c r="DQI1" s="251" t="n"/>
      <c r="DQJ1" s="251" t="n"/>
      <c r="DQK1" s="251" t="n"/>
      <c r="DQL1" s="251" t="n"/>
      <c r="DQM1" s="251" t="n"/>
      <c r="DQN1" s="251" t="n"/>
      <c r="DQO1" s="251" t="n"/>
      <c r="DQP1" s="251" t="n"/>
      <c r="DQQ1" s="251" t="n"/>
      <c r="DQR1" s="251" t="n"/>
      <c r="DQS1" s="251" t="n"/>
      <c r="DQT1" s="251" t="n"/>
      <c r="DQU1" s="251" t="n"/>
      <c r="DQV1" s="251" t="n"/>
      <c r="DQW1" s="251" t="n"/>
      <c r="DQX1" s="251" t="n"/>
      <c r="DQY1" s="251" t="n"/>
      <c r="DQZ1" s="251" t="n"/>
      <c r="DRA1" s="251" t="n"/>
      <c r="DRB1" s="251" t="n"/>
      <c r="DRC1" s="251" t="n"/>
      <c r="DRD1" s="251" t="n"/>
      <c r="DRE1" s="251" t="n"/>
      <c r="DRF1" s="251" t="n"/>
      <c r="DRG1" s="251" t="n"/>
      <c r="DRH1" s="251" t="n"/>
      <c r="DRI1" s="251" t="n"/>
      <c r="DRJ1" s="251" t="n"/>
      <c r="DRK1" s="251" t="n"/>
      <c r="DRL1" s="251" t="n"/>
      <c r="DRM1" s="251" t="n"/>
      <c r="DRN1" s="251" t="n"/>
      <c r="DRO1" s="251" t="n"/>
      <c r="DRP1" s="251" t="n"/>
      <c r="DRQ1" s="251" t="n"/>
      <c r="DRR1" s="251" t="n"/>
      <c r="DRS1" s="251" t="n"/>
      <c r="DRT1" s="251" t="n"/>
      <c r="DRU1" s="251" t="n"/>
      <c r="DRV1" s="251" t="n"/>
      <c r="DRW1" s="251" t="n"/>
      <c r="DRX1" s="251" t="n"/>
      <c r="DRY1" s="251" t="n"/>
      <c r="DRZ1" s="251" t="n"/>
      <c r="DSA1" s="251" t="n"/>
      <c r="DSB1" s="251" t="n"/>
      <c r="DSC1" s="251" t="n"/>
      <c r="DSD1" s="251" t="n"/>
      <c r="DSE1" s="251" t="n"/>
      <c r="DSF1" s="251" t="n"/>
      <c r="DSG1" s="251" t="n"/>
      <c r="DSH1" s="251" t="n"/>
      <c r="DSI1" s="251" t="n"/>
      <c r="DSJ1" s="251" t="n"/>
      <c r="DSK1" s="251" t="n"/>
      <c r="DSL1" s="251" t="n"/>
      <c r="DSM1" s="251" t="n"/>
      <c r="DSN1" s="251" t="n"/>
      <c r="DSO1" s="251" t="n"/>
      <c r="DSP1" s="251" t="n"/>
      <c r="DSQ1" s="251" t="n"/>
      <c r="DSR1" s="251" t="n"/>
      <c r="DSS1" s="251" t="n"/>
      <c r="DST1" s="251" t="n"/>
      <c r="DSU1" s="251" t="n"/>
      <c r="DSV1" s="251" t="n"/>
      <c r="DSW1" s="251" t="n"/>
      <c r="DSX1" s="251" t="n"/>
      <c r="DSY1" s="251" t="n"/>
      <c r="DSZ1" s="251" t="n"/>
      <c r="DTA1" s="251" t="n"/>
      <c r="DTB1" s="251" t="n"/>
      <c r="DTC1" s="251" t="n"/>
      <c r="DTD1" s="251" t="n"/>
      <c r="DTE1" s="251" t="n"/>
      <c r="DTF1" s="251" t="n"/>
      <c r="DTG1" s="251" t="n"/>
      <c r="DTH1" s="251" t="n"/>
      <c r="DTI1" s="251" t="n"/>
      <c r="DTJ1" s="251" t="n"/>
      <c r="DTK1" s="251" t="n"/>
      <c r="DTL1" s="251" t="n"/>
      <c r="DTM1" s="251" t="n"/>
      <c r="DTN1" s="251" t="n"/>
      <c r="DTO1" s="251" t="n"/>
      <c r="DTP1" s="251" t="n"/>
      <c r="DTQ1" s="251" t="n"/>
      <c r="DTR1" s="251" t="n"/>
      <c r="DTS1" s="251" t="n"/>
      <c r="DTT1" s="251" t="n"/>
      <c r="DTU1" s="251" t="n"/>
      <c r="DTV1" s="251" t="n"/>
      <c r="DTW1" s="251" t="n"/>
      <c r="DTX1" s="251" t="n"/>
      <c r="DTY1" s="251" t="n"/>
      <c r="DTZ1" s="251" t="n"/>
      <c r="DUA1" s="251" t="n"/>
      <c r="DUB1" s="251" t="n"/>
      <c r="DUC1" s="251" t="n"/>
      <c r="DUD1" s="251" t="n"/>
      <c r="DUE1" s="251" t="n"/>
      <c r="DUF1" s="251" t="n"/>
      <c r="DUG1" s="251" t="n"/>
      <c r="DUH1" s="251" t="n"/>
      <c r="DUI1" s="251" t="n"/>
      <c r="DUJ1" s="251" t="n"/>
      <c r="DUK1" s="251" t="n"/>
      <c r="DUL1" s="251" t="n"/>
      <c r="DUM1" s="251" t="n"/>
      <c r="DUN1" s="251" t="n"/>
      <c r="DUO1" s="251" t="n"/>
      <c r="DUP1" s="251" t="n"/>
      <c r="DUQ1" s="251" t="n"/>
      <c r="DUR1" s="251" t="n"/>
      <c r="DUS1" s="251" t="n"/>
      <c r="DUT1" s="251" t="n"/>
      <c r="DUU1" s="251" t="n"/>
      <c r="DUV1" s="251" t="n"/>
      <c r="DUW1" s="251" t="n"/>
      <c r="DUX1" s="251" t="n"/>
      <c r="DUY1" s="251" t="n"/>
      <c r="DUZ1" s="251" t="n"/>
      <c r="DVA1" s="251" t="n"/>
      <c r="DVB1" s="251" t="n"/>
      <c r="DVC1" s="251" t="n"/>
      <c r="DVD1" s="251" t="n"/>
      <c r="DVE1" s="251" t="n"/>
      <c r="DVF1" s="251" t="n"/>
      <c r="DVG1" s="251" t="n"/>
      <c r="DVH1" s="251" t="n"/>
      <c r="DVI1" s="251" t="n"/>
      <c r="DVJ1" s="251" t="n"/>
      <c r="DVK1" s="251" t="n"/>
      <c r="DVL1" s="251" t="n"/>
      <c r="DVM1" s="251" t="n"/>
      <c r="DVN1" s="251" t="n"/>
      <c r="DVO1" s="251" t="n"/>
      <c r="DVP1" s="251" t="n"/>
      <c r="DVQ1" s="251" t="n"/>
      <c r="DVR1" s="251" t="n"/>
      <c r="DVS1" s="251" t="n"/>
      <c r="DVT1" s="251" t="n"/>
      <c r="DVU1" s="251" t="n"/>
      <c r="DVV1" s="251" t="n"/>
      <c r="DVW1" s="251" t="n"/>
      <c r="DVX1" s="251" t="n"/>
      <c r="DVY1" s="251" t="n"/>
      <c r="DVZ1" s="251" t="n"/>
      <c r="DWA1" s="251" t="n"/>
      <c r="DWB1" s="251" t="n"/>
      <c r="DWC1" s="251" t="n"/>
      <c r="DWD1" s="251" t="n"/>
      <c r="DWE1" s="251" t="n"/>
      <c r="DWF1" s="251" t="n"/>
      <c r="DWG1" s="251" t="n"/>
      <c r="DWH1" s="251" t="n"/>
      <c r="DWI1" s="251" t="n"/>
      <c r="DWJ1" s="251" t="n"/>
      <c r="DWK1" s="251" t="n"/>
      <c r="DWL1" s="251" t="n"/>
      <c r="DWM1" s="251" t="n"/>
      <c r="DWN1" s="251" t="n"/>
      <c r="DWO1" s="251" t="n"/>
      <c r="DWP1" s="251" t="n"/>
      <c r="DWQ1" s="251" t="n"/>
      <c r="DWR1" s="251" t="n"/>
      <c r="DWS1" s="251" t="n"/>
      <c r="DWT1" s="251" t="n"/>
      <c r="DWU1" s="251" t="n"/>
      <c r="DWV1" s="251" t="n"/>
      <c r="DWW1" s="251" t="n"/>
      <c r="DWX1" s="251" t="n"/>
      <c r="DWY1" s="251" t="n"/>
      <c r="DWZ1" s="251" t="n"/>
      <c r="DXA1" s="251" t="n"/>
      <c r="DXB1" s="251" t="n"/>
      <c r="DXC1" s="251" t="n"/>
      <c r="DXD1" s="251" t="n"/>
      <c r="DXE1" s="251" t="n"/>
      <c r="DXF1" s="251" t="n"/>
      <c r="DXG1" s="251" t="n"/>
      <c r="DXH1" s="251" t="n"/>
      <c r="DXI1" s="251" t="n"/>
      <c r="DXJ1" s="251" t="n"/>
      <c r="DXK1" s="251" t="n"/>
      <c r="DXL1" s="251" t="n"/>
      <c r="DXM1" s="251" t="n"/>
      <c r="DXN1" s="251" t="n"/>
      <c r="DXO1" s="251" t="n"/>
      <c r="DXP1" s="251" t="n"/>
      <c r="DXQ1" s="251" t="n"/>
      <c r="DXR1" s="251" t="n"/>
      <c r="DXS1" s="251" t="n"/>
      <c r="DXT1" s="251" t="n"/>
      <c r="DXU1" s="251" t="n"/>
      <c r="DXV1" s="251" t="n"/>
      <c r="DXW1" s="251" t="n"/>
      <c r="DXX1" s="251" t="n"/>
      <c r="DXY1" s="251" t="n"/>
      <c r="DXZ1" s="251" t="n"/>
      <c r="DYA1" s="251" t="n"/>
      <c r="DYB1" s="251" t="n"/>
      <c r="DYC1" s="251" t="n"/>
      <c r="DYD1" s="251" t="n"/>
      <c r="DYE1" s="251" t="n"/>
      <c r="DYF1" s="251" t="n"/>
      <c r="DYG1" s="251" t="n"/>
      <c r="DYH1" s="251" t="n"/>
      <c r="DYI1" s="251" t="n"/>
      <c r="DYJ1" s="251" t="n"/>
      <c r="DYK1" s="251" t="n"/>
      <c r="DYL1" s="251" t="n"/>
      <c r="DYM1" s="251" t="n"/>
      <c r="DYN1" s="251" t="n"/>
      <c r="DYO1" s="251" t="n"/>
      <c r="DYP1" s="251" t="n"/>
      <c r="DYQ1" s="251" t="n"/>
      <c r="DYR1" s="251" t="n"/>
      <c r="DYS1" s="251" t="n"/>
      <c r="DYT1" s="251" t="n"/>
      <c r="DYU1" s="251" t="n"/>
      <c r="DYV1" s="251" t="n"/>
      <c r="DYW1" s="251" t="n"/>
      <c r="DYX1" s="251" t="n"/>
      <c r="DYY1" s="251" t="n"/>
      <c r="DYZ1" s="251" t="n"/>
      <c r="DZA1" s="251" t="n"/>
      <c r="DZB1" s="251" t="n"/>
      <c r="DZC1" s="251" t="n"/>
      <c r="DZD1" s="251" t="n"/>
      <c r="DZE1" s="251" t="n"/>
      <c r="DZF1" s="251" t="n"/>
      <c r="DZG1" s="251" t="n"/>
      <c r="DZH1" s="251" t="n"/>
      <c r="DZI1" s="251" t="n"/>
      <c r="DZJ1" s="251" t="n"/>
      <c r="DZK1" s="251" t="n"/>
      <c r="DZL1" s="251" t="n"/>
      <c r="DZM1" s="251" t="n"/>
      <c r="DZN1" s="251" t="n"/>
      <c r="DZO1" s="251" t="n"/>
      <c r="DZP1" s="251" t="n"/>
      <c r="DZQ1" s="251" t="n"/>
      <c r="DZR1" s="251" t="n"/>
      <c r="DZS1" s="251" t="n"/>
      <c r="DZT1" s="251" t="n"/>
      <c r="DZU1" s="251" t="n"/>
      <c r="DZV1" s="251" t="n"/>
      <c r="DZW1" s="251" t="n"/>
      <c r="DZX1" s="251" t="n"/>
      <c r="DZY1" s="251" t="n"/>
      <c r="DZZ1" s="251" t="n"/>
      <c r="EAA1" s="251" t="n"/>
      <c r="EAB1" s="251" t="n"/>
      <c r="EAC1" s="251" t="n"/>
      <c r="EAD1" s="251" t="n"/>
      <c r="EAE1" s="251" t="n"/>
      <c r="EAF1" s="251" t="n"/>
      <c r="EAG1" s="251" t="n"/>
      <c r="EAH1" s="251" t="n"/>
      <c r="EAI1" s="251" t="n"/>
      <c r="EAJ1" s="251" t="n"/>
      <c r="EAK1" s="251" t="n"/>
      <c r="EAL1" s="251" t="n"/>
      <c r="EAM1" s="251" t="n"/>
      <c r="EAN1" s="251" t="n"/>
      <c r="EAO1" s="251" t="n"/>
      <c r="EAP1" s="251" t="n"/>
      <c r="EAQ1" s="251" t="n"/>
      <c r="EAR1" s="251" t="n"/>
      <c r="EAS1" s="251" t="n"/>
      <c r="EAT1" s="251" t="n"/>
      <c r="EAU1" s="251" t="n"/>
      <c r="EAV1" s="251" t="n"/>
      <c r="EAW1" s="251" t="n"/>
      <c r="EAX1" s="251" t="n"/>
      <c r="EAY1" s="251" t="n"/>
      <c r="EAZ1" s="251" t="n"/>
      <c r="EBA1" s="251" t="n"/>
      <c r="EBB1" s="251" t="n"/>
      <c r="EBC1" s="251" t="n"/>
      <c r="EBD1" s="251" t="n"/>
      <c r="EBE1" s="251" t="n"/>
      <c r="EBF1" s="251" t="n"/>
      <c r="EBG1" s="251" t="n"/>
      <c r="EBH1" s="251" t="n"/>
      <c r="EBI1" s="251" t="n"/>
      <c r="EBJ1" s="251" t="n"/>
      <c r="EBK1" s="251" t="n"/>
      <c r="EBL1" s="251" t="n"/>
      <c r="EBM1" s="251" t="n"/>
      <c r="EBN1" s="251" t="n"/>
      <c r="EBO1" s="251" t="n"/>
      <c r="EBP1" s="251" t="n"/>
      <c r="EBQ1" s="251" t="n"/>
      <c r="EBR1" s="251" t="n"/>
      <c r="EBS1" s="251" t="n"/>
      <c r="EBT1" s="251" t="n"/>
      <c r="EBU1" s="251" t="n"/>
      <c r="EBV1" s="251" t="n"/>
      <c r="EBW1" s="251" t="n"/>
      <c r="EBX1" s="251" t="n"/>
      <c r="EBY1" s="251" t="n"/>
      <c r="EBZ1" s="251" t="n"/>
      <c r="ECA1" s="251" t="n"/>
      <c r="ECB1" s="251" t="n"/>
      <c r="ECC1" s="251" t="n"/>
      <c r="ECD1" s="251" t="n"/>
      <c r="ECE1" s="251" t="n"/>
      <c r="ECF1" s="251" t="n"/>
      <c r="ECG1" s="251" t="n"/>
      <c r="ECH1" s="251" t="n"/>
      <c r="ECI1" s="251" t="n"/>
      <c r="ECJ1" s="251" t="n"/>
      <c r="ECK1" s="251" t="n"/>
      <c r="ECL1" s="251" t="n"/>
      <c r="ECM1" s="251" t="n"/>
      <c r="ECN1" s="251" t="n"/>
      <c r="ECO1" s="251" t="n"/>
      <c r="ECP1" s="251" t="n"/>
      <c r="ECQ1" s="251" t="n"/>
      <c r="ECR1" s="251" t="n"/>
      <c r="ECS1" s="251" t="n"/>
      <c r="ECT1" s="251" t="n"/>
      <c r="ECU1" s="251" t="n"/>
      <c r="ECV1" s="251" t="n"/>
      <c r="ECW1" s="251" t="n"/>
      <c r="ECX1" s="251" t="n"/>
      <c r="ECY1" s="251" t="n"/>
      <c r="ECZ1" s="251" t="n"/>
      <c r="EDA1" s="251" t="n"/>
      <c r="EDB1" s="251" t="n"/>
      <c r="EDC1" s="251" t="n"/>
      <c r="EDD1" s="251" t="n"/>
      <c r="EDE1" s="251" t="n"/>
      <c r="EDF1" s="251" t="n"/>
      <c r="EDG1" s="251" t="n"/>
      <c r="EDH1" s="251" t="n"/>
      <c r="EDI1" s="251" t="n"/>
      <c r="EDJ1" s="251" t="n"/>
      <c r="EDK1" s="251" t="n"/>
      <c r="EDL1" s="251" t="n"/>
      <c r="EDM1" s="251" t="n"/>
      <c r="EDN1" s="251" t="n"/>
      <c r="EDO1" s="251" t="n"/>
      <c r="EDP1" s="251" t="n"/>
      <c r="EDQ1" s="251" t="n"/>
      <c r="EDR1" s="251" t="n"/>
      <c r="EDS1" s="251" t="n"/>
      <c r="EDT1" s="251" t="n"/>
      <c r="EDU1" s="251" t="n"/>
      <c r="EDV1" s="251" t="n"/>
      <c r="EDW1" s="251" t="n"/>
      <c r="EDX1" s="251" t="n"/>
      <c r="EDY1" s="251" t="n"/>
      <c r="EDZ1" s="251" t="n"/>
      <c r="EEA1" s="251" t="n"/>
      <c r="EEB1" s="251" t="n"/>
      <c r="EEC1" s="251" t="n"/>
      <c r="EED1" s="251" t="n"/>
      <c r="EEE1" s="251" t="n"/>
      <c r="EEF1" s="251" t="n"/>
      <c r="EEG1" s="251" t="n"/>
      <c r="EEH1" s="251" t="n"/>
      <c r="EEI1" s="251" t="n"/>
      <c r="EEJ1" s="251" t="n"/>
      <c r="EEK1" s="251" t="n"/>
      <c r="EEL1" s="251" t="n"/>
      <c r="EEM1" s="251" t="n"/>
      <c r="EEN1" s="251" t="n"/>
      <c r="EEO1" s="251" t="n"/>
      <c r="EEP1" s="251" t="n"/>
      <c r="EEQ1" s="251" t="n"/>
      <c r="EER1" s="251" t="n"/>
      <c r="EES1" s="251" t="n"/>
      <c r="EET1" s="251" t="n"/>
      <c r="EEU1" s="251" t="n"/>
      <c r="EEV1" s="251" t="n"/>
      <c r="EEW1" s="251" t="n"/>
      <c r="EEX1" s="251" t="n"/>
      <c r="EEY1" s="251" t="n"/>
      <c r="EEZ1" s="251" t="n"/>
      <c r="EFA1" s="251" t="n"/>
      <c r="EFB1" s="251" t="n"/>
      <c r="EFC1" s="251" t="n"/>
      <c r="EFD1" s="251" t="n"/>
      <c r="EFE1" s="251" t="n"/>
      <c r="EFF1" s="251" t="n"/>
      <c r="EFG1" s="251" t="n"/>
      <c r="EFH1" s="251" t="n"/>
      <c r="EFI1" s="251" t="n"/>
      <c r="EFJ1" s="251" t="n"/>
      <c r="EFK1" s="251" t="n"/>
      <c r="EFL1" s="251" t="n"/>
      <c r="EFM1" s="251" t="n"/>
      <c r="EFN1" s="251" t="n"/>
      <c r="EFO1" s="251" t="n"/>
      <c r="EFP1" s="251" t="n"/>
      <c r="EFQ1" s="251" t="n"/>
      <c r="EFR1" s="251" t="n"/>
      <c r="EFS1" s="251" t="n"/>
      <c r="EFT1" s="251" t="n"/>
      <c r="EFU1" s="251" t="n"/>
      <c r="EFV1" s="251" t="n"/>
      <c r="EFW1" s="251" t="n"/>
      <c r="EFX1" s="251" t="n"/>
      <c r="EFY1" s="251" t="n"/>
      <c r="EFZ1" s="251" t="n"/>
      <c r="EGA1" s="251" t="n"/>
      <c r="EGB1" s="251" t="n"/>
      <c r="EGC1" s="251" t="n"/>
      <c r="EGD1" s="251" t="n"/>
      <c r="EGE1" s="251" t="n"/>
      <c r="EGF1" s="251" t="n"/>
      <c r="EGG1" s="251" t="n"/>
      <c r="EGH1" s="251" t="n"/>
      <c r="EGI1" s="251" t="n"/>
      <c r="EGJ1" s="251" t="n"/>
      <c r="EGK1" s="251" t="n"/>
      <c r="EGL1" s="251" t="n"/>
      <c r="EGM1" s="251" t="n"/>
      <c r="EGN1" s="251" t="n"/>
      <c r="EGO1" s="251" t="n"/>
      <c r="EGP1" s="251" t="n"/>
      <c r="EGQ1" s="251" t="n"/>
      <c r="EGR1" s="251" t="n"/>
      <c r="EGS1" s="251" t="n"/>
      <c r="EGT1" s="251" t="n"/>
      <c r="EGU1" s="251" t="n"/>
      <c r="EGV1" s="251" t="n"/>
      <c r="EGW1" s="251" t="n"/>
      <c r="EGX1" s="251" t="n"/>
      <c r="EGY1" s="251" t="n"/>
      <c r="EGZ1" s="251" t="n"/>
      <c r="EHA1" s="251" t="n"/>
      <c r="EHB1" s="251" t="n"/>
      <c r="EHC1" s="251" t="n"/>
      <c r="EHD1" s="251" t="n"/>
      <c r="EHE1" s="251" t="n"/>
      <c r="EHF1" s="251" t="n"/>
      <c r="EHG1" s="251" t="n"/>
      <c r="EHH1" s="251" t="n"/>
      <c r="EHI1" s="251" t="n"/>
      <c r="EHJ1" s="251" t="n"/>
      <c r="EHK1" s="251" t="n"/>
      <c r="EHL1" s="251" t="n"/>
      <c r="EHM1" s="251" t="n"/>
      <c r="EHN1" s="251" t="n"/>
      <c r="EHO1" s="251" t="n"/>
      <c r="EHP1" s="251" t="n"/>
      <c r="EHQ1" s="251" t="n"/>
      <c r="EHR1" s="251" t="n"/>
      <c r="EHS1" s="251" t="n"/>
      <c r="EHT1" s="251" t="n"/>
      <c r="EHU1" s="251" t="n"/>
      <c r="EHV1" s="251" t="n"/>
      <c r="EHW1" s="251" t="n"/>
      <c r="EHX1" s="251" t="n"/>
      <c r="EHY1" s="251" t="n"/>
      <c r="EHZ1" s="251" t="n"/>
      <c r="EIA1" s="251" t="n"/>
      <c r="EIB1" s="251" t="n"/>
      <c r="EIC1" s="251" t="n"/>
      <c r="EID1" s="251" t="n"/>
      <c r="EIE1" s="251" t="n"/>
      <c r="EIF1" s="251" t="n"/>
      <c r="EIG1" s="251" t="n"/>
      <c r="EIH1" s="251" t="n"/>
      <c r="EII1" s="251" t="n"/>
      <c r="EIJ1" s="251" t="n"/>
      <c r="EIK1" s="251" t="n"/>
      <c r="EIL1" s="251" t="n"/>
      <c r="EIM1" s="251" t="n"/>
      <c r="EIN1" s="251" t="n"/>
      <c r="EIO1" s="251" t="n"/>
      <c r="EIP1" s="251" t="n"/>
      <c r="EIQ1" s="251" t="n"/>
      <c r="EIR1" s="251" t="n"/>
      <c r="EIS1" s="251" t="n"/>
      <c r="EIT1" s="251" t="n"/>
      <c r="EIU1" s="251" t="n"/>
      <c r="EIV1" s="251" t="n"/>
      <c r="EIW1" s="251" t="n"/>
      <c r="EIX1" s="251" t="n"/>
      <c r="EIY1" s="251" t="n"/>
      <c r="EIZ1" s="251" t="n"/>
      <c r="EJA1" s="251" t="n"/>
      <c r="EJB1" s="251" t="n"/>
      <c r="EJC1" s="251" t="n"/>
      <c r="EJD1" s="251" t="n"/>
      <c r="EJE1" s="251" t="n"/>
      <c r="EJF1" s="251" t="n"/>
      <c r="EJG1" s="251" t="n"/>
      <c r="EJH1" s="251" t="n"/>
      <c r="EJI1" s="251" t="n"/>
      <c r="EJJ1" s="251" t="n"/>
      <c r="EJK1" s="251" t="n"/>
      <c r="EJL1" s="251" t="n"/>
      <c r="EJM1" s="251" t="n"/>
      <c r="EJN1" s="251" t="n"/>
      <c r="EJO1" s="251" t="n"/>
      <c r="EJP1" s="251" t="n"/>
      <c r="EJQ1" s="251" t="n"/>
      <c r="EJR1" s="251" t="n"/>
      <c r="EJS1" s="251" t="n"/>
      <c r="EJT1" s="251" t="n"/>
      <c r="EJU1" s="251" t="n"/>
      <c r="EJV1" s="251" t="n"/>
      <c r="EJW1" s="251" t="n"/>
      <c r="EJX1" s="251" t="n"/>
      <c r="EJY1" s="251" t="n"/>
      <c r="EJZ1" s="251" t="n"/>
      <c r="EKA1" s="251" t="n"/>
      <c r="EKB1" s="251" t="n"/>
      <c r="EKC1" s="251" t="n"/>
      <c r="EKD1" s="251" t="n"/>
      <c r="EKE1" s="251" t="n"/>
      <c r="EKF1" s="251" t="n"/>
      <c r="EKG1" s="251" t="n"/>
      <c r="EKH1" s="251" t="n"/>
      <c r="EKI1" s="251" t="n"/>
      <c r="EKJ1" s="251" t="n"/>
      <c r="EKK1" s="251" t="n"/>
      <c r="EKL1" s="251" t="n"/>
      <c r="EKM1" s="251" t="n"/>
      <c r="EKN1" s="251" t="n"/>
      <c r="EKO1" s="251" t="n"/>
      <c r="EKP1" s="251" t="n"/>
      <c r="EKQ1" s="251" t="n"/>
      <c r="EKR1" s="251" t="n"/>
      <c r="EKS1" s="251" t="n"/>
      <c r="EKT1" s="251" t="n"/>
      <c r="EKU1" s="251" t="n"/>
      <c r="EKV1" s="251" t="n"/>
      <c r="EKW1" s="251" t="n"/>
      <c r="EKX1" s="251" t="n"/>
      <c r="EKY1" s="251" t="n"/>
      <c r="EKZ1" s="251" t="n"/>
      <c r="ELA1" s="251" t="n"/>
      <c r="ELB1" s="251" t="n"/>
      <c r="ELC1" s="251" t="n"/>
      <c r="ELD1" s="251" t="n"/>
      <c r="ELE1" s="251" t="n"/>
      <c r="ELF1" s="251" t="n"/>
      <c r="ELG1" s="251" t="n"/>
      <c r="ELH1" s="251" t="n"/>
      <c r="ELI1" s="251" t="n"/>
      <c r="ELJ1" s="251" t="n"/>
      <c r="ELK1" s="251" t="n"/>
      <c r="ELL1" s="251" t="n"/>
      <c r="ELM1" s="251" t="n"/>
      <c r="ELN1" s="251" t="n"/>
      <c r="ELO1" s="251" t="n"/>
      <c r="ELP1" s="251" t="n"/>
      <c r="ELQ1" s="251" t="n"/>
      <c r="ELR1" s="251" t="n"/>
      <c r="ELS1" s="251" t="n"/>
      <c r="ELT1" s="251" t="n"/>
      <c r="ELU1" s="251" t="n"/>
      <c r="ELV1" s="251" t="n"/>
      <c r="ELW1" s="251" t="n"/>
      <c r="ELX1" s="251" t="n"/>
      <c r="ELY1" s="251" t="n"/>
      <c r="ELZ1" s="251" t="n"/>
      <c r="EMA1" s="251" t="n"/>
      <c r="EMB1" s="251" t="n"/>
      <c r="EMC1" s="251" t="n"/>
      <c r="EMD1" s="251" t="n"/>
      <c r="EME1" s="251" t="n"/>
      <c r="EMF1" s="251" t="n"/>
      <c r="EMG1" s="251" t="n"/>
      <c r="EMH1" s="251" t="n"/>
      <c r="EMI1" s="251" t="n"/>
      <c r="EMJ1" s="251" t="n"/>
      <c r="EMK1" s="251" t="n"/>
      <c r="EML1" s="251" t="n"/>
      <c r="EMM1" s="251" t="n"/>
      <c r="EMN1" s="251" t="n"/>
      <c r="EMO1" s="251" t="n"/>
      <c r="EMP1" s="251" t="n"/>
      <c r="EMQ1" s="251" t="n"/>
      <c r="EMR1" s="251" t="n"/>
      <c r="EMS1" s="251" t="n"/>
      <c r="EMT1" s="251" t="n"/>
      <c r="EMU1" s="251" t="n"/>
      <c r="EMV1" s="251" t="n"/>
      <c r="EMW1" s="251" t="n"/>
      <c r="EMX1" s="251" t="n"/>
      <c r="EMY1" s="251" t="n"/>
      <c r="EMZ1" s="251" t="n"/>
      <c r="ENA1" s="251" t="n"/>
      <c r="ENB1" s="251" t="n"/>
      <c r="ENC1" s="251" t="n"/>
      <c r="END1" s="251" t="n"/>
      <c r="ENE1" s="251" t="n"/>
      <c r="ENF1" s="251" t="n"/>
      <c r="ENG1" s="251" t="n"/>
      <c r="ENH1" s="251" t="n"/>
      <c r="ENI1" s="251" t="n"/>
      <c r="ENJ1" s="251" t="n"/>
      <c r="ENK1" s="251" t="n"/>
      <c r="ENL1" s="251" t="n"/>
      <c r="ENM1" s="251" t="n"/>
      <c r="ENN1" s="251" t="n"/>
      <c r="ENO1" s="251" t="n"/>
      <c r="ENP1" s="251" t="n"/>
      <c r="ENQ1" s="251" t="n"/>
      <c r="ENR1" s="251" t="n"/>
      <c r="ENS1" s="251" t="n"/>
      <c r="ENT1" s="251" t="n"/>
      <c r="ENU1" s="251" t="n"/>
      <c r="ENV1" s="251" t="n"/>
      <c r="ENW1" s="251" t="n"/>
      <c r="ENX1" s="251" t="n"/>
      <c r="ENY1" s="251" t="n"/>
      <c r="ENZ1" s="251" t="n"/>
      <c r="EOA1" s="251" t="n"/>
      <c r="EOB1" s="251" t="n"/>
      <c r="EOC1" s="251" t="n"/>
      <c r="EOD1" s="251" t="n"/>
      <c r="EOE1" s="251" t="n"/>
      <c r="EOF1" s="251" t="n"/>
      <c r="EOG1" s="251" t="n"/>
      <c r="EOH1" s="251" t="n"/>
      <c r="EOI1" s="251" t="n"/>
      <c r="EOJ1" s="251" t="n"/>
      <c r="EOK1" s="251" t="n"/>
      <c r="EOL1" s="251" t="n"/>
      <c r="EOM1" s="251" t="n"/>
      <c r="EON1" s="251" t="n"/>
      <c r="EOO1" s="251" t="n"/>
      <c r="EOP1" s="251" t="n"/>
      <c r="EOQ1" s="251" t="n"/>
      <c r="EOR1" s="251" t="n"/>
      <c r="EOS1" s="251" t="n"/>
      <c r="EOT1" s="251" t="n"/>
      <c r="EOU1" s="251" t="n"/>
      <c r="EOV1" s="251" t="n"/>
      <c r="EOW1" s="251" t="n"/>
      <c r="EOX1" s="251" t="n"/>
      <c r="EOY1" s="251" t="n"/>
      <c r="EOZ1" s="251" t="n"/>
      <c r="EPA1" s="251" t="n"/>
      <c r="EPB1" s="251" t="n"/>
      <c r="EPC1" s="251" t="n"/>
      <c r="EPD1" s="251" t="n"/>
      <c r="EPE1" s="251" t="n"/>
      <c r="EPF1" s="251" t="n"/>
      <c r="EPG1" s="251" t="n"/>
      <c r="EPH1" s="251" t="n"/>
      <c r="EPI1" s="251" t="n"/>
      <c r="EPJ1" s="251" t="n"/>
      <c r="EPK1" s="251" t="n"/>
      <c r="EPL1" s="251" t="n"/>
      <c r="EPM1" s="251" t="n"/>
      <c r="EPN1" s="251" t="n"/>
      <c r="EPO1" s="251" t="n"/>
      <c r="EPP1" s="251" t="n"/>
      <c r="EPQ1" s="251" t="n"/>
      <c r="EPR1" s="251" t="n"/>
      <c r="EPS1" s="251" t="n"/>
      <c r="EPT1" s="251" t="n"/>
      <c r="EPU1" s="251" t="n"/>
      <c r="EPV1" s="251" t="n"/>
      <c r="EPW1" s="251" t="n"/>
      <c r="EPX1" s="251" t="n"/>
      <c r="EPY1" s="251" t="n"/>
      <c r="EPZ1" s="251" t="n"/>
      <c r="EQA1" s="251" t="n"/>
      <c r="EQB1" s="251" t="n"/>
      <c r="EQC1" s="251" t="n"/>
      <c r="EQD1" s="251" t="n"/>
      <c r="EQE1" s="251" t="n"/>
      <c r="EQF1" s="251" t="n"/>
      <c r="EQG1" s="251" t="n"/>
      <c r="EQH1" s="251" t="n"/>
      <c r="EQI1" s="251" t="n"/>
      <c r="EQJ1" s="251" t="n"/>
      <c r="EQK1" s="251" t="n"/>
      <c r="EQL1" s="251" t="n"/>
      <c r="EQM1" s="251" t="n"/>
      <c r="EQN1" s="251" t="n"/>
      <c r="EQO1" s="251" t="n"/>
      <c r="EQP1" s="251" t="n"/>
      <c r="EQQ1" s="251" t="n"/>
      <c r="EQR1" s="251" t="n"/>
      <c r="EQS1" s="251" t="n"/>
      <c r="EQT1" s="251" t="n"/>
      <c r="EQU1" s="251" t="n"/>
      <c r="EQV1" s="251" t="n"/>
      <c r="EQW1" s="251" t="n"/>
      <c r="EQX1" s="251" t="n"/>
      <c r="EQY1" s="251" t="n"/>
      <c r="EQZ1" s="251" t="n"/>
      <c r="ERA1" s="251" t="n"/>
      <c r="ERB1" s="251" t="n"/>
      <c r="ERC1" s="251" t="n"/>
      <c r="ERD1" s="251" t="n"/>
      <c r="ERE1" s="251" t="n"/>
      <c r="ERF1" s="251" t="n"/>
      <c r="ERG1" s="251" t="n"/>
      <c r="ERH1" s="251" t="n"/>
      <c r="ERI1" s="251" t="n"/>
      <c r="ERJ1" s="251" t="n"/>
      <c r="ERK1" s="251" t="n"/>
      <c r="ERL1" s="251" t="n"/>
      <c r="ERM1" s="251" t="n"/>
      <c r="ERN1" s="251" t="n"/>
      <c r="ERO1" s="251" t="n"/>
      <c r="ERP1" s="251" t="n"/>
      <c r="ERQ1" s="251" t="n"/>
      <c r="ERR1" s="251" t="n"/>
      <c r="ERS1" s="251" t="n"/>
      <c r="ERT1" s="251" t="n"/>
      <c r="ERU1" s="251" t="n"/>
      <c r="ERV1" s="251" t="n"/>
      <c r="ERW1" s="251" t="n"/>
      <c r="ERX1" s="251" t="n"/>
      <c r="ERY1" s="251" t="n"/>
      <c r="ERZ1" s="251" t="n"/>
      <c r="ESA1" s="251" t="n"/>
      <c r="ESB1" s="251" t="n"/>
      <c r="ESC1" s="251" t="n"/>
      <c r="ESD1" s="251" t="n"/>
      <c r="ESE1" s="251" t="n"/>
      <c r="ESF1" s="251" t="n"/>
      <c r="ESG1" s="251" t="n"/>
      <c r="ESH1" s="251" t="n"/>
      <c r="ESI1" s="251" t="n"/>
      <c r="ESJ1" s="251" t="n"/>
      <c r="ESK1" s="251" t="n"/>
      <c r="ESL1" s="251" t="n"/>
      <c r="ESM1" s="251" t="n"/>
      <c r="ESN1" s="251" t="n"/>
      <c r="ESO1" s="251" t="n"/>
      <c r="ESP1" s="251" t="n"/>
      <c r="ESQ1" s="251" t="n"/>
      <c r="ESR1" s="251" t="n"/>
      <c r="ESS1" s="251" t="n"/>
      <c r="EST1" s="251" t="n"/>
      <c r="ESU1" s="251" t="n"/>
      <c r="ESV1" s="251" t="n"/>
      <c r="ESW1" s="251" t="n"/>
      <c r="ESX1" s="251" t="n"/>
      <c r="ESY1" s="251" t="n"/>
      <c r="ESZ1" s="251" t="n"/>
      <c r="ETA1" s="251" t="n"/>
      <c r="ETB1" s="251" t="n"/>
      <c r="ETC1" s="251" t="n"/>
      <c r="ETD1" s="251" t="n"/>
      <c r="ETE1" s="251" t="n"/>
      <c r="ETF1" s="251" t="n"/>
      <c r="ETG1" s="251" t="n"/>
      <c r="ETH1" s="251" t="n"/>
      <c r="ETI1" s="251" t="n"/>
      <c r="ETJ1" s="251" t="n"/>
      <c r="ETK1" s="251" t="n"/>
      <c r="ETL1" s="251" t="n"/>
      <c r="ETM1" s="251" t="n"/>
      <c r="ETN1" s="251" t="n"/>
      <c r="ETO1" s="251" t="n"/>
      <c r="ETP1" s="251" t="n"/>
      <c r="ETQ1" s="251" t="n"/>
      <c r="ETR1" s="251" t="n"/>
      <c r="ETS1" s="251" t="n"/>
      <c r="ETT1" s="251" t="n"/>
      <c r="ETU1" s="251" t="n"/>
      <c r="ETV1" s="251" t="n"/>
      <c r="ETW1" s="251" t="n"/>
      <c r="ETX1" s="251" t="n"/>
      <c r="ETY1" s="251" t="n"/>
      <c r="ETZ1" s="251" t="n"/>
      <c r="EUA1" s="251" t="n"/>
      <c r="EUB1" s="251" t="n"/>
      <c r="EUC1" s="251" t="n"/>
      <c r="EUD1" s="251" t="n"/>
      <c r="EUE1" s="251" t="n"/>
      <c r="EUF1" s="251" t="n"/>
      <c r="EUG1" s="251" t="n"/>
      <c r="EUH1" s="251" t="n"/>
      <c r="EUI1" s="251" t="n"/>
      <c r="EUJ1" s="251" t="n"/>
      <c r="EUK1" s="251" t="n"/>
      <c r="EUL1" s="251" t="n"/>
      <c r="EUM1" s="251" t="n"/>
      <c r="EUN1" s="251" t="n"/>
      <c r="EUO1" s="251" t="n"/>
      <c r="EUP1" s="251" t="n"/>
      <c r="EUQ1" s="251" t="n"/>
      <c r="EUR1" s="251" t="n"/>
      <c r="EUS1" s="251" t="n"/>
      <c r="EUT1" s="251" t="n"/>
      <c r="EUU1" s="251" t="n"/>
      <c r="EUV1" s="251" t="n"/>
      <c r="EUW1" s="251" t="n"/>
      <c r="EUX1" s="251" t="n"/>
      <c r="EUY1" s="251" t="n"/>
      <c r="EUZ1" s="251" t="n"/>
      <c r="EVA1" s="251" t="n"/>
      <c r="EVB1" s="251" t="n"/>
      <c r="EVC1" s="251" t="n"/>
      <c r="EVD1" s="251" t="n"/>
      <c r="EVE1" s="251" t="n"/>
      <c r="EVF1" s="251" t="n"/>
      <c r="EVG1" s="251" t="n"/>
      <c r="EVH1" s="251" t="n"/>
      <c r="EVI1" s="251" t="n"/>
      <c r="EVJ1" s="251" t="n"/>
      <c r="EVK1" s="251" t="n"/>
      <c r="EVL1" s="251" t="n"/>
      <c r="EVM1" s="251" t="n"/>
      <c r="EVN1" s="251" t="n"/>
      <c r="EVO1" s="251" t="n"/>
      <c r="EVP1" s="251" t="n"/>
      <c r="EVQ1" s="251" t="n"/>
      <c r="EVR1" s="251" t="n"/>
      <c r="EVS1" s="251" t="n"/>
      <c r="EVT1" s="251" t="n"/>
      <c r="EVU1" s="251" t="n"/>
      <c r="EVV1" s="251" t="n"/>
      <c r="EVW1" s="251" t="n"/>
      <c r="EVX1" s="251" t="n"/>
      <c r="EVY1" s="251" t="n"/>
      <c r="EVZ1" s="251" t="n"/>
      <c r="EWA1" s="251" t="n"/>
      <c r="EWB1" s="251" t="n"/>
      <c r="EWC1" s="251" t="n"/>
      <c r="EWD1" s="251" t="n"/>
      <c r="EWE1" s="251" t="n"/>
      <c r="EWF1" s="251" t="n"/>
      <c r="EWG1" s="251" t="n"/>
      <c r="EWH1" s="251" t="n"/>
      <c r="EWI1" s="251" t="n"/>
      <c r="EWJ1" s="251" t="n"/>
      <c r="EWK1" s="251" t="n"/>
      <c r="EWL1" s="251" t="n"/>
      <c r="EWM1" s="251" t="n"/>
      <c r="EWN1" s="251" t="n"/>
      <c r="EWO1" s="251" t="n"/>
      <c r="EWP1" s="251" t="n"/>
      <c r="EWQ1" s="251" t="n"/>
      <c r="EWR1" s="251" t="n"/>
      <c r="EWS1" s="251" t="n"/>
      <c r="EWT1" s="251" t="n"/>
      <c r="EWU1" s="251" t="n"/>
      <c r="EWV1" s="251" t="n"/>
      <c r="EWW1" s="251" t="n"/>
      <c r="EWX1" s="251" t="n"/>
      <c r="EWY1" s="251" t="n"/>
      <c r="EWZ1" s="251" t="n"/>
      <c r="EXA1" s="251" t="n"/>
      <c r="EXB1" s="251" t="n"/>
      <c r="EXC1" s="251" t="n"/>
      <c r="EXD1" s="251" t="n"/>
      <c r="EXE1" s="251" t="n"/>
      <c r="EXF1" s="251" t="n"/>
      <c r="EXG1" s="251" t="n"/>
      <c r="EXH1" s="251" t="n"/>
      <c r="EXI1" s="251" t="n"/>
      <c r="EXJ1" s="251" t="n"/>
      <c r="EXK1" s="251" t="n"/>
      <c r="EXL1" s="251" t="n"/>
      <c r="EXM1" s="251" t="n"/>
      <c r="EXN1" s="251" t="n"/>
      <c r="EXO1" s="251" t="n"/>
      <c r="EXP1" s="251" t="n"/>
      <c r="EXQ1" s="251" t="n"/>
      <c r="EXR1" s="251" t="n"/>
      <c r="EXS1" s="251" t="n"/>
      <c r="EXT1" s="251" t="n"/>
      <c r="EXU1" s="251" t="n"/>
      <c r="EXV1" s="251" t="n"/>
      <c r="EXW1" s="251" t="n"/>
      <c r="EXX1" s="251" t="n"/>
      <c r="EXY1" s="251" t="n"/>
      <c r="EXZ1" s="251" t="n"/>
      <c r="EYA1" s="251" t="n"/>
      <c r="EYB1" s="251" t="n"/>
      <c r="EYC1" s="251" t="n"/>
      <c r="EYD1" s="251" t="n"/>
      <c r="EYE1" s="251" t="n"/>
      <c r="EYF1" s="251" t="n"/>
      <c r="EYG1" s="251" t="n"/>
      <c r="EYH1" s="251" t="n"/>
      <c r="EYI1" s="251" t="n"/>
      <c r="EYJ1" s="251" t="n"/>
      <c r="EYK1" s="251" t="n"/>
      <c r="EYL1" s="251" t="n"/>
      <c r="EYM1" s="251" t="n"/>
      <c r="EYN1" s="251" t="n"/>
      <c r="EYO1" s="251" t="n"/>
      <c r="EYP1" s="251" t="n"/>
      <c r="EYQ1" s="251" t="n"/>
      <c r="EYR1" s="251" t="n"/>
      <c r="EYS1" s="251" t="n"/>
      <c r="EYT1" s="251" t="n"/>
      <c r="EYU1" s="251" t="n"/>
      <c r="EYV1" s="251" t="n"/>
      <c r="EYW1" s="251" t="n"/>
      <c r="EYX1" s="251" t="n"/>
      <c r="EYY1" s="251" t="n"/>
      <c r="EYZ1" s="251" t="n"/>
      <c r="EZA1" s="251" t="n"/>
      <c r="EZB1" s="251" t="n"/>
      <c r="EZC1" s="251" t="n"/>
      <c r="EZD1" s="251" t="n"/>
      <c r="EZE1" s="251" t="n"/>
      <c r="EZF1" s="251" t="n"/>
      <c r="EZG1" s="251" t="n"/>
      <c r="EZH1" s="251" t="n"/>
      <c r="EZI1" s="251" t="n"/>
      <c r="EZJ1" s="251" t="n"/>
      <c r="EZK1" s="251" t="n"/>
      <c r="EZL1" s="251" t="n"/>
      <c r="EZM1" s="251" t="n"/>
      <c r="EZN1" s="251" t="n"/>
      <c r="EZO1" s="251" t="n"/>
      <c r="EZP1" s="251" t="n"/>
      <c r="EZQ1" s="251" t="n"/>
      <c r="EZR1" s="251" t="n"/>
      <c r="EZS1" s="251" t="n"/>
      <c r="EZT1" s="251" t="n"/>
      <c r="EZU1" s="251" t="n"/>
      <c r="EZV1" s="251" t="n"/>
      <c r="EZW1" s="251" t="n"/>
      <c r="EZX1" s="251" t="n"/>
      <c r="EZY1" s="251" t="n"/>
      <c r="EZZ1" s="251" t="n"/>
      <c r="FAA1" s="251" t="n"/>
      <c r="FAB1" s="251" t="n"/>
      <c r="FAC1" s="251" t="n"/>
      <c r="FAD1" s="251" t="n"/>
      <c r="FAE1" s="251" t="n"/>
      <c r="FAF1" s="251" t="n"/>
      <c r="FAG1" s="251" t="n"/>
      <c r="FAH1" s="251" t="n"/>
      <c r="FAI1" s="251" t="n"/>
      <c r="FAJ1" s="251" t="n"/>
      <c r="FAK1" s="251" t="n"/>
      <c r="FAL1" s="251" t="n"/>
      <c r="FAM1" s="251" t="n"/>
      <c r="FAN1" s="251" t="n"/>
      <c r="FAO1" s="251" t="n"/>
      <c r="FAP1" s="251" t="n"/>
      <c r="FAQ1" s="251" t="n"/>
      <c r="FAR1" s="251" t="n"/>
      <c r="FAS1" s="251" t="n"/>
      <c r="FAT1" s="251" t="n"/>
      <c r="FAU1" s="251" t="n"/>
      <c r="FAV1" s="251" t="n"/>
      <c r="FAW1" s="251" t="n"/>
      <c r="FAX1" s="251" t="n"/>
      <c r="FAY1" s="251" t="n"/>
      <c r="FAZ1" s="251" t="n"/>
      <c r="FBA1" s="251" t="n"/>
      <c r="FBB1" s="251" t="n"/>
      <c r="FBC1" s="251" t="n"/>
      <c r="FBD1" s="251" t="n"/>
      <c r="FBE1" s="251" t="n"/>
      <c r="FBF1" s="251" t="n"/>
      <c r="FBG1" s="251" t="n"/>
      <c r="FBH1" s="251" t="n"/>
      <c r="FBI1" s="251" t="n"/>
      <c r="FBJ1" s="251" t="n"/>
      <c r="FBK1" s="251" t="n"/>
      <c r="FBL1" s="251" t="n"/>
      <c r="FBM1" s="251" t="n"/>
      <c r="FBN1" s="251" t="n"/>
      <c r="FBO1" s="251" t="n"/>
      <c r="FBP1" s="251" t="n"/>
      <c r="FBQ1" s="251" t="n"/>
      <c r="FBR1" s="251" t="n"/>
      <c r="FBS1" s="251" t="n"/>
      <c r="FBT1" s="251" t="n"/>
      <c r="FBU1" s="251" t="n"/>
      <c r="FBV1" s="251" t="n"/>
      <c r="FBW1" s="251" t="n"/>
      <c r="FBX1" s="251" t="n"/>
      <c r="FBY1" s="251" t="n"/>
      <c r="FBZ1" s="251" t="n"/>
      <c r="FCA1" s="251" t="n"/>
      <c r="FCB1" s="251" t="n"/>
      <c r="FCC1" s="251" t="n"/>
      <c r="FCD1" s="251" t="n"/>
      <c r="FCE1" s="251" t="n"/>
      <c r="FCF1" s="251" t="n"/>
      <c r="FCG1" s="251" t="n"/>
      <c r="FCH1" s="251" t="n"/>
      <c r="FCI1" s="251" t="n"/>
      <c r="FCJ1" s="251" t="n"/>
      <c r="FCK1" s="251" t="n"/>
      <c r="FCL1" s="251" t="n"/>
      <c r="FCM1" s="251" t="n"/>
      <c r="FCN1" s="251" t="n"/>
      <c r="FCO1" s="251" t="n"/>
      <c r="FCP1" s="251" t="n"/>
      <c r="FCQ1" s="251" t="n"/>
      <c r="FCR1" s="251" t="n"/>
      <c r="FCS1" s="251" t="n"/>
      <c r="FCT1" s="251" t="n"/>
      <c r="FCU1" s="251" t="n"/>
      <c r="FCV1" s="251" t="n"/>
      <c r="FCW1" s="251" t="n"/>
      <c r="FCX1" s="251" t="n"/>
      <c r="FCY1" s="251" t="n"/>
      <c r="FCZ1" s="251" t="n"/>
      <c r="FDA1" s="251" t="n"/>
      <c r="FDB1" s="251" t="n"/>
      <c r="FDC1" s="251" t="n"/>
      <c r="FDD1" s="251" t="n"/>
      <c r="FDE1" s="251" t="n"/>
      <c r="FDF1" s="251" t="n"/>
      <c r="FDG1" s="251" t="n"/>
      <c r="FDH1" s="251" t="n"/>
      <c r="FDI1" s="251" t="n"/>
      <c r="FDJ1" s="251" t="n"/>
      <c r="FDK1" s="251" t="n"/>
      <c r="FDL1" s="251" t="n"/>
      <c r="FDM1" s="251" t="n"/>
      <c r="FDN1" s="251" t="n"/>
      <c r="FDO1" s="251" t="n"/>
      <c r="FDP1" s="251" t="n"/>
      <c r="FDQ1" s="251" t="n"/>
      <c r="FDR1" s="251" t="n"/>
      <c r="FDS1" s="251" t="n"/>
      <c r="FDT1" s="251" t="n"/>
      <c r="FDU1" s="251" t="n"/>
      <c r="FDV1" s="251" t="n"/>
      <c r="FDW1" s="251" t="n"/>
      <c r="FDX1" s="251" t="n"/>
      <c r="FDY1" s="251" t="n"/>
      <c r="FDZ1" s="251" t="n"/>
      <c r="FEA1" s="251" t="n"/>
      <c r="FEB1" s="251" t="n"/>
      <c r="FEC1" s="251" t="n"/>
      <c r="FED1" s="251" t="n"/>
      <c r="FEE1" s="251" t="n"/>
      <c r="FEF1" s="251" t="n"/>
      <c r="FEG1" s="251" t="n"/>
      <c r="FEH1" s="251" t="n"/>
      <c r="FEI1" s="251" t="n"/>
      <c r="FEJ1" s="251" t="n"/>
      <c r="FEK1" s="251" t="n"/>
      <c r="FEL1" s="251" t="n"/>
      <c r="FEM1" s="251" t="n"/>
      <c r="FEN1" s="251" t="n"/>
      <c r="FEO1" s="251" t="n"/>
      <c r="FEP1" s="251" t="n"/>
      <c r="FEQ1" s="251" t="n"/>
      <c r="FER1" s="251" t="n"/>
      <c r="FES1" s="251" t="n"/>
      <c r="FET1" s="251" t="n"/>
      <c r="FEU1" s="251" t="n"/>
      <c r="FEV1" s="251" t="n"/>
      <c r="FEW1" s="251" t="n"/>
      <c r="FEX1" s="251" t="n"/>
      <c r="FEY1" s="251" t="n"/>
      <c r="FEZ1" s="251" t="n"/>
      <c r="FFA1" s="251" t="n"/>
      <c r="FFB1" s="251" t="n"/>
      <c r="FFC1" s="251" t="n"/>
      <c r="FFD1" s="251" t="n"/>
      <c r="FFE1" s="251" t="n"/>
      <c r="FFF1" s="251" t="n"/>
      <c r="FFG1" s="251" t="n"/>
      <c r="FFH1" s="251" t="n"/>
      <c r="FFI1" s="251" t="n"/>
      <c r="FFJ1" s="251" t="n"/>
      <c r="FFK1" s="251" t="n"/>
      <c r="FFL1" s="251" t="n"/>
      <c r="FFM1" s="251" t="n"/>
      <c r="FFN1" s="251" t="n"/>
      <c r="FFO1" s="251" t="n"/>
      <c r="FFP1" s="251" t="n"/>
      <c r="FFQ1" s="251" t="n"/>
      <c r="FFR1" s="251" t="n"/>
      <c r="FFS1" s="251" t="n"/>
      <c r="FFT1" s="251" t="n"/>
      <c r="FFU1" s="251" t="n"/>
      <c r="FFV1" s="251" t="n"/>
      <c r="FFW1" s="251" t="n"/>
      <c r="FFX1" s="251" t="n"/>
      <c r="FFY1" s="251" t="n"/>
      <c r="FFZ1" s="251" t="n"/>
      <c r="FGA1" s="251" t="n"/>
      <c r="FGB1" s="251" t="n"/>
      <c r="FGC1" s="251" t="n"/>
      <c r="FGD1" s="251" t="n"/>
      <c r="FGE1" s="251" t="n"/>
      <c r="FGF1" s="251" t="n"/>
      <c r="FGG1" s="251" t="n"/>
      <c r="FGH1" s="251" t="n"/>
      <c r="FGI1" s="251" t="n"/>
      <c r="FGJ1" s="251" t="n"/>
      <c r="FGK1" s="251" t="n"/>
      <c r="FGL1" s="251" t="n"/>
      <c r="FGM1" s="251" t="n"/>
      <c r="FGN1" s="251" t="n"/>
      <c r="FGO1" s="251" t="n"/>
      <c r="FGP1" s="251" t="n"/>
      <c r="FGQ1" s="251" t="n"/>
      <c r="FGR1" s="251" t="n"/>
      <c r="FGS1" s="251" t="n"/>
      <c r="FGT1" s="251" t="n"/>
      <c r="FGU1" s="251" t="n"/>
      <c r="FGV1" s="251" t="n"/>
      <c r="FGW1" s="251" t="n"/>
      <c r="FGX1" s="251" t="n"/>
      <c r="FGY1" s="251" t="n"/>
      <c r="FGZ1" s="251" t="n"/>
      <c r="FHA1" s="251" t="n"/>
      <c r="FHB1" s="251" t="n"/>
      <c r="FHC1" s="251" t="n"/>
      <c r="FHD1" s="251" t="n"/>
      <c r="FHE1" s="251" t="n"/>
      <c r="FHF1" s="251" t="n"/>
      <c r="FHG1" s="251" t="n"/>
      <c r="FHH1" s="251" t="n"/>
      <c r="FHI1" s="251" t="n"/>
      <c r="FHJ1" s="251" t="n"/>
      <c r="FHK1" s="251" t="n"/>
      <c r="FHL1" s="251" t="n"/>
      <c r="FHM1" s="251" t="n"/>
      <c r="FHN1" s="251" t="n"/>
      <c r="FHO1" s="251" t="n"/>
      <c r="FHP1" s="251" t="n"/>
      <c r="FHQ1" s="251" t="n"/>
      <c r="FHR1" s="251" t="n"/>
      <c r="FHS1" s="251" t="n"/>
      <c r="FHT1" s="251" t="n"/>
      <c r="FHU1" s="251" t="n"/>
      <c r="FHV1" s="251" t="n"/>
      <c r="FHW1" s="251" t="n"/>
      <c r="FHX1" s="251" t="n"/>
      <c r="FHY1" s="251" t="n"/>
      <c r="FHZ1" s="251" t="n"/>
      <c r="FIA1" s="251" t="n"/>
      <c r="FIB1" s="251" t="n"/>
      <c r="FIC1" s="251" t="n"/>
      <c r="FID1" s="251" t="n"/>
      <c r="FIE1" s="251" t="n"/>
      <c r="FIF1" s="251" t="n"/>
      <c r="FIG1" s="251" t="n"/>
      <c r="FIH1" s="251" t="n"/>
      <c r="FII1" s="251" t="n"/>
      <c r="FIJ1" s="251" t="n"/>
      <c r="FIK1" s="251" t="n"/>
      <c r="FIL1" s="251" t="n"/>
      <c r="FIM1" s="251" t="n"/>
      <c r="FIN1" s="251" t="n"/>
      <c r="FIO1" s="251" t="n"/>
      <c r="FIP1" s="251" t="n"/>
      <c r="FIQ1" s="251" t="n"/>
      <c r="FIR1" s="251" t="n"/>
      <c r="FIS1" s="251" t="n"/>
      <c r="FIT1" s="251" t="n"/>
      <c r="FIU1" s="251" t="n"/>
      <c r="FIV1" s="251" t="n"/>
      <c r="FIW1" s="251" t="n"/>
      <c r="FIX1" s="251" t="n"/>
      <c r="FIY1" s="251" t="n"/>
      <c r="FIZ1" s="251" t="n"/>
      <c r="FJA1" s="251" t="n"/>
      <c r="FJB1" s="251" t="n"/>
      <c r="FJC1" s="251" t="n"/>
      <c r="FJD1" s="251" t="n"/>
      <c r="FJE1" s="251" t="n"/>
      <c r="FJF1" s="251" t="n"/>
      <c r="FJG1" s="251" t="n"/>
      <c r="FJH1" s="251" t="n"/>
      <c r="FJI1" s="251" t="n"/>
      <c r="FJJ1" s="251" t="n"/>
      <c r="FJK1" s="251" t="n"/>
      <c r="FJL1" s="251" t="n"/>
      <c r="FJM1" s="251" t="n"/>
      <c r="FJN1" s="251" t="n"/>
      <c r="FJO1" s="251" t="n"/>
      <c r="FJP1" s="251" t="n"/>
      <c r="FJQ1" s="251" t="n"/>
      <c r="FJR1" s="251" t="n"/>
      <c r="FJS1" s="251" t="n"/>
      <c r="FJT1" s="251" t="n"/>
      <c r="FJU1" s="251" t="n"/>
      <c r="FJV1" s="251" t="n"/>
      <c r="FJW1" s="251" t="n"/>
      <c r="FJX1" s="251" t="n"/>
      <c r="FJY1" s="251" t="n"/>
      <c r="FJZ1" s="251" t="n"/>
      <c r="FKA1" s="251" t="n"/>
      <c r="FKB1" s="251" t="n"/>
      <c r="FKC1" s="251" t="n"/>
      <c r="FKD1" s="251" t="n"/>
      <c r="FKE1" s="251" t="n"/>
      <c r="FKF1" s="251" t="n"/>
      <c r="FKG1" s="251" t="n"/>
      <c r="FKH1" s="251" t="n"/>
      <c r="FKI1" s="251" t="n"/>
      <c r="FKJ1" s="251" t="n"/>
      <c r="FKK1" s="251" t="n"/>
      <c r="FKL1" s="251" t="n"/>
      <c r="FKM1" s="251" t="n"/>
      <c r="FKN1" s="251" t="n"/>
      <c r="FKO1" s="251" t="n"/>
      <c r="FKP1" s="251" t="n"/>
      <c r="FKQ1" s="251" t="n"/>
      <c r="FKR1" s="251" t="n"/>
      <c r="FKS1" s="251" t="n"/>
      <c r="FKT1" s="251" t="n"/>
      <c r="FKU1" s="251" t="n"/>
      <c r="FKV1" s="251" t="n"/>
      <c r="FKW1" s="251" t="n"/>
      <c r="FKX1" s="251" t="n"/>
      <c r="FKY1" s="251" t="n"/>
      <c r="FKZ1" s="251" t="n"/>
      <c r="FLA1" s="251" t="n"/>
      <c r="FLB1" s="251" t="n"/>
      <c r="FLC1" s="251" t="n"/>
      <c r="FLD1" s="251" t="n"/>
      <c r="FLE1" s="251" t="n"/>
      <c r="FLF1" s="251" t="n"/>
      <c r="FLG1" s="251" t="n"/>
      <c r="FLH1" s="251" t="n"/>
      <c r="FLI1" s="251" t="n"/>
      <c r="FLJ1" s="251" t="n"/>
      <c r="FLK1" s="251" t="n"/>
      <c r="FLL1" s="251" t="n"/>
      <c r="FLM1" s="251" t="n"/>
      <c r="FLN1" s="251" t="n"/>
      <c r="FLO1" s="251" t="n"/>
      <c r="FLP1" s="251" t="n"/>
      <c r="FLQ1" s="251" t="n"/>
      <c r="FLR1" s="251" t="n"/>
      <c r="FLS1" s="251" t="n"/>
      <c r="FLT1" s="251" t="n"/>
      <c r="FLU1" s="251" t="n"/>
      <c r="FLV1" s="251" t="n"/>
      <c r="FLW1" s="251" t="n"/>
      <c r="FLX1" s="251" t="n"/>
      <c r="FLY1" s="251" t="n"/>
      <c r="FLZ1" s="251" t="n"/>
      <c r="FMA1" s="251" t="n"/>
      <c r="FMB1" s="251" t="n"/>
      <c r="FMC1" s="251" t="n"/>
      <c r="FMD1" s="251" t="n"/>
      <c r="FME1" s="251" t="n"/>
      <c r="FMF1" s="251" t="n"/>
      <c r="FMG1" s="251" t="n"/>
      <c r="FMH1" s="251" t="n"/>
      <c r="FMI1" s="251" t="n"/>
      <c r="FMJ1" s="251" t="n"/>
      <c r="FMK1" s="251" t="n"/>
      <c r="FML1" s="251" t="n"/>
      <c r="FMM1" s="251" t="n"/>
      <c r="FMN1" s="251" t="n"/>
      <c r="FMO1" s="251" t="n"/>
      <c r="FMP1" s="251" t="n"/>
      <c r="FMQ1" s="251" t="n"/>
      <c r="FMR1" s="251" t="n"/>
      <c r="FMS1" s="251" t="n"/>
      <c r="FMT1" s="251" t="n"/>
      <c r="FMU1" s="251" t="n"/>
      <c r="FMV1" s="251" t="n"/>
      <c r="FMW1" s="251" t="n"/>
      <c r="FMX1" s="251" t="n"/>
      <c r="FMY1" s="251" t="n"/>
      <c r="FMZ1" s="251" t="n"/>
      <c r="FNA1" s="251" t="n"/>
      <c r="FNB1" s="251" t="n"/>
      <c r="FNC1" s="251" t="n"/>
      <c r="FND1" s="251" t="n"/>
      <c r="FNE1" s="251" t="n"/>
      <c r="FNF1" s="251" t="n"/>
      <c r="FNG1" s="251" t="n"/>
      <c r="FNH1" s="251" t="n"/>
      <c r="FNI1" s="251" t="n"/>
      <c r="FNJ1" s="251" t="n"/>
      <c r="FNK1" s="251" t="n"/>
      <c r="FNL1" s="251" t="n"/>
      <c r="FNM1" s="251" t="n"/>
      <c r="FNN1" s="251" t="n"/>
      <c r="FNO1" s="251" t="n"/>
      <c r="FNP1" s="251" t="n"/>
      <c r="FNQ1" s="251" t="n"/>
      <c r="FNR1" s="251" t="n"/>
      <c r="FNS1" s="251" t="n"/>
      <c r="FNT1" s="251" t="n"/>
      <c r="FNU1" s="251" t="n"/>
      <c r="FNV1" s="251" t="n"/>
      <c r="FNW1" s="251" t="n"/>
      <c r="FNX1" s="251" t="n"/>
      <c r="FNY1" s="251" t="n"/>
      <c r="FNZ1" s="251" t="n"/>
      <c r="FOA1" s="251" t="n"/>
      <c r="FOB1" s="251" t="n"/>
      <c r="FOC1" s="251" t="n"/>
      <c r="FOD1" s="251" t="n"/>
      <c r="FOE1" s="251" t="n"/>
      <c r="FOF1" s="251" t="n"/>
      <c r="FOG1" s="251" t="n"/>
      <c r="FOH1" s="251" t="n"/>
      <c r="FOI1" s="251" t="n"/>
      <c r="FOJ1" s="251" t="n"/>
      <c r="FOK1" s="251" t="n"/>
      <c r="FOL1" s="251" t="n"/>
      <c r="FOM1" s="251" t="n"/>
      <c r="FON1" s="251" t="n"/>
      <c r="FOO1" s="251" t="n"/>
      <c r="FOP1" s="251" t="n"/>
      <c r="FOQ1" s="251" t="n"/>
      <c r="FOR1" s="251" t="n"/>
      <c r="FOS1" s="251" t="n"/>
      <c r="FOT1" s="251" t="n"/>
      <c r="FOU1" s="251" t="n"/>
      <c r="FOV1" s="251" t="n"/>
      <c r="FOW1" s="251" t="n"/>
      <c r="FOX1" s="251" t="n"/>
      <c r="FOY1" s="251" t="n"/>
      <c r="FOZ1" s="251" t="n"/>
      <c r="FPA1" s="251" t="n"/>
      <c r="FPB1" s="251" t="n"/>
      <c r="FPC1" s="251" t="n"/>
      <c r="FPD1" s="251" t="n"/>
      <c r="FPE1" s="251" t="n"/>
      <c r="FPF1" s="251" t="n"/>
      <c r="FPG1" s="251" t="n"/>
      <c r="FPH1" s="251" t="n"/>
      <c r="FPI1" s="251" t="n"/>
      <c r="FPJ1" s="251" t="n"/>
      <c r="FPK1" s="251" t="n"/>
      <c r="FPL1" s="251" t="n"/>
      <c r="FPM1" s="251" t="n"/>
      <c r="FPN1" s="251" t="n"/>
      <c r="FPO1" s="251" t="n"/>
      <c r="FPP1" s="251" t="n"/>
      <c r="FPQ1" s="251" t="n"/>
      <c r="FPR1" s="251" t="n"/>
      <c r="FPS1" s="251" t="n"/>
      <c r="FPT1" s="251" t="n"/>
      <c r="FPU1" s="251" t="n"/>
      <c r="FPV1" s="251" t="n"/>
      <c r="FPW1" s="251" t="n"/>
      <c r="FPX1" s="251" t="n"/>
      <c r="FPY1" s="251" t="n"/>
      <c r="FPZ1" s="251" t="n"/>
      <c r="FQA1" s="251" t="n"/>
      <c r="FQB1" s="251" t="n"/>
      <c r="FQC1" s="251" t="n"/>
      <c r="FQD1" s="251" t="n"/>
      <c r="FQE1" s="251" t="n"/>
      <c r="FQF1" s="251" t="n"/>
      <c r="FQG1" s="251" t="n"/>
      <c r="FQH1" s="251" t="n"/>
      <c r="FQI1" s="251" t="n"/>
      <c r="FQJ1" s="251" t="n"/>
      <c r="FQK1" s="251" t="n"/>
      <c r="FQL1" s="251" t="n"/>
      <c r="FQM1" s="251" t="n"/>
      <c r="FQN1" s="251" t="n"/>
      <c r="FQO1" s="251" t="n"/>
      <c r="FQP1" s="251" t="n"/>
      <c r="FQQ1" s="251" t="n"/>
      <c r="FQR1" s="251" t="n"/>
      <c r="FQS1" s="251" t="n"/>
      <c r="FQT1" s="251" t="n"/>
      <c r="FQU1" s="251" t="n"/>
      <c r="FQV1" s="251" t="n"/>
      <c r="FQW1" s="251" t="n"/>
      <c r="FQX1" s="251" t="n"/>
      <c r="FQY1" s="251" t="n"/>
      <c r="FQZ1" s="251" t="n"/>
      <c r="FRA1" s="251" t="n"/>
      <c r="FRB1" s="251" t="n"/>
      <c r="FRC1" s="251" t="n"/>
      <c r="FRD1" s="251" t="n"/>
      <c r="FRE1" s="251" t="n"/>
      <c r="FRF1" s="251" t="n"/>
      <c r="FRG1" s="251" t="n"/>
      <c r="FRH1" s="251" t="n"/>
      <c r="FRI1" s="251" t="n"/>
      <c r="FRJ1" s="251" t="n"/>
      <c r="FRK1" s="251" t="n"/>
      <c r="FRL1" s="251" t="n"/>
      <c r="FRM1" s="251" t="n"/>
      <c r="FRN1" s="251" t="n"/>
      <c r="FRO1" s="251" t="n"/>
      <c r="FRP1" s="251" t="n"/>
      <c r="FRQ1" s="251" t="n"/>
      <c r="FRR1" s="251" t="n"/>
      <c r="FRS1" s="251" t="n"/>
      <c r="FRT1" s="251" t="n"/>
      <c r="FRU1" s="251" t="n"/>
      <c r="FRV1" s="251" t="n"/>
      <c r="FRW1" s="251" t="n"/>
      <c r="FRX1" s="251" t="n"/>
      <c r="FRY1" s="251" t="n"/>
      <c r="FRZ1" s="251" t="n"/>
      <c r="FSA1" s="251" t="n"/>
      <c r="FSB1" s="251" t="n"/>
      <c r="FSC1" s="251" t="n"/>
      <c r="FSD1" s="251" t="n"/>
      <c r="FSE1" s="251" t="n"/>
      <c r="FSF1" s="251" t="n"/>
      <c r="FSG1" s="251" t="n"/>
      <c r="FSH1" s="251" t="n"/>
      <c r="FSI1" s="251" t="n"/>
      <c r="FSJ1" s="251" t="n"/>
      <c r="FSK1" s="251" t="n"/>
      <c r="FSL1" s="251" t="n"/>
      <c r="FSM1" s="251" t="n"/>
      <c r="FSN1" s="251" t="n"/>
      <c r="FSO1" s="251" t="n"/>
      <c r="FSP1" s="251" t="n"/>
      <c r="FSQ1" s="251" t="n"/>
      <c r="FSR1" s="251" t="n"/>
      <c r="FSS1" s="251" t="n"/>
      <c r="FST1" s="251" t="n"/>
      <c r="FSU1" s="251" t="n"/>
      <c r="FSV1" s="251" t="n"/>
      <c r="FSW1" s="251" t="n"/>
      <c r="FSX1" s="251" t="n"/>
      <c r="FSY1" s="251" t="n"/>
      <c r="FSZ1" s="251" t="n"/>
      <c r="FTA1" s="251" t="n"/>
      <c r="FTB1" s="251" t="n"/>
      <c r="FTC1" s="251" t="n"/>
      <c r="FTD1" s="251" t="n"/>
      <c r="FTE1" s="251" t="n"/>
      <c r="FTF1" s="251" t="n"/>
      <c r="FTG1" s="251" t="n"/>
      <c r="FTH1" s="251" t="n"/>
      <c r="FTI1" s="251" t="n"/>
      <c r="FTJ1" s="251" t="n"/>
      <c r="FTK1" s="251" t="n"/>
      <c r="FTL1" s="251" t="n"/>
      <c r="FTM1" s="251" t="n"/>
      <c r="FTN1" s="251" t="n"/>
      <c r="FTO1" s="251" t="n"/>
      <c r="FTP1" s="251" t="n"/>
      <c r="FTQ1" s="251" t="n"/>
      <c r="FTR1" s="251" t="n"/>
      <c r="FTS1" s="251" t="n"/>
      <c r="FTT1" s="251" t="n"/>
      <c r="FTU1" s="251" t="n"/>
      <c r="FTV1" s="251" t="n"/>
      <c r="FTW1" s="251" t="n"/>
      <c r="FTX1" s="251" t="n"/>
      <c r="FTY1" s="251" t="n"/>
      <c r="FTZ1" s="251" t="n"/>
      <c r="FUA1" s="251" t="n"/>
      <c r="FUB1" s="251" t="n"/>
      <c r="FUC1" s="251" t="n"/>
      <c r="FUD1" s="251" t="n"/>
      <c r="FUE1" s="251" t="n"/>
      <c r="FUF1" s="251" t="n"/>
      <c r="FUG1" s="251" t="n"/>
      <c r="FUH1" s="251" t="n"/>
      <c r="FUI1" s="251" t="n"/>
      <c r="FUJ1" s="251" t="n"/>
      <c r="FUK1" s="251" t="n"/>
      <c r="FUL1" s="251" t="n"/>
      <c r="FUM1" s="251" t="n"/>
      <c r="FUN1" s="251" t="n"/>
      <c r="FUO1" s="251" t="n"/>
      <c r="FUP1" s="251" t="n"/>
      <c r="FUQ1" s="251" t="n"/>
      <c r="FUR1" s="251" t="n"/>
      <c r="FUS1" s="251" t="n"/>
      <c r="FUT1" s="251" t="n"/>
      <c r="FUU1" s="251" t="n"/>
      <c r="FUV1" s="251" t="n"/>
      <c r="FUW1" s="251" t="n"/>
      <c r="FUX1" s="251" t="n"/>
      <c r="FUY1" s="251" t="n"/>
      <c r="FUZ1" s="251" t="n"/>
      <c r="FVA1" s="251" t="n"/>
      <c r="FVB1" s="251" t="n"/>
      <c r="FVC1" s="251" t="n"/>
      <c r="FVD1" s="251" t="n"/>
      <c r="FVE1" s="251" t="n"/>
      <c r="FVF1" s="251" t="n"/>
      <c r="FVG1" s="251" t="n"/>
      <c r="FVH1" s="251" t="n"/>
      <c r="FVI1" s="251" t="n"/>
      <c r="FVJ1" s="251" t="n"/>
      <c r="FVK1" s="251" t="n"/>
      <c r="FVL1" s="251" t="n"/>
      <c r="FVM1" s="251" t="n"/>
      <c r="FVN1" s="251" t="n"/>
      <c r="FVO1" s="251" t="n"/>
      <c r="FVP1" s="251" t="n"/>
      <c r="FVQ1" s="251" t="n"/>
      <c r="FVR1" s="251" t="n"/>
      <c r="FVS1" s="251" t="n"/>
      <c r="FVT1" s="251" t="n"/>
      <c r="FVU1" s="251" t="n"/>
      <c r="FVV1" s="251" t="n"/>
      <c r="FVW1" s="251" t="n"/>
      <c r="FVX1" s="251" t="n"/>
      <c r="FVY1" s="251" t="n"/>
      <c r="FVZ1" s="251" t="n"/>
      <c r="FWA1" s="251" t="n"/>
      <c r="FWB1" s="251" t="n"/>
      <c r="FWC1" s="251" t="n"/>
      <c r="FWD1" s="251" t="n"/>
      <c r="FWE1" s="251" t="n"/>
      <c r="FWF1" s="251" t="n"/>
      <c r="FWG1" s="251" t="n"/>
      <c r="FWH1" s="251" t="n"/>
      <c r="FWI1" s="251" t="n"/>
      <c r="FWJ1" s="251" t="n"/>
      <c r="FWK1" s="251" t="n"/>
      <c r="FWL1" s="251" t="n"/>
      <c r="FWM1" s="251" t="n"/>
      <c r="FWN1" s="251" t="n"/>
      <c r="FWO1" s="251" t="n"/>
      <c r="FWP1" s="251" t="n"/>
      <c r="FWQ1" s="251" t="n"/>
      <c r="FWR1" s="251" t="n"/>
      <c r="FWS1" s="251" t="n"/>
      <c r="FWT1" s="251" t="n"/>
      <c r="FWU1" s="251" t="n"/>
      <c r="FWV1" s="251" t="n"/>
      <c r="FWW1" s="251" t="n"/>
      <c r="FWX1" s="251" t="n"/>
      <c r="FWY1" s="251" t="n"/>
      <c r="FWZ1" s="251" t="n"/>
      <c r="FXA1" s="251" t="n"/>
      <c r="FXB1" s="251" t="n"/>
      <c r="FXC1" s="251" t="n"/>
      <c r="FXD1" s="251" t="n"/>
      <c r="FXE1" s="251" t="n"/>
      <c r="FXF1" s="251" t="n"/>
      <c r="FXG1" s="251" t="n"/>
      <c r="FXH1" s="251" t="n"/>
      <c r="FXI1" s="251" t="n"/>
      <c r="FXJ1" s="251" t="n"/>
      <c r="FXK1" s="251" t="n"/>
      <c r="FXL1" s="251" t="n"/>
      <c r="FXM1" s="251" t="n"/>
      <c r="FXN1" s="251" t="n"/>
      <c r="FXO1" s="251" t="n"/>
      <c r="FXP1" s="251" t="n"/>
      <c r="FXQ1" s="251" t="n"/>
      <c r="FXR1" s="251" t="n"/>
      <c r="FXS1" s="251" t="n"/>
      <c r="FXT1" s="251" t="n"/>
      <c r="FXU1" s="251" t="n"/>
      <c r="FXV1" s="251" t="n"/>
      <c r="FXW1" s="251" t="n"/>
      <c r="FXX1" s="251" t="n"/>
      <c r="FXY1" s="251" t="n"/>
      <c r="FXZ1" s="251" t="n"/>
      <c r="FYA1" s="251" t="n"/>
      <c r="FYB1" s="251" t="n"/>
      <c r="FYC1" s="251" t="n"/>
      <c r="FYD1" s="251" t="n"/>
      <c r="FYE1" s="251" t="n"/>
      <c r="FYF1" s="251" t="n"/>
      <c r="FYG1" s="251" t="n"/>
      <c r="FYH1" s="251" t="n"/>
      <c r="FYI1" s="251" t="n"/>
      <c r="FYJ1" s="251" t="n"/>
      <c r="FYK1" s="251" t="n"/>
      <c r="FYL1" s="251" t="n"/>
      <c r="FYM1" s="251" t="n"/>
      <c r="FYN1" s="251" t="n"/>
      <c r="FYO1" s="251" t="n"/>
      <c r="FYP1" s="251" t="n"/>
      <c r="FYQ1" s="251" t="n"/>
      <c r="FYR1" s="251" t="n"/>
      <c r="FYS1" s="251" t="n"/>
      <c r="FYT1" s="251" t="n"/>
      <c r="FYU1" s="251" t="n"/>
      <c r="FYV1" s="251" t="n"/>
      <c r="FYW1" s="251" t="n"/>
      <c r="FYX1" s="251" t="n"/>
      <c r="FYY1" s="251" t="n"/>
      <c r="FYZ1" s="251" t="n"/>
      <c r="FZA1" s="251" t="n"/>
      <c r="FZB1" s="251" t="n"/>
      <c r="FZC1" s="251" t="n"/>
      <c r="FZD1" s="251" t="n"/>
      <c r="FZE1" s="251" t="n"/>
      <c r="FZF1" s="251" t="n"/>
      <c r="FZG1" s="251" t="n"/>
      <c r="FZH1" s="251" t="n"/>
      <c r="FZI1" s="251" t="n"/>
      <c r="FZJ1" s="251" t="n"/>
      <c r="FZK1" s="251" t="n"/>
      <c r="FZL1" s="251" t="n"/>
      <c r="FZM1" s="251" t="n"/>
      <c r="FZN1" s="251" t="n"/>
      <c r="FZO1" s="251" t="n"/>
      <c r="FZP1" s="251" t="n"/>
      <c r="FZQ1" s="251" t="n"/>
      <c r="FZR1" s="251" t="n"/>
      <c r="FZS1" s="251" t="n"/>
      <c r="FZT1" s="251" t="n"/>
      <c r="FZU1" s="251" t="n"/>
      <c r="FZV1" s="251" t="n"/>
      <c r="FZW1" s="251" t="n"/>
      <c r="FZX1" s="251" t="n"/>
      <c r="FZY1" s="251" t="n"/>
      <c r="FZZ1" s="251" t="n"/>
      <c r="GAA1" s="251" t="n"/>
      <c r="GAB1" s="251" t="n"/>
      <c r="GAC1" s="251" t="n"/>
      <c r="GAD1" s="251" t="n"/>
      <c r="GAE1" s="251" t="n"/>
      <c r="GAF1" s="251" t="n"/>
      <c r="GAG1" s="251" t="n"/>
      <c r="GAH1" s="251" t="n"/>
      <c r="GAI1" s="251" t="n"/>
      <c r="GAJ1" s="251" t="n"/>
      <c r="GAK1" s="251" t="n"/>
      <c r="GAL1" s="251" t="n"/>
      <c r="GAM1" s="251" t="n"/>
      <c r="GAN1" s="251" t="n"/>
      <c r="GAO1" s="251" t="n"/>
      <c r="GAP1" s="251" t="n"/>
      <c r="GAQ1" s="251" t="n"/>
      <c r="GAR1" s="251" t="n"/>
      <c r="GAS1" s="251" t="n"/>
      <c r="GAT1" s="251" t="n"/>
      <c r="GAU1" s="251" t="n"/>
      <c r="GAV1" s="251" t="n"/>
      <c r="GAW1" s="251" t="n"/>
      <c r="GAX1" s="251" t="n"/>
      <c r="GAY1" s="251" t="n"/>
      <c r="GAZ1" s="251" t="n"/>
      <c r="GBA1" s="251" t="n"/>
      <c r="GBB1" s="251" t="n"/>
      <c r="GBC1" s="251" t="n"/>
      <c r="GBD1" s="251" t="n"/>
      <c r="GBE1" s="251" t="n"/>
      <c r="GBF1" s="251" t="n"/>
      <c r="GBG1" s="251" t="n"/>
      <c r="GBH1" s="251" t="n"/>
      <c r="GBI1" s="251" t="n"/>
      <c r="GBJ1" s="251" t="n"/>
      <c r="GBK1" s="251" t="n"/>
      <c r="GBL1" s="251" t="n"/>
      <c r="GBM1" s="251" t="n"/>
      <c r="GBN1" s="251" t="n"/>
      <c r="GBO1" s="251" t="n"/>
      <c r="GBP1" s="251" t="n"/>
      <c r="GBQ1" s="251" t="n"/>
      <c r="GBR1" s="251" t="n"/>
      <c r="GBS1" s="251" t="n"/>
      <c r="GBT1" s="251" t="n"/>
      <c r="GBU1" s="251" t="n"/>
      <c r="GBV1" s="251" t="n"/>
      <c r="GBW1" s="251" t="n"/>
      <c r="GBX1" s="251" t="n"/>
      <c r="GBY1" s="251" t="n"/>
      <c r="GBZ1" s="251" t="n"/>
      <c r="GCA1" s="251" t="n"/>
      <c r="GCB1" s="251" t="n"/>
      <c r="GCC1" s="251" t="n"/>
      <c r="GCD1" s="251" t="n"/>
      <c r="GCE1" s="251" t="n"/>
      <c r="GCF1" s="251" t="n"/>
      <c r="GCG1" s="251" t="n"/>
      <c r="GCH1" s="251" t="n"/>
      <c r="GCI1" s="251" t="n"/>
      <c r="GCJ1" s="251" t="n"/>
      <c r="GCK1" s="251" t="n"/>
      <c r="GCL1" s="251" t="n"/>
      <c r="GCM1" s="251" t="n"/>
      <c r="GCN1" s="251" t="n"/>
      <c r="GCO1" s="251" t="n"/>
      <c r="GCP1" s="251" t="n"/>
      <c r="GCQ1" s="251" t="n"/>
      <c r="GCR1" s="251" t="n"/>
      <c r="GCS1" s="251" t="n"/>
      <c r="GCT1" s="251" t="n"/>
      <c r="GCU1" s="251" t="n"/>
      <c r="GCV1" s="251" t="n"/>
      <c r="GCW1" s="251" t="n"/>
      <c r="GCX1" s="251" t="n"/>
      <c r="GCY1" s="251" t="n"/>
      <c r="GCZ1" s="251" t="n"/>
      <c r="GDA1" s="251" t="n"/>
      <c r="GDB1" s="251" t="n"/>
      <c r="GDC1" s="251" t="n"/>
      <c r="GDD1" s="251" t="n"/>
      <c r="GDE1" s="251" t="n"/>
      <c r="GDF1" s="251" t="n"/>
      <c r="GDG1" s="251" t="n"/>
      <c r="GDH1" s="251" t="n"/>
      <c r="GDI1" s="251" t="n"/>
      <c r="GDJ1" s="251" t="n"/>
      <c r="GDK1" s="251" t="n"/>
      <c r="GDL1" s="251" t="n"/>
      <c r="GDM1" s="251" t="n"/>
      <c r="GDN1" s="251" t="n"/>
      <c r="GDO1" s="251" t="n"/>
      <c r="GDP1" s="251" t="n"/>
      <c r="GDQ1" s="251" t="n"/>
      <c r="GDR1" s="251" t="n"/>
      <c r="GDS1" s="251" t="n"/>
      <c r="GDT1" s="251" t="n"/>
      <c r="GDU1" s="251" t="n"/>
      <c r="GDV1" s="251" t="n"/>
      <c r="GDW1" s="251" t="n"/>
      <c r="GDX1" s="251" t="n"/>
      <c r="GDY1" s="251" t="n"/>
      <c r="GDZ1" s="251" t="n"/>
      <c r="GEA1" s="251" t="n"/>
      <c r="GEB1" s="251" t="n"/>
      <c r="GEC1" s="251" t="n"/>
      <c r="GED1" s="251" t="n"/>
      <c r="GEE1" s="251" t="n"/>
      <c r="GEF1" s="251" t="n"/>
      <c r="GEG1" s="251" t="n"/>
      <c r="GEH1" s="251" t="n"/>
      <c r="GEI1" s="251" t="n"/>
      <c r="GEJ1" s="251" t="n"/>
      <c r="GEK1" s="251" t="n"/>
      <c r="GEL1" s="251" t="n"/>
      <c r="GEM1" s="251" t="n"/>
      <c r="GEN1" s="251" t="n"/>
      <c r="GEO1" s="251" t="n"/>
      <c r="GEP1" s="251" t="n"/>
      <c r="GEQ1" s="251" t="n"/>
      <c r="GER1" s="251" t="n"/>
      <c r="GES1" s="251" t="n"/>
      <c r="GET1" s="251" t="n"/>
      <c r="GEU1" s="251" t="n"/>
      <c r="GEV1" s="251" t="n"/>
      <c r="GEW1" s="251" t="n"/>
      <c r="GEX1" s="251" t="n"/>
      <c r="GEY1" s="251" t="n"/>
      <c r="GEZ1" s="251" t="n"/>
      <c r="GFA1" s="251" t="n"/>
      <c r="GFB1" s="251" t="n"/>
      <c r="GFC1" s="251" t="n"/>
      <c r="GFD1" s="251" t="n"/>
      <c r="GFE1" s="251" t="n"/>
      <c r="GFF1" s="251" t="n"/>
      <c r="GFG1" s="251" t="n"/>
      <c r="GFH1" s="251" t="n"/>
      <c r="GFI1" s="251" t="n"/>
      <c r="GFJ1" s="251" t="n"/>
      <c r="GFK1" s="251" t="n"/>
      <c r="GFL1" s="251" t="n"/>
      <c r="GFM1" s="251" t="n"/>
      <c r="GFN1" s="251" t="n"/>
      <c r="GFO1" s="251" t="n"/>
      <c r="GFP1" s="251" t="n"/>
      <c r="GFQ1" s="251" t="n"/>
      <c r="GFR1" s="251" t="n"/>
      <c r="GFS1" s="251" t="n"/>
      <c r="GFT1" s="251" t="n"/>
      <c r="GFU1" s="251" t="n"/>
      <c r="GFV1" s="251" t="n"/>
      <c r="GFW1" s="251" t="n"/>
      <c r="GFX1" s="251" t="n"/>
      <c r="GFY1" s="251" t="n"/>
      <c r="GFZ1" s="251" t="n"/>
      <c r="GGA1" s="251" t="n"/>
      <c r="GGB1" s="251" t="n"/>
      <c r="GGC1" s="251" t="n"/>
      <c r="GGD1" s="251" t="n"/>
      <c r="GGE1" s="251" t="n"/>
      <c r="GGF1" s="251" t="n"/>
      <c r="GGG1" s="251" t="n"/>
      <c r="GGH1" s="251" t="n"/>
      <c r="GGI1" s="251" t="n"/>
      <c r="GGJ1" s="251" t="n"/>
      <c r="GGK1" s="251" t="n"/>
      <c r="GGL1" s="251" t="n"/>
      <c r="GGM1" s="251" t="n"/>
      <c r="GGN1" s="251" t="n"/>
      <c r="GGO1" s="251" t="n"/>
      <c r="GGP1" s="251" t="n"/>
      <c r="GGQ1" s="251" t="n"/>
      <c r="GGR1" s="251" t="n"/>
      <c r="GGS1" s="251" t="n"/>
      <c r="GGT1" s="251" t="n"/>
      <c r="GGU1" s="251" t="n"/>
      <c r="GGV1" s="251" t="n"/>
      <c r="GGW1" s="251" t="n"/>
      <c r="GGX1" s="251" t="n"/>
      <c r="GGY1" s="251" t="n"/>
      <c r="GGZ1" s="251" t="n"/>
      <c r="GHA1" s="251" t="n"/>
      <c r="GHB1" s="251" t="n"/>
      <c r="GHC1" s="251" t="n"/>
      <c r="GHD1" s="251" t="n"/>
      <c r="GHE1" s="251" t="n"/>
      <c r="GHF1" s="251" t="n"/>
      <c r="GHG1" s="251" t="n"/>
      <c r="GHH1" s="251" t="n"/>
      <c r="GHI1" s="251" t="n"/>
      <c r="GHJ1" s="251" t="n"/>
      <c r="GHK1" s="251" t="n"/>
      <c r="GHL1" s="251" t="n"/>
      <c r="GHM1" s="251" t="n"/>
      <c r="GHN1" s="251" t="n"/>
      <c r="GHO1" s="251" t="n"/>
      <c r="GHP1" s="251" t="n"/>
      <c r="GHQ1" s="251" t="n"/>
      <c r="GHR1" s="251" t="n"/>
      <c r="GHS1" s="251" t="n"/>
      <c r="GHT1" s="251" t="n"/>
      <c r="GHU1" s="251" t="n"/>
      <c r="GHV1" s="251" t="n"/>
      <c r="GHW1" s="251" t="n"/>
      <c r="GHX1" s="251" t="n"/>
      <c r="GHY1" s="251" t="n"/>
      <c r="GHZ1" s="251" t="n"/>
      <c r="GIA1" s="251" t="n"/>
      <c r="GIB1" s="251" t="n"/>
      <c r="GIC1" s="251" t="n"/>
      <c r="GID1" s="251" t="n"/>
      <c r="GIE1" s="251" t="n"/>
      <c r="GIF1" s="251" t="n"/>
      <c r="GIG1" s="251" t="n"/>
      <c r="GIH1" s="251" t="n"/>
      <c r="GII1" s="251" t="n"/>
      <c r="GIJ1" s="251" t="n"/>
      <c r="GIK1" s="251" t="n"/>
      <c r="GIL1" s="251" t="n"/>
      <c r="GIM1" s="251" t="n"/>
      <c r="GIN1" s="251" t="n"/>
      <c r="GIO1" s="251" t="n"/>
      <c r="GIP1" s="251" t="n"/>
      <c r="GIQ1" s="251" t="n"/>
      <c r="GIR1" s="251" t="n"/>
      <c r="GIS1" s="251" t="n"/>
      <c r="GIT1" s="251" t="n"/>
      <c r="GIU1" s="251" t="n"/>
      <c r="GIV1" s="251" t="n"/>
      <c r="GIW1" s="251" t="n"/>
      <c r="GIX1" s="251" t="n"/>
      <c r="GIY1" s="251" t="n"/>
      <c r="GIZ1" s="251" t="n"/>
      <c r="GJA1" s="251" t="n"/>
      <c r="GJB1" s="251" t="n"/>
      <c r="GJC1" s="251" t="n"/>
      <c r="GJD1" s="251" t="n"/>
      <c r="GJE1" s="251" t="n"/>
      <c r="GJF1" s="251" t="n"/>
      <c r="GJG1" s="251" t="n"/>
      <c r="GJH1" s="251" t="n"/>
      <c r="GJI1" s="251" t="n"/>
      <c r="GJJ1" s="251" t="n"/>
      <c r="GJK1" s="251" t="n"/>
      <c r="GJL1" s="251" t="n"/>
      <c r="GJM1" s="251" t="n"/>
      <c r="GJN1" s="251" t="n"/>
      <c r="GJO1" s="251" t="n"/>
      <c r="GJP1" s="251" t="n"/>
      <c r="GJQ1" s="251" t="n"/>
      <c r="GJR1" s="251" t="n"/>
      <c r="GJS1" s="251" t="n"/>
      <c r="GJT1" s="251" t="n"/>
      <c r="GJU1" s="251" t="n"/>
      <c r="GJV1" s="251" t="n"/>
      <c r="GJW1" s="251" t="n"/>
      <c r="GJX1" s="251" t="n"/>
      <c r="GJY1" s="251" t="n"/>
      <c r="GJZ1" s="251" t="n"/>
      <c r="GKA1" s="251" t="n"/>
      <c r="GKB1" s="251" t="n"/>
      <c r="GKC1" s="251" t="n"/>
      <c r="GKD1" s="251" t="n"/>
      <c r="GKE1" s="251" t="n"/>
      <c r="GKF1" s="251" t="n"/>
      <c r="GKG1" s="251" t="n"/>
      <c r="GKH1" s="251" t="n"/>
      <c r="GKI1" s="251" t="n"/>
      <c r="GKJ1" s="251" t="n"/>
      <c r="GKK1" s="251" t="n"/>
      <c r="GKL1" s="251" t="n"/>
      <c r="GKM1" s="251" t="n"/>
      <c r="GKN1" s="251" t="n"/>
      <c r="GKO1" s="251" t="n"/>
      <c r="GKP1" s="251" t="n"/>
      <c r="GKQ1" s="251" t="n"/>
      <c r="GKR1" s="251" t="n"/>
      <c r="GKS1" s="251" t="n"/>
      <c r="GKT1" s="251" t="n"/>
      <c r="GKU1" s="251" t="n"/>
      <c r="GKV1" s="251" t="n"/>
      <c r="GKW1" s="251" t="n"/>
      <c r="GKX1" s="251" t="n"/>
      <c r="GKY1" s="251" t="n"/>
      <c r="GKZ1" s="251" t="n"/>
      <c r="GLA1" s="251" t="n"/>
      <c r="GLB1" s="251" t="n"/>
      <c r="GLC1" s="251" t="n"/>
      <c r="GLD1" s="251" t="n"/>
      <c r="GLE1" s="251" t="n"/>
      <c r="GLF1" s="251" t="n"/>
      <c r="GLG1" s="251" t="n"/>
      <c r="GLH1" s="251" t="n"/>
      <c r="GLI1" s="251" t="n"/>
      <c r="GLJ1" s="251" t="n"/>
      <c r="GLK1" s="251" t="n"/>
      <c r="GLL1" s="251" t="n"/>
      <c r="GLM1" s="251" t="n"/>
      <c r="GLN1" s="251" t="n"/>
      <c r="GLO1" s="251" t="n"/>
      <c r="GLP1" s="251" t="n"/>
      <c r="GLQ1" s="251" t="n"/>
      <c r="GLR1" s="251" t="n"/>
      <c r="GLS1" s="251" t="n"/>
      <c r="GLT1" s="251" t="n"/>
      <c r="GLU1" s="251" t="n"/>
      <c r="GLV1" s="251" t="n"/>
      <c r="GLW1" s="251" t="n"/>
      <c r="GLX1" s="251" t="n"/>
      <c r="GLY1" s="251" t="n"/>
      <c r="GLZ1" s="251" t="n"/>
      <c r="GMA1" s="251" t="n"/>
      <c r="GMB1" s="251" t="n"/>
      <c r="GMC1" s="251" t="n"/>
      <c r="GMD1" s="251" t="n"/>
      <c r="GME1" s="251" t="n"/>
      <c r="GMF1" s="251" t="n"/>
      <c r="GMG1" s="251" t="n"/>
      <c r="GMH1" s="251" t="n"/>
      <c r="GMI1" s="251" t="n"/>
      <c r="GMJ1" s="251" t="n"/>
      <c r="GMK1" s="251" t="n"/>
      <c r="GML1" s="251" t="n"/>
      <c r="GMM1" s="251" t="n"/>
      <c r="GMN1" s="251" t="n"/>
      <c r="GMO1" s="251" t="n"/>
      <c r="GMP1" s="251" t="n"/>
      <c r="GMQ1" s="251" t="n"/>
      <c r="GMR1" s="251" t="n"/>
      <c r="GMS1" s="251" t="n"/>
      <c r="GMT1" s="251" t="n"/>
      <c r="GMU1" s="251" t="n"/>
      <c r="GMV1" s="251" t="n"/>
      <c r="GMW1" s="251" t="n"/>
      <c r="GMX1" s="251" t="n"/>
      <c r="GMY1" s="251" t="n"/>
      <c r="GMZ1" s="251" t="n"/>
      <c r="GNA1" s="251" t="n"/>
      <c r="GNB1" s="251" t="n"/>
      <c r="GNC1" s="251" t="n"/>
      <c r="GND1" s="251" t="n"/>
      <c r="GNE1" s="251" t="n"/>
      <c r="GNF1" s="251" t="n"/>
      <c r="GNG1" s="251" t="n"/>
      <c r="GNH1" s="251" t="n"/>
      <c r="GNI1" s="251" t="n"/>
      <c r="GNJ1" s="251" t="n"/>
      <c r="GNK1" s="251" t="n"/>
      <c r="GNL1" s="251" t="n"/>
      <c r="GNM1" s="251" t="n"/>
      <c r="GNN1" s="251" t="n"/>
      <c r="GNO1" s="251" t="n"/>
      <c r="GNP1" s="251" t="n"/>
      <c r="GNQ1" s="251" t="n"/>
      <c r="GNR1" s="251" t="n"/>
      <c r="GNS1" s="251" t="n"/>
      <c r="GNT1" s="251" t="n"/>
      <c r="GNU1" s="251" t="n"/>
      <c r="GNV1" s="251" t="n"/>
      <c r="GNW1" s="251" t="n"/>
      <c r="GNX1" s="251" t="n"/>
      <c r="GNY1" s="251" t="n"/>
      <c r="GNZ1" s="251" t="n"/>
      <c r="GOA1" s="251" t="n"/>
      <c r="GOB1" s="251" t="n"/>
      <c r="GOC1" s="251" t="n"/>
      <c r="GOD1" s="251" t="n"/>
      <c r="GOE1" s="251" t="n"/>
      <c r="GOF1" s="251" t="n"/>
      <c r="GOG1" s="251" t="n"/>
      <c r="GOH1" s="251" t="n"/>
      <c r="GOI1" s="251" t="n"/>
      <c r="GOJ1" s="251" t="n"/>
      <c r="GOK1" s="251" t="n"/>
      <c r="GOL1" s="251" t="n"/>
      <c r="GOM1" s="251" t="n"/>
      <c r="GON1" s="251" t="n"/>
      <c r="GOO1" s="251" t="n"/>
      <c r="GOP1" s="251" t="n"/>
      <c r="GOQ1" s="251" t="n"/>
      <c r="GOR1" s="251" t="n"/>
      <c r="GOS1" s="251" t="n"/>
      <c r="GOT1" s="251" t="n"/>
      <c r="GOU1" s="251" t="n"/>
      <c r="GOV1" s="251" t="n"/>
      <c r="GOW1" s="251" t="n"/>
      <c r="GOX1" s="251" t="n"/>
      <c r="GOY1" s="251" t="n"/>
      <c r="GOZ1" s="251" t="n"/>
      <c r="GPA1" s="251" t="n"/>
      <c r="GPB1" s="251" t="n"/>
      <c r="GPC1" s="251" t="n"/>
      <c r="GPD1" s="251" t="n"/>
      <c r="GPE1" s="251" t="n"/>
      <c r="GPF1" s="251" t="n"/>
      <c r="GPG1" s="251" t="n"/>
      <c r="GPH1" s="251" t="n"/>
      <c r="GPI1" s="251" t="n"/>
      <c r="GPJ1" s="251" t="n"/>
      <c r="GPK1" s="251" t="n"/>
      <c r="GPL1" s="251" t="n"/>
      <c r="GPM1" s="251" t="n"/>
      <c r="GPN1" s="251" t="n"/>
      <c r="GPO1" s="251" t="n"/>
      <c r="GPP1" s="251" t="n"/>
      <c r="GPQ1" s="251" t="n"/>
      <c r="GPR1" s="251" t="n"/>
      <c r="GPS1" s="251" t="n"/>
      <c r="GPT1" s="251" t="n"/>
      <c r="GPU1" s="251" t="n"/>
      <c r="GPV1" s="251" t="n"/>
      <c r="GPW1" s="251" t="n"/>
      <c r="GPX1" s="251" t="n"/>
      <c r="GPY1" s="251" t="n"/>
      <c r="GPZ1" s="251" t="n"/>
      <c r="GQA1" s="251" t="n"/>
      <c r="GQB1" s="251" t="n"/>
      <c r="GQC1" s="251" t="n"/>
      <c r="GQD1" s="251" t="n"/>
      <c r="GQE1" s="251" t="n"/>
      <c r="GQF1" s="251" t="n"/>
      <c r="GQG1" s="251" t="n"/>
      <c r="GQH1" s="251" t="n"/>
      <c r="GQI1" s="251" t="n"/>
      <c r="GQJ1" s="251" t="n"/>
      <c r="GQK1" s="251" t="n"/>
      <c r="GQL1" s="251" t="n"/>
      <c r="GQM1" s="251" t="n"/>
      <c r="GQN1" s="251" t="n"/>
      <c r="GQO1" s="251" t="n"/>
      <c r="GQP1" s="251" t="n"/>
      <c r="GQQ1" s="251" t="n"/>
      <c r="GQR1" s="251" t="n"/>
      <c r="GQS1" s="251" t="n"/>
      <c r="GQT1" s="251" t="n"/>
      <c r="GQU1" s="251" t="n"/>
      <c r="GQV1" s="251" t="n"/>
      <c r="GQW1" s="251" t="n"/>
      <c r="GQX1" s="251" t="n"/>
      <c r="GQY1" s="251" t="n"/>
      <c r="GQZ1" s="251" t="n"/>
      <c r="GRA1" s="251" t="n"/>
      <c r="GRB1" s="251" t="n"/>
      <c r="GRC1" s="251" t="n"/>
      <c r="GRD1" s="251" t="n"/>
      <c r="GRE1" s="251" t="n"/>
      <c r="GRF1" s="251" t="n"/>
      <c r="GRG1" s="251" t="n"/>
      <c r="GRH1" s="251" t="n"/>
      <c r="GRI1" s="251" t="n"/>
      <c r="GRJ1" s="251" t="n"/>
      <c r="GRK1" s="251" t="n"/>
      <c r="GRL1" s="251" t="n"/>
      <c r="GRM1" s="251" t="n"/>
      <c r="GRN1" s="251" t="n"/>
      <c r="GRO1" s="251" t="n"/>
      <c r="GRP1" s="251" t="n"/>
      <c r="GRQ1" s="251" t="n"/>
      <c r="GRR1" s="251" t="n"/>
      <c r="GRS1" s="251" t="n"/>
      <c r="GRT1" s="251" t="n"/>
      <c r="GRU1" s="251" t="n"/>
      <c r="GRV1" s="251" t="n"/>
      <c r="GRW1" s="251" t="n"/>
      <c r="GRX1" s="251" t="n"/>
      <c r="GRY1" s="251" t="n"/>
      <c r="GRZ1" s="251" t="n"/>
      <c r="GSA1" s="251" t="n"/>
      <c r="GSB1" s="251" t="n"/>
      <c r="GSC1" s="251" t="n"/>
      <c r="GSD1" s="251" t="n"/>
      <c r="GSE1" s="251" t="n"/>
      <c r="GSF1" s="251" t="n"/>
      <c r="GSG1" s="251" t="n"/>
      <c r="GSH1" s="251" t="n"/>
      <c r="GSI1" s="251" t="n"/>
      <c r="GSJ1" s="251" t="n"/>
      <c r="GSK1" s="251" t="n"/>
      <c r="GSL1" s="251" t="n"/>
      <c r="GSM1" s="251" t="n"/>
      <c r="GSN1" s="251" t="n"/>
      <c r="GSO1" s="251" t="n"/>
      <c r="GSP1" s="251" t="n"/>
      <c r="GSQ1" s="251" t="n"/>
      <c r="GSR1" s="251" t="n"/>
      <c r="GSS1" s="251" t="n"/>
      <c r="GST1" s="251" t="n"/>
      <c r="GSU1" s="251" t="n"/>
      <c r="GSV1" s="251" t="n"/>
      <c r="GSW1" s="251" t="n"/>
      <c r="GSX1" s="251" t="n"/>
      <c r="GSY1" s="251" t="n"/>
      <c r="GSZ1" s="251" t="n"/>
      <c r="GTA1" s="251" t="n"/>
      <c r="GTB1" s="251" t="n"/>
      <c r="GTC1" s="251" t="n"/>
      <c r="GTD1" s="251" t="n"/>
      <c r="GTE1" s="251" t="n"/>
      <c r="GTF1" s="251" t="n"/>
      <c r="GTG1" s="251" t="n"/>
      <c r="GTH1" s="251" t="n"/>
      <c r="GTI1" s="251" t="n"/>
      <c r="GTJ1" s="251" t="n"/>
      <c r="GTK1" s="251" t="n"/>
      <c r="GTL1" s="251" t="n"/>
      <c r="GTM1" s="251" t="n"/>
      <c r="GTN1" s="251" t="n"/>
      <c r="GTO1" s="251" t="n"/>
      <c r="GTP1" s="251" t="n"/>
      <c r="GTQ1" s="251" t="n"/>
      <c r="GTR1" s="251" t="n"/>
      <c r="GTS1" s="251" t="n"/>
      <c r="GTT1" s="251" t="n"/>
      <c r="GTU1" s="251" t="n"/>
      <c r="GTV1" s="251" t="n"/>
      <c r="GTW1" s="251" t="n"/>
      <c r="GTX1" s="251" t="n"/>
      <c r="GTY1" s="251" t="n"/>
      <c r="GTZ1" s="251" t="n"/>
      <c r="GUA1" s="251" t="n"/>
      <c r="GUB1" s="251" t="n"/>
      <c r="GUC1" s="251" t="n"/>
      <c r="GUD1" s="251" t="n"/>
      <c r="GUE1" s="251" t="n"/>
      <c r="GUF1" s="251" t="n"/>
      <c r="GUG1" s="251" t="n"/>
      <c r="GUH1" s="251" t="n"/>
      <c r="GUI1" s="251" t="n"/>
      <c r="GUJ1" s="251" t="n"/>
      <c r="GUK1" s="251" t="n"/>
      <c r="GUL1" s="251" t="n"/>
      <c r="GUM1" s="251" t="n"/>
      <c r="GUN1" s="251" t="n"/>
      <c r="GUO1" s="251" t="n"/>
      <c r="GUP1" s="251" t="n"/>
      <c r="GUQ1" s="251" t="n"/>
      <c r="GUR1" s="251" t="n"/>
      <c r="GUS1" s="251" t="n"/>
      <c r="GUT1" s="251" t="n"/>
      <c r="GUU1" s="251" t="n"/>
      <c r="GUV1" s="251" t="n"/>
      <c r="GUW1" s="251" t="n"/>
      <c r="GUX1" s="251" t="n"/>
      <c r="GUY1" s="251" t="n"/>
      <c r="GUZ1" s="251" t="n"/>
      <c r="GVA1" s="251" t="n"/>
      <c r="GVB1" s="251" t="n"/>
      <c r="GVC1" s="251" t="n"/>
      <c r="GVD1" s="251" t="n"/>
      <c r="GVE1" s="251" t="n"/>
      <c r="GVF1" s="251" t="n"/>
      <c r="GVG1" s="251" t="n"/>
      <c r="GVH1" s="251" t="n"/>
      <c r="GVI1" s="251" t="n"/>
      <c r="GVJ1" s="251" t="n"/>
      <c r="GVK1" s="251" t="n"/>
      <c r="GVL1" s="251" t="n"/>
      <c r="GVM1" s="251" t="n"/>
      <c r="GVN1" s="251" t="n"/>
      <c r="GVO1" s="251" t="n"/>
      <c r="GVP1" s="251" t="n"/>
      <c r="GVQ1" s="251" t="n"/>
      <c r="GVR1" s="251" t="n"/>
      <c r="GVS1" s="251" t="n"/>
      <c r="GVT1" s="251" t="n"/>
      <c r="GVU1" s="251" t="n"/>
      <c r="GVV1" s="251" t="n"/>
      <c r="GVW1" s="251" t="n"/>
      <c r="GVX1" s="251" t="n"/>
      <c r="GVY1" s="251" t="n"/>
      <c r="GVZ1" s="251" t="n"/>
      <c r="GWA1" s="251" t="n"/>
      <c r="GWB1" s="251" t="n"/>
      <c r="GWC1" s="251" t="n"/>
      <c r="GWD1" s="251" t="n"/>
      <c r="GWE1" s="251" t="n"/>
      <c r="GWF1" s="251" t="n"/>
      <c r="GWG1" s="251" t="n"/>
      <c r="GWH1" s="251" t="n"/>
      <c r="GWI1" s="251" t="n"/>
      <c r="GWJ1" s="251" t="n"/>
      <c r="GWK1" s="251" t="n"/>
      <c r="GWL1" s="251" t="n"/>
      <c r="GWM1" s="251" t="n"/>
      <c r="GWN1" s="251" t="n"/>
      <c r="GWO1" s="251" t="n"/>
      <c r="GWP1" s="251" t="n"/>
      <c r="GWQ1" s="251" t="n"/>
      <c r="GWR1" s="251" t="n"/>
      <c r="GWS1" s="251" t="n"/>
      <c r="GWT1" s="251" t="n"/>
      <c r="GWU1" s="251" t="n"/>
      <c r="GWV1" s="251" t="n"/>
      <c r="GWW1" s="251" t="n"/>
      <c r="GWX1" s="251" t="n"/>
      <c r="GWY1" s="251" t="n"/>
      <c r="GWZ1" s="251" t="n"/>
      <c r="GXA1" s="251" t="n"/>
      <c r="GXB1" s="251" t="n"/>
      <c r="GXC1" s="251" t="n"/>
      <c r="GXD1" s="251" t="n"/>
      <c r="GXE1" s="251" t="n"/>
      <c r="GXF1" s="251" t="n"/>
      <c r="GXG1" s="251" t="n"/>
      <c r="GXH1" s="251" t="n"/>
      <c r="GXI1" s="251" t="n"/>
      <c r="GXJ1" s="251" t="n"/>
      <c r="GXK1" s="251" t="n"/>
      <c r="GXL1" s="251" t="n"/>
      <c r="GXM1" s="251" t="n"/>
      <c r="GXN1" s="251" t="n"/>
      <c r="GXO1" s="251" t="n"/>
      <c r="GXP1" s="251" t="n"/>
      <c r="GXQ1" s="251" t="n"/>
      <c r="GXR1" s="251" t="n"/>
      <c r="GXS1" s="251" t="n"/>
      <c r="GXT1" s="251" t="n"/>
      <c r="GXU1" s="251" t="n"/>
      <c r="GXV1" s="251" t="n"/>
      <c r="GXW1" s="251" t="n"/>
      <c r="GXX1" s="251" t="n"/>
      <c r="GXY1" s="251" t="n"/>
      <c r="GXZ1" s="251" t="n"/>
      <c r="GYA1" s="251" t="n"/>
      <c r="GYB1" s="251" t="n"/>
      <c r="GYC1" s="251" t="n"/>
      <c r="GYD1" s="251" t="n"/>
      <c r="GYE1" s="251" t="n"/>
      <c r="GYF1" s="251" t="n"/>
      <c r="GYG1" s="251" t="n"/>
      <c r="GYH1" s="251" t="n"/>
      <c r="GYI1" s="251" t="n"/>
      <c r="GYJ1" s="251" t="n"/>
      <c r="GYK1" s="251" t="n"/>
      <c r="GYL1" s="251" t="n"/>
      <c r="GYM1" s="251" t="n"/>
      <c r="GYN1" s="251" t="n"/>
      <c r="GYO1" s="251" t="n"/>
      <c r="GYP1" s="251" t="n"/>
      <c r="GYQ1" s="251" t="n"/>
      <c r="GYR1" s="251" t="n"/>
      <c r="GYS1" s="251" t="n"/>
      <c r="GYT1" s="251" t="n"/>
      <c r="GYU1" s="251" t="n"/>
      <c r="GYV1" s="251" t="n"/>
      <c r="GYW1" s="251" t="n"/>
      <c r="GYX1" s="251" t="n"/>
      <c r="GYY1" s="251" t="n"/>
      <c r="GYZ1" s="251" t="n"/>
      <c r="GZA1" s="251" t="n"/>
      <c r="GZB1" s="251" t="n"/>
      <c r="GZC1" s="251" t="n"/>
      <c r="GZD1" s="251" t="n"/>
      <c r="GZE1" s="251" t="n"/>
      <c r="GZF1" s="251" t="n"/>
      <c r="GZG1" s="251" t="n"/>
      <c r="GZH1" s="251" t="n"/>
      <c r="GZI1" s="251" t="n"/>
      <c r="GZJ1" s="251" t="n"/>
      <c r="GZK1" s="251" t="n"/>
      <c r="GZL1" s="251" t="n"/>
      <c r="GZM1" s="251" t="n"/>
      <c r="GZN1" s="251" t="n"/>
      <c r="GZO1" s="251" t="n"/>
      <c r="GZP1" s="251" t="n"/>
      <c r="GZQ1" s="251" t="n"/>
      <c r="GZR1" s="251" t="n"/>
      <c r="GZS1" s="251" t="n"/>
      <c r="GZT1" s="251" t="n"/>
      <c r="GZU1" s="251" t="n"/>
      <c r="GZV1" s="251" t="n"/>
      <c r="GZW1" s="251" t="n"/>
      <c r="GZX1" s="251" t="n"/>
      <c r="GZY1" s="251" t="n"/>
      <c r="GZZ1" s="251" t="n"/>
      <c r="HAA1" s="251" t="n"/>
      <c r="HAB1" s="251" t="n"/>
      <c r="HAC1" s="251" t="n"/>
      <c r="HAD1" s="251" t="n"/>
      <c r="HAE1" s="251" t="n"/>
      <c r="HAF1" s="251" t="n"/>
      <c r="HAG1" s="251" t="n"/>
      <c r="HAH1" s="251" t="n"/>
      <c r="HAI1" s="251" t="n"/>
      <c r="HAJ1" s="251" t="n"/>
      <c r="HAK1" s="251" t="n"/>
      <c r="HAL1" s="251" t="n"/>
      <c r="HAM1" s="251" t="n"/>
      <c r="HAN1" s="251" t="n"/>
      <c r="HAO1" s="251" t="n"/>
      <c r="HAP1" s="251" t="n"/>
      <c r="HAQ1" s="251" t="n"/>
      <c r="HAR1" s="251" t="n"/>
      <c r="HAS1" s="251" t="n"/>
      <c r="HAT1" s="251" t="n"/>
      <c r="HAU1" s="251" t="n"/>
      <c r="HAV1" s="251" t="n"/>
      <c r="HAW1" s="251" t="n"/>
      <c r="HAX1" s="251" t="n"/>
      <c r="HAY1" s="251" t="n"/>
      <c r="HAZ1" s="251" t="n"/>
      <c r="HBA1" s="251" t="n"/>
      <c r="HBB1" s="251" t="n"/>
      <c r="HBC1" s="251" t="n"/>
      <c r="HBD1" s="251" t="n"/>
      <c r="HBE1" s="251" t="n"/>
      <c r="HBF1" s="251" t="n"/>
      <c r="HBG1" s="251" t="n"/>
      <c r="HBH1" s="251" t="n"/>
      <c r="HBI1" s="251" t="n"/>
      <c r="HBJ1" s="251" t="n"/>
      <c r="HBK1" s="251" t="n"/>
      <c r="HBL1" s="251" t="n"/>
      <c r="HBM1" s="251" t="n"/>
      <c r="HBN1" s="251" t="n"/>
      <c r="HBO1" s="251" t="n"/>
      <c r="HBP1" s="251" t="n"/>
      <c r="HBQ1" s="251" t="n"/>
      <c r="HBR1" s="251" t="n"/>
      <c r="HBS1" s="251" t="n"/>
      <c r="HBT1" s="251" t="n"/>
      <c r="HBU1" s="251" t="n"/>
      <c r="HBV1" s="251" t="n"/>
      <c r="HBW1" s="251" t="n"/>
      <c r="HBX1" s="251" t="n"/>
      <c r="HBY1" s="251" t="n"/>
      <c r="HBZ1" s="251" t="n"/>
      <c r="HCA1" s="251" t="n"/>
      <c r="HCB1" s="251" t="n"/>
      <c r="HCC1" s="251" t="n"/>
      <c r="HCD1" s="251" t="n"/>
      <c r="HCE1" s="251" t="n"/>
      <c r="HCF1" s="251" t="n"/>
      <c r="HCG1" s="251" t="n"/>
      <c r="HCH1" s="251" t="n"/>
      <c r="HCI1" s="251" t="n"/>
      <c r="HCJ1" s="251" t="n"/>
      <c r="HCK1" s="251" t="n"/>
      <c r="HCL1" s="251" t="n"/>
      <c r="HCM1" s="251" t="n"/>
      <c r="HCN1" s="251" t="n"/>
      <c r="HCO1" s="251" t="n"/>
      <c r="HCP1" s="251" t="n"/>
      <c r="HCQ1" s="251" t="n"/>
      <c r="HCR1" s="251" t="n"/>
      <c r="HCS1" s="251" t="n"/>
      <c r="HCT1" s="251" t="n"/>
      <c r="HCU1" s="251" t="n"/>
      <c r="HCV1" s="251" t="n"/>
      <c r="HCW1" s="251" t="n"/>
      <c r="HCX1" s="251" t="n"/>
      <c r="HCY1" s="251" t="n"/>
      <c r="HCZ1" s="251" t="n"/>
      <c r="HDA1" s="251" t="n"/>
      <c r="HDB1" s="251" t="n"/>
      <c r="HDC1" s="251" t="n"/>
      <c r="HDD1" s="251" t="n"/>
      <c r="HDE1" s="251" t="n"/>
      <c r="HDF1" s="251" t="n"/>
      <c r="HDG1" s="251" t="n"/>
      <c r="HDH1" s="251" t="n"/>
      <c r="HDI1" s="251" t="n"/>
      <c r="HDJ1" s="251" t="n"/>
      <c r="HDK1" s="251" t="n"/>
      <c r="HDL1" s="251" t="n"/>
      <c r="HDM1" s="251" t="n"/>
      <c r="HDN1" s="251" t="n"/>
      <c r="HDO1" s="251" t="n"/>
      <c r="HDP1" s="251" t="n"/>
      <c r="HDQ1" s="251" t="n"/>
      <c r="HDR1" s="251" t="n"/>
      <c r="HDS1" s="251" t="n"/>
      <c r="HDT1" s="251" t="n"/>
      <c r="HDU1" s="251" t="n"/>
      <c r="HDV1" s="251" t="n"/>
      <c r="HDW1" s="251" t="n"/>
      <c r="HDX1" s="251" t="n"/>
      <c r="HDY1" s="251" t="n"/>
      <c r="HDZ1" s="251" t="n"/>
      <c r="HEA1" s="251" t="n"/>
      <c r="HEB1" s="251" t="n"/>
      <c r="HEC1" s="251" t="n"/>
      <c r="HED1" s="251" t="n"/>
      <c r="HEE1" s="251" t="n"/>
      <c r="HEF1" s="251" t="n"/>
      <c r="HEG1" s="251" t="n"/>
      <c r="HEH1" s="251" t="n"/>
      <c r="HEI1" s="251" t="n"/>
      <c r="HEJ1" s="251" t="n"/>
      <c r="HEK1" s="251" t="n"/>
      <c r="HEL1" s="251" t="n"/>
      <c r="HEM1" s="251" t="n"/>
      <c r="HEN1" s="251" t="n"/>
      <c r="HEO1" s="251" t="n"/>
      <c r="HEP1" s="251" t="n"/>
      <c r="HEQ1" s="251" t="n"/>
      <c r="HER1" s="251" t="n"/>
      <c r="HES1" s="251" t="n"/>
      <c r="HET1" s="251" t="n"/>
      <c r="HEU1" s="251" t="n"/>
      <c r="HEV1" s="251" t="n"/>
      <c r="HEW1" s="251" t="n"/>
      <c r="HEX1" s="251" t="n"/>
      <c r="HEY1" s="251" t="n"/>
      <c r="HEZ1" s="251" t="n"/>
      <c r="HFA1" s="251" t="n"/>
      <c r="HFB1" s="251" t="n"/>
      <c r="HFC1" s="251" t="n"/>
      <c r="HFD1" s="251" t="n"/>
      <c r="HFE1" s="251" t="n"/>
      <c r="HFF1" s="251" t="n"/>
      <c r="HFG1" s="251" t="n"/>
      <c r="HFH1" s="251" t="n"/>
      <c r="HFI1" s="251" t="n"/>
      <c r="HFJ1" s="251" t="n"/>
      <c r="HFK1" s="251" t="n"/>
      <c r="HFL1" s="251" t="n"/>
      <c r="HFM1" s="251" t="n"/>
      <c r="HFN1" s="251" t="n"/>
      <c r="HFO1" s="251" t="n"/>
      <c r="HFP1" s="251" t="n"/>
      <c r="HFQ1" s="251" t="n"/>
      <c r="HFR1" s="251" t="n"/>
      <c r="HFS1" s="251" t="n"/>
      <c r="HFT1" s="251" t="n"/>
      <c r="HFU1" s="251" t="n"/>
      <c r="HFV1" s="251" t="n"/>
      <c r="HFW1" s="251" t="n"/>
      <c r="HFX1" s="251" t="n"/>
      <c r="HFY1" s="251" t="n"/>
      <c r="HFZ1" s="251" t="n"/>
      <c r="HGA1" s="251" t="n"/>
      <c r="HGB1" s="251" t="n"/>
      <c r="HGC1" s="251" t="n"/>
      <c r="HGD1" s="251" t="n"/>
      <c r="HGE1" s="251" t="n"/>
      <c r="HGF1" s="251" t="n"/>
      <c r="HGG1" s="251" t="n"/>
      <c r="HGH1" s="251" t="n"/>
      <c r="HGI1" s="251" t="n"/>
      <c r="HGJ1" s="251" t="n"/>
      <c r="HGK1" s="251" t="n"/>
      <c r="HGL1" s="251" t="n"/>
      <c r="HGM1" s="251" t="n"/>
      <c r="HGN1" s="251" t="n"/>
      <c r="HGO1" s="251" t="n"/>
      <c r="HGP1" s="251" t="n"/>
      <c r="HGQ1" s="251" t="n"/>
      <c r="HGR1" s="251" t="n"/>
      <c r="HGS1" s="251" t="n"/>
      <c r="HGT1" s="251" t="n"/>
      <c r="HGU1" s="251" t="n"/>
      <c r="HGV1" s="251" t="n"/>
      <c r="HGW1" s="251" t="n"/>
      <c r="HGX1" s="251" t="n"/>
      <c r="HGY1" s="251" t="n"/>
      <c r="HGZ1" s="251" t="n"/>
      <c r="HHA1" s="251" t="n"/>
      <c r="HHB1" s="251" t="n"/>
      <c r="HHC1" s="251" t="n"/>
      <c r="HHD1" s="251" t="n"/>
      <c r="HHE1" s="251" t="n"/>
      <c r="HHF1" s="251" t="n"/>
      <c r="HHG1" s="251" t="n"/>
      <c r="HHH1" s="251" t="n"/>
      <c r="HHI1" s="251" t="n"/>
      <c r="HHJ1" s="251" t="n"/>
      <c r="HHK1" s="251" t="n"/>
      <c r="HHL1" s="251" t="n"/>
      <c r="HHM1" s="251" t="n"/>
      <c r="HHN1" s="251" t="n"/>
      <c r="HHO1" s="251" t="n"/>
      <c r="HHP1" s="251" t="n"/>
      <c r="HHQ1" s="251" t="n"/>
      <c r="HHR1" s="251" t="n"/>
      <c r="HHS1" s="251" t="n"/>
      <c r="HHT1" s="251" t="n"/>
      <c r="HHU1" s="251" t="n"/>
      <c r="HHV1" s="251" t="n"/>
      <c r="HHW1" s="251" t="n"/>
      <c r="HHX1" s="251" t="n"/>
      <c r="HHY1" s="251" t="n"/>
      <c r="HHZ1" s="251" t="n"/>
      <c r="HIA1" s="251" t="n"/>
      <c r="HIB1" s="251" t="n"/>
      <c r="HIC1" s="251" t="n"/>
      <c r="HID1" s="251" t="n"/>
      <c r="HIE1" s="251" t="n"/>
      <c r="HIF1" s="251" t="n"/>
      <c r="HIG1" s="251" t="n"/>
      <c r="HIH1" s="251" t="n"/>
      <c r="HII1" s="251" t="n"/>
      <c r="HIJ1" s="251" t="n"/>
      <c r="HIK1" s="251" t="n"/>
      <c r="HIL1" s="251" t="n"/>
      <c r="HIM1" s="251" t="n"/>
      <c r="HIN1" s="251" t="n"/>
      <c r="HIO1" s="251" t="n"/>
      <c r="HIP1" s="251" t="n"/>
      <c r="HIQ1" s="251" t="n"/>
      <c r="HIR1" s="251" t="n"/>
      <c r="HIS1" s="251" t="n"/>
      <c r="HIT1" s="251" t="n"/>
      <c r="HIU1" s="251" t="n"/>
      <c r="HIV1" s="251" t="n"/>
      <c r="HIW1" s="251" t="n"/>
      <c r="HIX1" s="251" t="n"/>
      <c r="HIY1" s="251" t="n"/>
      <c r="HIZ1" s="251" t="n"/>
      <c r="HJA1" s="251" t="n"/>
      <c r="HJB1" s="251" t="n"/>
      <c r="HJC1" s="251" t="n"/>
      <c r="HJD1" s="251" t="n"/>
      <c r="HJE1" s="251" t="n"/>
      <c r="HJF1" s="251" t="n"/>
      <c r="HJG1" s="251" t="n"/>
      <c r="HJH1" s="251" t="n"/>
      <c r="HJI1" s="251" t="n"/>
      <c r="HJJ1" s="251" t="n"/>
      <c r="HJK1" s="251" t="n"/>
      <c r="HJL1" s="251" t="n"/>
      <c r="HJM1" s="251" t="n"/>
      <c r="HJN1" s="251" t="n"/>
      <c r="HJO1" s="251" t="n"/>
      <c r="HJP1" s="251" t="n"/>
      <c r="HJQ1" s="251" t="n"/>
      <c r="HJR1" s="251" t="n"/>
      <c r="HJS1" s="251" t="n"/>
      <c r="HJT1" s="251" t="n"/>
      <c r="HJU1" s="251" t="n"/>
      <c r="HJV1" s="251" t="n"/>
      <c r="HJW1" s="251" t="n"/>
      <c r="HJX1" s="251" t="n"/>
      <c r="HJY1" s="251" t="n"/>
      <c r="HJZ1" s="251" t="n"/>
      <c r="HKA1" s="251" t="n"/>
      <c r="HKB1" s="251" t="n"/>
      <c r="HKC1" s="251" t="n"/>
      <c r="HKD1" s="251" t="n"/>
      <c r="HKE1" s="251" t="n"/>
      <c r="HKF1" s="251" t="n"/>
      <c r="HKG1" s="251" t="n"/>
      <c r="HKH1" s="251" t="n"/>
      <c r="HKI1" s="251" t="n"/>
      <c r="HKJ1" s="251" t="n"/>
      <c r="HKK1" s="251" t="n"/>
      <c r="HKL1" s="251" t="n"/>
      <c r="HKM1" s="251" t="n"/>
      <c r="HKN1" s="251" t="n"/>
      <c r="HKO1" s="251" t="n"/>
      <c r="HKP1" s="251" t="n"/>
      <c r="HKQ1" s="251" t="n"/>
      <c r="HKR1" s="251" t="n"/>
      <c r="HKS1" s="251" t="n"/>
      <c r="HKT1" s="251" t="n"/>
      <c r="HKU1" s="251" t="n"/>
      <c r="HKV1" s="251" t="n"/>
      <c r="HKW1" s="251" t="n"/>
      <c r="HKX1" s="251" t="n"/>
      <c r="HKY1" s="251" t="n"/>
      <c r="HKZ1" s="251" t="n"/>
      <c r="HLA1" s="251" t="n"/>
      <c r="HLB1" s="251" t="n"/>
      <c r="HLC1" s="251" t="n"/>
      <c r="HLD1" s="251" t="n"/>
      <c r="HLE1" s="251" t="n"/>
      <c r="HLF1" s="251" t="n"/>
      <c r="HLG1" s="251" t="n"/>
      <c r="HLH1" s="251" t="n"/>
      <c r="HLI1" s="251" t="n"/>
      <c r="HLJ1" s="251" t="n"/>
      <c r="HLK1" s="251" t="n"/>
      <c r="HLL1" s="251" t="n"/>
      <c r="HLM1" s="251" t="n"/>
      <c r="HLN1" s="251" t="n"/>
      <c r="HLO1" s="251" t="n"/>
      <c r="HLP1" s="251" t="n"/>
      <c r="HLQ1" s="251" t="n"/>
      <c r="HLR1" s="251" t="n"/>
      <c r="HLS1" s="251" t="n"/>
      <c r="HLT1" s="251" t="n"/>
      <c r="HLU1" s="251" t="n"/>
      <c r="HLV1" s="251" t="n"/>
      <c r="HLW1" s="251" t="n"/>
      <c r="HLX1" s="251" t="n"/>
      <c r="HLY1" s="251" t="n"/>
      <c r="HLZ1" s="251" t="n"/>
      <c r="HMA1" s="251" t="n"/>
      <c r="HMB1" s="251" t="n"/>
      <c r="HMC1" s="251" t="n"/>
      <c r="HMD1" s="251" t="n"/>
      <c r="HME1" s="251" t="n"/>
      <c r="HMF1" s="251" t="n"/>
      <c r="HMG1" s="251" t="n"/>
      <c r="HMH1" s="251" t="n"/>
      <c r="HMI1" s="251" t="n"/>
      <c r="HMJ1" s="251" t="n"/>
      <c r="HMK1" s="251" t="n"/>
      <c r="HML1" s="251" t="n"/>
      <c r="HMM1" s="251" t="n"/>
      <c r="HMN1" s="251" t="n"/>
      <c r="HMO1" s="251" t="n"/>
      <c r="HMP1" s="251" t="n"/>
      <c r="HMQ1" s="251" t="n"/>
      <c r="HMR1" s="251" t="n"/>
      <c r="HMS1" s="251" t="n"/>
      <c r="HMT1" s="251" t="n"/>
      <c r="HMU1" s="251" t="n"/>
      <c r="HMV1" s="251" t="n"/>
      <c r="HMW1" s="251" t="n"/>
      <c r="HMX1" s="251" t="n"/>
      <c r="HMY1" s="251" t="n"/>
      <c r="HMZ1" s="251" t="n"/>
      <c r="HNA1" s="251" t="n"/>
      <c r="HNB1" s="251" t="n"/>
      <c r="HNC1" s="251" t="n"/>
      <c r="HND1" s="251" t="n"/>
      <c r="HNE1" s="251" t="n"/>
      <c r="HNF1" s="251" t="n"/>
      <c r="HNG1" s="251" t="n"/>
      <c r="HNH1" s="251" t="n"/>
      <c r="HNI1" s="251" t="n"/>
      <c r="HNJ1" s="251" t="n"/>
      <c r="HNK1" s="251" t="n"/>
      <c r="HNL1" s="251" t="n"/>
      <c r="HNM1" s="251" t="n"/>
      <c r="HNN1" s="251" t="n"/>
      <c r="HNO1" s="251" t="n"/>
      <c r="HNP1" s="251" t="n"/>
      <c r="HNQ1" s="251" t="n"/>
      <c r="HNR1" s="251" t="n"/>
      <c r="HNS1" s="251" t="n"/>
      <c r="HNT1" s="251" t="n"/>
      <c r="HNU1" s="251" t="n"/>
      <c r="HNV1" s="251" t="n"/>
      <c r="HNW1" s="251" t="n"/>
      <c r="HNX1" s="251" t="n"/>
      <c r="HNY1" s="251" t="n"/>
      <c r="HNZ1" s="251" t="n"/>
      <c r="HOA1" s="251" t="n"/>
      <c r="HOB1" s="251" t="n"/>
      <c r="HOC1" s="251" t="n"/>
      <c r="HOD1" s="251" t="n"/>
      <c r="HOE1" s="251" t="n"/>
      <c r="HOF1" s="251" t="n"/>
      <c r="HOG1" s="251" t="n"/>
      <c r="HOH1" s="251" t="n"/>
      <c r="HOI1" s="251" t="n"/>
      <c r="HOJ1" s="251" t="n"/>
      <c r="HOK1" s="251" t="n"/>
      <c r="HOL1" s="251" t="n"/>
      <c r="HOM1" s="251" t="n"/>
      <c r="HON1" s="251" t="n"/>
      <c r="HOO1" s="251" t="n"/>
      <c r="HOP1" s="251" t="n"/>
      <c r="HOQ1" s="251" t="n"/>
      <c r="HOR1" s="251" t="n"/>
      <c r="HOS1" s="251" t="n"/>
      <c r="HOT1" s="251" t="n"/>
      <c r="HOU1" s="251" t="n"/>
      <c r="HOV1" s="251" t="n"/>
      <c r="HOW1" s="251" t="n"/>
      <c r="HOX1" s="251" t="n"/>
      <c r="HOY1" s="251" t="n"/>
      <c r="HOZ1" s="251" t="n"/>
      <c r="HPA1" s="251" t="n"/>
      <c r="HPB1" s="251" t="n"/>
      <c r="HPC1" s="251" t="n"/>
      <c r="HPD1" s="251" t="n"/>
      <c r="HPE1" s="251" t="n"/>
      <c r="HPF1" s="251" t="n"/>
      <c r="HPG1" s="251" t="n"/>
      <c r="HPH1" s="251" t="n"/>
      <c r="HPI1" s="251" t="n"/>
      <c r="HPJ1" s="251" t="n"/>
      <c r="HPK1" s="251" t="n"/>
      <c r="HPL1" s="251" t="n"/>
      <c r="HPM1" s="251" t="n"/>
      <c r="HPN1" s="251" t="n"/>
      <c r="HPO1" s="251" t="n"/>
      <c r="HPP1" s="251" t="n"/>
      <c r="HPQ1" s="251" t="n"/>
      <c r="HPR1" s="251" t="n"/>
      <c r="HPS1" s="251" t="n"/>
      <c r="HPT1" s="251" t="n"/>
      <c r="HPU1" s="251" t="n"/>
      <c r="HPV1" s="251" t="n"/>
      <c r="HPW1" s="251" t="n"/>
      <c r="HPX1" s="251" t="n"/>
      <c r="HPY1" s="251" t="n"/>
      <c r="HPZ1" s="251" t="n"/>
      <c r="HQA1" s="251" t="n"/>
      <c r="HQB1" s="251" t="n"/>
      <c r="HQC1" s="251" t="n"/>
      <c r="HQD1" s="251" t="n"/>
      <c r="HQE1" s="251" t="n"/>
      <c r="HQF1" s="251" t="n"/>
      <c r="HQG1" s="251" t="n"/>
      <c r="HQH1" s="251" t="n"/>
      <c r="HQI1" s="251" t="n"/>
      <c r="HQJ1" s="251" t="n"/>
      <c r="HQK1" s="251" t="n"/>
      <c r="HQL1" s="251" t="n"/>
      <c r="HQM1" s="251" t="n"/>
      <c r="HQN1" s="251" t="n"/>
      <c r="HQO1" s="251" t="n"/>
      <c r="HQP1" s="251" t="n"/>
      <c r="HQQ1" s="251" t="n"/>
      <c r="HQR1" s="251" t="n"/>
      <c r="HQS1" s="251" t="n"/>
      <c r="HQT1" s="251" t="n"/>
      <c r="HQU1" s="251" t="n"/>
      <c r="HQV1" s="251" t="n"/>
      <c r="HQW1" s="251" t="n"/>
      <c r="HQX1" s="251" t="n"/>
      <c r="HQY1" s="251" t="n"/>
      <c r="HQZ1" s="251" t="n"/>
      <c r="HRA1" s="251" t="n"/>
      <c r="HRB1" s="251" t="n"/>
      <c r="HRC1" s="251" t="n"/>
      <c r="HRD1" s="251" t="n"/>
      <c r="HRE1" s="251" t="n"/>
      <c r="HRF1" s="251" t="n"/>
      <c r="HRG1" s="251" t="n"/>
      <c r="HRH1" s="251" t="n"/>
      <c r="HRI1" s="251" t="n"/>
      <c r="HRJ1" s="251" t="n"/>
      <c r="HRK1" s="251" t="n"/>
      <c r="HRL1" s="251" t="n"/>
      <c r="HRM1" s="251" t="n"/>
      <c r="HRN1" s="251" t="n"/>
      <c r="HRO1" s="251" t="n"/>
      <c r="HRP1" s="251" t="n"/>
      <c r="HRQ1" s="251" t="n"/>
      <c r="HRR1" s="251" t="n"/>
      <c r="HRS1" s="251" t="n"/>
      <c r="HRT1" s="251" t="n"/>
      <c r="HRU1" s="251" t="n"/>
      <c r="HRV1" s="251" t="n"/>
      <c r="HRW1" s="251" t="n"/>
      <c r="HRX1" s="251" t="n"/>
      <c r="HRY1" s="251" t="n"/>
      <c r="HRZ1" s="251" t="n"/>
      <c r="HSA1" s="251" t="n"/>
      <c r="HSB1" s="251" t="n"/>
      <c r="HSC1" s="251" t="n"/>
      <c r="HSD1" s="251" t="n"/>
      <c r="HSE1" s="251" t="n"/>
      <c r="HSF1" s="251" t="n"/>
      <c r="HSG1" s="251" t="n"/>
      <c r="HSH1" s="251" t="n"/>
      <c r="HSI1" s="251" t="n"/>
      <c r="HSJ1" s="251" t="n"/>
      <c r="HSK1" s="251" t="n"/>
      <c r="HSL1" s="251" t="n"/>
      <c r="HSM1" s="251" t="n"/>
      <c r="HSN1" s="251" t="n"/>
      <c r="HSO1" s="251" t="n"/>
      <c r="HSP1" s="251" t="n"/>
      <c r="HSQ1" s="251" t="n"/>
      <c r="HSR1" s="251" t="n"/>
      <c r="HSS1" s="251" t="n"/>
      <c r="HST1" s="251" t="n"/>
      <c r="HSU1" s="251" t="n"/>
      <c r="HSV1" s="251" t="n"/>
      <c r="HSW1" s="251" t="n"/>
      <c r="HSX1" s="251" t="n"/>
      <c r="HSY1" s="251" t="n"/>
      <c r="HSZ1" s="251" t="n"/>
      <c r="HTA1" s="251" t="n"/>
      <c r="HTB1" s="251" t="n"/>
      <c r="HTC1" s="251" t="n"/>
      <c r="HTD1" s="251" t="n"/>
      <c r="HTE1" s="251" t="n"/>
      <c r="HTF1" s="251" t="n"/>
      <c r="HTG1" s="251" t="n"/>
      <c r="HTH1" s="251" t="n"/>
      <c r="HTI1" s="251" t="n"/>
      <c r="HTJ1" s="251" t="n"/>
      <c r="HTK1" s="251" t="n"/>
      <c r="HTL1" s="251" t="n"/>
      <c r="HTM1" s="251" t="n"/>
      <c r="HTN1" s="251" t="n"/>
      <c r="HTO1" s="251" t="n"/>
      <c r="HTP1" s="251" t="n"/>
      <c r="HTQ1" s="251" t="n"/>
      <c r="HTR1" s="251" t="n"/>
      <c r="HTS1" s="251" t="n"/>
      <c r="HTT1" s="251" t="n"/>
      <c r="HTU1" s="251" t="n"/>
      <c r="HTV1" s="251" t="n"/>
      <c r="HTW1" s="251" t="n"/>
      <c r="HTX1" s="251" t="n"/>
      <c r="HTY1" s="251" t="n"/>
      <c r="HTZ1" s="251" t="n"/>
      <c r="HUA1" s="251" t="n"/>
      <c r="HUB1" s="251" t="n"/>
      <c r="HUC1" s="251" t="n"/>
      <c r="HUD1" s="251" t="n"/>
      <c r="HUE1" s="251" t="n"/>
      <c r="HUF1" s="251" t="n"/>
      <c r="HUG1" s="251" t="n"/>
      <c r="HUH1" s="251" t="n"/>
      <c r="HUI1" s="251" t="n"/>
      <c r="HUJ1" s="251" t="n"/>
      <c r="HUK1" s="251" t="n"/>
      <c r="HUL1" s="251" t="n"/>
      <c r="HUM1" s="251" t="n"/>
      <c r="HUN1" s="251" t="n"/>
      <c r="HUO1" s="251" t="n"/>
      <c r="HUP1" s="251" t="n"/>
      <c r="HUQ1" s="251" t="n"/>
      <c r="HUR1" s="251" t="n"/>
      <c r="HUS1" s="251" t="n"/>
      <c r="HUT1" s="251" t="n"/>
      <c r="HUU1" s="251" t="n"/>
      <c r="HUV1" s="251" t="n"/>
      <c r="HUW1" s="251" t="n"/>
      <c r="HUX1" s="251" t="n"/>
      <c r="HUY1" s="251" t="n"/>
      <c r="HUZ1" s="251" t="n"/>
      <c r="HVA1" s="251" t="n"/>
      <c r="HVB1" s="251" t="n"/>
      <c r="HVC1" s="251" t="n"/>
      <c r="HVD1" s="251" t="n"/>
      <c r="HVE1" s="251" t="n"/>
      <c r="HVF1" s="251" t="n"/>
      <c r="HVG1" s="251" t="n"/>
      <c r="HVH1" s="251" t="n"/>
      <c r="HVI1" s="251" t="n"/>
      <c r="HVJ1" s="251" t="n"/>
      <c r="HVK1" s="251" t="n"/>
      <c r="HVL1" s="251" t="n"/>
      <c r="HVM1" s="251" t="n"/>
      <c r="HVN1" s="251" t="n"/>
      <c r="HVO1" s="251" t="n"/>
      <c r="HVP1" s="251" t="n"/>
      <c r="HVQ1" s="251" t="n"/>
      <c r="HVR1" s="251" t="n"/>
      <c r="HVS1" s="251" t="n"/>
      <c r="HVT1" s="251" t="n"/>
      <c r="HVU1" s="251" t="n"/>
      <c r="HVV1" s="251" t="n"/>
      <c r="HVW1" s="251" t="n"/>
      <c r="HVX1" s="251" t="n"/>
      <c r="HVY1" s="251" t="n"/>
      <c r="HVZ1" s="251" t="n"/>
      <c r="HWA1" s="251" t="n"/>
      <c r="HWB1" s="251" t="n"/>
      <c r="HWC1" s="251" t="n"/>
      <c r="HWD1" s="251" t="n"/>
      <c r="HWE1" s="251" t="n"/>
      <c r="HWF1" s="251" t="n"/>
      <c r="HWG1" s="251" t="n"/>
      <c r="HWH1" s="251" t="n"/>
      <c r="HWI1" s="251" t="n"/>
      <c r="HWJ1" s="251" t="n"/>
      <c r="HWK1" s="251" t="n"/>
      <c r="HWL1" s="251" t="n"/>
      <c r="HWM1" s="251" t="n"/>
      <c r="HWN1" s="251" t="n"/>
      <c r="HWO1" s="251" t="n"/>
      <c r="HWP1" s="251" t="n"/>
      <c r="HWQ1" s="251" t="n"/>
      <c r="HWR1" s="251" t="n"/>
      <c r="HWS1" s="251" t="n"/>
      <c r="HWT1" s="251" t="n"/>
      <c r="HWU1" s="251" t="n"/>
      <c r="HWV1" s="251" t="n"/>
      <c r="HWW1" s="251" t="n"/>
      <c r="HWX1" s="251" t="n"/>
      <c r="HWY1" s="251" t="n"/>
      <c r="HWZ1" s="251" t="n"/>
      <c r="HXA1" s="251" t="n"/>
      <c r="HXB1" s="251" t="n"/>
      <c r="HXC1" s="251" t="n"/>
      <c r="HXD1" s="251" t="n"/>
      <c r="HXE1" s="251" t="n"/>
      <c r="HXF1" s="251" t="n"/>
      <c r="HXG1" s="251" t="n"/>
      <c r="HXH1" s="251" t="n"/>
      <c r="HXI1" s="251" t="n"/>
      <c r="HXJ1" s="251" t="n"/>
      <c r="HXK1" s="251" t="n"/>
      <c r="HXL1" s="251" t="n"/>
      <c r="HXM1" s="251" t="n"/>
      <c r="HXN1" s="251" t="n"/>
      <c r="HXO1" s="251" t="n"/>
      <c r="HXP1" s="251" t="n"/>
      <c r="HXQ1" s="251" t="n"/>
      <c r="HXR1" s="251" t="n"/>
      <c r="HXS1" s="251" t="n"/>
      <c r="HXT1" s="251" t="n"/>
      <c r="HXU1" s="251" t="n"/>
      <c r="HXV1" s="251" t="n"/>
      <c r="HXW1" s="251" t="n"/>
      <c r="HXX1" s="251" t="n"/>
      <c r="HXY1" s="251" t="n"/>
      <c r="HXZ1" s="251" t="n"/>
      <c r="HYA1" s="251" t="n"/>
      <c r="HYB1" s="251" t="n"/>
      <c r="HYC1" s="251" t="n"/>
      <c r="HYD1" s="251" t="n"/>
      <c r="HYE1" s="251" t="n"/>
      <c r="HYF1" s="251" t="n"/>
      <c r="HYG1" s="251" t="n"/>
      <c r="HYH1" s="251" t="n"/>
      <c r="HYI1" s="251" t="n"/>
      <c r="HYJ1" s="251" t="n"/>
      <c r="HYK1" s="251" t="n"/>
      <c r="HYL1" s="251" t="n"/>
      <c r="HYM1" s="251" t="n"/>
      <c r="HYN1" s="251" t="n"/>
      <c r="HYO1" s="251" t="n"/>
      <c r="HYP1" s="251" t="n"/>
      <c r="HYQ1" s="251" t="n"/>
      <c r="HYR1" s="251" t="n"/>
      <c r="HYS1" s="251" t="n"/>
      <c r="HYT1" s="251" t="n"/>
      <c r="HYU1" s="251" t="n"/>
      <c r="HYV1" s="251" t="n"/>
      <c r="HYW1" s="251" t="n"/>
      <c r="HYX1" s="251" t="n"/>
      <c r="HYY1" s="251" t="n"/>
      <c r="HYZ1" s="251" t="n"/>
      <c r="HZA1" s="251" t="n"/>
      <c r="HZB1" s="251" t="n"/>
      <c r="HZC1" s="251" t="n"/>
      <c r="HZD1" s="251" t="n"/>
      <c r="HZE1" s="251" t="n"/>
      <c r="HZF1" s="251" t="n"/>
      <c r="HZG1" s="251" t="n"/>
      <c r="HZH1" s="251" t="n"/>
      <c r="HZI1" s="251" t="n"/>
      <c r="HZJ1" s="251" t="n"/>
      <c r="HZK1" s="251" t="n"/>
      <c r="HZL1" s="251" t="n"/>
      <c r="HZM1" s="251" t="n"/>
      <c r="HZN1" s="251" t="n"/>
      <c r="HZO1" s="251" t="n"/>
      <c r="HZP1" s="251" t="n"/>
      <c r="HZQ1" s="251" t="n"/>
      <c r="HZR1" s="251" t="n"/>
      <c r="HZS1" s="251" t="n"/>
      <c r="HZT1" s="251" t="n"/>
      <c r="HZU1" s="251" t="n"/>
      <c r="HZV1" s="251" t="n"/>
      <c r="HZW1" s="251" t="n"/>
      <c r="HZX1" s="251" t="n"/>
      <c r="HZY1" s="251" t="n"/>
      <c r="HZZ1" s="251" t="n"/>
      <c r="IAA1" s="251" t="n"/>
      <c r="IAB1" s="251" t="n"/>
      <c r="IAC1" s="251" t="n"/>
      <c r="IAD1" s="251" t="n"/>
      <c r="IAE1" s="251" t="n"/>
      <c r="IAF1" s="251" t="n"/>
      <c r="IAG1" s="251" t="n"/>
      <c r="IAH1" s="251" t="n"/>
      <c r="IAI1" s="251" t="n"/>
      <c r="IAJ1" s="251" t="n"/>
      <c r="IAK1" s="251" t="n"/>
      <c r="IAL1" s="251" t="n"/>
      <c r="IAM1" s="251" t="n"/>
      <c r="IAN1" s="251" t="n"/>
      <c r="IAO1" s="251" t="n"/>
      <c r="IAP1" s="251" t="n"/>
      <c r="IAQ1" s="251" t="n"/>
      <c r="IAR1" s="251" t="n"/>
      <c r="IAS1" s="251" t="n"/>
      <c r="IAT1" s="251" t="n"/>
      <c r="IAU1" s="251" t="n"/>
      <c r="IAV1" s="251" t="n"/>
      <c r="IAW1" s="251" t="n"/>
      <c r="IAX1" s="251" t="n"/>
      <c r="IAY1" s="251" t="n"/>
      <c r="IAZ1" s="251" t="n"/>
      <c r="IBA1" s="251" t="n"/>
      <c r="IBB1" s="251" t="n"/>
      <c r="IBC1" s="251" t="n"/>
      <c r="IBD1" s="251" t="n"/>
      <c r="IBE1" s="251" t="n"/>
      <c r="IBF1" s="251" t="n"/>
      <c r="IBG1" s="251" t="n"/>
      <c r="IBH1" s="251" t="n"/>
      <c r="IBI1" s="251" t="n"/>
      <c r="IBJ1" s="251" t="n"/>
      <c r="IBK1" s="251" t="n"/>
      <c r="IBL1" s="251" t="n"/>
      <c r="IBM1" s="251" t="n"/>
      <c r="IBN1" s="251" t="n"/>
      <c r="IBO1" s="251" t="n"/>
      <c r="IBP1" s="251" t="n"/>
      <c r="IBQ1" s="251" t="n"/>
      <c r="IBR1" s="251" t="n"/>
      <c r="IBS1" s="251" t="n"/>
      <c r="IBT1" s="251" t="n"/>
      <c r="IBU1" s="251" t="n"/>
      <c r="IBV1" s="251" t="n"/>
      <c r="IBW1" s="251" t="n"/>
      <c r="IBX1" s="251" t="n"/>
      <c r="IBY1" s="251" t="n"/>
      <c r="IBZ1" s="251" t="n"/>
      <c r="ICA1" s="251" t="n"/>
      <c r="ICB1" s="251" t="n"/>
      <c r="ICC1" s="251" t="n"/>
      <c r="ICD1" s="251" t="n"/>
      <c r="ICE1" s="251" t="n"/>
      <c r="ICF1" s="251" t="n"/>
      <c r="ICG1" s="251" t="n"/>
      <c r="ICH1" s="251" t="n"/>
      <c r="ICI1" s="251" t="n"/>
      <c r="ICJ1" s="251" t="n"/>
      <c r="ICK1" s="251" t="n"/>
      <c r="ICL1" s="251" t="n"/>
      <c r="ICM1" s="251" t="n"/>
      <c r="ICN1" s="251" t="n"/>
      <c r="ICO1" s="251" t="n"/>
      <c r="ICP1" s="251" t="n"/>
      <c r="ICQ1" s="251" t="n"/>
      <c r="ICR1" s="251" t="n"/>
      <c r="ICS1" s="251" t="n"/>
      <c r="ICT1" s="251" t="n"/>
      <c r="ICU1" s="251" t="n"/>
      <c r="ICV1" s="251" t="n"/>
      <c r="ICW1" s="251" t="n"/>
      <c r="ICX1" s="251" t="n"/>
      <c r="ICY1" s="251" t="n"/>
      <c r="ICZ1" s="251" t="n"/>
      <c r="IDA1" s="251" t="n"/>
      <c r="IDB1" s="251" t="n"/>
      <c r="IDC1" s="251" t="n"/>
      <c r="IDD1" s="251" t="n"/>
      <c r="IDE1" s="251" t="n"/>
      <c r="IDF1" s="251" t="n"/>
      <c r="IDG1" s="251" t="n"/>
      <c r="IDH1" s="251" t="n"/>
      <c r="IDI1" s="251" t="n"/>
      <c r="IDJ1" s="251" t="n"/>
      <c r="IDK1" s="251" t="n"/>
      <c r="IDL1" s="251" t="n"/>
      <c r="IDM1" s="251" t="n"/>
      <c r="IDN1" s="251" t="n"/>
      <c r="IDO1" s="251" t="n"/>
      <c r="IDP1" s="251" t="n"/>
      <c r="IDQ1" s="251" t="n"/>
      <c r="IDR1" s="251" t="n"/>
      <c r="IDS1" s="251" t="n"/>
      <c r="IDT1" s="251" t="n"/>
      <c r="IDU1" s="251" t="n"/>
      <c r="IDV1" s="251" t="n"/>
      <c r="IDW1" s="251" t="n"/>
      <c r="IDX1" s="251" t="n"/>
      <c r="IDY1" s="251" t="n"/>
      <c r="IDZ1" s="251" t="n"/>
      <c r="IEA1" s="251" t="n"/>
      <c r="IEB1" s="251" t="n"/>
      <c r="IEC1" s="251" t="n"/>
      <c r="IED1" s="251" t="n"/>
      <c r="IEE1" s="251" t="n"/>
      <c r="IEF1" s="251" t="n"/>
      <c r="IEG1" s="251" t="n"/>
      <c r="IEH1" s="251" t="n"/>
      <c r="IEI1" s="251" t="n"/>
      <c r="IEJ1" s="251" t="n"/>
      <c r="IEK1" s="251" t="n"/>
      <c r="IEL1" s="251" t="n"/>
      <c r="IEM1" s="251" t="n"/>
      <c r="IEN1" s="251" t="n"/>
      <c r="IEO1" s="251" t="n"/>
      <c r="IEP1" s="251" t="n"/>
      <c r="IEQ1" s="251" t="n"/>
      <c r="IER1" s="251" t="n"/>
      <c r="IES1" s="251" t="n"/>
      <c r="IET1" s="251" t="n"/>
      <c r="IEU1" s="251" t="n"/>
      <c r="IEV1" s="251" t="n"/>
      <c r="IEW1" s="251" t="n"/>
      <c r="IEX1" s="251" t="n"/>
      <c r="IEY1" s="251" t="n"/>
      <c r="IEZ1" s="251" t="n"/>
      <c r="IFA1" s="251" t="n"/>
      <c r="IFB1" s="251" t="n"/>
      <c r="IFC1" s="251" t="n"/>
      <c r="IFD1" s="251" t="n"/>
      <c r="IFE1" s="251" t="n"/>
      <c r="IFF1" s="251" t="n"/>
      <c r="IFG1" s="251" t="n"/>
      <c r="IFH1" s="251" t="n"/>
      <c r="IFI1" s="251" t="n"/>
      <c r="IFJ1" s="251" t="n"/>
      <c r="IFK1" s="251" t="n"/>
      <c r="IFL1" s="251" t="n"/>
      <c r="IFM1" s="251" t="n"/>
      <c r="IFN1" s="251" t="n"/>
      <c r="IFO1" s="251" t="n"/>
      <c r="IFP1" s="251" t="n"/>
      <c r="IFQ1" s="251" t="n"/>
      <c r="IFR1" s="251" t="n"/>
      <c r="IFS1" s="251" t="n"/>
      <c r="IFT1" s="251" t="n"/>
      <c r="IFU1" s="251" t="n"/>
      <c r="IFV1" s="251" t="n"/>
      <c r="IFW1" s="251" t="n"/>
      <c r="IFX1" s="251" t="n"/>
      <c r="IFY1" s="251" t="n"/>
      <c r="IFZ1" s="251" t="n"/>
      <c r="IGA1" s="251" t="n"/>
      <c r="IGB1" s="251" t="n"/>
      <c r="IGC1" s="251" t="n"/>
      <c r="IGD1" s="251" t="n"/>
      <c r="IGE1" s="251" t="n"/>
      <c r="IGF1" s="251" t="n"/>
      <c r="IGG1" s="251" t="n"/>
      <c r="IGH1" s="251" t="n"/>
      <c r="IGI1" s="251" t="n"/>
      <c r="IGJ1" s="251" t="n"/>
      <c r="IGK1" s="251" t="n"/>
      <c r="IGL1" s="251" t="n"/>
      <c r="IGM1" s="251" t="n"/>
      <c r="IGN1" s="251" t="n"/>
      <c r="IGO1" s="251" t="n"/>
      <c r="IGP1" s="251" t="n"/>
      <c r="IGQ1" s="251" t="n"/>
      <c r="IGR1" s="251" t="n"/>
      <c r="IGS1" s="251" t="n"/>
      <c r="IGT1" s="251" t="n"/>
      <c r="IGU1" s="251" t="n"/>
      <c r="IGV1" s="251" t="n"/>
      <c r="IGW1" s="251" t="n"/>
      <c r="IGX1" s="251" t="n"/>
      <c r="IGY1" s="251" t="n"/>
      <c r="IGZ1" s="251" t="n"/>
      <c r="IHA1" s="251" t="n"/>
      <c r="IHB1" s="251" t="n"/>
      <c r="IHC1" s="251" t="n"/>
      <c r="IHD1" s="251" t="n"/>
      <c r="IHE1" s="251" t="n"/>
      <c r="IHF1" s="251" t="n"/>
      <c r="IHG1" s="251" t="n"/>
      <c r="IHH1" s="251" t="n"/>
      <c r="IHI1" s="251" t="n"/>
      <c r="IHJ1" s="251" t="n"/>
      <c r="IHK1" s="251" t="n"/>
      <c r="IHL1" s="251" t="n"/>
      <c r="IHM1" s="251" t="n"/>
      <c r="IHN1" s="251" t="n"/>
      <c r="IHO1" s="251" t="n"/>
      <c r="IHP1" s="251" t="n"/>
      <c r="IHQ1" s="251" t="n"/>
      <c r="IHR1" s="251" t="n"/>
      <c r="IHS1" s="251" t="n"/>
      <c r="IHT1" s="251" t="n"/>
      <c r="IHU1" s="251" t="n"/>
      <c r="IHV1" s="251" t="n"/>
      <c r="IHW1" s="251" t="n"/>
      <c r="IHX1" s="251" t="n"/>
      <c r="IHY1" s="251" t="n"/>
      <c r="IHZ1" s="251" t="n"/>
      <c r="IIA1" s="251" t="n"/>
      <c r="IIB1" s="251" t="n"/>
      <c r="IIC1" s="251" t="n"/>
      <c r="IID1" s="251" t="n"/>
      <c r="IIE1" s="251" t="n"/>
      <c r="IIF1" s="251" t="n"/>
      <c r="IIG1" s="251" t="n"/>
      <c r="IIH1" s="251" t="n"/>
      <c r="III1" s="251" t="n"/>
      <c r="IIJ1" s="251" t="n"/>
      <c r="IIK1" s="251" t="n"/>
      <c r="IIL1" s="251" t="n"/>
      <c r="IIM1" s="251" t="n"/>
      <c r="IIN1" s="251" t="n"/>
      <c r="IIO1" s="251" t="n"/>
      <c r="IIP1" s="251" t="n"/>
      <c r="IIQ1" s="251" t="n"/>
      <c r="IIR1" s="251" t="n"/>
      <c r="IIS1" s="251" t="n"/>
      <c r="IIT1" s="251" t="n"/>
      <c r="IIU1" s="251" t="n"/>
      <c r="IIV1" s="251" t="n"/>
      <c r="IIW1" s="251" t="n"/>
      <c r="IIX1" s="251" t="n"/>
      <c r="IIY1" s="251" t="n"/>
      <c r="IIZ1" s="251" t="n"/>
      <c r="IJA1" s="251" t="n"/>
      <c r="IJB1" s="251" t="n"/>
      <c r="IJC1" s="251" t="n"/>
      <c r="IJD1" s="251" t="n"/>
      <c r="IJE1" s="251" t="n"/>
      <c r="IJF1" s="251" t="n"/>
      <c r="IJG1" s="251" t="n"/>
      <c r="IJH1" s="251" t="n"/>
      <c r="IJI1" s="251" t="n"/>
      <c r="IJJ1" s="251" t="n"/>
      <c r="IJK1" s="251" t="n"/>
      <c r="IJL1" s="251" t="n"/>
      <c r="IJM1" s="251" t="n"/>
      <c r="IJN1" s="251" t="n"/>
      <c r="IJO1" s="251" t="n"/>
      <c r="IJP1" s="251" t="n"/>
      <c r="IJQ1" s="251" t="n"/>
      <c r="IJR1" s="251" t="n"/>
      <c r="IJS1" s="251" t="n"/>
      <c r="IJT1" s="251" t="n"/>
      <c r="IJU1" s="251" t="n"/>
      <c r="IJV1" s="251" t="n"/>
      <c r="IJW1" s="251" t="n"/>
      <c r="IJX1" s="251" t="n"/>
      <c r="IJY1" s="251" t="n"/>
      <c r="IJZ1" s="251" t="n"/>
      <c r="IKA1" s="251" t="n"/>
      <c r="IKB1" s="251" t="n"/>
      <c r="IKC1" s="251" t="n"/>
      <c r="IKD1" s="251" t="n"/>
      <c r="IKE1" s="251" t="n"/>
      <c r="IKF1" s="251" t="n"/>
      <c r="IKG1" s="251" t="n"/>
      <c r="IKH1" s="251" t="n"/>
      <c r="IKI1" s="251" t="n"/>
      <c r="IKJ1" s="251" t="n"/>
      <c r="IKK1" s="251" t="n"/>
      <c r="IKL1" s="251" t="n"/>
      <c r="IKM1" s="251" t="n"/>
      <c r="IKN1" s="251" t="n"/>
      <c r="IKO1" s="251" t="n"/>
      <c r="IKP1" s="251" t="n"/>
      <c r="IKQ1" s="251" t="n"/>
      <c r="IKR1" s="251" t="n"/>
      <c r="IKS1" s="251" t="n"/>
      <c r="IKT1" s="251" t="n"/>
      <c r="IKU1" s="251" t="n"/>
      <c r="IKV1" s="251" t="n"/>
      <c r="IKW1" s="251" t="n"/>
      <c r="IKX1" s="251" t="n"/>
      <c r="IKY1" s="251" t="n"/>
      <c r="IKZ1" s="251" t="n"/>
      <c r="ILA1" s="251" t="n"/>
      <c r="ILB1" s="251" t="n"/>
      <c r="ILC1" s="251" t="n"/>
      <c r="ILD1" s="251" t="n"/>
      <c r="ILE1" s="251" t="n"/>
      <c r="ILF1" s="251" t="n"/>
      <c r="ILG1" s="251" t="n"/>
      <c r="ILH1" s="251" t="n"/>
      <c r="ILI1" s="251" t="n"/>
      <c r="ILJ1" s="251" t="n"/>
      <c r="ILK1" s="251" t="n"/>
      <c r="ILL1" s="251" t="n"/>
      <c r="ILM1" s="251" t="n"/>
      <c r="ILN1" s="251" t="n"/>
      <c r="ILO1" s="251" t="n"/>
      <c r="ILP1" s="251" t="n"/>
      <c r="ILQ1" s="251" t="n"/>
      <c r="ILR1" s="251" t="n"/>
      <c r="ILS1" s="251" t="n"/>
      <c r="ILT1" s="251" t="n"/>
      <c r="ILU1" s="251" t="n"/>
      <c r="ILV1" s="251" t="n"/>
      <c r="ILW1" s="251" t="n"/>
      <c r="ILX1" s="251" t="n"/>
      <c r="ILY1" s="251" t="n"/>
      <c r="ILZ1" s="251" t="n"/>
      <c r="IMA1" s="251" t="n"/>
      <c r="IMB1" s="251" t="n"/>
      <c r="IMC1" s="251" t="n"/>
      <c r="IMD1" s="251" t="n"/>
      <c r="IME1" s="251" t="n"/>
      <c r="IMF1" s="251" t="n"/>
      <c r="IMG1" s="251" t="n"/>
      <c r="IMH1" s="251" t="n"/>
      <c r="IMI1" s="251" t="n"/>
      <c r="IMJ1" s="251" t="n"/>
      <c r="IMK1" s="251" t="n"/>
      <c r="IML1" s="251" t="n"/>
      <c r="IMM1" s="251" t="n"/>
      <c r="IMN1" s="251" t="n"/>
      <c r="IMO1" s="251" t="n"/>
      <c r="IMP1" s="251" t="n"/>
      <c r="IMQ1" s="251" t="n"/>
      <c r="IMR1" s="251" t="n"/>
      <c r="IMS1" s="251" t="n"/>
      <c r="IMT1" s="251" t="n"/>
      <c r="IMU1" s="251" t="n"/>
      <c r="IMV1" s="251" t="n"/>
      <c r="IMW1" s="251" t="n"/>
      <c r="IMX1" s="251" t="n"/>
      <c r="IMY1" s="251" t="n"/>
      <c r="IMZ1" s="251" t="n"/>
      <c r="INA1" s="251" t="n"/>
      <c r="INB1" s="251" t="n"/>
      <c r="INC1" s="251" t="n"/>
      <c r="IND1" s="251" t="n"/>
      <c r="INE1" s="251" t="n"/>
      <c r="INF1" s="251" t="n"/>
      <c r="ING1" s="251" t="n"/>
      <c r="INH1" s="251" t="n"/>
      <c r="INI1" s="251" t="n"/>
      <c r="INJ1" s="251" t="n"/>
      <c r="INK1" s="251" t="n"/>
      <c r="INL1" s="251" t="n"/>
      <c r="INM1" s="251" t="n"/>
      <c r="INN1" s="251" t="n"/>
      <c r="INO1" s="251" t="n"/>
      <c r="INP1" s="251" t="n"/>
      <c r="INQ1" s="251" t="n"/>
      <c r="INR1" s="251" t="n"/>
      <c r="INS1" s="251" t="n"/>
      <c r="INT1" s="251" t="n"/>
      <c r="INU1" s="251" t="n"/>
      <c r="INV1" s="251" t="n"/>
      <c r="INW1" s="251" t="n"/>
      <c r="INX1" s="251" t="n"/>
      <c r="INY1" s="251" t="n"/>
      <c r="INZ1" s="251" t="n"/>
      <c r="IOA1" s="251" t="n"/>
      <c r="IOB1" s="251" t="n"/>
      <c r="IOC1" s="251" t="n"/>
      <c r="IOD1" s="251" t="n"/>
      <c r="IOE1" s="251" t="n"/>
      <c r="IOF1" s="251" t="n"/>
      <c r="IOG1" s="251" t="n"/>
      <c r="IOH1" s="251" t="n"/>
      <c r="IOI1" s="251" t="n"/>
      <c r="IOJ1" s="251" t="n"/>
      <c r="IOK1" s="251" t="n"/>
      <c r="IOL1" s="251" t="n"/>
      <c r="IOM1" s="251" t="n"/>
      <c r="ION1" s="251" t="n"/>
      <c r="IOO1" s="251" t="n"/>
      <c r="IOP1" s="251" t="n"/>
      <c r="IOQ1" s="251" t="n"/>
      <c r="IOR1" s="251" t="n"/>
      <c r="IOS1" s="251" t="n"/>
      <c r="IOT1" s="251" t="n"/>
      <c r="IOU1" s="251" t="n"/>
      <c r="IOV1" s="251" t="n"/>
      <c r="IOW1" s="251" t="n"/>
      <c r="IOX1" s="251" t="n"/>
      <c r="IOY1" s="251" t="n"/>
      <c r="IOZ1" s="251" t="n"/>
      <c r="IPA1" s="251" t="n"/>
      <c r="IPB1" s="251" t="n"/>
      <c r="IPC1" s="251" t="n"/>
      <c r="IPD1" s="251" t="n"/>
      <c r="IPE1" s="251" t="n"/>
      <c r="IPF1" s="251" t="n"/>
      <c r="IPG1" s="251" t="n"/>
      <c r="IPH1" s="251" t="n"/>
      <c r="IPI1" s="251" t="n"/>
      <c r="IPJ1" s="251" t="n"/>
      <c r="IPK1" s="251" t="n"/>
      <c r="IPL1" s="251" t="n"/>
      <c r="IPM1" s="251" t="n"/>
      <c r="IPN1" s="251" t="n"/>
      <c r="IPO1" s="251" t="n"/>
      <c r="IPP1" s="251" t="n"/>
      <c r="IPQ1" s="251" t="n"/>
      <c r="IPR1" s="251" t="n"/>
      <c r="IPS1" s="251" t="n"/>
      <c r="IPT1" s="251" t="n"/>
      <c r="IPU1" s="251" t="n"/>
      <c r="IPV1" s="251" t="n"/>
      <c r="IPW1" s="251" t="n"/>
      <c r="IPX1" s="251" t="n"/>
      <c r="IPY1" s="251" t="n"/>
      <c r="IPZ1" s="251" t="n"/>
      <c r="IQA1" s="251" t="n"/>
      <c r="IQB1" s="251" t="n"/>
      <c r="IQC1" s="251" t="n"/>
      <c r="IQD1" s="251" t="n"/>
      <c r="IQE1" s="251" t="n"/>
      <c r="IQF1" s="251" t="n"/>
      <c r="IQG1" s="251" t="n"/>
      <c r="IQH1" s="251" t="n"/>
      <c r="IQI1" s="251" t="n"/>
      <c r="IQJ1" s="251" t="n"/>
      <c r="IQK1" s="251" t="n"/>
      <c r="IQL1" s="251" t="n"/>
      <c r="IQM1" s="251" t="n"/>
      <c r="IQN1" s="251" t="n"/>
      <c r="IQO1" s="251" t="n"/>
      <c r="IQP1" s="251" t="n"/>
      <c r="IQQ1" s="251" t="n"/>
      <c r="IQR1" s="251" t="n"/>
      <c r="IQS1" s="251" t="n"/>
      <c r="IQT1" s="251" t="n"/>
      <c r="IQU1" s="251" t="n"/>
      <c r="IQV1" s="251" t="n"/>
      <c r="IQW1" s="251" t="n"/>
      <c r="IQX1" s="251" t="n"/>
      <c r="IQY1" s="251" t="n"/>
      <c r="IQZ1" s="251" t="n"/>
      <c r="IRA1" s="251" t="n"/>
      <c r="IRB1" s="251" t="n"/>
      <c r="IRC1" s="251" t="n"/>
      <c r="IRD1" s="251" t="n"/>
      <c r="IRE1" s="251" t="n"/>
      <c r="IRF1" s="251" t="n"/>
      <c r="IRG1" s="251" t="n"/>
      <c r="IRH1" s="251" t="n"/>
      <c r="IRI1" s="251" t="n"/>
      <c r="IRJ1" s="251" t="n"/>
      <c r="IRK1" s="251" t="n"/>
      <c r="IRL1" s="251" t="n"/>
      <c r="IRM1" s="251" t="n"/>
      <c r="IRN1" s="251" t="n"/>
      <c r="IRO1" s="251" t="n"/>
      <c r="IRP1" s="251" t="n"/>
      <c r="IRQ1" s="251" t="n"/>
      <c r="IRR1" s="251" t="n"/>
      <c r="IRS1" s="251" t="n"/>
      <c r="IRT1" s="251" t="n"/>
      <c r="IRU1" s="251" t="n"/>
      <c r="IRV1" s="251" t="n"/>
      <c r="IRW1" s="251" t="n"/>
      <c r="IRX1" s="251" t="n"/>
      <c r="IRY1" s="251" t="n"/>
      <c r="IRZ1" s="251" t="n"/>
      <c r="ISA1" s="251" t="n"/>
      <c r="ISB1" s="251" t="n"/>
      <c r="ISC1" s="251" t="n"/>
      <c r="ISD1" s="251" t="n"/>
      <c r="ISE1" s="251" t="n"/>
      <c r="ISF1" s="251" t="n"/>
      <c r="ISG1" s="251" t="n"/>
      <c r="ISH1" s="251" t="n"/>
      <c r="ISI1" s="251" t="n"/>
      <c r="ISJ1" s="251" t="n"/>
      <c r="ISK1" s="251" t="n"/>
      <c r="ISL1" s="251" t="n"/>
      <c r="ISM1" s="251" t="n"/>
      <c r="ISN1" s="251" t="n"/>
      <c r="ISO1" s="251" t="n"/>
      <c r="ISP1" s="251" t="n"/>
      <c r="ISQ1" s="251" t="n"/>
      <c r="ISR1" s="251" t="n"/>
      <c r="ISS1" s="251" t="n"/>
      <c r="IST1" s="251" t="n"/>
      <c r="ISU1" s="251" t="n"/>
      <c r="ISV1" s="251" t="n"/>
      <c r="ISW1" s="251" t="n"/>
      <c r="ISX1" s="251" t="n"/>
      <c r="ISY1" s="251" t="n"/>
      <c r="ISZ1" s="251" t="n"/>
      <c r="ITA1" s="251" t="n"/>
      <c r="ITB1" s="251" t="n"/>
      <c r="ITC1" s="251" t="n"/>
      <c r="ITD1" s="251" t="n"/>
      <c r="ITE1" s="251" t="n"/>
      <c r="ITF1" s="251" t="n"/>
      <c r="ITG1" s="251" t="n"/>
      <c r="ITH1" s="251" t="n"/>
      <c r="ITI1" s="251" t="n"/>
      <c r="ITJ1" s="251" t="n"/>
      <c r="ITK1" s="251" t="n"/>
      <c r="ITL1" s="251" t="n"/>
      <c r="ITM1" s="251" t="n"/>
      <c r="ITN1" s="251" t="n"/>
      <c r="ITO1" s="251" t="n"/>
      <c r="ITP1" s="251" t="n"/>
      <c r="ITQ1" s="251" t="n"/>
      <c r="ITR1" s="251" t="n"/>
      <c r="ITS1" s="251" t="n"/>
      <c r="ITT1" s="251" t="n"/>
      <c r="ITU1" s="251" t="n"/>
      <c r="ITV1" s="251" t="n"/>
      <c r="ITW1" s="251" t="n"/>
      <c r="ITX1" s="251" t="n"/>
      <c r="ITY1" s="251" t="n"/>
      <c r="ITZ1" s="251" t="n"/>
      <c r="IUA1" s="251" t="n"/>
      <c r="IUB1" s="251" t="n"/>
      <c r="IUC1" s="251" t="n"/>
      <c r="IUD1" s="251" t="n"/>
      <c r="IUE1" s="251" t="n"/>
      <c r="IUF1" s="251" t="n"/>
      <c r="IUG1" s="251" t="n"/>
      <c r="IUH1" s="251" t="n"/>
      <c r="IUI1" s="251" t="n"/>
      <c r="IUJ1" s="251" t="n"/>
      <c r="IUK1" s="251" t="n"/>
      <c r="IUL1" s="251" t="n"/>
      <c r="IUM1" s="251" t="n"/>
      <c r="IUN1" s="251" t="n"/>
      <c r="IUO1" s="251" t="n"/>
      <c r="IUP1" s="251" t="n"/>
      <c r="IUQ1" s="251" t="n"/>
      <c r="IUR1" s="251" t="n"/>
      <c r="IUS1" s="251" t="n"/>
      <c r="IUT1" s="251" t="n"/>
      <c r="IUU1" s="251" t="n"/>
      <c r="IUV1" s="251" t="n"/>
      <c r="IUW1" s="251" t="n"/>
      <c r="IUX1" s="251" t="n"/>
      <c r="IUY1" s="251" t="n"/>
      <c r="IUZ1" s="251" t="n"/>
      <c r="IVA1" s="251" t="n"/>
      <c r="IVB1" s="251" t="n"/>
      <c r="IVC1" s="251" t="n"/>
      <c r="IVD1" s="251" t="n"/>
      <c r="IVE1" s="251" t="n"/>
      <c r="IVF1" s="251" t="n"/>
      <c r="IVG1" s="251" t="n"/>
      <c r="IVH1" s="251" t="n"/>
      <c r="IVI1" s="251" t="n"/>
      <c r="IVJ1" s="251" t="n"/>
      <c r="IVK1" s="251" t="n"/>
      <c r="IVL1" s="251" t="n"/>
      <c r="IVM1" s="251" t="n"/>
      <c r="IVN1" s="251" t="n"/>
      <c r="IVO1" s="251" t="n"/>
      <c r="IVP1" s="251" t="n"/>
      <c r="IVQ1" s="251" t="n"/>
      <c r="IVR1" s="251" t="n"/>
      <c r="IVS1" s="251" t="n"/>
      <c r="IVT1" s="251" t="n"/>
      <c r="IVU1" s="251" t="n"/>
      <c r="IVV1" s="251" t="n"/>
      <c r="IVW1" s="251" t="n"/>
      <c r="IVX1" s="251" t="n"/>
      <c r="IVY1" s="251" t="n"/>
      <c r="IVZ1" s="251" t="n"/>
      <c r="IWA1" s="251" t="n"/>
      <c r="IWB1" s="251" t="n"/>
      <c r="IWC1" s="251" t="n"/>
      <c r="IWD1" s="251" t="n"/>
      <c r="IWE1" s="251" t="n"/>
      <c r="IWF1" s="251" t="n"/>
      <c r="IWG1" s="251" t="n"/>
      <c r="IWH1" s="251" t="n"/>
      <c r="IWI1" s="251" t="n"/>
      <c r="IWJ1" s="251" t="n"/>
      <c r="IWK1" s="251" t="n"/>
      <c r="IWL1" s="251" t="n"/>
      <c r="IWM1" s="251" t="n"/>
      <c r="IWN1" s="251" t="n"/>
      <c r="IWO1" s="251" t="n"/>
      <c r="IWP1" s="251" t="n"/>
      <c r="IWQ1" s="251" t="n"/>
      <c r="IWR1" s="251" t="n"/>
      <c r="IWS1" s="251" t="n"/>
      <c r="IWT1" s="251" t="n"/>
      <c r="IWU1" s="251" t="n"/>
      <c r="IWV1" s="251" t="n"/>
      <c r="IWW1" s="251" t="n"/>
      <c r="IWX1" s="251" t="n"/>
      <c r="IWY1" s="251" t="n"/>
      <c r="IWZ1" s="251" t="n"/>
      <c r="IXA1" s="251" t="n"/>
      <c r="IXB1" s="251" t="n"/>
      <c r="IXC1" s="251" t="n"/>
      <c r="IXD1" s="251" t="n"/>
      <c r="IXE1" s="251" t="n"/>
      <c r="IXF1" s="251" t="n"/>
      <c r="IXG1" s="251" t="n"/>
      <c r="IXH1" s="251" t="n"/>
      <c r="IXI1" s="251" t="n"/>
      <c r="IXJ1" s="251" t="n"/>
      <c r="IXK1" s="251" t="n"/>
      <c r="IXL1" s="251" t="n"/>
      <c r="IXM1" s="251" t="n"/>
      <c r="IXN1" s="251" t="n"/>
      <c r="IXO1" s="251" t="n"/>
      <c r="IXP1" s="251" t="n"/>
      <c r="IXQ1" s="251" t="n"/>
      <c r="IXR1" s="251" t="n"/>
      <c r="IXS1" s="251" t="n"/>
      <c r="IXT1" s="251" t="n"/>
      <c r="IXU1" s="251" t="n"/>
      <c r="IXV1" s="251" t="n"/>
      <c r="IXW1" s="251" t="n"/>
      <c r="IXX1" s="251" t="n"/>
      <c r="IXY1" s="251" t="n"/>
      <c r="IXZ1" s="251" t="n"/>
      <c r="IYA1" s="251" t="n"/>
      <c r="IYB1" s="251" t="n"/>
      <c r="IYC1" s="251" t="n"/>
      <c r="IYD1" s="251" t="n"/>
      <c r="IYE1" s="251" t="n"/>
      <c r="IYF1" s="251" t="n"/>
      <c r="IYG1" s="251" t="n"/>
      <c r="IYH1" s="251" t="n"/>
      <c r="IYI1" s="251" t="n"/>
      <c r="IYJ1" s="251" t="n"/>
      <c r="IYK1" s="251" t="n"/>
      <c r="IYL1" s="251" t="n"/>
      <c r="IYM1" s="251" t="n"/>
      <c r="IYN1" s="251" t="n"/>
      <c r="IYO1" s="251" t="n"/>
      <c r="IYP1" s="251" t="n"/>
      <c r="IYQ1" s="251" t="n"/>
      <c r="IYR1" s="251" t="n"/>
      <c r="IYS1" s="251" t="n"/>
      <c r="IYT1" s="251" t="n"/>
      <c r="IYU1" s="251" t="n"/>
      <c r="IYV1" s="251" t="n"/>
      <c r="IYW1" s="251" t="n"/>
      <c r="IYX1" s="251" t="n"/>
      <c r="IYY1" s="251" t="n"/>
      <c r="IYZ1" s="251" t="n"/>
      <c r="IZA1" s="251" t="n"/>
      <c r="IZB1" s="251" t="n"/>
      <c r="IZC1" s="251" t="n"/>
      <c r="IZD1" s="251" t="n"/>
      <c r="IZE1" s="251" t="n"/>
      <c r="IZF1" s="251" t="n"/>
      <c r="IZG1" s="251" t="n"/>
      <c r="IZH1" s="251" t="n"/>
      <c r="IZI1" s="251" t="n"/>
      <c r="IZJ1" s="251" t="n"/>
      <c r="IZK1" s="251" t="n"/>
      <c r="IZL1" s="251" t="n"/>
      <c r="IZM1" s="251" t="n"/>
      <c r="IZN1" s="251" t="n"/>
      <c r="IZO1" s="251" t="n"/>
      <c r="IZP1" s="251" t="n"/>
      <c r="IZQ1" s="251" t="n"/>
      <c r="IZR1" s="251" t="n"/>
      <c r="IZS1" s="251" t="n"/>
      <c r="IZT1" s="251" t="n"/>
      <c r="IZU1" s="251" t="n"/>
      <c r="IZV1" s="251" t="n"/>
      <c r="IZW1" s="251" t="n"/>
      <c r="IZX1" s="251" t="n"/>
      <c r="IZY1" s="251" t="n"/>
      <c r="IZZ1" s="251" t="n"/>
      <c r="JAA1" s="251" t="n"/>
      <c r="JAB1" s="251" t="n"/>
      <c r="JAC1" s="251" t="n"/>
      <c r="JAD1" s="251" t="n"/>
      <c r="JAE1" s="251" t="n"/>
      <c r="JAF1" s="251" t="n"/>
      <c r="JAG1" s="251" t="n"/>
      <c r="JAH1" s="251" t="n"/>
      <c r="JAI1" s="251" t="n"/>
      <c r="JAJ1" s="251" t="n"/>
      <c r="JAK1" s="251" t="n"/>
      <c r="JAL1" s="251" t="n"/>
      <c r="JAM1" s="251" t="n"/>
      <c r="JAN1" s="251" t="n"/>
      <c r="JAO1" s="251" t="n"/>
      <c r="JAP1" s="251" t="n"/>
      <c r="JAQ1" s="251" t="n"/>
      <c r="JAR1" s="251" t="n"/>
      <c r="JAS1" s="251" t="n"/>
      <c r="JAT1" s="251" t="n"/>
      <c r="JAU1" s="251" t="n"/>
      <c r="JAV1" s="251" t="n"/>
      <c r="JAW1" s="251" t="n"/>
      <c r="JAX1" s="251" t="n"/>
      <c r="JAY1" s="251" t="n"/>
      <c r="JAZ1" s="251" t="n"/>
      <c r="JBA1" s="251" t="n"/>
      <c r="JBB1" s="251" t="n"/>
      <c r="JBC1" s="251" t="n"/>
      <c r="JBD1" s="251" t="n"/>
      <c r="JBE1" s="251" t="n"/>
      <c r="JBF1" s="251" t="n"/>
      <c r="JBG1" s="251" t="n"/>
      <c r="JBH1" s="251" t="n"/>
      <c r="JBI1" s="251" t="n"/>
      <c r="JBJ1" s="251" t="n"/>
      <c r="JBK1" s="251" t="n"/>
      <c r="JBL1" s="251" t="n"/>
      <c r="JBM1" s="251" t="n"/>
      <c r="JBN1" s="251" t="n"/>
      <c r="JBO1" s="251" t="n"/>
      <c r="JBP1" s="251" t="n"/>
      <c r="JBQ1" s="251" t="n"/>
      <c r="JBR1" s="251" t="n"/>
      <c r="JBS1" s="251" t="n"/>
      <c r="JBT1" s="251" t="n"/>
      <c r="JBU1" s="251" t="n"/>
      <c r="JBV1" s="251" t="n"/>
      <c r="JBW1" s="251" t="n"/>
      <c r="JBX1" s="251" t="n"/>
      <c r="JBY1" s="251" t="n"/>
      <c r="JBZ1" s="251" t="n"/>
      <c r="JCA1" s="251" t="n"/>
      <c r="JCB1" s="251" t="n"/>
      <c r="JCC1" s="251" t="n"/>
      <c r="JCD1" s="251" t="n"/>
      <c r="JCE1" s="251" t="n"/>
      <c r="JCF1" s="251" t="n"/>
      <c r="JCG1" s="251" t="n"/>
      <c r="JCH1" s="251" t="n"/>
      <c r="JCI1" s="251" t="n"/>
      <c r="JCJ1" s="251" t="n"/>
      <c r="JCK1" s="251" t="n"/>
      <c r="JCL1" s="251" t="n"/>
      <c r="JCM1" s="251" t="n"/>
      <c r="JCN1" s="251" t="n"/>
      <c r="JCO1" s="251" t="n"/>
      <c r="JCP1" s="251" t="n"/>
      <c r="JCQ1" s="251" t="n"/>
      <c r="JCR1" s="251" t="n"/>
      <c r="JCS1" s="251" t="n"/>
      <c r="JCT1" s="251" t="n"/>
      <c r="JCU1" s="251" t="n"/>
      <c r="JCV1" s="251" t="n"/>
      <c r="JCW1" s="251" t="n"/>
      <c r="JCX1" s="251" t="n"/>
      <c r="JCY1" s="251" t="n"/>
      <c r="JCZ1" s="251" t="n"/>
      <c r="JDA1" s="251" t="n"/>
      <c r="JDB1" s="251" t="n"/>
      <c r="JDC1" s="251" t="n"/>
      <c r="JDD1" s="251" t="n"/>
      <c r="JDE1" s="251" t="n"/>
      <c r="JDF1" s="251" t="n"/>
      <c r="JDG1" s="251" t="n"/>
      <c r="JDH1" s="251" t="n"/>
      <c r="JDI1" s="251" t="n"/>
      <c r="JDJ1" s="251" t="n"/>
      <c r="JDK1" s="251" t="n"/>
      <c r="JDL1" s="251" t="n"/>
      <c r="JDM1" s="251" t="n"/>
      <c r="JDN1" s="251" t="n"/>
      <c r="JDO1" s="251" t="n"/>
      <c r="JDP1" s="251" t="n"/>
      <c r="JDQ1" s="251" t="n"/>
      <c r="JDR1" s="251" t="n"/>
      <c r="JDS1" s="251" t="n"/>
      <c r="JDT1" s="251" t="n"/>
      <c r="JDU1" s="251" t="n"/>
      <c r="JDV1" s="251" t="n"/>
      <c r="JDW1" s="251" t="n"/>
      <c r="JDX1" s="251" t="n"/>
      <c r="JDY1" s="251" t="n"/>
      <c r="JDZ1" s="251" t="n"/>
      <c r="JEA1" s="251" t="n"/>
      <c r="JEB1" s="251" t="n"/>
      <c r="JEC1" s="251" t="n"/>
      <c r="JED1" s="251" t="n"/>
      <c r="JEE1" s="251" t="n"/>
      <c r="JEF1" s="251" t="n"/>
      <c r="JEG1" s="251" t="n"/>
      <c r="JEH1" s="251" t="n"/>
      <c r="JEI1" s="251" t="n"/>
      <c r="JEJ1" s="251" t="n"/>
      <c r="JEK1" s="251" t="n"/>
      <c r="JEL1" s="251" t="n"/>
      <c r="JEM1" s="251" t="n"/>
      <c r="JEN1" s="251" t="n"/>
      <c r="JEO1" s="251" t="n"/>
      <c r="JEP1" s="251" t="n"/>
      <c r="JEQ1" s="251" t="n"/>
      <c r="JER1" s="251" t="n"/>
      <c r="JES1" s="251" t="n"/>
      <c r="JET1" s="251" t="n"/>
      <c r="JEU1" s="251" t="n"/>
      <c r="JEV1" s="251" t="n"/>
      <c r="JEW1" s="251" t="n"/>
      <c r="JEX1" s="251" t="n"/>
      <c r="JEY1" s="251" t="n"/>
      <c r="JEZ1" s="251" t="n"/>
      <c r="JFA1" s="251" t="n"/>
      <c r="JFB1" s="251" t="n"/>
      <c r="JFC1" s="251" t="n"/>
      <c r="JFD1" s="251" t="n"/>
      <c r="JFE1" s="251" t="n"/>
      <c r="JFF1" s="251" t="n"/>
      <c r="JFG1" s="251" t="n"/>
      <c r="JFH1" s="251" t="n"/>
      <c r="JFI1" s="251" t="n"/>
      <c r="JFJ1" s="251" t="n"/>
      <c r="JFK1" s="251" t="n"/>
      <c r="JFL1" s="251" t="n"/>
      <c r="JFM1" s="251" t="n"/>
      <c r="JFN1" s="251" t="n"/>
      <c r="JFO1" s="251" t="n"/>
      <c r="JFP1" s="251" t="n"/>
      <c r="JFQ1" s="251" t="n"/>
      <c r="JFR1" s="251" t="n"/>
      <c r="JFS1" s="251" t="n"/>
      <c r="JFT1" s="251" t="n"/>
      <c r="JFU1" s="251" t="n"/>
      <c r="JFV1" s="251" t="n"/>
      <c r="JFW1" s="251" t="n"/>
      <c r="JFX1" s="251" t="n"/>
      <c r="JFY1" s="251" t="n"/>
      <c r="JFZ1" s="251" t="n"/>
      <c r="JGA1" s="251" t="n"/>
      <c r="JGB1" s="251" t="n"/>
      <c r="JGC1" s="251" t="n"/>
      <c r="JGD1" s="251" t="n"/>
      <c r="JGE1" s="251" t="n"/>
      <c r="JGF1" s="251" t="n"/>
      <c r="JGG1" s="251" t="n"/>
      <c r="JGH1" s="251" t="n"/>
      <c r="JGI1" s="251" t="n"/>
      <c r="JGJ1" s="251" t="n"/>
      <c r="JGK1" s="251" t="n"/>
      <c r="JGL1" s="251" t="n"/>
      <c r="JGM1" s="251" t="n"/>
      <c r="JGN1" s="251" t="n"/>
      <c r="JGO1" s="251" t="n"/>
      <c r="JGP1" s="251" t="n"/>
      <c r="JGQ1" s="251" t="n"/>
      <c r="JGR1" s="251" t="n"/>
      <c r="JGS1" s="251" t="n"/>
      <c r="JGT1" s="251" t="n"/>
      <c r="JGU1" s="251" t="n"/>
      <c r="JGV1" s="251" t="n"/>
      <c r="JGW1" s="251" t="n"/>
      <c r="JGX1" s="251" t="n"/>
      <c r="JGY1" s="251" t="n"/>
      <c r="JGZ1" s="251" t="n"/>
      <c r="JHA1" s="251" t="n"/>
      <c r="JHB1" s="251" t="n"/>
      <c r="JHC1" s="251" t="n"/>
      <c r="JHD1" s="251" t="n"/>
      <c r="JHE1" s="251" t="n"/>
      <c r="JHF1" s="251" t="n"/>
      <c r="JHG1" s="251" t="n"/>
      <c r="JHH1" s="251" t="n"/>
      <c r="JHI1" s="251" t="n"/>
      <c r="JHJ1" s="251" t="n"/>
      <c r="JHK1" s="251" t="n"/>
      <c r="JHL1" s="251" t="n"/>
      <c r="JHM1" s="251" t="n"/>
      <c r="JHN1" s="251" t="n"/>
      <c r="JHO1" s="251" t="n"/>
      <c r="JHP1" s="251" t="n"/>
      <c r="JHQ1" s="251" t="n"/>
      <c r="JHR1" s="251" t="n"/>
      <c r="JHS1" s="251" t="n"/>
      <c r="JHT1" s="251" t="n"/>
      <c r="JHU1" s="251" t="n"/>
      <c r="JHV1" s="251" t="n"/>
      <c r="JHW1" s="251" t="n"/>
      <c r="JHX1" s="251" t="n"/>
      <c r="JHY1" s="251" t="n"/>
      <c r="JHZ1" s="251" t="n"/>
      <c r="JIA1" s="251" t="n"/>
      <c r="JIB1" s="251" t="n"/>
      <c r="JIC1" s="251" t="n"/>
      <c r="JID1" s="251" t="n"/>
      <c r="JIE1" s="251" t="n"/>
      <c r="JIF1" s="251" t="n"/>
      <c r="JIG1" s="251" t="n"/>
      <c r="JIH1" s="251" t="n"/>
      <c r="JII1" s="251" t="n"/>
      <c r="JIJ1" s="251" t="n"/>
      <c r="JIK1" s="251" t="n"/>
      <c r="JIL1" s="251" t="n"/>
      <c r="JIM1" s="251" t="n"/>
      <c r="JIN1" s="251" t="n"/>
      <c r="JIO1" s="251" t="n"/>
      <c r="JIP1" s="251" t="n"/>
      <c r="JIQ1" s="251" t="n"/>
      <c r="JIR1" s="251" t="n"/>
      <c r="JIS1" s="251" t="n"/>
      <c r="JIT1" s="251" t="n"/>
      <c r="JIU1" s="251" t="n"/>
      <c r="JIV1" s="251" t="n"/>
      <c r="JIW1" s="251" t="n"/>
      <c r="JIX1" s="251" t="n"/>
      <c r="JIY1" s="251" t="n"/>
      <c r="JIZ1" s="251" t="n"/>
      <c r="JJA1" s="251" t="n"/>
      <c r="JJB1" s="251" t="n"/>
      <c r="JJC1" s="251" t="n"/>
      <c r="JJD1" s="251" t="n"/>
      <c r="JJE1" s="251" t="n"/>
      <c r="JJF1" s="251" t="n"/>
      <c r="JJG1" s="251" t="n"/>
      <c r="JJH1" s="251" t="n"/>
      <c r="JJI1" s="251" t="n"/>
      <c r="JJJ1" s="251" t="n"/>
      <c r="JJK1" s="251" t="n"/>
      <c r="JJL1" s="251" t="n"/>
      <c r="JJM1" s="251" t="n"/>
      <c r="JJN1" s="251" t="n"/>
      <c r="JJO1" s="251" t="n"/>
      <c r="JJP1" s="251" t="n"/>
      <c r="JJQ1" s="251" t="n"/>
      <c r="JJR1" s="251" t="n"/>
      <c r="JJS1" s="251" t="n"/>
      <c r="JJT1" s="251" t="n"/>
      <c r="JJU1" s="251" t="n"/>
      <c r="JJV1" s="251" t="n"/>
      <c r="JJW1" s="251" t="n"/>
      <c r="JJX1" s="251" t="n"/>
      <c r="JJY1" s="251" t="n"/>
      <c r="JJZ1" s="251" t="n"/>
      <c r="JKA1" s="251" t="n"/>
      <c r="JKB1" s="251" t="n"/>
      <c r="JKC1" s="251" t="n"/>
      <c r="JKD1" s="251" t="n"/>
      <c r="JKE1" s="251" t="n"/>
      <c r="JKF1" s="251" t="n"/>
      <c r="JKG1" s="251" t="n"/>
      <c r="JKH1" s="251" t="n"/>
      <c r="JKI1" s="251" t="n"/>
      <c r="JKJ1" s="251" t="n"/>
      <c r="JKK1" s="251" t="n"/>
      <c r="JKL1" s="251" t="n"/>
      <c r="JKM1" s="251" t="n"/>
      <c r="JKN1" s="251" t="n"/>
      <c r="JKO1" s="251" t="n"/>
      <c r="JKP1" s="251" t="n"/>
      <c r="JKQ1" s="251" t="n"/>
      <c r="JKR1" s="251" t="n"/>
      <c r="JKS1" s="251" t="n"/>
      <c r="JKT1" s="251" t="n"/>
      <c r="JKU1" s="251" t="n"/>
      <c r="JKV1" s="251" t="n"/>
      <c r="JKW1" s="251" t="n"/>
      <c r="JKX1" s="251" t="n"/>
      <c r="JKY1" s="251" t="n"/>
      <c r="JKZ1" s="251" t="n"/>
      <c r="JLA1" s="251" t="n"/>
      <c r="JLB1" s="251" t="n"/>
      <c r="JLC1" s="251" t="n"/>
      <c r="JLD1" s="251" t="n"/>
      <c r="JLE1" s="251" t="n"/>
      <c r="JLF1" s="251" t="n"/>
      <c r="JLG1" s="251" t="n"/>
      <c r="JLH1" s="251" t="n"/>
      <c r="JLI1" s="251" t="n"/>
      <c r="JLJ1" s="251" t="n"/>
      <c r="JLK1" s="251" t="n"/>
      <c r="JLL1" s="251" t="n"/>
      <c r="JLM1" s="251" t="n"/>
      <c r="JLN1" s="251" t="n"/>
      <c r="JLO1" s="251" t="n"/>
      <c r="JLP1" s="251" t="n"/>
      <c r="JLQ1" s="251" t="n"/>
      <c r="JLR1" s="251" t="n"/>
      <c r="JLS1" s="251" t="n"/>
      <c r="JLT1" s="251" t="n"/>
      <c r="JLU1" s="251" t="n"/>
      <c r="JLV1" s="251" t="n"/>
      <c r="JLW1" s="251" t="n"/>
      <c r="JLX1" s="251" t="n"/>
      <c r="JLY1" s="251" t="n"/>
      <c r="JLZ1" s="251" t="n"/>
      <c r="JMA1" s="251" t="n"/>
      <c r="JMB1" s="251" t="n"/>
      <c r="JMC1" s="251" t="n"/>
      <c r="JMD1" s="251" t="n"/>
      <c r="JME1" s="251" t="n"/>
      <c r="JMF1" s="251" t="n"/>
      <c r="JMG1" s="251" t="n"/>
      <c r="JMH1" s="251" t="n"/>
      <c r="JMI1" s="251" t="n"/>
      <c r="JMJ1" s="251" t="n"/>
      <c r="JMK1" s="251" t="n"/>
      <c r="JML1" s="251" t="n"/>
      <c r="JMM1" s="251" t="n"/>
      <c r="JMN1" s="251" t="n"/>
      <c r="JMO1" s="251" t="n"/>
      <c r="JMP1" s="251" t="n"/>
      <c r="JMQ1" s="251" t="n"/>
      <c r="JMR1" s="251" t="n"/>
      <c r="JMS1" s="251" t="n"/>
      <c r="JMT1" s="251" t="n"/>
      <c r="JMU1" s="251" t="n"/>
      <c r="JMV1" s="251" t="n"/>
      <c r="JMW1" s="251" t="n"/>
      <c r="JMX1" s="251" t="n"/>
      <c r="JMY1" s="251" t="n"/>
      <c r="JMZ1" s="251" t="n"/>
      <c r="JNA1" s="251" t="n"/>
      <c r="JNB1" s="251" t="n"/>
      <c r="JNC1" s="251" t="n"/>
      <c r="JND1" s="251" t="n"/>
      <c r="JNE1" s="251" t="n"/>
      <c r="JNF1" s="251" t="n"/>
      <c r="JNG1" s="251" t="n"/>
      <c r="JNH1" s="251" t="n"/>
      <c r="JNI1" s="251" t="n"/>
      <c r="JNJ1" s="251" t="n"/>
      <c r="JNK1" s="251" t="n"/>
      <c r="JNL1" s="251" t="n"/>
      <c r="JNM1" s="251" t="n"/>
      <c r="JNN1" s="251" t="n"/>
      <c r="JNO1" s="251" t="n"/>
      <c r="JNP1" s="251" t="n"/>
      <c r="JNQ1" s="251" t="n"/>
      <c r="JNR1" s="251" t="n"/>
      <c r="JNS1" s="251" t="n"/>
      <c r="JNT1" s="251" t="n"/>
      <c r="JNU1" s="251" t="n"/>
      <c r="JNV1" s="251" t="n"/>
      <c r="JNW1" s="251" t="n"/>
      <c r="JNX1" s="251" t="n"/>
      <c r="JNY1" s="251" t="n"/>
      <c r="JNZ1" s="251" t="n"/>
      <c r="JOA1" s="251" t="n"/>
      <c r="JOB1" s="251" t="n"/>
      <c r="JOC1" s="251" t="n"/>
      <c r="JOD1" s="251" t="n"/>
      <c r="JOE1" s="251" t="n"/>
      <c r="JOF1" s="251" t="n"/>
      <c r="JOG1" s="251" t="n"/>
      <c r="JOH1" s="251" t="n"/>
      <c r="JOI1" s="251" t="n"/>
      <c r="JOJ1" s="251" t="n"/>
      <c r="JOK1" s="251" t="n"/>
      <c r="JOL1" s="251" t="n"/>
      <c r="JOM1" s="251" t="n"/>
      <c r="JON1" s="251" t="n"/>
      <c r="JOO1" s="251" t="n"/>
      <c r="JOP1" s="251" t="n"/>
      <c r="JOQ1" s="251" t="n"/>
      <c r="JOR1" s="251" t="n"/>
      <c r="JOS1" s="251" t="n"/>
      <c r="JOT1" s="251" t="n"/>
      <c r="JOU1" s="251" t="n"/>
      <c r="JOV1" s="251" t="n"/>
      <c r="JOW1" s="251" t="n"/>
      <c r="JOX1" s="251" t="n"/>
      <c r="JOY1" s="251" t="n"/>
      <c r="JOZ1" s="251" t="n"/>
      <c r="JPA1" s="251" t="n"/>
      <c r="JPB1" s="251" t="n"/>
      <c r="JPC1" s="251" t="n"/>
      <c r="JPD1" s="251" t="n"/>
      <c r="JPE1" s="251" t="n"/>
      <c r="JPF1" s="251" t="n"/>
      <c r="JPG1" s="251" t="n"/>
      <c r="JPH1" s="251" t="n"/>
      <c r="JPI1" s="251" t="n"/>
      <c r="JPJ1" s="251" t="n"/>
      <c r="JPK1" s="251" t="n"/>
      <c r="JPL1" s="251" t="n"/>
      <c r="JPM1" s="251" t="n"/>
      <c r="JPN1" s="251" t="n"/>
      <c r="JPO1" s="251" t="n"/>
      <c r="JPP1" s="251" t="n"/>
      <c r="JPQ1" s="251" t="n"/>
      <c r="JPR1" s="251" t="n"/>
      <c r="JPS1" s="251" t="n"/>
      <c r="JPT1" s="251" t="n"/>
      <c r="JPU1" s="251" t="n"/>
      <c r="JPV1" s="251" t="n"/>
      <c r="JPW1" s="251" t="n"/>
      <c r="JPX1" s="251" t="n"/>
      <c r="JPY1" s="251" t="n"/>
      <c r="JPZ1" s="251" t="n"/>
      <c r="JQA1" s="251" t="n"/>
      <c r="JQB1" s="251" t="n"/>
      <c r="JQC1" s="251" t="n"/>
      <c r="JQD1" s="251" t="n"/>
      <c r="JQE1" s="251" t="n"/>
      <c r="JQF1" s="251" t="n"/>
      <c r="JQG1" s="251" t="n"/>
      <c r="JQH1" s="251" t="n"/>
      <c r="JQI1" s="251" t="n"/>
      <c r="JQJ1" s="251" t="n"/>
      <c r="JQK1" s="251" t="n"/>
      <c r="JQL1" s="251" t="n"/>
      <c r="JQM1" s="251" t="n"/>
      <c r="JQN1" s="251" t="n"/>
      <c r="JQO1" s="251" t="n"/>
      <c r="JQP1" s="251" t="n"/>
      <c r="JQQ1" s="251" t="n"/>
      <c r="JQR1" s="251" t="n"/>
      <c r="JQS1" s="251" t="n"/>
      <c r="JQT1" s="251" t="n"/>
      <c r="JQU1" s="251" t="n"/>
      <c r="JQV1" s="251" t="n"/>
      <c r="JQW1" s="251" t="n"/>
      <c r="JQX1" s="251" t="n"/>
      <c r="JQY1" s="251" t="n"/>
      <c r="JQZ1" s="251" t="n"/>
      <c r="JRA1" s="251" t="n"/>
      <c r="JRB1" s="251" t="n"/>
      <c r="JRC1" s="251" t="n"/>
      <c r="JRD1" s="251" t="n"/>
      <c r="JRE1" s="251" t="n"/>
      <c r="JRF1" s="251" t="n"/>
      <c r="JRG1" s="251" t="n"/>
      <c r="JRH1" s="251" t="n"/>
      <c r="JRI1" s="251" t="n"/>
      <c r="JRJ1" s="251" t="n"/>
      <c r="JRK1" s="251" t="n"/>
      <c r="JRL1" s="251" t="n"/>
      <c r="JRM1" s="251" t="n"/>
      <c r="JRN1" s="251" t="n"/>
      <c r="JRO1" s="251" t="n"/>
      <c r="JRP1" s="251" t="n"/>
      <c r="JRQ1" s="251" t="n"/>
      <c r="JRR1" s="251" t="n"/>
      <c r="JRS1" s="251" t="n"/>
      <c r="JRT1" s="251" t="n"/>
      <c r="JRU1" s="251" t="n"/>
      <c r="JRV1" s="251" t="n"/>
      <c r="JRW1" s="251" t="n"/>
      <c r="JRX1" s="251" t="n"/>
      <c r="JRY1" s="251" t="n"/>
      <c r="JRZ1" s="251" t="n"/>
      <c r="JSA1" s="251" t="n"/>
      <c r="JSB1" s="251" t="n"/>
      <c r="JSC1" s="251" t="n"/>
      <c r="JSD1" s="251" t="n"/>
      <c r="JSE1" s="251" t="n"/>
      <c r="JSF1" s="251" t="n"/>
      <c r="JSG1" s="251" t="n"/>
      <c r="JSH1" s="251" t="n"/>
      <c r="JSI1" s="251" t="n"/>
      <c r="JSJ1" s="251" t="n"/>
      <c r="JSK1" s="251" t="n"/>
      <c r="JSL1" s="251" t="n"/>
      <c r="JSM1" s="251" t="n"/>
      <c r="JSN1" s="251" t="n"/>
      <c r="JSO1" s="251" t="n"/>
      <c r="JSP1" s="251" t="n"/>
      <c r="JSQ1" s="251" t="n"/>
      <c r="JSR1" s="251" t="n"/>
      <c r="JSS1" s="251" t="n"/>
      <c r="JST1" s="251" t="n"/>
      <c r="JSU1" s="251" t="n"/>
      <c r="JSV1" s="251" t="n"/>
      <c r="JSW1" s="251" t="n"/>
      <c r="JSX1" s="251" t="n"/>
      <c r="JSY1" s="251" t="n"/>
      <c r="JSZ1" s="251" t="n"/>
      <c r="JTA1" s="251" t="n"/>
      <c r="JTB1" s="251" t="n"/>
      <c r="JTC1" s="251" t="n"/>
      <c r="JTD1" s="251" t="n"/>
      <c r="JTE1" s="251" t="n"/>
      <c r="JTF1" s="251" t="n"/>
      <c r="JTG1" s="251" t="n"/>
      <c r="JTH1" s="251" t="n"/>
      <c r="JTI1" s="251" t="n"/>
      <c r="JTJ1" s="251" t="n"/>
      <c r="JTK1" s="251" t="n"/>
      <c r="JTL1" s="251" t="n"/>
      <c r="JTM1" s="251" t="n"/>
      <c r="JTN1" s="251" t="n"/>
      <c r="JTO1" s="251" t="n"/>
      <c r="JTP1" s="251" t="n"/>
      <c r="JTQ1" s="251" t="n"/>
      <c r="JTR1" s="251" t="n"/>
      <c r="JTS1" s="251" t="n"/>
      <c r="JTT1" s="251" t="n"/>
      <c r="JTU1" s="251" t="n"/>
      <c r="JTV1" s="251" t="n"/>
      <c r="JTW1" s="251" t="n"/>
      <c r="JTX1" s="251" t="n"/>
      <c r="JTY1" s="251" t="n"/>
      <c r="JTZ1" s="251" t="n"/>
      <c r="JUA1" s="251" t="n"/>
      <c r="JUB1" s="251" t="n"/>
      <c r="JUC1" s="251" t="n"/>
      <c r="JUD1" s="251" t="n"/>
      <c r="JUE1" s="251" t="n"/>
      <c r="JUF1" s="251" t="n"/>
      <c r="JUG1" s="251" t="n"/>
      <c r="JUH1" s="251" t="n"/>
      <c r="JUI1" s="251" t="n"/>
      <c r="JUJ1" s="251" t="n"/>
      <c r="JUK1" s="251" t="n"/>
      <c r="JUL1" s="251" t="n"/>
      <c r="JUM1" s="251" t="n"/>
      <c r="JUN1" s="251" t="n"/>
      <c r="JUO1" s="251" t="n"/>
      <c r="JUP1" s="251" t="n"/>
      <c r="JUQ1" s="251" t="n"/>
      <c r="JUR1" s="251" t="n"/>
      <c r="JUS1" s="251" t="n"/>
      <c r="JUT1" s="251" t="n"/>
      <c r="JUU1" s="251" t="n"/>
      <c r="JUV1" s="251" t="n"/>
      <c r="JUW1" s="251" t="n"/>
      <c r="JUX1" s="251" t="n"/>
      <c r="JUY1" s="251" t="n"/>
      <c r="JUZ1" s="251" t="n"/>
      <c r="JVA1" s="251" t="n"/>
      <c r="JVB1" s="251" t="n"/>
      <c r="JVC1" s="251" t="n"/>
      <c r="JVD1" s="251" t="n"/>
      <c r="JVE1" s="251" t="n"/>
      <c r="JVF1" s="251" t="n"/>
      <c r="JVG1" s="251" t="n"/>
      <c r="JVH1" s="251" t="n"/>
      <c r="JVI1" s="251" t="n"/>
      <c r="JVJ1" s="251" t="n"/>
      <c r="JVK1" s="251" t="n"/>
      <c r="JVL1" s="251" t="n"/>
      <c r="JVM1" s="251" t="n"/>
      <c r="JVN1" s="251" t="n"/>
      <c r="JVO1" s="251" t="n"/>
      <c r="JVP1" s="251" t="n"/>
      <c r="JVQ1" s="251" t="n"/>
      <c r="JVR1" s="251" t="n"/>
      <c r="JVS1" s="251" t="n"/>
      <c r="JVT1" s="251" t="n"/>
      <c r="JVU1" s="251" t="n"/>
      <c r="JVV1" s="251" t="n"/>
      <c r="JVW1" s="251" t="n"/>
      <c r="JVX1" s="251" t="n"/>
      <c r="JVY1" s="251" t="n"/>
      <c r="JVZ1" s="251" t="n"/>
      <c r="JWA1" s="251" t="n"/>
      <c r="JWB1" s="251" t="n"/>
      <c r="JWC1" s="251" t="n"/>
      <c r="JWD1" s="251" t="n"/>
      <c r="JWE1" s="251" t="n"/>
      <c r="JWF1" s="251" t="n"/>
      <c r="JWG1" s="251" t="n"/>
      <c r="JWH1" s="251" t="n"/>
      <c r="JWI1" s="251" t="n"/>
      <c r="JWJ1" s="251" t="n"/>
      <c r="JWK1" s="251" t="n"/>
      <c r="JWL1" s="251" t="n"/>
      <c r="JWM1" s="251" t="n"/>
      <c r="JWN1" s="251" t="n"/>
      <c r="JWO1" s="251" t="n"/>
      <c r="JWP1" s="251" t="n"/>
      <c r="JWQ1" s="251" t="n"/>
      <c r="JWR1" s="251" t="n"/>
      <c r="JWS1" s="251" t="n"/>
      <c r="JWT1" s="251" t="n"/>
      <c r="JWU1" s="251" t="n"/>
      <c r="JWV1" s="251" t="n"/>
      <c r="JWW1" s="251" t="n"/>
      <c r="JWX1" s="251" t="n"/>
      <c r="JWY1" s="251" t="n"/>
      <c r="JWZ1" s="251" t="n"/>
      <c r="JXA1" s="251" t="n"/>
      <c r="JXB1" s="251" t="n"/>
      <c r="JXC1" s="251" t="n"/>
      <c r="JXD1" s="251" t="n"/>
      <c r="JXE1" s="251" t="n"/>
      <c r="JXF1" s="251" t="n"/>
      <c r="JXG1" s="251" t="n"/>
      <c r="JXH1" s="251" t="n"/>
      <c r="JXI1" s="251" t="n"/>
      <c r="JXJ1" s="251" t="n"/>
      <c r="JXK1" s="251" t="n"/>
      <c r="JXL1" s="251" t="n"/>
      <c r="JXM1" s="251" t="n"/>
      <c r="JXN1" s="251" t="n"/>
      <c r="JXO1" s="251" t="n"/>
      <c r="JXP1" s="251" t="n"/>
      <c r="JXQ1" s="251" t="n"/>
      <c r="JXR1" s="251" t="n"/>
      <c r="JXS1" s="251" t="n"/>
      <c r="JXT1" s="251" t="n"/>
      <c r="JXU1" s="251" t="n"/>
      <c r="JXV1" s="251" t="n"/>
      <c r="JXW1" s="251" t="n"/>
      <c r="JXX1" s="251" t="n"/>
      <c r="JXY1" s="251" t="n"/>
      <c r="JXZ1" s="251" t="n"/>
      <c r="JYA1" s="251" t="n"/>
      <c r="JYB1" s="251" t="n"/>
      <c r="JYC1" s="251" t="n"/>
      <c r="JYD1" s="251" t="n"/>
      <c r="JYE1" s="251" t="n"/>
      <c r="JYF1" s="251" t="n"/>
      <c r="JYG1" s="251" t="n"/>
      <c r="JYH1" s="251" t="n"/>
      <c r="JYI1" s="251" t="n"/>
      <c r="JYJ1" s="251" t="n"/>
      <c r="JYK1" s="251" t="n"/>
      <c r="JYL1" s="251" t="n"/>
      <c r="JYM1" s="251" t="n"/>
      <c r="JYN1" s="251" t="n"/>
      <c r="JYO1" s="251" t="n"/>
      <c r="JYP1" s="251" t="n"/>
      <c r="JYQ1" s="251" t="n"/>
      <c r="JYR1" s="251" t="n"/>
      <c r="JYS1" s="251" t="n"/>
      <c r="JYT1" s="251" t="n"/>
      <c r="JYU1" s="251" t="n"/>
      <c r="JYV1" s="251" t="n"/>
      <c r="JYW1" s="251" t="n"/>
      <c r="JYX1" s="251" t="n"/>
      <c r="JYY1" s="251" t="n"/>
      <c r="JYZ1" s="251" t="n"/>
      <c r="JZA1" s="251" t="n"/>
      <c r="JZB1" s="251" t="n"/>
      <c r="JZC1" s="251" t="n"/>
      <c r="JZD1" s="251" t="n"/>
      <c r="JZE1" s="251" t="n"/>
      <c r="JZF1" s="251" t="n"/>
      <c r="JZG1" s="251" t="n"/>
      <c r="JZH1" s="251" t="n"/>
      <c r="JZI1" s="251" t="n"/>
      <c r="JZJ1" s="251" t="n"/>
      <c r="JZK1" s="251" t="n"/>
      <c r="JZL1" s="251" t="n"/>
      <c r="JZM1" s="251" t="n"/>
      <c r="JZN1" s="251" t="n"/>
      <c r="JZO1" s="251" t="n"/>
      <c r="JZP1" s="251" t="n"/>
      <c r="JZQ1" s="251" t="n"/>
      <c r="JZR1" s="251" t="n"/>
      <c r="JZS1" s="251" t="n"/>
      <c r="JZT1" s="251" t="n"/>
      <c r="JZU1" s="251" t="n"/>
      <c r="JZV1" s="251" t="n"/>
      <c r="JZW1" s="251" t="n"/>
      <c r="JZX1" s="251" t="n"/>
      <c r="JZY1" s="251" t="n"/>
      <c r="JZZ1" s="251" t="n"/>
      <c r="KAA1" s="251" t="n"/>
      <c r="KAB1" s="251" t="n"/>
      <c r="KAC1" s="251" t="n"/>
      <c r="KAD1" s="251" t="n"/>
      <c r="KAE1" s="251" t="n"/>
      <c r="KAF1" s="251" t="n"/>
      <c r="KAG1" s="251" t="n"/>
      <c r="KAH1" s="251" t="n"/>
      <c r="KAI1" s="251" t="n"/>
      <c r="KAJ1" s="251" t="n"/>
      <c r="KAK1" s="251" t="n"/>
      <c r="KAL1" s="251" t="n"/>
      <c r="KAM1" s="251" t="n"/>
      <c r="KAN1" s="251" t="n"/>
      <c r="KAO1" s="251" t="n"/>
      <c r="KAP1" s="251" t="n"/>
      <c r="KAQ1" s="251" t="n"/>
      <c r="KAR1" s="251" t="n"/>
      <c r="KAS1" s="251" t="n"/>
      <c r="KAT1" s="251" t="n"/>
      <c r="KAU1" s="251" t="n"/>
      <c r="KAV1" s="251" t="n"/>
      <c r="KAW1" s="251" t="n"/>
      <c r="KAX1" s="251" t="n"/>
      <c r="KAY1" s="251" t="n"/>
      <c r="KAZ1" s="251" t="n"/>
      <c r="KBA1" s="251" t="n"/>
      <c r="KBB1" s="251" t="n"/>
      <c r="KBC1" s="251" t="n"/>
      <c r="KBD1" s="251" t="n"/>
      <c r="KBE1" s="251" t="n"/>
      <c r="KBF1" s="251" t="n"/>
      <c r="KBG1" s="251" t="n"/>
      <c r="KBH1" s="251" t="n"/>
      <c r="KBI1" s="251" t="n"/>
      <c r="KBJ1" s="251" t="n"/>
      <c r="KBK1" s="251" t="n"/>
      <c r="KBL1" s="251" t="n"/>
      <c r="KBM1" s="251" t="n"/>
      <c r="KBN1" s="251" t="n"/>
      <c r="KBO1" s="251" t="n"/>
      <c r="KBP1" s="251" t="n"/>
      <c r="KBQ1" s="251" t="n"/>
      <c r="KBR1" s="251" t="n"/>
      <c r="KBS1" s="251" t="n"/>
      <c r="KBT1" s="251" t="n"/>
      <c r="KBU1" s="251" t="n"/>
      <c r="KBV1" s="251" t="n"/>
      <c r="KBW1" s="251" t="n"/>
      <c r="KBX1" s="251" t="n"/>
      <c r="KBY1" s="251" t="n"/>
      <c r="KBZ1" s="251" t="n"/>
      <c r="KCA1" s="251" t="n"/>
      <c r="KCB1" s="251" t="n"/>
      <c r="KCC1" s="251" t="n"/>
      <c r="KCD1" s="251" t="n"/>
      <c r="KCE1" s="251" t="n"/>
      <c r="KCF1" s="251" t="n"/>
      <c r="KCG1" s="251" t="n"/>
      <c r="KCH1" s="251" t="n"/>
      <c r="KCI1" s="251" t="n"/>
      <c r="KCJ1" s="251" t="n"/>
      <c r="KCK1" s="251" t="n"/>
      <c r="KCL1" s="251" t="n"/>
      <c r="KCM1" s="251" t="n"/>
      <c r="KCN1" s="251" t="n"/>
      <c r="KCO1" s="251" t="n"/>
      <c r="KCP1" s="251" t="n"/>
      <c r="KCQ1" s="251" t="n"/>
      <c r="KCR1" s="251" t="n"/>
      <c r="KCS1" s="251" t="n"/>
      <c r="KCT1" s="251" t="n"/>
      <c r="KCU1" s="251" t="n"/>
      <c r="KCV1" s="251" t="n"/>
      <c r="KCW1" s="251" t="n"/>
      <c r="KCX1" s="251" t="n"/>
      <c r="KCY1" s="251" t="n"/>
      <c r="KCZ1" s="251" t="n"/>
      <c r="KDA1" s="251" t="n"/>
      <c r="KDB1" s="251" t="n"/>
      <c r="KDC1" s="251" t="n"/>
      <c r="KDD1" s="251" t="n"/>
      <c r="KDE1" s="251" t="n"/>
      <c r="KDF1" s="251" t="n"/>
      <c r="KDG1" s="251" t="n"/>
      <c r="KDH1" s="251" t="n"/>
      <c r="KDI1" s="251" t="n"/>
      <c r="KDJ1" s="251" t="n"/>
      <c r="KDK1" s="251" t="n"/>
      <c r="KDL1" s="251" t="n"/>
      <c r="KDM1" s="251" t="n"/>
      <c r="KDN1" s="251" t="n"/>
      <c r="KDO1" s="251" t="n"/>
      <c r="KDP1" s="251" t="n"/>
      <c r="KDQ1" s="251" t="n"/>
      <c r="KDR1" s="251" t="n"/>
      <c r="KDS1" s="251" t="n"/>
      <c r="KDT1" s="251" t="n"/>
      <c r="KDU1" s="251" t="n"/>
      <c r="KDV1" s="251" t="n"/>
      <c r="KDW1" s="251" t="n"/>
      <c r="KDX1" s="251" t="n"/>
      <c r="KDY1" s="251" t="n"/>
      <c r="KDZ1" s="251" t="n"/>
      <c r="KEA1" s="251" t="n"/>
      <c r="KEB1" s="251" t="n"/>
      <c r="KEC1" s="251" t="n"/>
      <c r="KED1" s="251" t="n"/>
      <c r="KEE1" s="251" t="n"/>
      <c r="KEF1" s="251" t="n"/>
      <c r="KEG1" s="251" t="n"/>
      <c r="KEH1" s="251" t="n"/>
      <c r="KEI1" s="251" t="n"/>
      <c r="KEJ1" s="251" t="n"/>
      <c r="KEK1" s="251" t="n"/>
      <c r="KEL1" s="251" t="n"/>
      <c r="KEM1" s="251" t="n"/>
      <c r="KEN1" s="251" t="n"/>
      <c r="KEO1" s="251" t="n"/>
      <c r="KEP1" s="251" t="n"/>
      <c r="KEQ1" s="251" t="n"/>
      <c r="KER1" s="251" t="n"/>
      <c r="KES1" s="251" t="n"/>
      <c r="KET1" s="251" t="n"/>
      <c r="KEU1" s="251" t="n"/>
      <c r="KEV1" s="251" t="n"/>
      <c r="KEW1" s="251" t="n"/>
      <c r="KEX1" s="251" t="n"/>
      <c r="KEY1" s="251" t="n"/>
      <c r="KEZ1" s="251" t="n"/>
      <c r="KFA1" s="251" t="n"/>
      <c r="KFB1" s="251" t="n"/>
      <c r="KFC1" s="251" t="n"/>
      <c r="KFD1" s="251" t="n"/>
      <c r="KFE1" s="251" t="n"/>
      <c r="KFF1" s="251" t="n"/>
      <c r="KFG1" s="251" t="n"/>
      <c r="KFH1" s="251" t="n"/>
      <c r="KFI1" s="251" t="n"/>
      <c r="KFJ1" s="251" t="n"/>
      <c r="KFK1" s="251" t="n"/>
      <c r="KFL1" s="251" t="n"/>
      <c r="KFM1" s="251" t="n"/>
      <c r="KFN1" s="251" t="n"/>
      <c r="KFO1" s="251" t="n"/>
      <c r="KFP1" s="251" t="n"/>
      <c r="KFQ1" s="251" t="n"/>
      <c r="KFR1" s="251" t="n"/>
      <c r="KFS1" s="251" t="n"/>
      <c r="KFT1" s="251" t="n"/>
      <c r="KFU1" s="251" t="n"/>
      <c r="KFV1" s="251" t="n"/>
      <c r="KFW1" s="251" t="n"/>
      <c r="KFX1" s="251" t="n"/>
      <c r="KFY1" s="251" t="n"/>
      <c r="KFZ1" s="251" t="n"/>
      <c r="KGA1" s="251" t="n"/>
      <c r="KGB1" s="251" t="n"/>
      <c r="KGC1" s="251" t="n"/>
      <c r="KGD1" s="251" t="n"/>
      <c r="KGE1" s="251" t="n"/>
      <c r="KGF1" s="251" t="n"/>
      <c r="KGG1" s="251" t="n"/>
      <c r="KGH1" s="251" t="n"/>
      <c r="KGI1" s="251" t="n"/>
      <c r="KGJ1" s="251" t="n"/>
      <c r="KGK1" s="251" t="n"/>
      <c r="KGL1" s="251" t="n"/>
      <c r="KGM1" s="251" t="n"/>
      <c r="KGN1" s="251" t="n"/>
      <c r="KGO1" s="251" t="n"/>
      <c r="KGP1" s="251" t="n"/>
      <c r="KGQ1" s="251" t="n"/>
      <c r="KGR1" s="251" t="n"/>
      <c r="KGS1" s="251" t="n"/>
      <c r="KGT1" s="251" t="n"/>
      <c r="KGU1" s="251" t="n"/>
      <c r="KGV1" s="251" t="n"/>
      <c r="KGW1" s="251" t="n"/>
      <c r="KGX1" s="251" t="n"/>
      <c r="KGY1" s="251" t="n"/>
      <c r="KGZ1" s="251" t="n"/>
      <c r="KHA1" s="251" t="n"/>
      <c r="KHB1" s="251" t="n"/>
      <c r="KHC1" s="251" t="n"/>
      <c r="KHD1" s="251" t="n"/>
      <c r="KHE1" s="251" t="n"/>
      <c r="KHF1" s="251" t="n"/>
      <c r="KHG1" s="251" t="n"/>
      <c r="KHH1" s="251" t="n"/>
      <c r="KHI1" s="251" t="n"/>
      <c r="KHJ1" s="251" t="n"/>
      <c r="KHK1" s="251" t="n"/>
      <c r="KHL1" s="251" t="n"/>
      <c r="KHM1" s="251" t="n"/>
      <c r="KHN1" s="251" t="n"/>
      <c r="KHO1" s="251" t="n"/>
      <c r="KHP1" s="251" t="n"/>
      <c r="KHQ1" s="251" t="n"/>
      <c r="KHR1" s="251" t="n"/>
      <c r="KHS1" s="251" t="n"/>
      <c r="KHT1" s="251" t="n"/>
      <c r="KHU1" s="251" t="n"/>
      <c r="KHV1" s="251" t="n"/>
      <c r="KHW1" s="251" t="n"/>
      <c r="KHX1" s="251" t="n"/>
      <c r="KHY1" s="251" t="n"/>
      <c r="KHZ1" s="251" t="n"/>
      <c r="KIA1" s="251" t="n"/>
      <c r="KIB1" s="251" t="n"/>
      <c r="KIC1" s="251" t="n"/>
      <c r="KID1" s="251" t="n"/>
      <c r="KIE1" s="251" t="n"/>
      <c r="KIF1" s="251" t="n"/>
      <c r="KIG1" s="251" t="n"/>
      <c r="KIH1" s="251" t="n"/>
      <c r="KII1" s="251" t="n"/>
      <c r="KIJ1" s="251" t="n"/>
      <c r="KIK1" s="251" t="n"/>
      <c r="KIL1" s="251" t="n"/>
      <c r="KIM1" s="251" t="n"/>
      <c r="KIN1" s="251" t="n"/>
      <c r="KIO1" s="251" t="n"/>
      <c r="KIP1" s="251" t="n"/>
      <c r="KIQ1" s="251" t="n"/>
      <c r="KIR1" s="251" t="n"/>
      <c r="KIS1" s="251" t="n"/>
      <c r="KIT1" s="251" t="n"/>
      <c r="KIU1" s="251" t="n"/>
      <c r="KIV1" s="251" t="n"/>
      <c r="KIW1" s="251" t="n"/>
      <c r="KIX1" s="251" t="n"/>
      <c r="KIY1" s="251" t="n"/>
      <c r="KIZ1" s="251" t="n"/>
      <c r="KJA1" s="251" t="n"/>
      <c r="KJB1" s="251" t="n"/>
      <c r="KJC1" s="251" t="n"/>
      <c r="KJD1" s="251" t="n"/>
      <c r="KJE1" s="251" t="n"/>
      <c r="KJF1" s="251" t="n"/>
      <c r="KJG1" s="251" t="n"/>
      <c r="KJH1" s="251" t="n"/>
      <c r="KJI1" s="251" t="n"/>
      <c r="KJJ1" s="251" t="n"/>
      <c r="KJK1" s="251" t="n"/>
      <c r="KJL1" s="251" t="n"/>
      <c r="KJM1" s="251" t="n"/>
      <c r="KJN1" s="251" t="n"/>
      <c r="KJO1" s="251" t="n"/>
      <c r="KJP1" s="251" t="n"/>
      <c r="KJQ1" s="251" t="n"/>
      <c r="KJR1" s="251" t="n"/>
      <c r="KJS1" s="251" t="n"/>
      <c r="KJT1" s="251" t="n"/>
      <c r="KJU1" s="251" t="n"/>
      <c r="KJV1" s="251" t="n"/>
      <c r="KJW1" s="251" t="n"/>
      <c r="KJX1" s="251" t="n"/>
      <c r="KJY1" s="251" t="n"/>
      <c r="KJZ1" s="251" t="n"/>
      <c r="KKA1" s="251" t="n"/>
      <c r="KKB1" s="251" t="n"/>
      <c r="KKC1" s="251" t="n"/>
      <c r="KKD1" s="251" t="n"/>
      <c r="KKE1" s="251" t="n"/>
      <c r="KKF1" s="251" t="n"/>
      <c r="KKG1" s="251" t="n"/>
      <c r="KKH1" s="251" t="n"/>
      <c r="KKI1" s="251" t="n"/>
      <c r="KKJ1" s="251" t="n"/>
      <c r="KKK1" s="251" t="n"/>
      <c r="KKL1" s="251" t="n"/>
      <c r="KKM1" s="251" t="n"/>
      <c r="KKN1" s="251" t="n"/>
      <c r="KKO1" s="251" t="n"/>
      <c r="KKP1" s="251" t="n"/>
      <c r="KKQ1" s="251" t="n"/>
      <c r="KKR1" s="251" t="n"/>
      <c r="KKS1" s="251" t="n"/>
      <c r="KKT1" s="251" t="n"/>
      <c r="KKU1" s="251" t="n"/>
      <c r="KKV1" s="251" t="n"/>
      <c r="KKW1" s="251" t="n"/>
      <c r="KKX1" s="251" t="n"/>
      <c r="KKY1" s="251" t="n"/>
      <c r="KKZ1" s="251" t="n"/>
      <c r="KLA1" s="251" t="n"/>
      <c r="KLB1" s="251" t="n"/>
      <c r="KLC1" s="251" t="n"/>
      <c r="KLD1" s="251" t="n"/>
      <c r="KLE1" s="251" t="n"/>
      <c r="KLF1" s="251" t="n"/>
      <c r="KLG1" s="251" t="n"/>
      <c r="KLH1" s="251" t="n"/>
      <c r="KLI1" s="251" t="n"/>
      <c r="KLJ1" s="251" t="n"/>
      <c r="KLK1" s="251" t="n"/>
      <c r="KLL1" s="251" t="n"/>
      <c r="KLM1" s="251" t="n"/>
      <c r="KLN1" s="251" t="n"/>
      <c r="KLO1" s="251" t="n"/>
      <c r="KLP1" s="251" t="n"/>
      <c r="KLQ1" s="251" t="n"/>
      <c r="KLR1" s="251" t="n"/>
      <c r="KLS1" s="251" t="n"/>
      <c r="KLT1" s="251" t="n"/>
      <c r="KLU1" s="251" t="n"/>
      <c r="KLV1" s="251" t="n"/>
      <c r="KLW1" s="251" t="n"/>
      <c r="KLX1" s="251" t="n"/>
      <c r="KLY1" s="251" t="n"/>
      <c r="KLZ1" s="251" t="n"/>
      <c r="KMA1" s="251" t="n"/>
      <c r="KMB1" s="251" t="n"/>
      <c r="KMC1" s="251" t="n"/>
      <c r="KMD1" s="251" t="n"/>
      <c r="KME1" s="251" t="n"/>
      <c r="KMF1" s="251" t="n"/>
      <c r="KMG1" s="251" t="n"/>
      <c r="KMH1" s="251" t="n"/>
      <c r="KMI1" s="251" t="n"/>
      <c r="KMJ1" s="251" t="n"/>
      <c r="KMK1" s="251" t="n"/>
      <c r="KML1" s="251" t="n"/>
      <c r="KMM1" s="251" t="n"/>
      <c r="KMN1" s="251" t="n"/>
      <c r="KMO1" s="251" t="n"/>
      <c r="KMP1" s="251" t="n"/>
      <c r="KMQ1" s="251" t="n"/>
      <c r="KMR1" s="251" t="n"/>
      <c r="KMS1" s="251" t="n"/>
      <c r="KMT1" s="251" t="n"/>
      <c r="KMU1" s="251" t="n"/>
      <c r="KMV1" s="251" t="n"/>
      <c r="KMW1" s="251" t="n"/>
      <c r="KMX1" s="251" t="n"/>
      <c r="KMY1" s="251" t="n"/>
      <c r="KMZ1" s="251" t="n"/>
      <c r="KNA1" s="251" t="n"/>
      <c r="KNB1" s="251" t="n"/>
      <c r="KNC1" s="251" t="n"/>
      <c r="KND1" s="251" t="n"/>
      <c r="KNE1" s="251" t="n"/>
      <c r="KNF1" s="251" t="n"/>
      <c r="KNG1" s="251" t="n"/>
      <c r="KNH1" s="251" t="n"/>
      <c r="KNI1" s="251" t="n"/>
      <c r="KNJ1" s="251" t="n"/>
      <c r="KNK1" s="251" t="n"/>
      <c r="KNL1" s="251" t="n"/>
      <c r="KNM1" s="251" t="n"/>
      <c r="KNN1" s="251" t="n"/>
      <c r="KNO1" s="251" t="n"/>
      <c r="KNP1" s="251" t="n"/>
      <c r="KNQ1" s="251" t="n"/>
      <c r="KNR1" s="251" t="n"/>
      <c r="KNS1" s="251" t="n"/>
      <c r="KNT1" s="251" t="n"/>
      <c r="KNU1" s="251" t="n"/>
      <c r="KNV1" s="251" t="n"/>
      <c r="KNW1" s="251" t="n"/>
      <c r="KNX1" s="251" t="n"/>
      <c r="KNY1" s="251" t="n"/>
      <c r="KNZ1" s="251" t="n"/>
      <c r="KOA1" s="251" t="n"/>
      <c r="KOB1" s="251" t="n"/>
      <c r="KOC1" s="251" t="n"/>
      <c r="KOD1" s="251" t="n"/>
      <c r="KOE1" s="251" t="n"/>
      <c r="KOF1" s="251" t="n"/>
      <c r="KOG1" s="251" t="n"/>
      <c r="KOH1" s="251" t="n"/>
      <c r="KOI1" s="251" t="n"/>
      <c r="KOJ1" s="251" t="n"/>
      <c r="KOK1" s="251" t="n"/>
      <c r="KOL1" s="251" t="n"/>
      <c r="KOM1" s="251" t="n"/>
      <c r="KON1" s="251" t="n"/>
      <c r="KOO1" s="251" t="n"/>
      <c r="KOP1" s="251" t="n"/>
      <c r="KOQ1" s="251" t="n"/>
      <c r="KOR1" s="251" t="n"/>
      <c r="KOS1" s="251" t="n"/>
      <c r="KOT1" s="251" t="n"/>
      <c r="KOU1" s="251" t="n"/>
      <c r="KOV1" s="251" t="n"/>
      <c r="KOW1" s="251" t="n"/>
      <c r="KOX1" s="251" t="n"/>
      <c r="KOY1" s="251" t="n"/>
      <c r="KOZ1" s="251" t="n"/>
      <c r="KPA1" s="251" t="n"/>
      <c r="KPB1" s="251" t="n"/>
      <c r="KPC1" s="251" t="n"/>
      <c r="KPD1" s="251" t="n"/>
      <c r="KPE1" s="251" t="n"/>
      <c r="KPF1" s="251" t="n"/>
      <c r="KPG1" s="251" t="n"/>
      <c r="KPH1" s="251" t="n"/>
      <c r="KPI1" s="251" t="n"/>
      <c r="KPJ1" s="251" t="n"/>
      <c r="KPK1" s="251" t="n"/>
      <c r="KPL1" s="251" t="n"/>
      <c r="KPM1" s="251" t="n"/>
      <c r="KPN1" s="251" t="n"/>
      <c r="KPO1" s="251" t="n"/>
      <c r="KPP1" s="251" t="n"/>
      <c r="KPQ1" s="251" t="n"/>
      <c r="KPR1" s="251" t="n"/>
      <c r="KPS1" s="251" t="n"/>
      <c r="KPT1" s="251" t="n"/>
      <c r="KPU1" s="251" t="n"/>
      <c r="KPV1" s="251" t="n"/>
      <c r="KPW1" s="251" t="n"/>
      <c r="KPX1" s="251" t="n"/>
      <c r="KPY1" s="251" t="n"/>
      <c r="KPZ1" s="251" t="n"/>
      <c r="KQA1" s="251" t="n"/>
      <c r="KQB1" s="251" t="n"/>
      <c r="KQC1" s="251" t="n"/>
      <c r="KQD1" s="251" t="n"/>
      <c r="KQE1" s="251" t="n"/>
      <c r="KQF1" s="251" t="n"/>
      <c r="KQG1" s="251" t="n"/>
      <c r="KQH1" s="251" t="n"/>
      <c r="KQI1" s="251" t="n"/>
      <c r="KQJ1" s="251" t="n"/>
      <c r="KQK1" s="251" t="n"/>
      <c r="KQL1" s="251" t="n"/>
      <c r="KQM1" s="251" t="n"/>
      <c r="KQN1" s="251" t="n"/>
      <c r="KQO1" s="251" t="n"/>
      <c r="KQP1" s="251" t="n"/>
      <c r="KQQ1" s="251" t="n"/>
      <c r="KQR1" s="251" t="n"/>
      <c r="KQS1" s="251" t="n"/>
      <c r="KQT1" s="251" t="n"/>
      <c r="KQU1" s="251" t="n"/>
      <c r="KQV1" s="251" t="n"/>
      <c r="KQW1" s="251" t="n"/>
      <c r="KQX1" s="251" t="n"/>
      <c r="KQY1" s="251" t="n"/>
      <c r="KQZ1" s="251" t="n"/>
      <c r="KRA1" s="251" t="n"/>
      <c r="KRB1" s="251" t="n"/>
      <c r="KRC1" s="251" t="n"/>
      <c r="KRD1" s="251" t="n"/>
      <c r="KRE1" s="251" t="n"/>
      <c r="KRF1" s="251" t="n"/>
      <c r="KRG1" s="251" t="n"/>
      <c r="KRH1" s="251" t="n"/>
      <c r="KRI1" s="251" t="n"/>
      <c r="KRJ1" s="251" t="n"/>
      <c r="KRK1" s="251" t="n"/>
      <c r="KRL1" s="251" t="n"/>
      <c r="KRM1" s="251" t="n"/>
      <c r="KRN1" s="251" t="n"/>
      <c r="KRO1" s="251" t="n"/>
      <c r="KRP1" s="251" t="n"/>
      <c r="KRQ1" s="251" t="n"/>
      <c r="KRR1" s="251" t="n"/>
      <c r="KRS1" s="251" t="n"/>
      <c r="KRT1" s="251" t="n"/>
      <c r="KRU1" s="251" t="n"/>
      <c r="KRV1" s="251" t="n"/>
      <c r="KRW1" s="251" t="n"/>
      <c r="KRX1" s="251" t="n"/>
      <c r="KRY1" s="251" t="n"/>
      <c r="KRZ1" s="251" t="n"/>
      <c r="KSA1" s="251" t="n"/>
      <c r="KSB1" s="251" t="n"/>
      <c r="KSC1" s="251" t="n"/>
      <c r="KSD1" s="251" t="n"/>
      <c r="KSE1" s="251" t="n"/>
      <c r="KSF1" s="251" t="n"/>
      <c r="KSG1" s="251" t="n"/>
      <c r="KSH1" s="251" t="n"/>
      <c r="KSI1" s="251" t="n"/>
      <c r="KSJ1" s="251" t="n"/>
      <c r="KSK1" s="251" t="n"/>
      <c r="KSL1" s="251" t="n"/>
      <c r="KSM1" s="251" t="n"/>
      <c r="KSN1" s="251" t="n"/>
      <c r="KSO1" s="251" t="n"/>
      <c r="KSP1" s="251" t="n"/>
      <c r="KSQ1" s="251" t="n"/>
      <c r="KSR1" s="251" t="n"/>
      <c r="KSS1" s="251" t="n"/>
      <c r="KST1" s="251" t="n"/>
      <c r="KSU1" s="251" t="n"/>
      <c r="KSV1" s="251" t="n"/>
      <c r="KSW1" s="251" t="n"/>
      <c r="KSX1" s="251" t="n"/>
      <c r="KSY1" s="251" t="n"/>
      <c r="KSZ1" s="251" t="n"/>
      <c r="KTA1" s="251" t="n"/>
      <c r="KTB1" s="251" t="n"/>
      <c r="KTC1" s="251" t="n"/>
      <c r="KTD1" s="251" t="n"/>
      <c r="KTE1" s="251" t="n"/>
      <c r="KTF1" s="251" t="n"/>
      <c r="KTG1" s="251" t="n"/>
      <c r="KTH1" s="251" t="n"/>
      <c r="KTI1" s="251" t="n"/>
      <c r="KTJ1" s="251" t="n"/>
      <c r="KTK1" s="251" t="n"/>
      <c r="KTL1" s="251" t="n"/>
      <c r="KTM1" s="251" t="n"/>
      <c r="KTN1" s="251" t="n"/>
      <c r="KTO1" s="251" t="n"/>
      <c r="KTP1" s="251" t="n"/>
      <c r="KTQ1" s="251" t="n"/>
      <c r="KTR1" s="251" t="n"/>
      <c r="KTS1" s="251" t="n"/>
      <c r="KTT1" s="251" t="n"/>
      <c r="KTU1" s="251" t="n"/>
      <c r="KTV1" s="251" t="n"/>
      <c r="KTW1" s="251" t="n"/>
      <c r="KTX1" s="251" t="n"/>
      <c r="KTY1" s="251" t="n"/>
      <c r="KTZ1" s="251" t="n"/>
      <c r="KUA1" s="251" t="n"/>
      <c r="KUB1" s="251" t="n"/>
      <c r="KUC1" s="251" t="n"/>
      <c r="KUD1" s="251" t="n"/>
      <c r="KUE1" s="251" t="n"/>
      <c r="KUF1" s="251" t="n"/>
      <c r="KUG1" s="251" t="n"/>
      <c r="KUH1" s="251" t="n"/>
      <c r="KUI1" s="251" t="n"/>
      <c r="KUJ1" s="251" t="n"/>
      <c r="KUK1" s="251" t="n"/>
      <c r="KUL1" s="251" t="n"/>
      <c r="KUM1" s="251" t="n"/>
      <c r="KUN1" s="251" t="n"/>
      <c r="KUO1" s="251" t="n"/>
      <c r="KUP1" s="251" t="n"/>
      <c r="KUQ1" s="251" t="n"/>
      <c r="KUR1" s="251" t="n"/>
      <c r="KUS1" s="251" t="n"/>
      <c r="KUT1" s="251" t="n"/>
      <c r="KUU1" s="251" t="n"/>
      <c r="KUV1" s="251" t="n"/>
      <c r="KUW1" s="251" t="n"/>
      <c r="KUX1" s="251" t="n"/>
      <c r="KUY1" s="251" t="n"/>
      <c r="KUZ1" s="251" t="n"/>
      <c r="KVA1" s="251" t="n"/>
      <c r="KVB1" s="251" t="n"/>
      <c r="KVC1" s="251" t="n"/>
      <c r="KVD1" s="251" t="n"/>
      <c r="KVE1" s="251" t="n"/>
      <c r="KVF1" s="251" t="n"/>
      <c r="KVG1" s="251" t="n"/>
      <c r="KVH1" s="251" t="n"/>
      <c r="KVI1" s="251" t="n"/>
      <c r="KVJ1" s="251" t="n"/>
      <c r="KVK1" s="251" t="n"/>
      <c r="KVL1" s="251" t="n"/>
      <c r="KVM1" s="251" t="n"/>
      <c r="KVN1" s="251" t="n"/>
      <c r="KVO1" s="251" t="n"/>
      <c r="KVP1" s="251" t="n"/>
      <c r="KVQ1" s="251" t="n"/>
      <c r="KVR1" s="251" t="n"/>
      <c r="KVS1" s="251" t="n"/>
      <c r="KVT1" s="251" t="n"/>
      <c r="KVU1" s="251" t="n"/>
      <c r="KVV1" s="251" t="n"/>
      <c r="KVW1" s="251" t="n"/>
      <c r="KVX1" s="251" t="n"/>
      <c r="KVY1" s="251" t="n"/>
      <c r="KVZ1" s="251" t="n"/>
      <c r="KWA1" s="251" t="n"/>
      <c r="KWB1" s="251" t="n"/>
      <c r="KWC1" s="251" t="n"/>
      <c r="KWD1" s="251" t="n"/>
      <c r="KWE1" s="251" t="n"/>
      <c r="KWF1" s="251" t="n"/>
      <c r="KWG1" s="251" t="n"/>
      <c r="KWH1" s="251" t="n"/>
      <c r="KWI1" s="251" t="n"/>
      <c r="KWJ1" s="251" t="n"/>
      <c r="KWK1" s="251" t="n"/>
      <c r="KWL1" s="251" t="n"/>
      <c r="KWM1" s="251" t="n"/>
      <c r="KWN1" s="251" t="n"/>
      <c r="KWO1" s="251" t="n"/>
      <c r="KWP1" s="251" t="n"/>
      <c r="KWQ1" s="251" t="n"/>
      <c r="KWR1" s="251" t="n"/>
      <c r="KWS1" s="251" t="n"/>
      <c r="KWT1" s="251" t="n"/>
      <c r="KWU1" s="251" t="n"/>
      <c r="KWV1" s="251" t="n"/>
      <c r="KWW1" s="251" t="n"/>
      <c r="KWX1" s="251" t="n"/>
      <c r="KWY1" s="251" t="n"/>
      <c r="KWZ1" s="251" t="n"/>
      <c r="KXA1" s="251" t="n"/>
      <c r="KXB1" s="251" t="n"/>
      <c r="KXC1" s="251" t="n"/>
      <c r="KXD1" s="251" t="n"/>
      <c r="KXE1" s="251" t="n"/>
      <c r="KXF1" s="251" t="n"/>
      <c r="KXG1" s="251" t="n"/>
      <c r="KXH1" s="251" t="n"/>
      <c r="KXI1" s="251" t="n"/>
      <c r="KXJ1" s="251" t="n"/>
      <c r="KXK1" s="251" t="n"/>
      <c r="KXL1" s="251" t="n"/>
      <c r="KXM1" s="251" t="n"/>
      <c r="KXN1" s="251" t="n"/>
      <c r="KXO1" s="251" t="n"/>
      <c r="KXP1" s="251" t="n"/>
      <c r="KXQ1" s="251" t="n"/>
      <c r="KXR1" s="251" t="n"/>
      <c r="KXS1" s="251" t="n"/>
      <c r="KXT1" s="251" t="n"/>
      <c r="KXU1" s="251" t="n"/>
      <c r="KXV1" s="251" t="n"/>
      <c r="KXW1" s="251" t="n"/>
      <c r="KXX1" s="251" t="n"/>
      <c r="KXY1" s="251" t="n"/>
      <c r="KXZ1" s="251" t="n"/>
      <c r="KYA1" s="251" t="n"/>
      <c r="KYB1" s="251" t="n"/>
      <c r="KYC1" s="251" t="n"/>
      <c r="KYD1" s="251" t="n"/>
      <c r="KYE1" s="251" t="n"/>
      <c r="KYF1" s="251" t="n"/>
      <c r="KYG1" s="251" t="n"/>
      <c r="KYH1" s="251" t="n"/>
      <c r="KYI1" s="251" t="n"/>
      <c r="KYJ1" s="251" t="n"/>
      <c r="KYK1" s="251" t="n"/>
      <c r="KYL1" s="251" t="n"/>
      <c r="KYM1" s="251" t="n"/>
      <c r="KYN1" s="251" t="n"/>
      <c r="KYO1" s="251" t="n"/>
      <c r="KYP1" s="251" t="n"/>
      <c r="KYQ1" s="251" t="n"/>
      <c r="KYR1" s="251" t="n"/>
      <c r="KYS1" s="251" t="n"/>
      <c r="KYT1" s="251" t="n"/>
      <c r="KYU1" s="251" t="n"/>
      <c r="KYV1" s="251" t="n"/>
      <c r="KYW1" s="251" t="n"/>
      <c r="KYX1" s="251" t="n"/>
      <c r="KYY1" s="251" t="n"/>
      <c r="KYZ1" s="251" t="n"/>
      <c r="KZA1" s="251" t="n"/>
      <c r="KZB1" s="251" t="n"/>
      <c r="KZC1" s="251" t="n"/>
      <c r="KZD1" s="251" t="n"/>
      <c r="KZE1" s="251" t="n"/>
      <c r="KZF1" s="251" t="n"/>
      <c r="KZG1" s="251" t="n"/>
      <c r="KZH1" s="251" t="n"/>
      <c r="KZI1" s="251" t="n"/>
      <c r="KZJ1" s="251" t="n"/>
      <c r="KZK1" s="251" t="n"/>
      <c r="KZL1" s="251" t="n"/>
      <c r="KZM1" s="251" t="n"/>
      <c r="KZN1" s="251" t="n"/>
      <c r="KZO1" s="251" t="n"/>
      <c r="KZP1" s="251" t="n"/>
      <c r="KZQ1" s="251" t="n"/>
      <c r="KZR1" s="251" t="n"/>
      <c r="KZS1" s="251" t="n"/>
      <c r="KZT1" s="251" t="n"/>
      <c r="KZU1" s="251" t="n"/>
      <c r="KZV1" s="251" t="n"/>
      <c r="KZW1" s="251" t="n"/>
      <c r="KZX1" s="251" t="n"/>
      <c r="KZY1" s="251" t="n"/>
      <c r="KZZ1" s="251" t="n"/>
      <c r="LAA1" s="251" t="n"/>
      <c r="LAB1" s="251" t="n"/>
      <c r="LAC1" s="251" t="n"/>
      <c r="LAD1" s="251" t="n"/>
      <c r="LAE1" s="251" t="n"/>
      <c r="LAF1" s="251" t="n"/>
      <c r="LAG1" s="251" t="n"/>
      <c r="LAH1" s="251" t="n"/>
      <c r="LAI1" s="251" t="n"/>
      <c r="LAJ1" s="251" t="n"/>
      <c r="LAK1" s="251" t="n"/>
      <c r="LAL1" s="251" t="n"/>
      <c r="LAM1" s="251" t="n"/>
      <c r="LAN1" s="251" t="n"/>
      <c r="LAO1" s="251" t="n"/>
      <c r="LAP1" s="251" t="n"/>
      <c r="LAQ1" s="251" t="n"/>
      <c r="LAR1" s="251" t="n"/>
      <c r="LAS1" s="251" t="n"/>
      <c r="LAT1" s="251" t="n"/>
      <c r="LAU1" s="251" t="n"/>
      <c r="LAV1" s="251" t="n"/>
      <c r="LAW1" s="251" t="n"/>
      <c r="LAX1" s="251" t="n"/>
      <c r="LAY1" s="251" t="n"/>
      <c r="LAZ1" s="251" t="n"/>
      <c r="LBA1" s="251" t="n"/>
      <c r="LBB1" s="251" t="n"/>
      <c r="LBC1" s="251" t="n"/>
      <c r="LBD1" s="251" t="n"/>
      <c r="LBE1" s="251" t="n"/>
      <c r="LBF1" s="251" t="n"/>
      <c r="LBG1" s="251" t="n"/>
      <c r="LBH1" s="251" t="n"/>
      <c r="LBI1" s="251" t="n"/>
      <c r="LBJ1" s="251" t="n"/>
      <c r="LBK1" s="251" t="n"/>
      <c r="LBL1" s="251" t="n"/>
      <c r="LBM1" s="251" t="n"/>
      <c r="LBN1" s="251" t="n"/>
      <c r="LBO1" s="251" t="n"/>
      <c r="LBP1" s="251" t="n"/>
      <c r="LBQ1" s="251" t="n"/>
      <c r="LBR1" s="251" t="n"/>
      <c r="LBS1" s="251" t="n"/>
      <c r="LBT1" s="251" t="n"/>
      <c r="LBU1" s="251" t="n"/>
      <c r="LBV1" s="251" t="n"/>
      <c r="LBW1" s="251" t="n"/>
      <c r="LBX1" s="251" t="n"/>
      <c r="LBY1" s="251" t="n"/>
      <c r="LBZ1" s="251" t="n"/>
      <c r="LCA1" s="251" t="n"/>
      <c r="LCB1" s="251" t="n"/>
      <c r="LCC1" s="251" t="n"/>
      <c r="LCD1" s="251" t="n"/>
      <c r="LCE1" s="251" t="n"/>
      <c r="LCF1" s="251" t="n"/>
      <c r="LCG1" s="251" t="n"/>
      <c r="LCH1" s="251" t="n"/>
      <c r="LCI1" s="251" t="n"/>
      <c r="LCJ1" s="251" t="n"/>
      <c r="LCK1" s="251" t="n"/>
      <c r="LCL1" s="251" t="n"/>
      <c r="LCM1" s="251" t="n"/>
      <c r="LCN1" s="251" t="n"/>
      <c r="LCO1" s="251" t="n"/>
      <c r="LCP1" s="251" t="n"/>
      <c r="LCQ1" s="251" t="n"/>
      <c r="LCR1" s="251" t="n"/>
      <c r="LCS1" s="251" t="n"/>
      <c r="LCT1" s="251" t="n"/>
      <c r="LCU1" s="251" t="n"/>
      <c r="LCV1" s="251" t="n"/>
      <c r="LCW1" s="251" t="n"/>
      <c r="LCX1" s="251" t="n"/>
      <c r="LCY1" s="251" t="n"/>
      <c r="LCZ1" s="251" t="n"/>
      <c r="LDA1" s="251" t="n"/>
      <c r="LDB1" s="251" t="n"/>
      <c r="LDC1" s="251" t="n"/>
      <c r="LDD1" s="251" t="n"/>
      <c r="LDE1" s="251" t="n"/>
      <c r="LDF1" s="251" t="n"/>
      <c r="LDG1" s="251" t="n"/>
      <c r="LDH1" s="251" t="n"/>
      <c r="LDI1" s="251" t="n"/>
      <c r="LDJ1" s="251" t="n"/>
      <c r="LDK1" s="251" t="n"/>
      <c r="LDL1" s="251" t="n"/>
      <c r="LDM1" s="251" t="n"/>
      <c r="LDN1" s="251" t="n"/>
      <c r="LDO1" s="251" t="n"/>
      <c r="LDP1" s="251" t="n"/>
      <c r="LDQ1" s="251" t="n"/>
      <c r="LDR1" s="251" t="n"/>
      <c r="LDS1" s="251" t="n"/>
      <c r="LDT1" s="251" t="n"/>
      <c r="LDU1" s="251" t="n"/>
      <c r="LDV1" s="251" t="n"/>
      <c r="LDW1" s="251" t="n"/>
      <c r="LDX1" s="251" t="n"/>
      <c r="LDY1" s="251" t="n"/>
      <c r="LDZ1" s="251" t="n"/>
      <c r="LEA1" s="251" t="n"/>
      <c r="LEB1" s="251" t="n"/>
      <c r="LEC1" s="251" t="n"/>
      <c r="LED1" s="251" t="n"/>
      <c r="LEE1" s="251" t="n"/>
      <c r="LEF1" s="251" t="n"/>
      <c r="LEG1" s="251" t="n"/>
      <c r="LEH1" s="251" t="n"/>
      <c r="LEI1" s="251" t="n"/>
      <c r="LEJ1" s="251" t="n"/>
      <c r="LEK1" s="251" t="n"/>
      <c r="LEL1" s="251" t="n"/>
      <c r="LEM1" s="251" t="n"/>
      <c r="LEN1" s="251" t="n"/>
      <c r="LEO1" s="251" t="n"/>
      <c r="LEP1" s="251" t="n"/>
      <c r="LEQ1" s="251" t="n"/>
      <c r="LER1" s="251" t="n"/>
      <c r="LES1" s="251" t="n"/>
      <c r="LET1" s="251" t="n"/>
      <c r="LEU1" s="251" t="n"/>
      <c r="LEV1" s="251" t="n"/>
      <c r="LEW1" s="251" t="n"/>
      <c r="LEX1" s="251" t="n"/>
      <c r="LEY1" s="251" t="n"/>
      <c r="LEZ1" s="251" t="n"/>
      <c r="LFA1" s="251" t="n"/>
      <c r="LFB1" s="251" t="n"/>
      <c r="LFC1" s="251" t="n"/>
      <c r="LFD1" s="251" t="n"/>
      <c r="LFE1" s="251" t="n"/>
      <c r="LFF1" s="251" t="n"/>
      <c r="LFG1" s="251" t="n"/>
      <c r="LFH1" s="251" t="n"/>
      <c r="LFI1" s="251" t="n"/>
      <c r="LFJ1" s="251" t="n"/>
      <c r="LFK1" s="251" t="n"/>
      <c r="LFL1" s="251" t="n"/>
      <c r="LFM1" s="251" t="n"/>
      <c r="LFN1" s="251" t="n"/>
      <c r="LFO1" s="251" t="n"/>
      <c r="LFP1" s="251" t="n"/>
      <c r="LFQ1" s="251" t="n"/>
      <c r="LFR1" s="251" t="n"/>
      <c r="LFS1" s="251" t="n"/>
      <c r="LFT1" s="251" t="n"/>
      <c r="LFU1" s="251" t="n"/>
      <c r="LFV1" s="251" t="n"/>
      <c r="LFW1" s="251" t="n"/>
      <c r="LFX1" s="251" t="n"/>
      <c r="LFY1" s="251" t="n"/>
      <c r="LFZ1" s="251" t="n"/>
      <c r="LGA1" s="251" t="n"/>
      <c r="LGB1" s="251" t="n"/>
      <c r="LGC1" s="251" t="n"/>
      <c r="LGD1" s="251" t="n"/>
      <c r="LGE1" s="251" t="n"/>
      <c r="LGF1" s="251" t="n"/>
      <c r="LGG1" s="251" t="n"/>
      <c r="LGH1" s="251" t="n"/>
      <c r="LGI1" s="251" t="n"/>
      <c r="LGJ1" s="251" t="n"/>
      <c r="LGK1" s="251" t="n"/>
      <c r="LGL1" s="251" t="n"/>
      <c r="LGM1" s="251" t="n"/>
      <c r="LGN1" s="251" t="n"/>
      <c r="LGO1" s="251" t="n"/>
      <c r="LGP1" s="251" t="n"/>
      <c r="LGQ1" s="251" t="n"/>
      <c r="LGR1" s="251" t="n"/>
      <c r="LGS1" s="251" t="n"/>
      <c r="LGT1" s="251" t="n"/>
      <c r="LGU1" s="251" t="n"/>
      <c r="LGV1" s="251" t="n"/>
      <c r="LGW1" s="251" t="n"/>
      <c r="LGX1" s="251" t="n"/>
      <c r="LGY1" s="251" t="n"/>
      <c r="LGZ1" s="251" t="n"/>
      <c r="LHA1" s="251" t="n"/>
      <c r="LHB1" s="251" t="n"/>
      <c r="LHC1" s="251" t="n"/>
      <c r="LHD1" s="251" t="n"/>
      <c r="LHE1" s="251" t="n"/>
      <c r="LHF1" s="251" t="n"/>
      <c r="LHG1" s="251" t="n"/>
      <c r="LHH1" s="251" t="n"/>
      <c r="LHI1" s="251" t="n"/>
      <c r="LHJ1" s="251" t="n"/>
      <c r="LHK1" s="251" t="n"/>
      <c r="LHL1" s="251" t="n"/>
      <c r="LHM1" s="251" t="n"/>
      <c r="LHN1" s="251" t="n"/>
      <c r="LHO1" s="251" t="n"/>
      <c r="LHP1" s="251" t="n"/>
      <c r="LHQ1" s="251" t="n"/>
      <c r="LHR1" s="251" t="n"/>
      <c r="LHS1" s="251" t="n"/>
      <c r="LHT1" s="251" t="n"/>
      <c r="LHU1" s="251" t="n"/>
      <c r="LHV1" s="251" t="n"/>
      <c r="LHW1" s="251" t="n"/>
      <c r="LHX1" s="251" t="n"/>
      <c r="LHY1" s="251" t="n"/>
      <c r="LHZ1" s="251" t="n"/>
      <c r="LIA1" s="251" t="n"/>
      <c r="LIB1" s="251" t="n"/>
      <c r="LIC1" s="251" t="n"/>
      <c r="LID1" s="251" t="n"/>
      <c r="LIE1" s="251" t="n"/>
      <c r="LIF1" s="251" t="n"/>
      <c r="LIG1" s="251" t="n"/>
      <c r="LIH1" s="251" t="n"/>
      <c r="LII1" s="251" t="n"/>
      <c r="LIJ1" s="251" t="n"/>
      <c r="LIK1" s="251" t="n"/>
      <c r="LIL1" s="251" t="n"/>
      <c r="LIM1" s="251" t="n"/>
      <c r="LIN1" s="251" t="n"/>
      <c r="LIO1" s="251" t="n"/>
      <c r="LIP1" s="251" t="n"/>
      <c r="LIQ1" s="251" t="n"/>
      <c r="LIR1" s="251" t="n"/>
      <c r="LIS1" s="251" t="n"/>
      <c r="LIT1" s="251" t="n"/>
      <c r="LIU1" s="251" t="n"/>
      <c r="LIV1" s="251" t="n"/>
      <c r="LIW1" s="251" t="n"/>
      <c r="LIX1" s="251" t="n"/>
      <c r="LIY1" s="251" t="n"/>
      <c r="LIZ1" s="251" t="n"/>
      <c r="LJA1" s="251" t="n"/>
      <c r="LJB1" s="251" t="n"/>
      <c r="LJC1" s="251" t="n"/>
      <c r="LJD1" s="251" t="n"/>
      <c r="LJE1" s="251" t="n"/>
      <c r="LJF1" s="251" t="n"/>
      <c r="LJG1" s="251" t="n"/>
      <c r="LJH1" s="251" t="n"/>
      <c r="LJI1" s="251" t="n"/>
      <c r="LJJ1" s="251" t="n"/>
      <c r="LJK1" s="251" t="n"/>
      <c r="LJL1" s="251" t="n"/>
      <c r="LJM1" s="251" t="n"/>
      <c r="LJN1" s="251" t="n"/>
      <c r="LJO1" s="251" t="n"/>
      <c r="LJP1" s="251" t="n"/>
      <c r="LJQ1" s="251" t="n"/>
      <c r="LJR1" s="251" t="n"/>
      <c r="LJS1" s="251" t="n"/>
      <c r="LJT1" s="251" t="n"/>
      <c r="LJU1" s="251" t="n"/>
      <c r="LJV1" s="251" t="n"/>
      <c r="LJW1" s="251" t="n"/>
      <c r="LJX1" s="251" t="n"/>
      <c r="LJY1" s="251" t="n"/>
      <c r="LJZ1" s="251" t="n"/>
      <c r="LKA1" s="251" t="n"/>
      <c r="LKB1" s="251" t="n"/>
      <c r="LKC1" s="251" t="n"/>
      <c r="LKD1" s="251" t="n"/>
      <c r="LKE1" s="251" t="n"/>
      <c r="LKF1" s="251" t="n"/>
      <c r="LKG1" s="251" t="n"/>
      <c r="LKH1" s="251" t="n"/>
      <c r="LKI1" s="251" t="n"/>
      <c r="LKJ1" s="251" t="n"/>
      <c r="LKK1" s="251" t="n"/>
      <c r="LKL1" s="251" t="n"/>
      <c r="LKM1" s="251" t="n"/>
      <c r="LKN1" s="251" t="n"/>
      <c r="LKO1" s="251" t="n"/>
      <c r="LKP1" s="251" t="n"/>
      <c r="LKQ1" s="251" t="n"/>
      <c r="LKR1" s="251" t="n"/>
      <c r="LKS1" s="251" t="n"/>
      <c r="LKT1" s="251" t="n"/>
      <c r="LKU1" s="251" t="n"/>
      <c r="LKV1" s="251" t="n"/>
      <c r="LKW1" s="251" t="n"/>
      <c r="LKX1" s="251" t="n"/>
      <c r="LKY1" s="251" t="n"/>
      <c r="LKZ1" s="251" t="n"/>
      <c r="LLA1" s="251" t="n"/>
      <c r="LLB1" s="251" t="n"/>
      <c r="LLC1" s="251" t="n"/>
      <c r="LLD1" s="251" t="n"/>
      <c r="LLE1" s="251" t="n"/>
      <c r="LLF1" s="251" t="n"/>
      <c r="LLG1" s="251" t="n"/>
      <c r="LLH1" s="251" t="n"/>
      <c r="LLI1" s="251" t="n"/>
      <c r="LLJ1" s="251" t="n"/>
      <c r="LLK1" s="251" t="n"/>
      <c r="LLL1" s="251" t="n"/>
      <c r="LLM1" s="251" t="n"/>
      <c r="LLN1" s="251" t="n"/>
      <c r="LLO1" s="251" t="n"/>
      <c r="LLP1" s="251" t="n"/>
      <c r="LLQ1" s="251" t="n"/>
      <c r="LLR1" s="251" t="n"/>
      <c r="LLS1" s="251" t="n"/>
      <c r="LLT1" s="251" t="n"/>
      <c r="LLU1" s="251" t="n"/>
      <c r="LLV1" s="251" t="n"/>
      <c r="LLW1" s="251" t="n"/>
      <c r="LLX1" s="251" t="n"/>
      <c r="LLY1" s="251" t="n"/>
      <c r="LLZ1" s="251" t="n"/>
      <c r="LMA1" s="251" t="n"/>
      <c r="LMB1" s="251" t="n"/>
      <c r="LMC1" s="251" t="n"/>
      <c r="LMD1" s="251" t="n"/>
      <c r="LME1" s="251" t="n"/>
      <c r="LMF1" s="251" t="n"/>
      <c r="LMG1" s="251" t="n"/>
      <c r="LMH1" s="251" t="n"/>
      <c r="LMI1" s="251" t="n"/>
      <c r="LMJ1" s="251" t="n"/>
      <c r="LMK1" s="251" t="n"/>
      <c r="LML1" s="251" t="n"/>
      <c r="LMM1" s="251" t="n"/>
      <c r="LMN1" s="251" t="n"/>
      <c r="LMO1" s="251" t="n"/>
      <c r="LMP1" s="251" t="n"/>
      <c r="LMQ1" s="251" t="n"/>
      <c r="LMR1" s="251" t="n"/>
      <c r="LMS1" s="251" t="n"/>
      <c r="LMT1" s="251" t="n"/>
      <c r="LMU1" s="251" t="n"/>
      <c r="LMV1" s="251" t="n"/>
      <c r="LMW1" s="251" t="n"/>
      <c r="LMX1" s="251" t="n"/>
      <c r="LMY1" s="251" t="n"/>
      <c r="LMZ1" s="251" t="n"/>
      <c r="LNA1" s="251" t="n"/>
      <c r="LNB1" s="251" t="n"/>
      <c r="LNC1" s="251" t="n"/>
      <c r="LND1" s="251" t="n"/>
      <c r="LNE1" s="251" t="n"/>
      <c r="LNF1" s="251" t="n"/>
      <c r="LNG1" s="251" t="n"/>
      <c r="LNH1" s="251" t="n"/>
      <c r="LNI1" s="251" t="n"/>
      <c r="LNJ1" s="251" t="n"/>
      <c r="LNK1" s="251" t="n"/>
      <c r="LNL1" s="251" t="n"/>
      <c r="LNM1" s="251" t="n"/>
      <c r="LNN1" s="251" t="n"/>
      <c r="LNO1" s="251" t="n"/>
      <c r="LNP1" s="251" t="n"/>
      <c r="LNQ1" s="251" t="n"/>
      <c r="LNR1" s="251" t="n"/>
      <c r="LNS1" s="251" t="n"/>
      <c r="LNT1" s="251" t="n"/>
      <c r="LNU1" s="251" t="n"/>
      <c r="LNV1" s="251" t="n"/>
      <c r="LNW1" s="251" t="n"/>
      <c r="LNX1" s="251" t="n"/>
      <c r="LNY1" s="251" t="n"/>
      <c r="LNZ1" s="251" t="n"/>
      <c r="LOA1" s="251" t="n"/>
      <c r="LOB1" s="251" t="n"/>
      <c r="LOC1" s="251" t="n"/>
      <c r="LOD1" s="251" t="n"/>
      <c r="LOE1" s="251" t="n"/>
      <c r="LOF1" s="251" t="n"/>
      <c r="LOG1" s="251" t="n"/>
      <c r="LOH1" s="251" t="n"/>
      <c r="LOI1" s="251" t="n"/>
      <c r="LOJ1" s="251" t="n"/>
      <c r="LOK1" s="251" t="n"/>
      <c r="LOL1" s="251" t="n"/>
      <c r="LOM1" s="251" t="n"/>
      <c r="LON1" s="251" t="n"/>
      <c r="LOO1" s="251" t="n"/>
      <c r="LOP1" s="251" t="n"/>
      <c r="LOQ1" s="251" t="n"/>
      <c r="LOR1" s="251" t="n"/>
      <c r="LOS1" s="251" t="n"/>
      <c r="LOT1" s="251" t="n"/>
      <c r="LOU1" s="251" t="n"/>
      <c r="LOV1" s="251" t="n"/>
      <c r="LOW1" s="251" t="n"/>
      <c r="LOX1" s="251" t="n"/>
      <c r="LOY1" s="251" t="n"/>
      <c r="LOZ1" s="251" t="n"/>
      <c r="LPA1" s="251" t="n"/>
      <c r="LPB1" s="251" t="n"/>
      <c r="LPC1" s="251" t="n"/>
      <c r="LPD1" s="251" t="n"/>
      <c r="LPE1" s="251" t="n"/>
      <c r="LPF1" s="251" t="n"/>
      <c r="LPG1" s="251" t="n"/>
      <c r="LPH1" s="251" t="n"/>
      <c r="LPI1" s="251" t="n"/>
      <c r="LPJ1" s="251" t="n"/>
      <c r="LPK1" s="251" t="n"/>
      <c r="LPL1" s="251" t="n"/>
      <c r="LPM1" s="251" t="n"/>
      <c r="LPN1" s="251" t="n"/>
      <c r="LPO1" s="251" t="n"/>
      <c r="LPP1" s="251" t="n"/>
      <c r="LPQ1" s="251" t="n"/>
      <c r="LPR1" s="251" t="n"/>
      <c r="LPS1" s="251" t="n"/>
      <c r="LPT1" s="251" t="n"/>
      <c r="LPU1" s="251" t="n"/>
      <c r="LPV1" s="251" t="n"/>
      <c r="LPW1" s="251" t="n"/>
      <c r="LPX1" s="251" t="n"/>
      <c r="LPY1" s="251" t="n"/>
      <c r="LPZ1" s="251" t="n"/>
      <c r="LQA1" s="251" t="n"/>
      <c r="LQB1" s="251" t="n"/>
      <c r="LQC1" s="251" t="n"/>
      <c r="LQD1" s="251" t="n"/>
      <c r="LQE1" s="251" t="n"/>
      <c r="LQF1" s="251" t="n"/>
      <c r="LQG1" s="251" t="n"/>
      <c r="LQH1" s="251" t="n"/>
      <c r="LQI1" s="251" t="n"/>
      <c r="LQJ1" s="251" t="n"/>
      <c r="LQK1" s="251" t="n"/>
      <c r="LQL1" s="251" t="n"/>
      <c r="LQM1" s="251" t="n"/>
      <c r="LQN1" s="251" t="n"/>
      <c r="LQO1" s="251" t="n"/>
      <c r="LQP1" s="251" t="n"/>
      <c r="LQQ1" s="251" t="n"/>
      <c r="LQR1" s="251" t="n"/>
      <c r="LQS1" s="251" t="n"/>
      <c r="LQT1" s="251" t="n"/>
      <c r="LQU1" s="251" t="n"/>
      <c r="LQV1" s="251" t="n"/>
      <c r="LQW1" s="251" t="n"/>
      <c r="LQX1" s="251" t="n"/>
      <c r="LQY1" s="251" t="n"/>
      <c r="LQZ1" s="251" t="n"/>
      <c r="LRA1" s="251" t="n"/>
      <c r="LRB1" s="251" t="n"/>
      <c r="LRC1" s="251" t="n"/>
      <c r="LRD1" s="251" t="n"/>
      <c r="LRE1" s="251" t="n"/>
      <c r="LRF1" s="251" t="n"/>
      <c r="LRG1" s="251" t="n"/>
      <c r="LRH1" s="251" t="n"/>
      <c r="LRI1" s="251" t="n"/>
      <c r="LRJ1" s="251" t="n"/>
      <c r="LRK1" s="251" t="n"/>
      <c r="LRL1" s="251" t="n"/>
      <c r="LRM1" s="251" t="n"/>
      <c r="LRN1" s="251" t="n"/>
      <c r="LRO1" s="251" t="n"/>
      <c r="LRP1" s="251" t="n"/>
      <c r="LRQ1" s="251" t="n"/>
      <c r="LRR1" s="251" t="n"/>
      <c r="LRS1" s="251" t="n"/>
      <c r="LRT1" s="251" t="n"/>
      <c r="LRU1" s="251" t="n"/>
      <c r="LRV1" s="251" t="n"/>
      <c r="LRW1" s="251" t="n"/>
      <c r="LRX1" s="251" t="n"/>
      <c r="LRY1" s="251" t="n"/>
      <c r="LRZ1" s="251" t="n"/>
      <c r="LSA1" s="251" t="n"/>
      <c r="LSB1" s="251" t="n"/>
      <c r="LSC1" s="251" t="n"/>
      <c r="LSD1" s="251" t="n"/>
      <c r="LSE1" s="251" t="n"/>
      <c r="LSF1" s="251" t="n"/>
      <c r="LSG1" s="251" t="n"/>
      <c r="LSH1" s="251" t="n"/>
      <c r="LSI1" s="251" t="n"/>
      <c r="LSJ1" s="251" t="n"/>
      <c r="LSK1" s="251" t="n"/>
      <c r="LSL1" s="251" t="n"/>
      <c r="LSM1" s="251" t="n"/>
      <c r="LSN1" s="251" t="n"/>
      <c r="LSO1" s="251" t="n"/>
      <c r="LSP1" s="251" t="n"/>
      <c r="LSQ1" s="251" t="n"/>
      <c r="LSR1" s="251" t="n"/>
      <c r="LSS1" s="251" t="n"/>
      <c r="LST1" s="251" t="n"/>
      <c r="LSU1" s="251" t="n"/>
      <c r="LSV1" s="251" t="n"/>
      <c r="LSW1" s="251" t="n"/>
      <c r="LSX1" s="251" t="n"/>
      <c r="LSY1" s="251" t="n"/>
      <c r="LSZ1" s="251" t="n"/>
      <c r="LTA1" s="251" t="n"/>
      <c r="LTB1" s="251" t="n"/>
      <c r="LTC1" s="251" t="n"/>
      <c r="LTD1" s="251" t="n"/>
      <c r="LTE1" s="251" t="n"/>
      <c r="LTF1" s="251" t="n"/>
      <c r="LTG1" s="251" t="n"/>
      <c r="LTH1" s="251" t="n"/>
      <c r="LTI1" s="251" t="n"/>
      <c r="LTJ1" s="251" t="n"/>
      <c r="LTK1" s="251" t="n"/>
      <c r="LTL1" s="251" t="n"/>
      <c r="LTM1" s="251" t="n"/>
      <c r="LTN1" s="251" t="n"/>
      <c r="LTO1" s="251" t="n"/>
      <c r="LTP1" s="251" t="n"/>
      <c r="LTQ1" s="251" t="n"/>
      <c r="LTR1" s="251" t="n"/>
      <c r="LTS1" s="251" t="n"/>
      <c r="LTT1" s="251" t="n"/>
      <c r="LTU1" s="251" t="n"/>
      <c r="LTV1" s="251" t="n"/>
      <c r="LTW1" s="251" t="n"/>
      <c r="LTX1" s="251" t="n"/>
      <c r="LTY1" s="251" t="n"/>
      <c r="LTZ1" s="251" t="n"/>
      <c r="LUA1" s="251" t="n"/>
      <c r="LUB1" s="251" t="n"/>
      <c r="LUC1" s="251" t="n"/>
      <c r="LUD1" s="251" t="n"/>
      <c r="LUE1" s="251" t="n"/>
      <c r="LUF1" s="251" t="n"/>
      <c r="LUG1" s="251" t="n"/>
      <c r="LUH1" s="251" t="n"/>
      <c r="LUI1" s="251" t="n"/>
      <c r="LUJ1" s="251" t="n"/>
      <c r="LUK1" s="251" t="n"/>
      <c r="LUL1" s="251" t="n"/>
      <c r="LUM1" s="251" t="n"/>
      <c r="LUN1" s="251" t="n"/>
      <c r="LUO1" s="251" t="n"/>
      <c r="LUP1" s="251" t="n"/>
      <c r="LUQ1" s="251" t="n"/>
      <c r="LUR1" s="251" t="n"/>
      <c r="LUS1" s="251" t="n"/>
      <c r="LUT1" s="251" t="n"/>
      <c r="LUU1" s="251" t="n"/>
      <c r="LUV1" s="251" t="n"/>
      <c r="LUW1" s="251" t="n"/>
      <c r="LUX1" s="251" t="n"/>
      <c r="LUY1" s="251" t="n"/>
      <c r="LUZ1" s="251" t="n"/>
      <c r="LVA1" s="251" t="n"/>
      <c r="LVB1" s="251" t="n"/>
      <c r="LVC1" s="251" t="n"/>
      <c r="LVD1" s="251" t="n"/>
      <c r="LVE1" s="251" t="n"/>
      <c r="LVF1" s="251" t="n"/>
      <c r="LVG1" s="251" t="n"/>
      <c r="LVH1" s="251" t="n"/>
      <c r="LVI1" s="251" t="n"/>
      <c r="LVJ1" s="251" t="n"/>
      <c r="LVK1" s="251" t="n"/>
      <c r="LVL1" s="251" t="n"/>
      <c r="LVM1" s="251" t="n"/>
      <c r="LVN1" s="251" t="n"/>
      <c r="LVO1" s="251" t="n"/>
      <c r="LVP1" s="251" t="n"/>
      <c r="LVQ1" s="251" t="n"/>
      <c r="LVR1" s="251" t="n"/>
      <c r="LVS1" s="251" t="n"/>
      <c r="LVT1" s="251" t="n"/>
      <c r="LVU1" s="251" t="n"/>
      <c r="LVV1" s="251" t="n"/>
      <c r="LVW1" s="251" t="n"/>
      <c r="LVX1" s="251" t="n"/>
      <c r="LVY1" s="251" t="n"/>
      <c r="LVZ1" s="251" t="n"/>
      <c r="LWA1" s="251" t="n"/>
      <c r="LWB1" s="251" t="n"/>
      <c r="LWC1" s="251" t="n"/>
      <c r="LWD1" s="251" t="n"/>
      <c r="LWE1" s="251" t="n"/>
      <c r="LWF1" s="251" t="n"/>
      <c r="LWG1" s="251" t="n"/>
      <c r="LWH1" s="251" t="n"/>
      <c r="LWI1" s="251" t="n"/>
      <c r="LWJ1" s="251" t="n"/>
      <c r="LWK1" s="251" t="n"/>
      <c r="LWL1" s="251" t="n"/>
      <c r="LWM1" s="251" t="n"/>
      <c r="LWN1" s="251" t="n"/>
      <c r="LWO1" s="251" t="n"/>
      <c r="LWP1" s="251" t="n"/>
      <c r="LWQ1" s="251" t="n"/>
      <c r="LWR1" s="251" t="n"/>
      <c r="LWS1" s="251" t="n"/>
      <c r="LWT1" s="251" t="n"/>
      <c r="LWU1" s="251" t="n"/>
      <c r="LWV1" s="251" t="n"/>
      <c r="LWW1" s="251" t="n"/>
      <c r="LWX1" s="251" t="n"/>
      <c r="LWY1" s="251" t="n"/>
      <c r="LWZ1" s="251" t="n"/>
      <c r="LXA1" s="251" t="n"/>
      <c r="LXB1" s="251" t="n"/>
      <c r="LXC1" s="251" t="n"/>
      <c r="LXD1" s="251" t="n"/>
      <c r="LXE1" s="251" t="n"/>
      <c r="LXF1" s="251" t="n"/>
      <c r="LXG1" s="251" t="n"/>
      <c r="LXH1" s="251" t="n"/>
      <c r="LXI1" s="251" t="n"/>
      <c r="LXJ1" s="251" t="n"/>
      <c r="LXK1" s="251" t="n"/>
      <c r="LXL1" s="251" t="n"/>
      <c r="LXM1" s="251" t="n"/>
      <c r="LXN1" s="251" t="n"/>
      <c r="LXO1" s="251" t="n"/>
      <c r="LXP1" s="251" t="n"/>
      <c r="LXQ1" s="251" t="n"/>
      <c r="LXR1" s="251" t="n"/>
      <c r="LXS1" s="251" t="n"/>
      <c r="LXT1" s="251" t="n"/>
      <c r="LXU1" s="251" t="n"/>
      <c r="LXV1" s="251" t="n"/>
      <c r="LXW1" s="251" t="n"/>
      <c r="LXX1" s="251" t="n"/>
      <c r="LXY1" s="251" t="n"/>
      <c r="LXZ1" s="251" t="n"/>
      <c r="LYA1" s="251" t="n"/>
      <c r="LYB1" s="251" t="n"/>
      <c r="LYC1" s="251" t="n"/>
      <c r="LYD1" s="251" t="n"/>
      <c r="LYE1" s="251" t="n"/>
      <c r="LYF1" s="251" t="n"/>
      <c r="LYG1" s="251" t="n"/>
      <c r="LYH1" s="251" t="n"/>
      <c r="LYI1" s="251" t="n"/>
      <c r="LYJ1" s="251" t="n"/>
      <c r="LYK1" s="251" t="n"/>
      <c r="LYL1" s="251" t="n"/>
      <c r="LYM1" s="251" t="n"/>
      <c r="LYN1" s="251" t="n"/>
      <c r="LYO1" s="251" t="n"/>
      <c r="LYP1" s="251" t="n"/>
      <c r="LYQ1" s="251" t="n"/>
      <c r="LYR1" s="251" t="n"/>
      <c r="LYS1" s="251" t="n"/>
      <c r="LYT1" s="251" t="n"/>
      <c r="LYU1" s="251" t="n"/>
      <c r="LYV1" s="251" t="n"/>
      <c r="LYW1" s="251" t="n"/>
      <c r="LYX1" s="251" t="n"/>
      <c r="LYY1" s="251" t="n"/>
      <c r="LYZ1" s="251" t="n"/>
      <c r="LZA1" s="251" t="n"/>
      <c r="LZB1" s="251" t="n"/>
      <c r="LZC1" s="251" t="n"/>
      <c r="LZD1" s="251" t="n"/>
      <c r="LZE1" s="251" t="n"/>
      <c r="LZF1" s="251" t="n"/>
      <c r="LZG1" s="251" t="n"/>
      <c r="LZH1" s="251" t="n"/>
      <c r="LZI1" s="251" t="n"/>
      <c r="LZJ1" s="251" t="n"/>
      <c r="LZK1" s="251" t="n"/>
      <c r="LZL1" s="251" t="n"/>
      <c r="LZM1" s="251" t="n"/>
      <c r="LZN1" s="251" t="n"/>
      <c r="LZO1" s="251" t="n"/>
      <c r="LZP1" s="251" t="n"/>
      <c r="LZQ1" s="251" t="n"/>
      <c r="LZR1" s="251" t="n"/>
      <c r="LZS1" s="251" t="n"/>
      <c r="LZT1" s="251" t="n"/>
      <c r="LZU1" s="251" t="n"/>
      <c r="LZV1" s="251" t="n"/>
      <c r="LZW1" s="251" t="n"/>
      <c r="LZX1" s="251" t="n"/>
      <c r="LZY1" s="251" t="n"/>
      <c r="LZZ1" s="251" t="n"/>
      <c r="MAA1" s="251" t="n"/>
      <c r="MAB1" s="251" t="n"/>
      <c r="MAC1" s="251" t="n"/>
      <c r="MAD1" s="251" t="n"/>
      <c r="MAE1" s="251" t="n"/>
      <c r="MAF1" s="251" t="n"/>
      <c r="MAG1" s="251" t="n"/>
      <c r="MAH1" s="251" t="n"/>
      <c r="MAI1" s="251" t="n"/>
      <c r="MAJ1" s="251" t="n"/>
      <c r="MAK1" s="251" t="n"/>
      <c r="MAL1" s="251" t="n"/>
      <c r="MAM1" s="251" t="n"/>
      <c r="MAN1" s="251" t="n"/>
      <c r="MAO1" s="251" t="n"/>
      <c r="MAP1" s="251" t="n"/>
      <c r="MAQ1" s="251" t="n"/>
      <c r="MAR1" s="251" t="n"/>
      <c r="MAS1" s="251" t="n"/>
      <c r="MAT1" s="251" t="n"/>
      <c r="MAU1" s="251" t="n"/>
      <c r="MAV1" s="251" t="n"/>
      <c r="MAW1" s="251" t="n"/>
      <c r="MAX1" s="251" t="n"/>
      <c r="MAY1" s="251" t="n"/>
      <c r="MAZ1" s="251" t="n"/>
      <c r="MBA1" s="251" t="n"/>
      <c r="MBB1" s="251" t="n"/>
      <c r="MBC1" s="251" t="n"/>
      <c r="MBD1" s="251" t="n"/>
      <c r="MBE1" s="251" t="n"/>
      <c r="MBF1" s="251" t="n"/>
      <c r="MBG1" s="251" t="n"/>
      <c r="MBH1" s="251" t="n"/>
      <c r="MBI1" s="251" t="n"/>
      <c r="MBJ1" s="251" t="n"/>
      <c r="MBK1" s="251" t="n"/>
      <c r="MBL1" s="251" t="n"/>
      <c r="MBM1" s="251" t="n"/>
      <c r="MBN1" s="251" t="n"/>
      <c r="MBO1" s="251" t="n"/>
      <c r="MBP1" s="251" t="n"/>
      <c r="MBQ1" s="251" t="n"/>
      <c r="MBR1" s="251" t="n"/>
      <c r="MBS1" s="251" t="n"/>
      <c r="MBT1" s="251" t="n"/>
      <c r="MBU1" s="251" t="n"/>
      <c r="MBV1" s="251" t="n"/>
      <c r="MBW1" s="251" t="n"/>
      <c r="MBX1" s="251" t="n"/>
      <c r="MBY1" s="251" t="n"/>
      <c r="MBZ1" s="251" t="n"/>
      <c r="MCA1" s="251" t="n"/>
      <c r="MCB1" s="251" t="n"/>
      <c r="MCC1" s="251" t="n"/>
      <c r="MCD1" s="251" t="n"/>
      <c r="MCE1" s="251" t="n"/>
      <c r="MCF1" s="251" t="n"/>
      <c r="MCG1" s="251" t="n"/>
      <c r="MCH1" s="251" t="n"/>
      <c r="MCI1" s="251" t="n"/>
      <c r="MCJ1" s="251" t="n"/>
      <c r="MCK1" s="251" t="n"/>
      <c r="MCL1" s="251" t="n"/>
      <c r="MCM1" s="251" t="n"/>
      <c r="MCN1" s="251" t="n"/>
      <c r="MCO1" s="251" t="n"/>
      <c r="MCP1" s="251" t="n"/>
      <c r="MCQ1" s="251" t="n"/>
      <c r="MCR1" s="251" t="n"/>
      <c r="MCS1" s="251" t="n"/>
      <c r="MCT1" s="251" t="n"/>
      <c r="MCU1" s="251" t="n"/>
      <c r="MCV1" s="251" t="n"/>
      <c r="MCW1" s="251" t="n"/>
      <c r="MCX1" s="251" t="n"/>
      <c r="MCY1" s="251" t="n"/>
      <c r="MCZ1" s="251" t="n"/>
      <c r="MDA1" s="251" t="n"/>
      <c r="MDB1" s="251" t="n"/>
      <c r="MDC1" s="251" t="n"/>
      <c r="MDD1" s="251" t="n"/>
      <c r="MDE1" s="251" t="n"/>
      <c r="MDF1" s="251" t="n"/>
      <c r="MDG1" s="251" t="n"/>
      <c r="MDH1" s="251" t="n"/>
      <c r="MDI1" s="251" t="n"/>
      <c r="MDJ1" s="251" t="n"/>
      <c r="MDK1" s="251" t="n"/>
      <c r="MDL1" s="251" t="n"/>
      <c r="MDM1" s="251" t="n"/>
      <c r="MDN1" s="251" t="n"/>
      <c r="MDO1" s="251" t="n"/>
      <c r="MDP1" s="251" t="n"/>
      <c r="MDQ1" s="251" t="n"/>
      <c r="MDR1" s="251" t="n"/>
      <c r="MDS1" s="251" t="n"/>
      <c r="MDT1" s="251" t="n"/>
      <c r="MDU1" s="251" t="n"/>
      <c r="MDV1" s="251" t="n"/>
      <c r="MDW1" s="251" t="n"/>
      <c r="MDX1" s="251" t="n"/>
      <c r="MDY1" s="251" t="n"/>
      <c r="MDZ1" s="251" t="n"/>
      <c r="MEA1" s="251" t="n"/>
      <c r="MEB1" s="251" t="n"/>
      <c r="MEC1" s="251" t="n"/>
      <c r="MED1" s="251" t="n"/>
      <c r="MEE1" s="251" t="n"/>
      <c r="MEF1" s="251" t="n"/>
      <c r="MEG1" s="251" t="n"/>
      <c r="MEH1" s="251" t="n"/>
      <c r="MEI1" s="251" t="n"/>
      <c r="MEJ1" s="251" t="n"/>
      <c r="MEK1" s="251" t="n"/>
      <c r="MEL1" s="251" t="n"/>
      <c r="MEM1" s="251" t="n"/>
      <c r="MEN1" s="251" t="n"/>
      <c r="MEO1" s="251" t="n"/>
      <c r="MEP1" s="251" t="n"/>
      <c r="MEQ1" s="251" t="n"/>
      <c r="MER1" s="251" t="n"/>
      <c r="MES1" s="251" t="n"/>
      <c r="MET1" s="251" t="n"/>
      <c r="MEU1" s="251" t="n"/>
      <c r="MEV1" s="251" t="n"/>
      <c r="MEW1" s="251" t="n"/>
      <c r="MEX1" s="251" t="n"/>
      <c r="MEY1" s="251" t="n"/>
      <c r="MEZ1" s="251" t="n"/>
      <c r="MFA1" s="251" t="n"/>
      <c r="MFB1" s="251" t="n"/>
      <c r="MFC1" s="251" t="n"/>
      <c r="MFD1" s="251" t="n"/>
      <c r="MFE1" s="251" t="n"/>
      <c r="MFF1" s="251" t="n"/>
      <c r="MFG1" s="251" t="n"/>
      <c r="MFH1" s="251" t="n"/>
      <c r="MFI1" s="251" t="n"/>
      <c r="MFJ1" s="251" t="n"/>
      <c r="MFK1" s="251" t="n"/>
      <c r="MFL1" s="251" t="n"/>
      <c r="MFM1" s="251" t="n"/>
      <c r="MFN1" s="251" t="n"/>
      <c r="MFO1" s="251" t="n"/>
      <c r="MFP1" s="251" t="n"/>
      <c r="MFQ1" s="251" t="n"/>
      <c r="MFR1" s="251" t="n"/>
      <c r="MFS1" s="251" t="n"/>
      <c r="MFT1" s="251" t="n"/>
      <c r="MFU1" s="251" t="n"/>
      <c r="MFV1" s="251" t="n"/>
      <c r="MFW1" s="251" t="n"/>
      <c r="MFX1" s="251" t="n"/>
      <c r="MFY1" s="251" t="n"/>
      <c r="MFZ1" s="251" t="n"/>
      <c r="MGA1" s="251" t="n"/>
      <c r="MGB1" s="251" t="n"/>
      <c r="MGC1" s="251" t="n"/>
      <c r="MGD1" s="251" t="n"/>
      <c r="MGE1" s="251" t="n"/>
      <c r="MGF1" s="251" t="n"/>
      <c r="MGG1" s="251" t="n"/>
      <c r="MGH1" s="251" t="n"/>
      <c r="MGI1" s="251" t="n"/>
      <c r="MGJ1" s="251" t="n"/>
      <c r="MGK1" s="251" t="n"/>
      <c r="MGL1" s="251" t="n"/>
      <c r="MGM1" s="251" t="n"/>
      <c r="MGN1" s="251" t="n"/>
      <c r="MGO1" s="251" t="n"/>
      <c r="MGP1" s="251" t="n"/>
      <c r="MGQ1" s="251" t="n"/>
      <c r="MGR1" s="251" t="n"/>
      <c r="MGS1" s="251" t="n"/>
      <c r="MGT1" s="251" t="n"/>
      <c r="MGU1" s="251" t="n"/>
      <c r="MGV1" s="251" t="n"/>
      <c r="MGW1" s="251" t="n"/>
      <c r="MGX1" s="251" t="n"/>
      <c r="MGY1" s="251" t="n"/>
      <c r="MGZ1" s="251" t="n"/>
      <c r="MHA1" s="251" t="n"/>
      <c r="MHB1" s="251" t="n"/>
      <c r="MHC1" s="251" t="n"/>
      <c r="MHD1" s="251" t="n"/>
      <c r="MHE1" s="251" t="n"/>
      <c r="MHF1" s="251" t="n"/>
      <c r="MHG1" s="251" t="n"/>
      <c r="MHH1" s="251" t="n"/>
      <c r="MHI1" s="251" t="n"/>
      <c r="MHJ1" s="251" t="n"/>
      <c r="MHK1" s="251" t="n"/>
      <c r="MHL1" s="251" t="n"/>
      <c r="MHM1" s="251" t="n"/>
      <c r="MHN1" s="251" t="n"/>
      <c r="MHO1" s="251" t="n"/>
      <c r="MHP1" s="251" t="n"/>
      <c r="MHQ1" s="251" t="n"/>
      <c r="MHR1" s="251" t="n"/>
      <c r="MHS1" s="251" t="n"/>
      <c r="MHT1" s="251" t="n"/>
      <c r="MHU1" s="251" t="n"/>
      <c r="MHV1" s="251" t="n"/>
      <c r="MHW1" s="251" t="n"/>
      <c r="MHX1" s="251" t="n"/>
      <c r="MHY1" s="251" t="n"/>
      <c r="MHZ1" s="251" t="n"/>
      <c r="MIA1" s="251" t="n"/>
      <c r="MIB1" s="251" t="n"/>
      <c r="MIC1" s="251" t="n"/>
      <c r="MID1" s="251" t="n"/>
      <c r="MIE1" s="251" t="n"/>
      <c r="MIF1" s="251" t="n"/>
      <c r="MIG1" s="251" t="n"/>
      <c r="MIH1" s="251" t="n"/>
      <c r="MII1" s="251" t="n"/>
      <c r="MIJ1" s="251" t="n"/>
      <c r="MIK1" s="251" t="n"/>
      <c r="MIL1" s="251" t="n"/>
      <c r="MIM1" s="251" t="n"/>
      <c r="MIN1" s="251" t="n"/>
      <c r="MIO1" s="251" t="n"/>
      <c r="MIP1" s="251" t="n"/>
      <c r="MIQ1" s="251" t="n"/>
      <c r="MIR1" s="251" t="n"/>
      <c r="MIS1" s="251" t="n"/>
      <c r="MIT1" s="251" t="n"/>
      <c r="MIU1" s="251" t="n"/>
      <c r="MIV1" s="251" t="n"/>
      <c r="MIW1" s="251" t="n"/>
      <c r="MIX1" s="251" t="n"/>
      <c r="MIY1" s="251" t="n"/>
      <c r="MIZ1" s="251" t="n"/>
      <c r="MJA1" s="251" t="n"/>
      <c r="MJB1" s="251" t="n"/>
      <c r="MJC1" s="251" t="n"/>
      <c r="MJD1" s="251" t="n"/>
      <c r="MJE1" s="251" t="n"/>
      <c r="MJF1" s="251" t="n"/>
      <c r="MJG1" s="251" t="n"/>
      <c r="MJH1" s="251" t="n"/>
      <c r="MJI1" s="251" t="n"/>
      <c r="MJJ1" s="251" t="n"/>
      <c r="MJK1" s="251" t="n"/>
      <c r="MJL1" s="251" t="n"/>
      <c r="MJM1" s="251" t="n"/>
      <c r="MJN1" s="251" t="n"/>
      <c r="MJO1" s="251" t="n"/>
      <c r="MJP1" s="251" t="n"/>
      <c r="MJQ1" s="251" t="n"/>
      <c r="MJR1" s="251" t="n"/>
      <c r="MJS1" s="251" t="n"/>
      <c r="MJT1" s="251" t="n"/>
      <c r="MJU1" s="251" t="n"/>
      <c r="MJV1" s="251" t="n"/>
      <c r="MJW1" s="251" t="n"/>
      <c r="MJX1" s="251" t="n"/>
      <c r="MJY1" s="251" t="n"/>
      <c r="MJZ1" s="251" t="n"/>
      <c r="MKA1" s="251" t="n"/>
      <c r="MKB1" s="251" t="n"/>
      <c r="MKC1" s="251" t="n"/>
      <c r="MKD1" s="251" t="n"/>
      <c r="MKE1" s="251" t="n"/>
      <c r="MKF1" s="251" t="n"/>
      <c r="MKG1" s="251" t="n"/>
      <c r="MKH1" s="251" t="n"/>
      <c r="MKI1" s="251" t="n"/>
      <c r="MKJ1" s="251" t="n"/>
      <c r="MKK1" s="251" t="n"/>
      <c r="MKL1" s="251" t="n"/>
      <c r="MKM1" s="251" t="n"/>
      <c r="MKN1" s="251" t="n"/>
      <c r="MKO1" s="251" t="n"/>
      <c r="MKP1" s="251" t="n"/>
      <c r="MKQ1" s="251" t="n"/>
      <c r="MKR1" s="251" t="n"/>
      <c r="MKS1" s="251" t="n"/>
      <c r="MKT1" s="251" t="n"/>
      <c r="MKU1" s="251" t="n"/>
      <c r="MKV1" s="251" t="n"/>
      <c r="MKW1" s="251" t="n"/>
      <c r="MKX1" s="251" t="n"/>
      <c r="MKY1" s="251" t="n"/>
      <c r="MKZ1" s="251" t="n"/>
      <c r="MLA1" s="251" t="n"/>
      <c r="MLB1" s="251" t="n"/>
      <c r="MLC1" s="251" t="n"/>
      <c r="MLD1" s="251" t="n"/>
      <c r="MLE1" s="251" t="n"/>
      <c r="MLF1" s="251" t="n"/>
      <c r="MLG1" s="251" t="n"/>
      <c r="MLH1" s="251" t="n"/>
      <c r="MLI1" s="251" t="n"/>
      <c r="MLJ1" s="251" t="n"/>
      <c r="MLK1" s="251" t="n"/>
      <c r="MLL1" s="251" t="n"/>
      <c r="MLM1" s="251" t="n"/>
      <c r="MLN1" s="251" t="n"/>
      <c r="MLO1" s="251" t="n"/>
      <c r="MLP1" s="251" t="n"/>
      <c r="MLQ1" s="251" t="n"/>
      <c r="MLR1" s="251" t="n"/>
      <c r="MLS1" s="251" t="n"/>
      <c r="MLT1" s="251" t="n"/>
      <c r="MLU1" s="251" t="n"/>
      <c r="MLV1" s="251" t="n"/>
      <c r="MLW1" s="251" t="n"/>
      <c r="MLX1" s="251" t="n"/>
      <c r="MLY1" s="251" t="n"/>
      <c r="MLZ1" s="251" t="n"/>
      <c r="MMA1" s="251" t="n"/>
      <c r="MMB1" s="251" t="n"/>
      <c r="MMC1" s="251" t="n"/>
      <c r="MMD1" s="251" t="n"/>
      <c r="MME1" s="251" t="n"/>
      <c r="MMF1" s="251" t="n"/>
      <c r="MMG1" s="251" t="n"/>
      <c r="MMH1" s="251" t="n"/>
      <c r="MMI1" s="251" t="n"/>
      <c r="MMJ1" s="251" t="n"/>
      <c r="MMK1" s="251" t="n"/>
      <c r="MML1" s="251" t="n"/>
      <c r="MMM1" s="251" t="n"/>
      <c r="MMN1" s="251" t="n"/>
      <c r="MMO1" s="251" t="n"/>
      <c r="MMP1" s="251" t="n"/>
      <c r="MMQ1" s="251" t="n"/>
      <c r="MMR1" s="251" t="n"/>
      <c r="MMS1" s="251" t="n"/>
      <c r="MMT1" s="251" t="n"/>
      <c r="MMU1" s="251" t="n"/>
      <c r="MMV1" s="251" t="n"/>
      <c r="MMW1" s="251" t="n"/>
      <c r="MMX1" s="251" t="n"/>
      <c r="MMY1" s="251" t="n"/>
      <c r="MMZ1" s="251" t="n"/>
      <c r="MNA1" s="251" t="n"/>
      <c r="MNB1" s="251" t="n"/>
      <c r="MNC1" s="251" t="n"/>
      <c r="MND1" s="251" t="n"/>
      <c r="MNE1" s="251" t="n"/>
      <c r="MNF1" s="251" t="n"/>
      <c r="MNG1" s="251" t="n"/>
      <c r="MNH1" s="251" t="n"/>
      <c r="MNI1" s="251" t="n"/>
      <c r="MNJ1" s="251" t="n"/>
      <c r="MNK1" s="251" t="n"/>
      <c r="MNL1" s="251" t="n"/>
      <c r="MNM1" s="251" t="n"/>
      <c r="MNN1" s="251" t="n"/>
      <c r="MNO1" s="251" t="n"/>
      <c r="MNP1" s="251" t="n"/>
      <c r="MNQ1" s="251" t="n"/>
      <c r="MNR1" s="251" t="n"/>
      <c r="MNS1" s="251" t="n"/>
      <c r="MNT1" s="251" t="n"/>
      <c r="MNU1" s="251" t="n"/>
      <c r="MNV1" s="251" t="n"/>
      <c r="MNW1" s="251" t="n"/>
      <c r="MNX1" s="251" t="n"/>
      <c r="MNY1" s="251" t="n"/>
      <c r="MNZ1" s="251" t="n"/>
      <c r="MOA1" s="251" t="n"/>
      <c r="MOB1" s="251" t="n"/>
      <c r="MOC1" s="251" t="n"/>
      <c r="MOD1" s="251" t="n"/>
      <c r="MOE1" s="251" t="n"/>
      <c r="MOF1" s="251" t="n"/>
      <c r="MOG1" s="251" t="n"/>
      <c r="MOH1" s="251" t="n"/>
      <c r="MOI1" s="251" t="n"/>
      <c r="MOJ1" s="251" t="n"/>
      <c r="MOK1" s="251" t="n"/>
      <c r="MOL1" s="251" t="n"/>
      <c r="MOM1" s="251" t="n"/>
      <c r="MON1" s="251" t="n"/>
      <c r="MOO1" s="251" t="n"/>
      <c r="MOP1" s="251" t="n"/>
      <c r="MOQ1" s="251" t="n"/>
      <c r="MOR1" s="251" t="n"/>
      <c r="MOS1" s="251" t="n"/>
      <c r="MOT1" s="251" t="n"/>
      <c r="MOU1" s="251" t="n"/>
      <c r="MOV1" s="251" t="n"/>
      <c r="MOW1" s="251" t="n"/>
      <c r="MOX1" s="251" t="n"/>
      <c r="MOY1" s="251" t="n"/>
      <c r="MOZ1" s="251" t="n"/>
      <c r="MPA1" s="251" t="n"/>
      <c r="MPB1" s="251" t="n"/>
      <c r="MPC1" s="251" t="n"/>
      <c r="MPD1" s="251" t="n"/>
      <c r="MPE1" s="251" t="n"/>
      <c r="MPF1" s="251" t="n"/>
      <c r="MPG1" s="251" t="n"/>
      <c r="MPH1" s="251" t="n"/>
      <c r="MPI1" s="251" t="n"/>
      <c r="MPJ1" s="251" t="n"/>
      <c r="MPK1" s="251" t="n"/>
      <c r="MPL1" s="251" t="n"/>
      <c r="MPM1" s="251" t="n"/>
      <c r="MPN1" s="251" t="n"/>
      <c r="MPO1" s="251" t="n"/>
      <c r="MPP1" s="251" t="n"/>
      <c r="MPQ1" s="251" t="n"/>
      <c r="MPR1" s="251" t="n"/>
      <c r="MPS1" s="251" t="n"/>
      <c r="MPT1" s="251" t="n"/>
      <c r="MPU1" s="251" t="n"/>
      <c r="MPV1" s="251" t="n"/>
      <c r="MPW1" s="251" t="n"/>
      <c r="MPX1" s="251" t="n"/>
      <c r="MPY1" s="251" t="n"/>
      <c r="MPZ1" s="251" t="n"/>
      <c r="MQA1" s="251" t="n"/>
      <c r="MQB1" s="251" t="n"/>
      <c r="MQC1" s="251" t="n"/>
      <c r="MQD1" s="251" t="n"/>
      <c r="MQE1" s="251" t="n"/>
      <c r="MQF1" s="251" t="n"/>
      <c r="MQG1" s="251" t="n"/>
      <c r="MQH1" s="251" t="n"/>
      <c r="MQI1" s="251" t="n"/>
      <c r="MQJ1" s="251" t="n"/>
      <c r="MQK1" s="251" t="n"/>
      <c r="MQL1" s="251" t="n"/>
      <c r="MQM1" s="251" t="n"/>
      <c r="MQN1" s="251" t="n"/>
      <c r="MQO1" s="251" t="n"/>
      <c r="MQP1" s="251" t="n"/>
      <c r="MQQ1" s="251" t="n"/>
      <c r="MQR1" s="251" t="n"/>
      <c r="MQS1" s="251" t="n"/>
      <c r="MQT1" s="251" t="n"/>
      <c r="MQU1" s="251" t="n"/>
      <c r="MQV1" s="251" t="n"/>
      <c r="MQW1" s="251" t="n"/>
      <c r="MQX1" s="251" t="n"/>
      <c r="MQY1" s="251" t="n"/>
      <c r="MQZ1" s="251" t="n"/>
      <c r="MRA1" s="251" t="n"/>
      <c r="MRB1" s="251" t="n"/>
      <c r="MRC1" s="251" t="n"/>
      <c r="MRD1" s="251" t="n"/>
      <c r="MRE1" s="251" t="n"/>
      <c r="MRF1" s="251" t="n"/>
      <c r="MRG1" s="251" t="n"/>
      <c r="MRH1" s="251" t="n"/>
      <c r="MRI1" s="251" t="n"/>
      <c r="MRJ1" s="251" t="n"/>
      <c r="MRK1" s="251" t="n"/>
      <c r="MRL1" s="251" t="n"/>
      <c r="MRM1" s="251" t="n"/>
      <c r="MRN1" s="251" t="n"/>
      <c r="MRO1" s="251" t="n"/>
      <c r="MRP1" s="251" t="n"/>
      <c r="MRQ1" s="251" t="n"/>
      <c r="MRR1" s="251" t="n"/>
      <c r="MRS1" s="251" t="n"/>
      <c r="MRT1" s="251" t="n"/>
      <c r="MRU1" s="251" t="n"/>
      <c r="MRV1" s="251" t="n"/>
      <c r="MRW1" s="251" t="n"/>
      <c r="MRX1" s="251" t="n"/>
      <c r="MRY1" s="251" t="n"/>
      <c r="MRZ1" s="251" t="n"/>
      <c r="MSA1" s="251" t="n"/>
      <c r="MSB1" s="251" t="n"/>
      <c r="MSC1" s="251" t="n"/>
      <c r="MSD1" s="251" t="n"/>
      <c r="MSE1" s="251" t="n"/>
      <c r="MSF1" s="251" t="n"/>
      <c r="MSG1" s="251" t="n"/>
      <c r="MSH1" s="251" t="n"/>
      <c r="MSI1" s="251" t="n"/>
      <c r="MSJ1" s="251" t="n"/>
      <c r="MSK1" s="251" t="n"/>
      <c r="MSL1" s="251" t="n"/>
      <c r="MSM1" s="251" t="n"/>
      <c r="MSN1" s="251" t="n"/>
      <c r="MSO1" s="251" t="n"/>
      <c r="MSP1" s="251" t="n"/>
      <c r="MSQ1" s="251" t="n"/>
      <c r="MSR1" s="251" t="n"/>
      <c r="MSS1" s="251" t="n"/>
      <c r="MST1" s="251" t="n"/>
      <c r="MSU1" s="251" t="n"/>
      <c r="MSV1" s="251" t="n"/>
      <c r="MSW1" s="251" t="n"/>
      <c r="MSX1" s="251" t="n"/>
      <c r="MSY1" s="251" t="n"/>
      <c r="MSZ1" s="251" t="n"/>
      <c r="MTA1" s="251" t="n"/>
      <c r="MTB1" s="251" t="n"/>
      <c r="MTC1" s="251" t="n"/>
      <c r="MTD1" s="251" t="n"/>
      <c r="MTE1" s="251" t="n"/>
      <c r="MTF1" s="251" t="n"/>
      <c r="MTG1" s="251" t="n"/>
      <c r="MTH1" s="251" t="n"/>
      <c r="MTI1" s="251" t="n"/>
      <c r="MTJ1" s="251" t="n"/>
      <c r="MTK1" s="251" t="n"/>
      <c r="MTL1" s="251" t="n"/>
      <c r="MTM1" s="251" t="n"/>
      <c r="MTN1" s="251" t="n"/>
      <c r="MTO1" s="251" t="n"/>
      <c r="MTP1" s="251" t="n"/>
      <c r="MTQ1" s="251" t="n"/>
      <c r="MTR1" s="251" t="n"/>
      <c r="MTS1" s="251" t="n"/>
      <c r="MTT1" s="251" t="n"/>
      <c r="MTU1" s="251" t="n"/>
      <c r="MTV1" s="251" t="n"/>
      <c r="MTW1" s="251" t="n"/>
      <c r="MTX1" s="251" t="n"/>
      <c r="MTY1" s="251" t="n"/>
      <c r="MTZ1" s="251" t="n"/>
      <c r="MUA1" s="251" t="n"/>
      <c r="MUB1" s="251" t="n"/>
      <c r="MUC1" s="251" t="n"/>
      <c r="MUD1" s="251" t="n"/>
      <c r="MUE1" s="251" t="n"/>
      <c r="MUF1" s="251" t="n"/>
      <c r="MUG1" s="251" t="n"/>
      <c r="MUH1" s="251" t="n"/>
      <c r="MUI1" s="251" t="n"/>
      <c r="MUJ1" s="251" t="n"/>
      <c r="MUK1" s="251" t="n"/>
      <c r="MUL1" s="251" t="n"/>
      <c r="MUM1" s="251" t="n"/>
      <c r="MUN1" s="251" t="n"/>
      <c r="MUO1" s="251" t="n"/>
      <c r="MUP1" s="251" t="n"/>
      <c r="MUQ1" s="251" t="n"/>
      <c r="MUR1" s="251" t="n"/>
      <c r="MUS1" s="251" t="n"/>
      <c r="MUT1" s="251" t="n"/>
      <c r="MUU1" s="251" t="n"/>
      <c r="MUV1" s="251" t="n"/>
      <c r="MUW1" s="251" t="n"/>
      <c r="MUX1" s="251" t="n"/>
      <c r="MUY1" s="251" t="n"/>
      <c r="MUZ1" s="251" t="n"/>
      <c r="MVA1" s="251" t="n"/>
      <c r="MVB1" s="251" t="n"/>
      <c r="MVC1" s="251" t="n"/>
      <c r="MVD1" s="251" t="n"/>
      <c r="MVE1" s="251" t="n"/>
      <c r="MVF1" s="251" t="n"/>
      <c r="MVG1" s="251" t="n"/>
      <c r="MVH1" s="251" t="n"/>
      <c r="MVI1" s="251" t="n"/>
      <c r="MVJ1" s="251" t="n"/>
      <c r="MVK1" s="251" t="n"/>
      <c r="MVL1" s="251" t="n"/>
      <c r="MVM1" s="251" t="n"/>
      <c r="MVN1" s="251" t="n"/>
      <c r="MVO1" s="251" t="n"/>
      <c r="MVP1" s="251" t="n"/>
      <c r="MVQ1" s="251" t="n"/>
      <c r="MVR1" s="251" t="n"/>
      <c r="MVS1" s="251" t="n"/>
      <c r="MVT1" s="251" t="n"/>
      <c r="MVU1" s="251" t="n"/>
      <c r="MVV1" s="251" t="n"/>
      <c r="MVW1" s="251" t="n"/>
      <c r="MVX1" s="251" t="n"/>
      <c r="MVY1" s="251" t="n"/>
      <c r="MVZ1" s="251" t="n"/>
      <c r="MWA1" s="251" t="n"/>
      <c r="MWB1" s="251" t="n"/>
      <c r="MWC1" s="251" t="n"/>
      <c r="MWD1" s="251" t="n"/>
      <c r="MWE1" s="251" t="n"/>
      <c r="MWF1" s="251" t="n"/>
      <c r="MWG1" s="251" t="n"/>
      <c r="MWH1" s="251" t="n"/>
      <c r="MWI1" s="251" t="n"/>
      <c r="MWJ1" s="251" t="n"/>
      <c r="MWK1" s="251" t="n"/>
      <c r="MWL1" s="251" t="n"/>
      <c r="MWM1" s="251" t="n"/>
      <c r="MWN1" s="251" t="n"/>
      <c r="MWO1" s="251" t="n"/>
      <c r="MWP1" s="251" t="n"/>
      <c r="MWQ1" s="251" t="n"/>
      <c r="MWR1" s="251" t="n"/>
      <c r="MWS1" s="251" t="n"/>
      <c r="MWT1" s="251" t="n"/>
      <c r="MWU1" s="251" t="n"/>
      <c r="MWV1" s="251" t="n"/>
      <c r="MWW1" s="251" t="n"/>
      <c r="MWX1" s="251" t="n"/>
      <c r="MWY1" s="251" t="n"/>
      <c r="MWZ1" s="251" t="n"/>
      <c r="MXA1" s="251" t="n"/>
      <c r="MXB1" s="251" t="n"/>
      <c r="MXC1" s="251" t="n"/>
      <c r="MXD1" s="251" t="n"/>
      <c r="MXE1" s="251" t="n"/>
      <c r="MXF1" s="251" t="n"/>
      <c r="MXG1" s="251" t="n"/>
      <c r="MXH1" s="251" t="n"/>
      <c r="MXI1" s="251" t="n"/>
      <c r="MXJ1" s="251" t="n"/>
      <c r="MXK1" s="251" t="n"/>
      <c r="MXL1" s="251" t="n"/>
      <c r="MXM1" s="251" t="n"/>
      <c r="MXN1" s="251" t="n"/>
      <c r="MXO1" s="251" t="n"/>
      <c r="MXP1" s="251" t="n"/>
      <c r="MXQ1" s="251" t="n"/>
      <c r="MXR1" s="251" t="n"/>
      <c r="MXS1" s="251" t="n"/>
      <c r="MXT1" s="251" t="n"/>
      <c r="MXU1" s="251" t="n"/>
      <c r="MXV1" s="251" t="n"/>
      <c r="MXW1" s="251" t="n"/>
      <c r="MXX1" s="251" t="n"/>
      <c r="MXY1" s="251" t="n"/>
      <c r="MXZ1" s="251" t="n"/>
      <c r="MYA1" s="251" t="n"/>
      <c r="MYB1" s="251" t="n"/>
      <c r="MYC1" s="251" t="n"/>
      <c r="MYD1" s="251" t="n"/>
      <c r="MYE1" s="251" t="n"/>
      <c r="MYF1" s="251" t="n"/>
      <c r="MYG1" s="251" t="n"/>
      <c r="MYH1" s="251" t="n"/>
      <c r="MYI1" s="251" t="n"/>
      <c r="MYJ1" s="251" t="n"/>
      <c r="MYK1" s="251" t="n"/>
      <c r="MYL1" s="251" t="n"/>
      <c r="MYM1" s="251" t="n"/>
      <c r="MYN1" s="251" t="n"/>
      <c r="MYO1" s="251" t="n"/>
      <c r="MYP1" s="251" t="n"/>
      <c r="MYQ1" s="251" t="n"/>
      <c r="MYR1" s="251" t="n"/>
      <c r="MYS1" s="251" t="n"/>
      <c r="MYT1" s="251" t="n"/>
      <c r="MYU1" s="251" t="n"/>
      <c r="MYV1" s="251" t="n"/>
      <c r="MYW1" s="251" t="n"/>
      <c r="MYX1" s="251" t="n"/>
      <c r="MYY1" s="251" t="n"/>
      <c r="MYZ1" s="251" t="n"/>
      <c r="MZA1" s="251" t="n"/>
      <c r="MZB1" s="251" t="n"/>
      <c r="MZC1" s="251" t="n"/>
      <c r="MZD1" s="251" t="n"/>
      <c r="MZE1" s="251" t="n"/>
      <c r="MZF1" s="251" t="n"/>
      <c r="MZG1" s="251" t="n"/>
      <c r="MZH1" s="251" t="n"/>
      <c r="MZI1" s="251" t="n"/>
      <c r="MZJ1" s="251" t="n"/>
      <c r="MZK1" s="251" t="n"/>
      <c r="MZL1" s="251" t="n"/>
      <c r="MZM1" s="251" t="n"/>
      <c r="MZN1" s="251" t="n"/>
      <c r="MZO1" s="251" t="n"/>
      <c r="MZP1" s="251" t="n"/>
      <c r="MZQ1" s="251" t="n"/>
      <c r="MZR1" s="251" t="n"/>
      <c r="MZS1" s="251" t="n"/>
      <c r="MZT1" s="251" t="n"/>
      <c r="MZU1" s="251" t="n"/>
      <c r="MZV1" s="251" t="n"/>
      <c r="MZW1" s="251" t="n"/>
      <c r="MZX1" s="251" t="n"/>
      <c r="MZY1" s="251" t="n"/>
      <c r="MZZ1" s="251" t="n"/>
      <c r="NAA1" s="251" t="n"/>
      <c r="NAB1" s="251" t="n"/>
      <c r="NAC1" s="251" t="n"/>
      <c r="NAD1" s="251" t="n"/>
      <c r="NAE1" s="251" t="n"/>
      <c r="NAF1" s="251" t="n"/>
      <c r="NAG1" s="251" t="n"/>
      <c r="NAH1" s="251" t="n"/>
      <c r="NAI1" s="251" t="n"/>
      <c r="NAJ1" s="251" t="n"/>
      <c r="NAK1" s="251" t="n"/>
      <c r="NAL1" s="251" t="n"/>
      <c r="NAM1" s="251" t="n"/>
      <c r="NAN1" s="251" t="n"/>
      <c r="NAO1" s="251" t="n"/>
      <c r="NAP1" s="251" t="n"/>
      <c r="NAQ1" s="251" t="n"/>
      <c r="NAR1" s="251" t="n"/>
      <c r="NAS1" s="251" t="n"/>
      <c r="NAT1" s="251" t="n"/>
      <c r="NAU1" s="251" t="n"/>
      <c r="NAV1" s="251" t="n"/>
      <c r="NAW1" s="251" t="n"/>
      <c r="NAX1" s="251" t="n"/>
      <c r="NAY1" s="251" t="n"/>
      <c r="NAZ1" s="251" t="n"/>
      <c r="NBA1" s="251" t="n"/>
      <c r="NBB1" s="251" t="n"/>
      <c r="NBC1" s="251" t="n"/>
      <c r="NBD1" s="251" t="n"/>
      <c r="NBE1" s="251" t="n"/>
      <c r="NBF1" s="251" t="n"/>
      <c r="NBG1" s="251" t="n"/>
      <c r="NBH1" s="251" t="n"/>
      <c r="NBI1" s="251" t="n"/>
      <c r="NBJ1" s="251" t="n"/>
      <c r="NBK1" s="251" t="n"/>
      <c r="NBL1" s="251" t="n"/>
      <c r="NBM1" s="251" t="n"/>
      <c r="NBN1" s="251" t="n"/>
      <c r="NBO1" s="251" t="n"/>
      <c r="NBP1" s="251" t="n"/>
      <c r="NBQ1" s="251" t="n"/>
      <c r="NBR1" s="251" t="n"/>
      <c r="NBS1" s="251" t="n"/>
      <c r="NBT1" s="251" t="n"/>
      <c r="NBU1" s="251" t="n"/>
      <c r="NBV1" s="251" t="n"/>
      <c r="NBW1" s="251" t="n"/>
      <c r="NBX1" s="251" t="n"/>
      <c r="NBY1" s="251" t="n"/>
      <c r="NBZ1" s="251" t="n"/>
      <c r="NCA1" s="251" t="n"/>
      <c r="NCB1" s="251" t="n"/>
      <c r="NCC1" s="251" t="n"/>
      <c r="NCD1" s="251" t="n"/>
      <c r="NCE1" s="251" t="n"/>
      <c r="NCF1" s="251" t="n"/>
      <c r="NCG1" s="251" t="n"/>
      <c r="NCH1" s="251" t="n"/>
      <c r="NCI1" s="251" t="n"/>
      <c r="NCJ1" s="251" t="n"/>
      <c r="NCK1" s="251" t="n"/>
      <c r="NCL1" s="251" t="n"/>
      <c r="NCM1" s="251" t="n"/>
      <c r="NCN1" s="251" t="n"/>
      <c r="NCO1" s="251" t="n"/>
      <c r="NCP1" s="251" t="n"/>
      <c r="NCQ1" s="251" t="n"/>
      <c r="NCR1" s="251" t="n"/>
      <c r="NCS1" s="251" t="n"/>
      <c r="NCT1" s="251" t="n"/>
      <c r="NCU1" s="251" t="n"/>
      <c r="NCV1" s="251" t="n"/>
      <c r="NCW1" s="251" t="n"/>
      <c r="NCX1" s="251" t="n"/>
      <c r="NCY1" s="251" t="n"/>
      <c r="NCZ1" s="251" t="n"/>
      <c r="NDA1" s="251" t="n"/>
      <c r="NDB1" s="251" t="n"/>
      <c r="NDC1" s="251" t="n"/>
      <c r="NDD1" s="251" t="n"/>
      <c r="NDE1" s="251" t="n"/>
      <c r="NDF1" s="251" t="n"/>
      <c r="NDG1" s="251" t="n"/>
      <c r="NDH1" s="251" t="n"/>
      <c r="NDI1" s="251" t="n"/>
      <c r="NDJ1" s="251" t="n"/>
      <c r="NDK1" s="251" t="n"/>
      <c r="NDL1" s="251" t="n"/>
      <c r="NDM1" s="251" t="n"/>
      <c r="NDN1" s="251" t="n"/>
      <c r="NDO1" s="251" t="n"/>
      <c r="NDP1" s="251" t="n"/>
      <c r="NDQ1" s="251" t="n"/>
      <c r="NDR1" s="251" t="n"/>
      <c r="NDS1" s="251" t="n"/>
      <c r="NDT1" s="251" t="n"/>
      <c r="NDU1" s="251" t="n"/>
      <c r="NDV1" s="251" t="n"/>
      <c r="NDW1" s="251" t="n"/>
      <c r="NDX1" s="251" t="n"/>
      <c r="NDY1" s="251" t="n"/>
      <c r="NDZ1" s="251" t="n"/>
      <c r="NEA1" s="251" t="n"/>
      <c r="NEB1" s="251" t="n"/>
      <c r="NEC1" s="251" t="n"/>
      <c r="NED1" s="251" t="n"/>
      <c r="NEE1" s="251" t="n"/>
      <c r="NEF1" s="251" t="n"/>
      <c r="NEG1" s="251" t="n"/>
      <c r="NEH1" s="251" t="n"/>
      <c r="NEI1" s="251" t="n"/>
      <c r="NEJ1" s="251" t="n"/>
      <c r="NEK1" s="251" t="n"/>
      <c r="NEL1" s="251" t="n"/>
      <c r="NEM1" s="251" t="n"/>
      <c r="NEN1" s="251" t="n"/>
      <c r="NEO1" s="251" t="n"/>
      <c r="NEP1" s="251" t="n"/>
      <c r="NEQ1" s="251" t="n"/>
      <c r="NER1" s="251" t="n"/>
      <c r="NES1" s="251" t="n"/>
      <c r="NET1" s="251" t="n"/>
      <c r="NEU1" s="251" t="n"/>
      <c r="NEV1" s="251" t="n"/>
      <c r="NEW1" s="251" t="n"/>
      <c r="NEX1" s="251" t="n"/>
      <c r="NEY1" s="251" t="n"/>
      <c r="NEZ1" s="251" t="n"/>
      <c r="NFA1" s="251" t="n"/>
      <c r="NFB1" s="251" t="n"/>
      <c r="NFC1" s="251" t="n"/>
      <c r="NFD1" s="251" t="n"/>
      <c r="NFE1" s="251" t="n"/>
      <c r="NFF1" s="251" t="n"/>
      <c r="NFG1" s="251" t="n"/>
      <c r="NFH1" s="251" t="n"/>
      <c r="NFI1" s="251" t="n"/>
      <c r="NFJ1" s="251" t="n"/>
      <c r="NFK1" s="251" t="n"/>
      <c r="NFL1" s="251" t="n"/>
      <c r="NFM1" s="251" t="n"/>
      <c r="NFN1" s="251" t="n"/>
      <c r="NFO1" s="251" t="n"/>
      <c r="NFP1" s="251" t="n"/>
      <c r="NFQ1" s="251" t="n"/>
      <c r="NFR1" s="251" t="n"/>
      <c r="NFS1" s="251" t="n"/>
      <c r="NFT1" s="251" t="n"/>
      <c r="NFU1" s="251" t="n"/>
      <c r="NFV1" s="251" t="n"/>
      <c r="NFW1" s="251" t="n"/>
      <c r="NFX1" s="251" t="n"/>
      <c r="NFY1" s="251" t="n"/>
      <c r="NFZ1" s="251" t="n"/>
      <c r="NGA1" s="251" t="n"/>
      <c r="NGB1" s="251" t="n"/>
      <c r="NGC1" s="251" t="n"/>
      <c r="NGD1" s="251" t="n"/>
      <c r="NGE1" s="251" t="n"/>
      <c r="NGF1" s="251" t="n"/>
      <c r="NGG1" s="251" t="n"/>
      <c r="NGH1" s="251" t="n"/>
      <c r="NGI1" s="251" t="n"/>
      <c r="NGJ1" s="251" t="n"/>
      <c r="NGK1" s="251" t="n"/>
      <c r="NGL1" s="251" t="n"/>
      <c r="NGM1" s="251" t="n"/>
      <c r="NGN1" s="251" t="n"/>
      <c r="NGO1" s="251" t="n"/>
      <c r="NGP1" s="251" t="n"/>
      <c r="NGQ1" s="251" t="n"/>
      <c r="NGR1" s="251" t="n"/>
      <c r="NGS1" s="251" t="n"/>
      <c r="NGT1" s="251" t="n"/>
      <c r="NGU1" s="251" t="n"/>
      <c r="NGV1" s="251" t="n"/>
      <c r="NGW1" s="251" t="n"/>
      <c r="NGX1" s="251" t="n"/>
      <c r="NGY1" s="251" t="n"/>
      <c r="NGZ1" s="251" t="n"/>
      <c r="NHA1" s="251" t="n"/>
      <c r="NHB1" s="251" t="n"/>
      <c r="NHC1" s="251" t="n"/>
      <c r="NHD1" s="251" t="n"/>
      <c r="NHE1" s="251" t="n"/>
      <c r="NHF1" s="251" t="n"/>
      <c r="NHG1" s="251" t="n"/>
      <c r="NHH1" s="251" t="n"/>
      <c r="NHI1" s="251" t="n"/>
      <c r="NHJ1" s="251" t="n"/>
      <c r="NHK1" s="251" t="n"/>
      <c r="NHL1" s="251" t="n"/>
      <c r="NHM1" s="251" t="n"/>
      <c r="NHN1" s="251" t="n"/>
      <c r="NHO1" s="251" t="n"/>
      <c r="NHP1" s="251" t="n"/>
      <c r="NHQ1" s="251" t="n"/>
      <c r="NHR1" s="251" t="n"/>
      <c r="NHS1" s="251" t="n"/>
      <c r="NHT1" s="251" t="n"/>
      <c r="NHU1" s="251" t="n"/>
      <c r="NHV1" s="251" t="n"/>
      <c r="NHW1" s="251" t="n"/>
      <c r="NHX1" s="251" t="n"/>
      <c r="NHY1" s="251" t="n"/>
      <c r="NHZ1" s="251" t="n"/>
      <c r="NIA1" s="251" t="n"/>
      <c r="NIB1" s="251" t="n"/>
      <c r="NIC1" s="251" t="n"/>
      <c r="NID1" s="251" t="n"/>
      <c r="NIE1" s="251" t="n"/>
      <c r="NIF1" s="251" t="n"/>
      <c r="NIG1" s="251" t="n"/>
      <c r="NIH1" s="251" t="n"/>
      <c r="NII1" s="251" t="n"/>
      <c r="NIJ1" s="251" t="n"/>
      <c r="NIK1" s="251" t="n"/>
      <c r="NIL1" s="251" t="n"/>
      <c r="NIM1" s="251" t="n"/>
      <c r="NIN1" s="251" t="n"/>
      <c r="NIO1" s="251" t="n"/>
      <c r="NIP1" s="251" t="n"/>
      <c r="NIQ1" s="251" t="n"/>
      <c r="NIR1" s="251" t="n"/>
      <c r="NIS1" s="251" t="n"/>
      <c r="NIT1" s="251" t="n"/>
      <c r="NIU1" s="251" t="n"/>
      <c r="NIV1" s="251" t="n"/>
      <c r="NIW1" s="251" t="n"/>
      <c r="NIX1" s="251" t="n"/>
      <c r="NIY1" s="251" t="n"/>
      <c r="NIZ1" s="251" t="n"/>
      <c r="NJA1" s="251" t="n"/>
      <c r="NJB1" s="251" t="n"/>
      <c r="NJC1" s="251" t="n"/>
      <c r="NJD1" s="251" t="n"/>
      <c r="NJE1" s="251" t="n"/>
      <c r="NJF1" s="251" t="n"/>
      <c r="NJG1" s="251" t="n"/>
      <c r="NJH1" s="251" t="n"/>
      <c r="NJI1" s="251" t="n"/>
      <c r="NJJ1" s="251" t="n"/>
      <c r="NJK1" s="251" t="n"/>
      <c r="NJL1" s="251" t="n"/>
      <c r="NJM1" s="251" t="n"/>
      <c r="NJN1" s="251" t="n"/>
      <c r="NJO1" s="251" t="n"/>
      <c r="NJP1" s="251" t="n"/>
      <c r="NJQ1" s="251" t="n"/>
      <c r="NJR1" s="251" t="n"/>
      <c r="NJS1" s="251" t="n"/>
      <c r="NJT1" s="251" t="n"/>
      <c r="NJU1" s="251" t="n"/>
      <c r="NJV1" s="251" t="n"/>
      <c r="NJW1" s="251" t="n"/>
      <c r="NJX1" s="251" t="n"/>
      <c r="NJY1" s="251" t="n"/>
      <c r="NJZ1" s="251" t="n"/>
      <c r="NKA1" s="251" t="n"/>
      <c r="NKB1" s="251" t="n"/>
      <c r="NKC1" s="251" t="n"/>
      <c r="NKD1" s="251" t="n"/>
      <c r="NKE1" s="251" t="n"/>
      <c r="NKF1" s="251" t="n"/>
      <c r="NKG1" s="251" t="n"/>
      <c r="NKH1" s="251" t="n"/>
      <c r="NKI1" s="251" t="n"/>
      <c r="NKJ1" s="251" t="n"/>
      <c r="NKK1" s="251" t="n"/>
      <c r="NKL1" s="251" t="n"/>
      <c r="NKM1" s="251" t="n"/>
      <c r="NKN1" s="251" t="n"/>
      <c r="NKO1" s="251" t="n"/>
      <c r="NKP1" s="251" t="n"/>
      <c r="NKQ1" s="251" t="n"/>
      <c r="NKR1" s="251" t="n"/>
      <c r="NKS1" s="251" t="n"/>
      <c r="NKT1" s="251" t="n"/>
      <c r="NKU1" s="251" t="n"/>
      <c r="NKV1" s="251" t="n"/>
      <c r="NKW1" s="251" t="n"/>
      <c r="NKX1" s="251" t="n"/>
      <c r="NKY1" s="251" t="n"/>
      <c r="NKZ1" s="251" t="n"/>
      <c r="NLA1" s="251" t="n"/>
      <c r="NLB1" s="251" t="n"/>
      <c r="NLC1" s="251" t="n"/>
      <c r="NLD1" s="251" t="n"/>
      <c r="NLE1" s="251" t="n"/>
      <c r="NLF1" s="251" t="n"/>
      <c r="NLG1" s="251" t="n"/>
      <c r="NLH1" s="251" t="n"/>
      <c r="NLI1" s="251" t="n"/>
      <c r="NLJ1" s="251" t="n"/>
      <c r="NLK1" s="251" t="n"/>
      <c r="NLL1" s="251" t="n"/>
      <c r="NLM1" s="251" t="n"/>
      <c r="NLN1" s="251" t="n"/>
      <c r="NLO1" s="251" t="n"/>
      <c r="NLP1" s="251" t="n"/>
      <c r="NLQ1" s="251" t="n"/>
      <c r="NLR1" s="251" t="n"/>
      <c r="NLS1" s="251" t="n"/>
      <c r="NLT1" s="251" t="n"/>
      <c r="NLU1" s="251" t="n"/>
      <c r="NLV1" s="251" t="n"/>
      <c r="NLW1" s="251" t="n"/>
      <c r="NLX1" s="251" t="n"/>
      <c r="NLY1" s="251" t="n"/>
      <c r="NLZ1" s="251" t="n"/>
      <c r="NMA1" s="251" t="n"/>
      <c r="NMB1" s="251" t="n"/>
      <c r="NMC1" s="251" t="n"/>
      <c r="NMD1" s="251" t="n"/>
      <c r="NME1" s="251" t="n"/>
      <c r="NMF1" s="251" t="n"/>
      <c r="NMG1" s="251" t="n"/>
      <c r="NMH1" s="251" t="n"/>
      <c r="NMI1" s="251" t="n"/>
      <c r="NMJ1" s="251" t="n"/>
      <c r="NMK1" s="251" t="n"/>
      <c r="NML1" s="251" t="n"/>
      <c r="NMM1" s="251" t="n"/>
      <c r="NMN1" s="251" t="n"/>
      <c r="NMO1" s="251" t="n"/>
      <c r="NMP1" s="251" t="n"/>
      <c r="NMQ1" s="251" t="n"/>
      <c r="NMR1" s="251" t="n"/>
      <c r="NMS1" s="251" t="n"/>
      <c r="NMT1" s="251" t="n"/>
      <c r="NMU1" s="251" t="n"/>
      <c r="NMV1" s="251" t="n"/>
      <c r="NMW1" s="251" t="n"/>
      <c r="NMX1" s="251" t="n"/>
      <c r="NMY1" s="251" t="n"/>
      <c r="NMZ1" s="251" t="n"/>
      <c r="NNA1" s="251" t="n"/>
      <c r="NNB1" s="251" t="n"/>
      <c r="NNC1" s="251" t="n"/>
      <c r="NND1" s="251" t="n"/>
      <c r="NNE1" s="251" t="n"/>
      <c r="NNF1" s="251" t="n"/>
      <c r="NNG1" s="251" t="n"/>
      <c r="NNH1" s="251" t="n"/>
      <c r="NNI1" s="251" t="n"/>
      <c r="NNJ1" s="251" t="n"/>
      <c r="NNK1" s="251" t="n"/>
      <c r="NNL1" s="251" t="n"/>
      <c r="NNM1" s="251" t="n"/>
      <c r="NNN1" s="251" t="n"/>
      <c r="NNO1" s="251" t="n"/>
      <c r="NNP1" s="251" t="n"/>
      <c r="NNQ1" s="251" t="n"/>
      <c r="NNR1" s="251" t="n"/>
      <c r="NNS1" s="251" t="n"/>
      <c r="NNT1" s="251" t="n"/>
      <c r="NNU1" s="251" t="n"/>
      <c r="NNV1" s="251" t="n"/>
      <c r="NNW1" s="251" t="n"/>
      <c r="NNX1" s="251" t="n"/>
      <c r="NNY1" s="251" t="n"/>
      <c r="NNZ1" s="251" t="n"/>
      <c r="NOA1" s="251" t="n"/>
      <c r="NOB1" s="251" t="n"/>
      <c r="NOC1" s="251" t="n"/>
      <c r="NOD1" s="251" t="n"/>
      <c r="NOE1" s="251" t="n"/>
      <c r="NOF1" s="251" t="n"/>
      <c r="NOG1" s="251" t="n"/>
      <c r="NOH1" s="251" t="n"/>
      <c r="NOI1" s="251" t="n"/>
      <c r="NOJ1" s="251" t="n"/>
      <c r="NOK1" s="251" t="n"/>
      <c r="NOL1" s="251" t="n"/>
      <c r="NOM1" s="251" t="n"/>
      <c r="NON1" s="251" t="n"/>
      <c r="NOO1" s="251" t="n"/>
      <c r="NOP1" s="251" t="n"/>
      <c r="NOQ1" s="251" t="n"/>
      <c r="NOR1" s="251" t="n"/>
      <c r="NOS1" s="251" t="n"/>
      <c r="NOT1" s="251" t="n"/>
      <c r="NOU1" s="251" t="n"/>
      <c r="NOV1" s="251" t="n"/>
      <c r="NOW1" s="251" t="n"/>
      <c r="NOX1" s="251" t="n"/>
      <c r="NOY1" s="251" t="n"/>
      <c r="NOZ1" s="251" t="n"/>
      <c r="NPA1" s="251" t="n"/>
      <c r="NPB1" s="251" t="n"/>
      <c r="NPC1" s="251" t="n"/>
      <c r="NPD1" s="251" t="n"/>
      <c r="NPE1" s="251" t="n"/>
      <c r="NPF1" s="251" t="n"/>
      <c r="NPG1" s="251" t="n"/>
      <c r="NPH1" s="251" t="n"/>
      <c r="NPI1" s="251" t="n"/>
      <c r="NPJ1" s="251" t="n"/>
      <c r="NPK1" s="251" t="n"/>
      <c r="NPL1" s="251" t="n"/>
      <c r="NPM1" s="251" t="n"/>
      <c r="NPN1" s="251" t="n"/>
      <c r="NPO1" s="251" t="n"/>
      <c r="NPP1" s="251" t="n"/>
      <c r="NPQ1" s="251" t="n"/>
      <c r="NPR1" s="251" t="n"/>
      <c r="NPS1" s="251" t="n"/>
      <c r="NPT1" s="251" t="n"/>
      <c r="NPU1" s="251" t="n"/>
      <c r="NPV1" s="251" t="n"/>
      <c r="NPW1" s="251" t="n"/>
      <c r="NPX1" s="251" t="n"/>
      <c r="NPY1" s="251" t="n"/>
      <c r="NPZ1" s="251" t="n"/>
      <c r="NQA1" s="251" t="n"/>
      <c r="NQB1" s="251" t="n"/>
      <c r="NQC1" s="251" t="n"/>
      <c r="NQD1" s="251" t="n"/>
      <c r="NQE1" s="251" t="n"/>
      <c r="NQF1" s="251" t="n"/>
      <c r="NQG1" s="251" t="n"/>
      <c r="NQH1" s="251" t="n"/>
      <c r="NQI1" s="251" t="n"/>
      <c r="NQJ1" s="251" t="n"/>
      <c r="NQK1" s="251" t="n"/>
      <c r="NQL1" s="251" t="n"/>
      <c r="NQM1" s="251" t="n"/>
      <c r="NQN1" s="251" t="n"/>
      <c r="NQO1" s="251" t="n"/>
      <c r="NQP1" s="251" t="n"/>
      <c r="NQQ1" s="251" t="n"/>
      <c r="NQR1" s="251" t="n"/>
      <c r="NQS1" s="251" t="n"/>
      <c r="NQT1" s="251" t="n"/>
      <c r="NQU1" s="251" t="n"/>
      <c r="NQV1" s="251" t="n"/>
      <c r="NQW1" s="251" t="n"/>
      <c r="NQX1" s="251" t="n"/>
      <c r="NQY1" s="251" t="n"/>
      <c r="NQZ1" s="251" t="n"/>
      <c r="NRA1" s="251" t="n"/>
      <c r="NRB1" s="251" t="n"/>
      <c r="NRC1" s="251" t="n"/>
      <c r="NRD1" s="251" t="n"/>
      <c r="NRE1" s="251" t="n"/>
      <c r="NRF1" s="251" t="n"/>
      <c r="NRG1" s="251" t="n"/>
      <c r="NRH1" s="251" t="n"/>
      <c r="NRI1" s="251" t="n"/>
      <c r="NRJ1" s="251" t="n"/>
      <c r="NRK1" s="251" t="n"/>
      <c r="NRL1" s="251" t="n"/>
      <c r="NRM1" s="251" t="n"/>
      <c r="NRN1" s="251" t="n"/>
      <c r="NRO1" s="251" t="n"/>
      <c r="NRP1" s="251" t="n"/>
      <c r="NRQ1" s="251" t="n"/>
      <c r="NRR1" s="251" t="n"/>
      <c r="NRS1" s="251" t="n"/>
      <c r="NRT1" s="251" t="n"/>
      <c r="NRU1" s="251" t="n"/>
      <c r="NRV1" s="251" t="n"/>
      <c r="NRW1" s="251" t="n"/>
      <c r="NRX1" s="251" t="n"/>
      <c r="NRY1" s="251" t="n"/>
      <c r="NRZ1" s="251" t="n"/>
      <c r="NSA1" s="251" t="n"/>
      <c r="NSB1" s="251" t="n"/>
      <c r="NSC1" s="251" t="n"/>
      <c r="NSD1" s="251" t="n"/>
      <c r="NSE1" s="251" t="n"/>
      <c r="NSF1" s="251" t="n"/>
      <c r="NSG1" s="251" t="n"/>
      <c r="NSH1" s="251" t="n"/>
      <c r="NSI1" s="251" t="n"/>
      <c r="NSJ1" s="251" t="n"/>
      <c r="NSK1" s="251" t="n"/>
      <c r="NSL1" s="251" t="n"/>
      <c r="NSM1" s="251" t="n"/>
      <c r="NSN1" s="251" t="n"/>
      <c r="NSO1" s="251" t="n"/>
      <c r="NSP1" s="251" t="n"/>
      <c r="NSQ1" s="251" t="n"/>
      <c r="NSR1" s="251" t="n"/>
      <c r="NSS1" s="251" t="n"/>
      <c r="NST1" s="251" t="n"/>
      <c r="NSU1" s="251" t="n"/>
      <c r="NSV1" s="251" t="n"/>
      <c r="NSW1" s="251" t="n"/>
      <c r="NSX1" s="251" t="n"/>
      <c r="NSY1" s="251" t="n"/>
      <c r="NSZ1" s="251" t="n"/>
      <c r="NTA1" s="251" t="n"/>
      <c r="NTB1" s="251" t="n"/>
      <c r="NTC1" s="251" t="n"/>
      <c r="NTD1" s="251" t="n"/>
      <c r="NTE1" s="251" t="n"/>
      <c r="NTF1" s="251" t="n"/>
      <c r="NTG1" s="251" t="n"/>
      <c r="NTH1" s="251" t="n"/>
      <c r="NTI1" s="251" t="n"/>
      <c r="NTJ1" s="251" t="n"/>
      <c r="NTK1" s="251" t="n"/>
      <c r="NTL1" s="251" t="n"/>
      <c r="NTM1" s="251" t="n"/>
      <c r="NTN1" s="251" t="n"/>
      <c r="NTO1" s="251" t="n"/>
      <c r="NTP1" s="251" t="n"/>
      <c r="NTQ1" s="251" t="n"/>
      <c r="NTR1" s="251" t="n"/>
      <c r="NTS1" s="251" t="n"/>
      <c r="NTT1" s="251" t="n"/>
      <c r="NTU1" s="251" t="n"/>
      <c r="NTV1" s="251" t="n"/>
      <c r="NTW1" s="251" t="n"/>
      <c r="NTX1" s="251" t="n"/>
      <c r="NTY1" s="251" t="n"/>
      <c r="NTZ1" s="251" t="n"/>
      <c r="NUA1" s="251" t="n"/>
      <c r="NUB1" s="251" t="n"/>
      <c r="NUC1" s="251" t="n"/>
      <c r="NUD1" s="251" t="n"/>
      <c r="NUE1" s="251" t="n"/>
      <c r="NUF1" s="251" t="n"/>
      <c r="NUG1" s="251" t="n"/>
      <c r="NUH1" s="251" t="n"/>
      <c r="NUI1" s="251" t="n"/>
      <c r="NUJ1" s="251" t="n"/>
      <c r="NUK1" s="251" t="n"/>
      <c r="NUL1" s="251" t="n"/>
      <c r="NUM1" s="251" t="n"/>
      <c r="NUN1" s="251" t="n"/>
      <c r="NUO1" s="251" t="n"/>
      <c r="NUP1" s="251" t="n"/>
      <c r="NUQ1" s="251" t="n"/>
      <c r="NUR1" s="251" t="n"/>
      <c r="NUS1" s="251" t="n"/>
      <c r="NUT1" s="251" t="n"/>
      <c r="NUU1" s="251" t="n"/>
      <c r="NUV1" s="251" t="n"/>
      <c r="NUW1" s="251" t="n"/>
      <c r="NUX1" s="251" t="n"/>
      <c r="NUY1" s="251" t="n"/>
      <c r="NUZ1" s="251" t="n"/>
      <c r="NVA1" s="251" t="n"/>
      <c r="NVB1" s="251" t="n"/>
      <c r="NVC1" s="251" t="n"/>
      <c r="NVD1" s="251" t="n"/>
      <c r="NVE1" s="251" t="n"/>
      <c r="NVF1" s="251" t="n"/>
      <c r="NVG1" s="251" t="n"/>
      <c r="NVH1" s="251" t="n"/>
      <c r="NVI1" s="251" t="n"/>
      <c r="NVJ1" s="251" t="n"/>
      <c r="NVK1" s="251" t="n"/>
      <c r="NVL1" s="251" t="n"/>
      <c r="NVM1" s="251" t="n"/>
      <c r="NVN1" s="251" t="n"/>
      <c r="NVO1" s="251" t="n"/>
      <c r="NVP1" s="251" t="n"/>
      <c r="NVQ1" s="251" t="n"/>
      <c r="NVR1" s="251" t="n"/>
      <c r="NVS1" s="251" t="n"/>
      <c r="NVT1" s="251" t="n"/>
      <c r="NVU1" s="251" t="n"/>
      <c r="NVV1" s="251" t="n"/>
      <c r="NVW1" s="251" t="n"/>
      <c r="NVX1" s="251" t="n"/>
      <c r="NVY1" s="251" t="n"/>
      <c r="NVZ1" s="251" t="n"/>
      <c r="NWA1" s="251" t="n"/>
      <c r="NWB1" s="251" t="n"/>
      <c r="NWC1" s="251" t="n"/>
      <c r="NWD1" s="251" t="n"/>
      <c r="NWE1" s="251" t="n"/>
      <c r="NWF1" s="251" t="n"/>
      <c r="NWG1" s="251" t="n"/>
      <c r="NWH1" s="251" t="n"/>
      <c r="NWI1" s="251" t="n"/>
      <c r="NWJ1" s="251" t="n"/>
      <c r="NWK1" s="251" t="n"/>
      <c r="NWL1" s="251" t="n"/>
      <c r="NWM1" s="251" t="n"/>
      <c r="NWN1" s="251" t="n"/>
      <c r="NWO1" s="251" t="n"/>
      <c r="NWP1" s="251" t="n"/>
      <c r="NWQ1" s="251" t="n"/>
      <c r="NWR1" s="251" t="n"/>
      <c r="NWS1" s="251" t="n"/>
      <c r="NWT1" s="251" t="n"/>
      <c r="NWU1" s="251" t="n"/>
      <c r="NWV1" s="251" t="n"/>
      <c r="NWW1" s="251" t="n"/>
      <c r="NWX1" s="251" t="n"/>
      <c r="NWY1" s="251" t="n"/>
      <c r="NWZ1" s="251" t="n"/>
      <c r="NXA1" s="251" t="n"/>
      <c r="NXB1" s="251" t="n"/>
      <c r="NXC1" s="251" t="n"/>
      <c r="NXD1" s="251" t="n"/>
      <c r="NXE1" s="251" t="n"/>
      <c r="NXF1" s="251" t="n"/>
      <c r="NXG1" s="251" t="n"/>
      <c r="NXH1" s="251" t="n"/>
      <c r="NXI1" s="251" t="n"/>
      <c r="NXJ1" s="251" t="n"/>
      <c r="NXK1" s="251" t="n"/>
      <c r="NXL1" s="251" t="n"/>
      <c r="NXM1" s="251" t="n"/>
      <c r="NXN1" s="251" t="n"/>
      <c r="NXO1" s="251" t="n"/>
      <c r="NXP1" s="251" t="n"/>
      <c r="NXQ1" s="251" t="n"/>
      <c r="NXR1" s="251" t="n"/>
      <c r="NXS1" s="251" t="n"/>
      <c r="NXT1" s="251" t="n"/>
      <c r="NXU1" s="251" t="n"/>
      <c r="NXV1" s="251" t="n"/>
      <c r="NXW1" s="251" t="n"/>
      <c r="NXX1" s="251" t="n"/>
      <c r="NXY1" s="251" t="n"/>
      <c r="NXZ1" s="251" t="n"/>
      <c r="NYA1" s="251" t="n"/>
      <c r="NYB1" s="251" t="n"/>
      <c r="NYC1" s="251" t="n"/>
      <c r="NYD1" s="251" t="n"/>
      <c r="NYE1" s="251" t="n"/>
      <c r="NYF1" s="251" t="n"/>
      <c r="NYG1" s="251" t="n"/>
      <c r="NYH1" s="251" t="n"/>
      <c r="NYI1" s="251" t="n"/>
      <c r="NYJ1" s="251" t="n"/>
      <c r="NYK1" s="251" t="n"/>
      <c r="NYL1" s="251" t="n"/>
      <c r="NYM1" s="251" t="n"/>
      <c r="NYN1" s="251" t="n"/>
      <c r="NYO1" s="251" t="n"/>
      <c r="NYP1" s="251" t="n"/>
      <c r="NYQ1" s="251" t="n"/>
      <c r="NYR1" s="251" t="n"/>
      <c r="NYS1" s="251" t="n"/>
      <c r="NYT1" s="251" t="n"/>
      <c r="NYU1" s="251" t="n"/>
      <c r="NYV1" s="251" t="n"/>
      <c r="NYW1" s="251" t="n"/>
      <c r="NYX1" s="251" t="n"/>
      <c r="NYY1" s="251" t="n"/>
      <c r="NYZ1" s="251" t="n"/>
      <c r="NZA1" s="251" t="n"/>
      <c r="NZB1" s="251" t="n"/>
      <c r="NZC1" s="251" t="n"/>
      <c r="NZD1" s="251" t="n"/>
      <c r="NZE1" s="251" t="n"/>
      <c r="NZF1" s="251" t="n"/>
      <c r="NZG1" s="251" t="n"/>
      <c r="NZH1" s="251" t="n"/>
      <c r="NZI1" s="251" t="n"/>
      <c r="NZJ1" s="251" t="n"/>
      <c r="NZK1" s="251" t="n"/>
      <c r="NZL1" s="251" t="n"/>
      <c r="NZM1" s="251" t="n"/>
      <c r="NZN1" s="251" t="n"/>
      <c r="NZO1" s="251" t="n"/>
      <c r="NZP1" s="251" t="n"/>
      <c r="NZQ1" s="251" t="n"/>
      <c r="NZR1" s="251" t="n"/>
      <c r="NZS1" s="251" t="n"/>
      <c r="NZT1" s="251" t="n"/>
      <c r="NZU1" s="251" t="n"/>
      <c r="NZV1" s="251" t="n"/>
      <c r="NZW1" s="251" t="n"/>
      <c r="NZX1" s="251" t="n"/>
      <c r="NZY1" s="251" t="n"/>
      <c r="NZZ1" s="251" t="n"/>
      <c r="OAA1" s="251" t="n"/>
      <c r="OAB1" s="251" t="n"/>
      <c r="OAC1" s="251" t="n"/>
      <c r="OAD1" s="251" t="n"/>
      <c r="OAE1" s="251" t="n"/>
      <c r="OAF1" s="251" t="n"/>
      <c r="OAG1" s="251" t="n"/>
      <c r="OAH1" s="251" t="n"/>
      <c r="OAI1" s="251" t="n"/>
      <c r="OAJ1" s="251" t="n"/>
      <c r="OAK1" s="251" t="n"/>
      <c r="OAL1" s="251" t="n"/>
      <c r="OAM1" s="251" t="n"/>
      <c r="OAN1" s="251" t="n"/>
      <c r="OAO1" s="251" t="n"/>
      <c r="OAP1" s="251" t="n"/>
      <c r="OAQ1" s="251" t="n"/>
      <c r="OAR1" s="251" t="n"/>
      <c r="OAS1" s="251" t="n"/>
      <c r="OAT1" s="251" t="n"/>
      <c r="OAU1" s="251" t="n"/>
      <c r="OAV1" s="251" t="n"/>
      <c r="OAW1" s="251" t="n"/>
      <c r="OAX1" s="251" t="n"/>
      <c r="OAY1" s="251" t="n"/>
      <c r="OAZ1" s="251" t="n"/>
      <c r="OBA1" s="251" t="n"/>
      <c r="OBB1" s="251" t="n"/>
      <c r="OBC1" s="251" t="n"/>
      <c r="OBD1" s="251" t="n"/>
      <c r="OBE1" s="251" t="n"/>
      <c r="OBF1" s="251" t="n"/>
      <c r="OBG1" s="251" t="n"/>
      <c r="OBH1" s="251" t="n"/>
      <c r="OBI1" s="251" t="n"/>
      <c r="OBJ1" s="251" t="n"/>
      <c r="OBK1" s="251" t="n"/>
      <c r="OBL1" s="251" t="n"/>
      <c r="OBM1" s="251" t="n"/>
      <c r="OBN1" s="251" t="n"/>
      <c r="OBO1" s="251" t="n"/>
      <c r="OBP1" s="251" t="n"/>
      <c r="OBQ1" s="251" t="n"/>
      <c r="OBR1" s="251" t="n"/>
      <c r="OBS1" s="251" t="n"/>
      <c r="OBT1" s="251" t="n"/>
      <c r="OBU1" s="251" t="n"/>
      <c r="OBV1" s="251" t="n"/>
      <c r="OBW1" s="251" t="n"/>
      <c r="OBX1" s="251" t="n"/>
      <c r="OBY1" s="251" t="n"/>
      <c r="OBZ1" s="251" t="n"/>
      <c r="OCA1" s="251" t="n"/>
      <c r="OCB1" s="251" t="n"/>
      <c r="OCC1" s="251" t="n"/>
      <c r="OCD1" s="251" t="n"/>
      <c r="OCE1" s="251" t="n"/>
      <c r="OCF1" s="251" t="n"/>
      <c r="OCG1" s="251" t="n"/>
      <c r="OCH1" s="251" t="n"/>
      <c r="OCI1" s="251" t="n"/>
      <c r="OCJ1" s="251" t="n"/>
      <c r="OCK1" s="251" t="n"/>
      <c r="OCL1" s="251" t="n"/>
      <c r="OCM1" s="251" t="n"/>
      <c r="OCN1" s="251" t="n"/>
      <c r="OCO1" s="251" t="n"/>
      <c r="OCP1" s="251" t="n"/>
      <c r="OCQ1" s="251" t="n"/>
      <c r="OCR1" s="251" t="n"/>
      <c r="OCS1" s="251" t="n"/>
      <c r="OCT1" s="251" t="n"/>
      <c r="OCU1" s="251" t="n"/>
      <c r="OCV1" s="251" t="n"/>
      <c r="OCW1" s="251" t="n"/>
      <c r="OCX1" s="251" t="n"/>
      <c r="OCY1" s="251" t="n"/>
      <c r="OCZ1" s="251" t="n"/>
      <c r="ODA1" s="251" t="n"/>
      <c r="ODB1" s="251" t="n"/>
      <c r="ODC1" s="251" t="n"/>
      <c r="ODD1" s="251" t="n"/>
      <c r="ODE1" s="251" t="n"/>
      <c r="ODF1" s="251" t="n"/>
      <c r="ODG1" s="251" t="n"/>
      <c r="ODH1" s="251" t="n"/>
      <c r="ODI1" s="251" t="n"/>
      <c r="ODJ1" s="251" t="n"/>
      <c r="ODK1" s="251" t="n"/>
      <c r="ODL1" s="251" t="n"/>
      <c r="ODM1" s="251" t="n"/>
      <c r="ODN1" s="251" t="n"/>
      <c r="ODO1" s="251" t="n"/>
      <c r="ODP1" s="251" t="n"/>
      <c r="ODQ1" s="251" t="n"/>
      <c r="ODR1" s="251" t="n"/>
      <c r="ODS1" s="251" t="n"/>
      <c r="ODT1" s="251" t="n"/>
      <c r="ODU1" s="251" t="n"/>
      <c r="ODV1" s="251" t="n"/>
      <c r="ODW1" s="251" t="n"/>
      <c r="ODX1" s="251" t="n"/>
      <c r="ODY1" s="251" t="n"/>
      <c r="ODZ1" s="251" t="n"/>
      <c r="OEA1" s="251" t="n"/>
      <c r="OEB1" s="251" t="n"/>
      <c r="OEC1" s="251" t="n"/>
      <c r="OED1" s="251" t="n"/>
      <c r="OEE1" s="251" t="n"/>
      <c r="OEF1" s="251" t="n"/>
      <c r="OEG1" s="251" t="n"/>
      <c r="OEH1" s="251" t="n"/>
      <c r="OEI1" s="251" t="n"/>
      <c r="OEJ1" s="251" t="n"/>
      <c r="OEK1" s="251" t="n"/>
      <c r="OEL1" s="251" t="n"/>
      <c r="OEM1" s="251" t="n"/>
      <c r="OEN1" s="251" t="n"/>
      <c r="OEO1" s="251" t="n"/>
      <c r="OEP1" s="251" t="n"/>
      <c r="OEQ1" s="251" t="n"/>
      <c r="OER1" s="251" t="n"/>
      <c r="OES1" s="251" t="n"/>
      <c r="OET1" s="251" t="n"/>
      <c r="OEU1" s="251" t="n"/>
      <c r="OEV1" s="251" t="n"/>
      <c r="OEW1" s="251" t="n"/>
      <c r="OEX1" s="251" t="n"/>
      <c r="OEY1" s="251" t="n"/>
      <c r="OEZ1" s="251" t="n"/>
      <c r="OFA1" s="251" t="n"/>
      <c r="OFB1" s="251" t="n"/>
      <c r="OFC1" s="251" t="n"/>
      <c r="OFD1" s="251" t="n"/>
      <c r="OFE1" s="251" t="n"/>
      <c r="OFF1" s="251" t="n"/>
      <c r="OFG1" s="251" t="n"/>
      <c r="OFH1" s="251" t="n"/>
      <c r="OFI1" s="251" t="n"/>
      <c r="OFJ1" s="251" t="n"/>
      <c r="OFK1" s="251" t="n"/>
      <c r="OFL1" s="251" t="n"/>
      <c r="OFM1" s="251" t="n"/>
      <c r="OFN1" s="251" t="n"/>
      <c r="OFO1" s="251" t="n"/>
      <c r="OFP1" s="251" t="n"/>
      <c r="OFQ1" s="251" t="n"/>
      <c r="OFR1" s="251" t="n"/>
      <c r="OFS1" s="251" t="n"/>
      <c r="OFT1" s="251" t="n"/>
      <c r="OFU1" s="251" t="n"/>
      <c r="OFV1" s="251" t="n"/>
      <c r="OFW1" s="251" t="n"/>
      <c r="OFX1" s="251" t="n"/>
      <c r="OFY1" s="251" t="n"/>
      <c r="OFZ1" s="251" t="n"/>
      <c r="OGA1" s="251" t="n"/>
      <c r="OGB1" s="251" t="n"/>
      <c r="OGC1" s="251" t="n"/>
      <c r="OGD1" s="251" t="n"/>
      <c r="OGE1" s="251" t="n"/>
      <c r="OGF1" s="251" t="n"/>
      <c r="OGG1" s="251" t="n"/>
      <c r="OGH1" s="251" t="n"/>
      <c r="OGI1" s="251" t="n"/>
      <c r="OGJ1" s="251" t="n"/>
      <c r="OGK1" s="251" t="n"/>
      <c r="OGL1" s="251" t="n"/>
      <c r="OGM1" s="251" t="n"/>
      <c r="OGN1" s="251" t="n"/>
      <c r="OGO1" s="251" t="n"/>
      <c r="OGP1" s="251" t="n"/>
      <c r="OGQ1" s="251" t="n"/>
      <c r="OGR1" s="251" t="n"/>
      <c r="OGS1" s="251" t="n"/>
      <c r="OGT1" s="251" t="n"/>
      <c r="OGU1" s="251" t="n"/>
      <c r="OGV1" s="251" t="n"/>
      <c r="OGW1" s="251" t="n"/>
      <c r="OGX1" s="251" t="n"/>
      <c r="OGY1" s="251" t="n"/>
      <c r="OGZ1" s="251" t="n"/>
      <c r="OHA1" s="251" t="n"/>
      <c r="OHB1" s="251" t="n"/>
      <c r="OHC1" s="251" t="n"/>
      <c r="OHD1" s="251" t="n"/>
      <c r="OHE1" s="251" t="n"/>
      <c r="OHF1" s="251" t="n"/>
      <c r="OHG1" s="251" t="n"/>
      <c r="OHH1" s="251" t="n"/>
      <c r="OHI1" s="251" t="n"/>
      <c r="OHJ1" s="251" t="n"/>
      <c r="OHK1" s="251" t="n"/>
      <c r="OHL1" s="251" t="n"/>
      <c r="OHM1" s="251" t="n"/>
      <c r="OHN1" s="251" t="n"/>
      <c r="OHO1" s="251" t="n"/>
      <c r="OHP1" s="251" t="n"/>
      <c r="OHQ1" s="251" t="n"/>
      <c r="OHR1" s="251" t="n"/>
      <c r="OHS1" s="251" t="n"/>
      <c r="OHT1" s="251" t="n"/>
      <c r="OHU1" s="251" t="n"/>
      <c r="OHV1" s="251" t="n"/>
      <c r="OHW1" s="251" t="n"/>
      <c r="OHX1" s="251" t="n"/>
      <c r="OHY1" s="251" t="n"/>
      <c r="OHZ1" s="251" t="n"/>
      <c r="OIA1" s="251" t="n"/>
      <c r="OIB1" s="251" t="n"/>
      <c r="OIC1" s="251" t="n"/>
      <c r="OID1" s="251" t="n"/>
      <c r="OIE1" s="251" t="n"/>
      <c r="OIF1" s="251" t="n"/>
      <c r="OIG1" s="251" t="n"/>
      <c r="OIH1" s="251" t="n"/>
      <c r="OII1" s="251" t="n"/>
      <c r="OIJ1" s="251" t="n"/>
      <c r="OIK1" s="251" t="n"/>
      <c r="OIL1" s="251" t="n"/>
      <c r="OIM1" s="251" t="n"/>
      <c r="OIN1" s="251" t="n"/>
      <c r="OIO1" s="251" t="n"/>
      <c r="OIP1" s="251" t="n"/>
      <c r="OIQ1" s="251" t="n"/>
      <c r="OIR1" s="251" t="n"/>
      <c r="OIS1" s="251" t="n"/>
      <c r="OIT1" s="251" t="n"/>
      <c r="OIU1" s="251" t="n"/>
      <c r="OIV1" s="251" t="n"/>
      <c r="OIW1" s="251" t="n"/>
      <c r="OIX1" s="251" t="n"/>
      <c r="OIY1" s="251" t="n"/>
      <c r="OIZ1" s="251" t="n"/>
      <c r="OJA1" s="251" t="n"/>
      <c r="OJB1" s="251" t="n"/>
      <c r="OJC1" s="251" t="n"/>
      <c r="OJD1" s="251" t="n"/>
      <c r="OJE1" s="251" t="n"/>
      <c r="OJF1" s="251" t="n"/>
      <c r="OJG1" s="251" t="n"/>
      <c r="OJH1" s="251" t="n"/>
      <c r="OJI1" s="251" t="n"/>
      <c r="OJJ1" s="251" t="n"/>
      <c r="OJK1" s="251" t="n"/>
      <c r="OJL1" s="251" t="n"/>
      <c r="OJM1" s="251" t="n"/>
      <c r="OJN1" s="251" t="n"/>
      <c r="OJO1" s="251" t="n"/>
      <c r="OJP1" s="251" t="n"/>
      <c r="OJQ1" s="251" t="n"/>
      <c r="OJR1" s="251" t="n"/>
      <c r="OJS1" s="251" t="n"/>
      <c r="OJT1" s="251" t="n"/>
      <c r="OJU1" s="251" t="n"/>
      <c r="OJV1" s="251" t="n"/>
      <c r="OJW1" s="251" t="n"/>
      <c r="OJX1" s="251" t="n"/>
      <c r="OJY1" s="251" t="n"/>
      <c r="OJZ1" s="251" t="n"/>
      <c r="OKA1" s="251" t="n"/>
      <c r="OKB1" s="251" t="n"/>
      <c r="OKC1" s="251" t="n"/>
      <c r="OKD1" s="251" t="n"/>
      <c r="OKE1" s="251" t="n"/>
      <c r="OKF1" s="251" t="n"/>
      <c r="OKG1" s="251" t="n"/>
      <c r="OKH1" s="251" t="n"/>
      <c r="OKI1" s="251" t="n"/>
      <c r="OKJ1" s="251" t="n"/>
      <c r="OKK1" s="251" t="n"/>
      <c r="OKL1" s="251" t="n"/>
      <c r="OKM1" s="251" t="n"/>
      <c r="OKN1" s="251" t="n"/>
      <c r="OKO1" s="251" t="n"/>
      <c r="OKP1" s="251" t="n"/>
      <c r="OKQ1" s="251" t="n"/>
      <c r="OKR1" s="251" t="n"/>
      <c r="OKS1" s="251" t="n"/>
      <c r="OKT1" s="251" t="n"/>
      <c r="OKU1" s="251" t="n"/>
      <c r="OKV1" s="251" t="n"/>
      <c r="OKW1" s="251" t="n"/>
      <c r="OKX1" s="251" t="n"/>
      <c r="OKY1" s="251" t="n"/>
      <c r="OKZ1" s="251" t="n"/>
      <c r="OLA1" s="251" t="n"/>
      <c r="OLB1" s="251" t="n"/>
      <c r="OLC1" s="251" t="n"/>
      <c r="OLD1" s="251" t="n"/>
      <c r="OLE1" s="251" t="n"/>
      <c r="OLF1" s="251" t="n"/>
      <c r="OLG1" s="251" t="n"/>
      <c r="OLH1" s="251" t="n"/>
      <c r="OLI1" s="251" t="n"/>
      <c r="OLJ1" s="251" t="n"/>
      <c r="OLK1" s="251" t="n"/>
      <c r="OLL1" s="251" t="n"/>
      <c r="OLM1" s="251" t="n"/>
      <c r="OLN1" s="251" t="n"/>
      <c r="OLO1" s="251" t="n"/>
      <c r="OLP1" s="251" t="n"/>
      <c r="OLQ1" s="251" t="n"/>
      <c r="OLR1" s="251" t="n"/>
      <c r="OLS1" s="251" t="n"/>
      <c r="OLT1" s="251" t="n"/>
      <c r="OLU1" s="251" t="n"/>
      <c r="OLV1" s="251" t="n"/>
      <c r="OLW1" s="251" t="n"/>
      <c r="OLX1" s="251" t="n"/>
      <c r="OLY1" s="251" t="n"/>
      <c r="OLZ1" s="251" t="n"/>
      <c r="OMA1" s="251" t="n"/>
      <c r="OMB1" s="251" t="n"/>
      <c r="OMC1" s="251" t="n"/>
      <c r="OMD1" s="251" t="n"/>
      <c r="OME1" s="251" t="n"/>
      <c r="OMF1" s="251" t="n"/>
      <c r="OMG1" s="251" t="n"/>
      <c r="OMH1" s="251" t="n"/>
      <c r="OMI1" s="251" t="n"/>
      <c r="OMJ1" s="251" t="n"/>
      <c r="OMK1" s="251" t="n"/>
      <c r="OML1" s="251" t="n"/>
      <c r="OMM1" s="251" t="n"/>
      <c r="OMN1" s="251" t="n"/>
      <c r="OMO1" s="251" t="n"/>
      <c r="OMP1" s="251" t="n"/>
      <c r="OMQ1" s="251" t="n"/>
      <c r="OMR1" s="251" t="n"/>
      <c r="OMS1" s="251" t="n"/>
      <c r="OMT1" s="251" t="n"/>
      <c r="OMU1" s="251" t="n"/>
      <c r="OMV1" s="251" t="n"/>
      <c r="OMW1" s="251" t="n"/>
      <c r="OMX1" s="251" t="n"/>
      <c r="OMY1" s="251" t="n"/>
      <c r="OMZ1" s="251" t="n"/>
      <c r="ONA1" s="251" t="n"/>
      <c r="ONB1" s="251" t="n"/>
      <c r="ONC1" s="251" t="n"/>
      <c r="OND1" s="251" t="n"/>
      <c r="ONE1" s="251" t="n"/>
      <c r="ONF1" s="251" t="n"/>
      <c r="ONG1" s="251" t="n"/>
      <c r="ONH1" s="251" t="n"/>
      <c r="ONI1" s="251" t="n"/>
      <c r="ONJ1" s="251" t="n"/>
      <c r="ONK1" s="251" t="n"/>
      <c r="ONL1" s="251" t="n"/>
      <c r="ONM1" s="251" t="n"/>
      <c r="ONN1" s="251" t="n"/>
      <c r="ONO1" s="251" t="n"/>
      <c r="ONP1" s="251" t="n"/>
      <c r="ONQ1" s="251" t="n"/>
      <c r="ONR1" s="251" t="n"/>
      <c r="ONS1" s="251" t="n"/>
      <c r="ONT1" s="251" t="n"/>
      <c r="ONU1" s="251" t="n"/>
      <c r="ONV1" s="251" t="n"/>
      <c r="ONW1" s="251" t="n"/>
      <c r="ONX1" s="251" t="n"/>
      <c r="ONY1" s="251" t="n"/>
      <c r="ONZ1" s="251" t="n"/>
      <c r="OOA1" s="251" t="n"/>
      <c r="OOB1" s="251" t="n"/>
      <c r="OOC1" s="251" t="n"/>
      <c r="OOD1" s="251" t="n"/>
      <c r="OOE1" s="251" t="n"/>
      <c r="OOF1" s="251" t="n"/>
      <c r="OOG1" s="251" t="n"/>
      <c r="OOH1" s="251" t="n"/>
      <c r="OOI1" s="251" t="n"/>
      <c r="OOJ1" s="251" t="n"/>
      <c r="OOK1" s="251" t="n"/>
      <c r="OOL1" s="251" t="n"/>
      <c r="OOM1" s="251" t="n"/>
      <c r="OON1" s="251" t="n"/>
      <c r="OOO1" s="251" t="n"/>
      <c r="OOP1" s="251" t="n"/>
      <c r="OOQ1" s="251" t="n"/>
      <c r="OOR1" s="251" t="n"/>
      <c r="OOS1" s="251" t="n"/>
      <c r="OOT1" s="251" t="n"/>
      <c r="OOU1" s="251" t="n"/>
      <c r="OOV1" s="251" t="n"/>
      <c r="OOW1" s="251" t="n"/>
      <c r="OOX1" s="251" t="n"/>
      <c r="OOY1" s="251" t="n"/>
      <c r="OOZ1" s="251" t="n"/>
      <c r="OPA1" s="251" t="n"/>
      <c r="OPB1" s="251" t="n"/>
      <c r="OPC1" s="251" t="n"/>
      <c r="OPD1" s="251" t="n"/>
      <c r="OPE1" s="251" t="n"/>
      <c r="OPF1" s="251" t="n"/>
      <c r="OPG1" s="251" t="n"/>
      <c r="OPH1" s="251" t="n"/>
      <c r="OPI1" s="251" t="n"/>
      <c r="OPJ1" s="251" t="n"/>
      <c r="OPK1" s="251" t="n"/>
      <c r="OPL1" s="251" t="n"/>
      <c r="OPM1" s="251" t="n"/>
      <c r="OPN1" s="251" t="n"/>
      <c r="OPO1" s="251" t="n"/>
      <c r="OPP1" s="251" t="n"/>
      <c r="OPQ1" s="251" t="n"/>
      <c r="OPR1" s="251" t="n"/>
      <c r="OPS1" s="251" t="n"/>
      <c r="OPT1" s="251" t="n"/>
      <c r="OPU1" s="251" t="n"/>
      <c r="OPV1" s="251" t="n"/>
      <c r="OPW1" s="251" t="n"/>
      <c r="OPX1" s="251" t="n"/>
      <c r="OPY1" s="251" t="n"/>
      <c r="OPZ1" s="251" t="n"/>
      <c r="OQA1" s="251" t="n"/>
      <c r="OQB1" s="251" t="n"/>
      <c r="OQC1" s="251" t="n"/>
      <c r="OQD1" s="251" t="n"/>
      <c r="OQE1" s="251" t="n"/>
      <c r="OQF1" s="251" t="n"/>
      <c r="OQG1" s="251" t="n"/>
      <c r="OQH1" s="251" t="n"/>
      <c r="OQI1" s="251" t="n"/>
      <c r="OQJ1" s="251" t="n"/>
      <c r="OQK1" s="251" t="n"/>
      <c r="OQL1" s="251" t="n"/>
      <c r="OQM1" s="251" t="n"/>
      <c r="OQN1" s="251" t="n"/>
      <c r="OQO1" s="251" t="n"/>
      <c r="OQP1" s="251" t="n"/>
      <c r="OQQ1" s="251" t="n"/>
      <c r="OQR1" s="251" t="n"/>
      <c r="OQS1" s="251" t="n"/>
      <c r="OQT1" s="251" t="n"/>
      <c r="OQU1" s="251" t="n"/>
      <c r="OQV1" s="251" t="n"/>
      <c r="OQW1" s="251" t="n"/>
      <c r="OQX1" s="251" t="n"/>
      <c r="OQY1" s="251" t="n"/>
      <c r="OQZ1" s="251" t="n"/>
      <c r="ORA1" s="251" t="n"/>
      <c r="ORB1" s="251" t="n"/>
      <c r="ORC1" s="251" t="n"/>
      <c r="ORD1" s="251" t="n"/>
      <c r="ORE1" s="251" t="n"/>
      <c r="ORF1" s="251" t="n"/>
      <c r="ORG1" s="251" t="n"/>
      <c r="ORH1" s="251" t="n"/>
      <c r="ORI1" s="251" t="n"/>
      <c r="ORJ1" s="251" t="n"/>
      <c r="ORK1" s="251" t="n"/>
      <c r="ORL1" s="251" t="n"/>
      <c r="ORM1" s="251" t="n"/>
      <c r="ORN1" s="251" t="n"/>
      <c r="ORO1" s="251" t="n"/>
      <c r="ORP1" s="251" t="n"/>
      <c r="ORQ1" s="251" t="n"/>
      <c r="ORR1" s="251" t="n"/>
      <c r="ORS1" s="251" t="n"/>
      <c r="ORT1" s="251" t="n"/>
      <c r="ORU1" s="251" t="n"/>
      <c r="ORV1" s="251" t="n"/>
      <c r="ORW1" s="251" t="n"/>
      <c r="ORX1" s="251" t="n"/>
      <c r="ORY1" s="251" t="n"/>
      <c r="ORZ1" s="251" t="n"/>
      <c r="OSA1" s="251" t="n"/>
      <c r="OSB1" s="251" t="n"/>
      <c r="OSC1" s="251" t="n"/>
      <c r="OSD1" s="251" t="n"/>
      <c r="OSE1" s="251" t="n"/>
      <c r="OSF1" s="251" t="n"/>
      <c r="OSG1" s="251" t="n"/>
      <c r="OSH1" s="251" t="n"/>
      <c r="OSI1" s="251" t="n"/>
      <c r="OSJ1" s="251" t="n"/>
      <c r="OSK1" s="251" t="n"/>
      <c r="OSL1" s="251" t="n"/>
      <c r="OSM1" s="251" t="n"/>
      <c r="OSN1" s="251" t="n"/>
      <c r="OSO1" s="251" t="n"/>
      <c r="OSP1" s="251" t="n"/>
      <c r="OSQ1" s="251" t="n"/>
      <c r="OSR1" s="251" t="n"/>
      <c r="OSS1" s="251" t="n"/>
      <c r="OST1" s="251" t="n"/>
      <c r="OSU1" s="251" t="n"/>
      <c r="OSV1" s="251" t="n"/>
      <c r="OSW1" s="251" t="n"/>
      <c r="OSX1" s="251" t="n"/>
      <c r="OSY1" s="251" t="n"/>
      <c r="OSZ1" s="251" t="n"/>
      <c r="OTA1" s="251" t="n"/>
      <c r="OTB1" s="251" t="n"/>
      <c r="OTC1" s="251" t="n"/>
      <c r="OTD1" s="251" t="n"/>
      <c r="OTE1" s="251" t="n"/>
      <c r="OTF1" s="251" t="n"/>
      <c r="OTG1" s="251" t="n"/>
      <c r="OTH1" s="251" t="n"/>
      <c r="OTI1" s="251" t="n"/>
      <c r="OTJ1" s="251" t="n"/>
      <c r="OTK1" s="251" t="n"/>
      <c r="OTL1" s="251" t="n"/>
      <c r="OTM1" s="251" t="n"/>
      <c r="OTN1" s="251" t="n"/>
      <c r="OTO1" s="251" t="n"/>
      <c r="OTP1" s="251" t="n"/>
      <c r="OTQ1" s="251" t="n"/>
      <c r="OTR1" s="251" t="n"/>
      <c r="OTS1" s="251" t="n"/>
      <c r="OTT1" s="251" t="n"/>
      <c r="OTU1" s="251" t="n"/>
      <c r="OTV1" s="251" t="n"/>
      <c r="OTW1" s="251" t="n"/>
      <c r="OTX1" s="251" t="n"/>
      <c r="OTY1" s="251" t="n"/>
      <c r="OTZ1" s="251" t="n"/>
      <c r="OUA1" s="251" t="n"/>
      <c r="OUB1" s="251" t="n"/>
      <c r="OUC1" s="251" t="n"/>
      <c r="OUD1" s="251" t="n"/>
      <c r="OUE1" s="251" t="n"/>
      <c r="OUF1" s="251" t="n"/>
      <c r="OUG1" s="251" t="n"/>
      <c r="OUH1" s="251" t="n"/>
      <c r="OUI1" s="251" t="n"/>
      <c r="OUJ1" s="251" t="n"/>
      <c r="OUK1" s="251" t="n"/>
      <c r="OUL1" s="251" t="n"/>
      <c r="OUM1" s="251" t="n"/>
      <c r="OUN1" s="251" t="n"/>
      <c r="OUO1" s="251" t="n"/>
      <c r="OUP1" s="251" t="n"/>
      <c r="OUQ1" s="251" t="n"/>
      <c r="OUR1" s="251" t="n"/>
      <c r="OUS1" s="251" t="n"/>
      <c r="OUT1" s="251" t="n"/>
      <c r="OUU1" s="251" t="n"/>
      <c r="OUV1" s="251" t="n"/>
      <c r="OUW1" s="251" t="n"/>
      <c r="OUX1" s="251" t="n"/>
      <c r="OUY1" s="251" t="n"/>
      <c r="OUZ1" s="251" t="n"/>
      <c r="OVA1" s="251" t="n"/>
      <c r="OVB1" s="251" t="n"/>
      <c r="OVC1" s="251" t="n"/>
      <c r="OVD1" s="251" t="n"/>
      <c r="OVE1" s="251" t="n"/>
      <c r="OVF1" s="251" t="n"/>
      <c r="OVG1" s="251" t="n"/>
      <c r="OVH1" s="251" t="n"/>
      <c r="OVI1" s="251" t="n"/>
      <c r="OVJ1" s="251" t="n"/>
      <c r="OVK1" s="251" t="n"/>
      <c r="OVL1" s="251" t="n"/>
      <c r="OVM1" s="251" t="n"/>
      <c r="OVN1" s="251" t="n"/>
      <c r="OVO1" s="251" t="n"/>
      <c r="OVP1" s="251" t="n"/>
      <c r="OVQ1" s="251" t="n"/>
      <c r="OVR1" s="251" t="n"/>
      <c r="OVS1" s="251" t="n"/>
      <c r="OVT1" s="251" t="n"/>
      <c r="OVU1" s="251" t="n"/>
      <c r="OVV1" s="251" t="n"/>
      <c r="OVW1" s="251" t="n"/>
      <c r="OVX1" s="251" t="n"/>
      <c r="OVY1" s="251" t="n"/>
      <c r="OVZ1" s="251" t="n"/>
      <c r="OWA1" s="251" t="n"/>
      <c r="OWB1" s="251" t="n"/>
      <c r="OWC1" s="251" t="n"/>
      <c r="OWD1" s="251" t="n"/>
      <c r="OWE1" s="251" t="n"/>
      <c r="OWF1" s="251" t="n"/>
      <c r="OWG1" s="251" t="n"/>
      <c r="OWH1" s="251" t="n"/>
      <c r="OWI1" s="251" t="n"/>
      <c r="OWJ1" s="251" t="n"/>
      <c r="OWK1" s="251" t="n"/>
      <c r="OWL1" s="251" t="n"/>
      <c r="OWM1" s="251" t="n"/>
      <c r="OWN1" s="251" t="n"/>
      <c r="OWO1" s="251" t="n"/>
      <c r="OWP1" s="251" t="n"/>
      <c r="OWQ1" s="251" t="n"/>
      <c r="OWR1" s="251" t="n"/>
      <c r="OWS1" s="251" t="n"/>
      <c r="OWT1" s="251" t="n"/>
      <c r="OWU1" s="251" t="n"/>
      <c r="OWV1" s="251" t="n"/>
      <c r="OWW1" s="251" t="n"/>
      <c r="OWX1" s="251" t="n"/>
      <c r="OWY1" s="251" t="n"/>
      <c r="OWZ1" s="251" t="n"/>
      <c r="OXA1" s="251" t="n"/>
      <c r="OXB1" s="251" t="n"/>
      <c r="OXC1" s="251" t="n"/>
      <c r="OXD1" s="251" t="n"/>
      <c r="OXE1" s="251" t="n"/>
      <c r="OXF1" s="251" t="n"/>
      <c r="OXG1" s="251" t="n"/>
      <c r="OXH1" s="251" t="n"/>
      <c r="OXI1" s="251" t="n"/>
      <c r="OXJ1" s="251" t="n"/>
      <c r="OXK1" s="251" t="n"/>
      <c r="OXL1" s="251" t="n"/>
      <c r="OXM1" s="251" t="n"/>
      <c r="OXN1" s="251" t="n"/>
      <c r="OXO1" s="251" t="n"/>
      <c r="OXP1" s="251" t="n"/>
      <c r="OXQ1" s="251" t="n"/>
      <c r="OXR1" s="251" t="n"/>
      <c r="OXS1" s="251" t="n"/>
      <c r="OXT1" s="251" t="n"/>
      <c r="OXU1" s="251" t="n"/>
      <c r="OXV1" s="251" t="n"/>
      <c r="OXW1" s="251" t="n"/>
      <c r="OXX1" s="251" t="n"/>
      <c r="OXY1" s="251" t="n"/>
      <c r="OXZ1" s="251" t="n"/>
      <c r="OYA1" s="251" t="n"/>
      <c r="OYB1" s="251" t="n"/>
      <c r="OYC1" s="251" t="n"/>
      <c r="OYD1" s="251" t="n"/>
      <c r="OYE1" s="251" t="n"/>
      <c r="OYF1" s="251" t="n"/>
      <c r="OYG1" s="251" t="n"/>
      <c r="OYH1" s="251" t="n"/>
      <c r="OYI1" s="251" t="n"/>
      <c r="OYJ1" s="251" t="n"/>
      <c r="OYK1" s="251" t="n"/>
      <c r="OYL1" s="251" t="n"/>
      <c r="OYM1" s="251" t="n"/>
      <c r="OYN1" s="251" t="n"/>
      <c r="OYO1" s="251" t="n"/>
      <c r="OYP1" s="251" t="n"/>
      <c r="OYQ1" s="251" t="n"/>
      <c r="OYR1" s="251" t="n"/>
      <c r="OYS1" s="251" t="n"/>
      <c r="OYT1" s="251" t="n"/>
      <c r="OYU1" s="251" t="n"/>
      <c r="OYV1" s="251" t="n"/>
      <c r="OYW1" s="251" t="n"/>
      <c r="OYX1" s="251" t="n"/>
      <c r="OYY1" s="251" t="n"/>
      <c r="OYZ1" s="251" t="n"/>
      <c r="OZA1" s="251" t="n"/>
      <c r="OZB1" s="251" t="n"/>
      <c r="OZC1" s="251" t="n"/>
      <c r="OZD1" s="251" t="n"/>
      <c r="OZE1" s="251" t="n"/>
      <c r="OZF1" s="251" t="n"/>
      <c r="OZG1" s="251" t="n"/>
      <c r="OZH1" s="251" t="n"/>
      <c r="OZI1" s="251" t="n"/>
      <c r="OZJ1" s="251" t="n"/>
      <c r="OZK1" s="251" t="n"/>
      <c r="OZL1" s="251" t="n"/>
      <c r="OZM1" s="251" t="n"/>
      <c r="OZN1" s="251" t="n"/>
      <c r="OZO1" s="251" t="n"/>
      <c r="OZP1" s="251" t="n"/>
      <c r="OZQ1" s="251" t="n"/>
      <c r="OZR1" s="251" t="n"/>
      <c r="OZS1" s="251" t="n"/>
      <c r="OZT1" s="251" t="n"/>
      <c r="OZU1" s="251" t="n"/>
      <c r="OZV1" s="251" t="n"/>
      <c r="OZW1" s="251" t="n"/>
      <c r="OZX1" s="251" t="n"/>
      <c r="OZY1" s="251" t="n"/>
      <c r="OZZ1" s="251" t="n"/>
      <c r="PAA1" s="251" t="n"/>
      <c r="PAB1" s="251" t="n"/>
      <c r="PAC1" s="251" t="n"/>
      <c r="PAD1" s="251" t="n"/>
      <c r="PAE1" s="251" t="n"/>
      <c r="PAF1" s="251" t="n"/>
      <c r="PAG1" s="251" t="n"/>
      <c r="PAH1" s="251" t="n"/>
      <c r="PAI1" s="251" t="n"/>
      <c r="PAJ1" s="251" t="n"/>
      <c r="PAK1" s="251" t="n"/>
      <c r="PAL1" s="251" t="n"/>
      <c r="PAM1" s="251" t="n"/>
      <c r="PAN1" s="251" t="n"/>
      <c r="PAO1" s="251" t="n"/>
      <c r="PAP1" s="251" t="n"/>
      <c r="PAQ1" s="251" t="n"/>
      <c r="PAR1" s="251" t="n"/>
      <c r="PAS1" s="251" t="n"/>
      <c r="PAT1" s="251" t="n"/>
      <c r="PAU1" s="251" t="n"/>
      <c r="PAV1" s="251" t="n"/>
      <c r="PAW1" s="251" t="n"/>
      <c r="PAX1" s="251" t="n"/>
      <c r="PAY1" s="251" t="n"/>
      <c r="PAZ1" s="251" t="n"/>
      <c r="PBA1" s="251" t="n"/>
      <c r="PBB1" s="251" t="n"/>
      <c r="PBC1" s="251" t="n"/>
      <c r="PBD1" s="251" t="n"/>
      <c r="PBE1" s="251" t="n"/>
      <c r="PBF1" s="251" t="n"/>
      <c r="PBG1" s="251" t="n"/>
      <c r="PBH1" s="251" t="n"/>
      <c r="PBI1" s="251" t="n"/>
      <c r="PBJ1" s="251" t="n"/>
      <c r="PBK1" s="251" t="n"/>
      <c r="PBL1" s="251" t="n"/>
      <c r="PBM1" s="251" t="n"/>
      <c r="PBN1" s="251" t="n"/>
      <c r="PBO1" s="251" t="n"/>
      <c r="PBP1" s="251" t="n"/>
      <c r="PBQ1" s="251" t="n"/>
      <c r="PBR1" s="251" t="n"/>
      <c r="PBS1" s="251" t="n"/>
      <c r="PBT1" s="251" t="n"/>
      <c r="PBU1" s="251" t="n"/>
      <c r="PBV1" s="251" t="n"/>
      <c r="PBW1" s="251" t="n"/>
      <c r="PBX1" s="251" t="n"/>
      <c r="PBY1" s="251" t="n"/>
      <c r="PBZ1" s="251" t="n"/>
      <c r="PCA1" s="251" t="n"/>
      <c r="PCB1" s="251" t="n"/>
      <c r="PCC1" s="251" t="n"/>
      <c r="PCD1" s="251" t="n"/>
      <c r="PCE1" s="251" t="n"/>
      <c r="PCF1" s="251" t="n"/>
      <c r="PCG1" s="251" t="n"/>
      <c r="PCH1" s="251" t="n"/>
      <c r="PCI1" s="251" t="n"/>
      <c r="PCJ1" s="251" t="n"/>
      <c r="PCK1" s="251" t="n"/>
      <c r="PCL1" s="251" t="n"/>
      <c r="PCM1" s="251" t="n"/>
      <c r="PCN1" s="251" t="n"/>
      <c r="PCO1" s="251" t="n"/>
      <c r="PCP1" s="251" t="n"/>
      <c r="PCQ1" s="251" t="n"/>
      <c r="PCR1" s="251" t="n"/>
      <c r="PCS1" s="251" t="n"/>
      <c r="PCT1" s="251" t="n"/>
      <c r="PCU1" s="251" t="n"/>
      <c r="PCV1" s="251" t="n"/>
      <c r="PCW1" s="251" t="n"/>
      <c r="PCX1" s="251" t="n"/>
      <c r="PCY1" s="251" t="n"/>
      <c r="PCZ1" s="251" t="n"/>
      <c r="PDA1" s="251" t="n"/>
      <c r="PDB1" s="251" t="n"/>
      <c r="PDC1" s="251" t="n"/>
      <c r="PDD1" s="251" t="n"/>
      <c r="PDE1" s="251" t="n"/>
      <c r="PDF1" s="251" t="n"/>
      <c r="PDG1" s="251" t="n"/>
      <c r="PDH1" s="251" t="n"/>
      <c r="PDI1" s="251" t="n"/>
      <c r="PDJ1" s="251" t="n"/>
      <c r="PDK1" s="251" t="n"/>
      <c r="PDL1" s="251" t="n"/>
      <c r="PDM1" s="251" t="n"/>
      <c r="PDN1" s="251" t="n"/>
      <c r="PDO1" s="251" t="n"/>
      <c r="PDP1" s="251" t="n"/>
      <c r="PDQ1" s="251" t="n"/>
      <c r="PDR1" s="251" t="n"/>
      <c r="PDS1" s="251" t="n"/>
      <c r="PDT1" s="251" t="n"/>
      <c r="PDU1" s="251" t="n"/>
      <c r="PDV1" s="251" t="n"/>
      <c r="PDW1" s="251" t="n"/>
      <c r="PDX1" s="251" t="n"/>
      <c r="PDY1" s="251" t="n"/>
      <c r="PDZ1" s="251" t="n"/>
      <c r="PEA1" s="251" t="n"/>
      <c r="PEB1" s="251" t="n"/>
      <c r="PEC1" s="251" t="n"/>
      <c r="PED1" s="251" t="n"/>
      <c r="PEE1" s="251" t="n"/>
      <c r="PEF1" s="251" t="n"/>
      <c r="PEG1" s="251" t="n"/>
      <c r="PEH1" s="251" t="n"/>
      <c r="PEI1" s="251" t="n"/>
      <c r="PEJ1" s="251" t="n"/>
      <c r="PEK1" s="251" t="n"/>
      <c r="PEL1" s="251" t="n"/>
      <c r="PEM1" s="251" t="n"/>
      <c r="PEN1" s="251" t="n"/>
      <c r="PEO1" s="251" t="n"/>
      <c r="PEP1" s="251" t="n"/>
      <c r="PEQ1" s="251" t="n"/>
      <c r="PER1" s="251" t="n"/>
      <c r="PES1" s="251" t="n"/>
      <c r="PET1" s="251" t="n"/>
      <c r="PEU1" s="251" t="n"/>
      <c r="PEV1" s="251" t="n"/>
      <c r="PEW1" s="251" t="n"/>
      <c r="PEX1" s="251" t="n"/>
      <c r="PEY1" s="251" t="n"/>
      <c r="PEZ1" s="251" t="n"/>
      <c r="PFA1" s="251" t="n"/>
      <c r="PFB1" s="251" t="n"/>
      <c r="PFC1" s="251" t="n"/>
      <c r="PFD1" s="251" t="n"/>
      <c r="PFE1" s="251" t="n"/>
      <c r="PFF1" s="251" t="n"/>
      <c r="PFG1" s="251" t="n"/>
      <c r="PFH1" s="251" t="n"/>
      <c r="PFI1" s="251" t="n"/>
      <c r="PFJ1" s="251" t="n"/>
      <c r="PFK1" s="251" t="n"/>
      <c r="PFL1" s="251" t="n"/>
      <c r="PFM1" s="251" t="n"/>
      <c r="PFN1" s="251" t="n"/>
      <c r="PFO1" s="251" t="n"/>
      <c r="PFP1" s="251" t="n"/>
      <c r="PFQ1" s="251" t="n"/>
      <c r="PFR1" s="251" t="n"/>
      <c r="PFS1" s="251" t="n"/>
      <c r="PFT1" s="251" t="n"/>
      <c r="PFU1" s="251" t="n"/>
      <c r="PFV1" s="251" t="n"/>
      <c r="PFW1" s="251" t="n"/>
      <c r="PFX1" s="251" t="n"/>
      <c r="PFY1" s="251" t="n"/>
      <c r="PFZ1" s="251" t="n"/>
      <c r="PGA1" s="251" t="n"/>
      <c r="PGB1" s="251" t="n"/>
      <c r="PGC1" s="251" t="n"/>
      <c r="PGD1" s="251" t="n"/>
      <c r="PGE1" s="251" t="n"/>
      <c r="PGF1" s="251" t="n"/>
      <c r="PGG1" s="251" t="n"/>
      <c r="PGH1" s="251" t="n"/>
      <c r="PGI1" s="251" t="n"/>
      <c r="PGJ1" s="251" t="n"/>
      <c r="PGK1" s="251" t="n"/>
      <c r="PGL1" s="251" t="n"/>
      <c r="PGM1" s="251" t="n"/>
      <c r="PGN1" s="251" t="n"/>
      <c r="PGO1" s="251" t="n"/>
      <c r="PGP1" s="251" t="n"/>
      <c r="PGQ1" s="251" t="n"/>
      <c r="PGR1" s="251" t="n"/>
      <c r="PGS1" s="251" t="n"/>
      <c r="PGT1" s="251" t="n"/>
      <c r="PGU1" s="251" t="n"/>
      <c r="PGV1" s="251" t="n"/>
      <c r="PGW1" s="251" t="n"/>
      <c r="PGX1" s="251" t="n"/>
      <c r="PGY1" s="251" t="n"/>
      <c r="PGZ1" s="251" t="n"/>
      <c r="PHA1" s="251" t="n"/>
      <c r="PHB1" s="251" t="n"/>
      <c r="PHC1" s="251" t="n"/>
      <c r="PHD1" s="251" t="n"/>
      <c r="PHE1" s="251" t="n"/>
      <c r="PHF1" s="251" t="n"/>
      <c r="PHG1" s="251" t="n"/>
      <c r="PHH1" s="251" t="n"/>
      <c r="PHI1" s="251" t="n"/>
      <c r="PHJ1" s="251" t="n"/>
      <c r="PHK1" s="251" t="n"/>
      <c r="PHL1" s="251" t="n"/>
      <c r="PHM1" s="251" t="n"/>
      <c r="PHN1" s="251" t="n"/>
      <c r="PHO1" s="251" t="n"/>
      <c r="PHP1" s="251" t="n"/>
      <c r="PHQ1" s="251" t="n"/>
      <c r="PHR1" s="251" t="n"/>
      <c r="PHS1" s="251" t="n"/>
      <c r="PHT1" s="251" t="n"/>
      <c r="PHU1" s="251" t="n"/>
      <c r="PHV1" s="251" t="n"/>
      <c r="PHW1" s="251" t="n"/>
      <c r="PHX1" s="251" t="n"/>
      <c r="PHY1" s="251" t="n"/>
      <c r="PHZ1" s="251" t="n"/>
      <c r="PIA1" s="251" t="n"/>
      <c r="PIB1" s="251" t="n"/>
      <c r="PIC1" s="251" t="n"/>
      <c r="PID1" s="251" t="n"/>
      <c r="PIE1" s="251" t="n"/>
      <c r="PIF1" s="251" t="n"/>
      <c r="PIG1" s="251" t="n"/>
      <c r="PIH1" s="251" t="n"/>
      <c r="PII1" s="251" t="n"/>
      <c r="PIJ1" s="251" t="n"/>
      <c r="PIK1" s="251" t="n"/>
      <c r="PIL1" s="251" t="n"/>
      <c r="PIM1" s="251" t="n"/>
      <c r="PIN1" s="251" t="n"/>
      <c r="PIO1" s="251" t="n"/>
      <c r="PIP1" s="251" t="n"/>
      <c r="PIQ1" s="251" t="n"/>
      <c r="PIR1" s="251" t="n"/>
      <c r="PIS1" s="251" t="n"/>
      <c r="PIT1" s="251" t="n"/>
      <c r="PIU1" s="251" t="n"/>
      <c r="PIV1" s="251" t="n"/>
      <c r="PIW1" s="251" t="n"/>
      <c r="PIX1" s="251" t="n"/>
      <c r="PIY1" s="251" t="n"/>
      <c r="PIZ1" s="251" t="n"/>
      <c r="PJA1" s="251" t="n"/>
      <c r="PJB1" s="251" t="n"/>
      <c r="PJC1" s="251" t="n"/>
      <c r="PJD1" s="251" t="n"/>
      <c r="PJE1" s="251" t="n"/>
      <c r="PJF1" s="251" t="n"/>
      <c r="PJG1" s="251" t="n"/>
      <c r="PJH1" s="251" t="n"/>
      <c r="PJI1" s="251" t="n"/>
      <c r="PJJ1" s="251" t="n"/>
      <c r="PJK1" s="251" t="n"/>
      <c r="PJL1" s="251" t="n"/>
      <c r="PJM1" s="251" t="n"/>
      <c r="PJN1" s="251" t="n"/>
      <c r="PJO1" s="251" t="n"/>
      <c r="PJP1" s="251" t="n"/>
      <c r="PJQ1" s="251" t="n"/>
      <c r="PJR1" s="251" t="n"/>
      <c r="PJS1" s="251" t="n"/>
      <c r="PJT1" s="251" t="n"/>
      <c r="PJU1" s="251" t="n"/>
      <c r="PJV1" s="251" t="n"/>
      <c r="PJW1" s="251" t="n"/>
      <c r="PJX1" s="251" t="n"/>
      <c r="PJY1" s="251" t="n"/>
      <c r="PJZ1" s="251" t="n"/>
      <c r="PKA1" s="251" t="n"/>
      <c r="PKB1" s="251" t="n"/>
      <c r="PKC1" s="251" t="n"/>
      <c r="PKD1" s="251" t="n"/>
      <c r="PKE1" s="251" t="n"/>
      <c r="PKF1" s="251" t="n"/>
      <c r="PKG1" s="251" t="n"/>
      <c r="PKH1" s="251" t="n"/>
      <c r="PKI1" s="251" t="n"/>
      <c r="PKJ1" s="251" t="n"/>
      <c r="PKK1" s="251" t="n"/>
      <c r="PKL1" s="251" t="n"/>
      <c r="PKM1" s="251" t="n"/>
      <c r="PKN1" s="251" t="n"/>
      <c r="PKO1" s="251" t="n"/>
      <c r="PKP1" s="251" t="n"/>
      <c r="PKQ1" s="251" t="n"/>
      <c r="PKR1" s="251" t="n"/>
      <c r="PKS1" s="251" t="n"/>
      <c r="PKT1" s="251" t="n"/>
      <c r="PKU1" s="251" t="n"/>
      <c r="PKV1" s="251" t="n"/>
      <c r="PKW1" s="251" t="n"/>
      <c r="PKX1" s="251" t="n"/>
      <c r="PKY1" s="251" t="n"/>
      <c r="PKZ1" s="251" t="n"/>
      <c r="PLA1" s="251" t="n"/>
      <c r="PLB1" s="251" t="n"/>
      <c r="PLC1" s="251" t="n"/>
      <c r="PLD1" s="251" t="n"/>
      <c r="PLE1" s="251" t="n"/>
      <c r="PLF1" s="251" t="n"/>
      <c r="PLG1" s="251" t="n"/>
      <c r="PLH1" s="251" t="n"/>
      <c r="PLI1" s="251" t="n"/>
      <c r="PLJ1" s="251" t="n"/>
      <c r="PLK1" s="251" t="n"/>
      <c r="PLL1" s="251" t="n"/>
      <c r="PLM1" s="251" t="n"/>
      <c r="PLN1" s="251" t="n"/>
      <c r="PLO1" s="251" t="n"/>
      <c r="PLP1" s="251" t="n"/>
      <c r="PLQ1" s="251" t="n"/>
      <c r="PLR1" s="251" t="n"/>
      <c r="PLS1" s="251" t="n"/>
      <c r="PLT1" s="251" t="n"/>
      <c r="PLU1" s="251" t="n"/>
      <c r="PLV1" s="251" t="n"/>
      <c r="PLW1" s="251" t="n"/>
      <c r="PLX1" s="251" t="n"/>
      <c r="PLY1" s="251" t="n"/>
      <c r="PLZ1" s="251" t="n"/>
      <c r="PMA1" s="251" t="n"/>
      <c r="PMB1" s="251" t="n"/>
      <c r="PMC1" s="251" t="n"/>
      <c r="PMD1" s="251" t="n"/>
      <c r="PME1" s="251" t="n"/>
      <c r="PMF1" s="251" t="n"/>
      <c r="PMG1" s="251" t="n"/>
      <c r="PMH1" s="251" t="n"/>
      <c r="PMI1" s="251" t="n"/>
      <c r="PMJ1" s="251" t="n"/>
      <c r="PMK1" s="251" t="n"/>
      <c r="PML1" s="251" t="n"/>
      <c r="PMM1" s="251" t="n"/>
      <c r="PMN1" s="251" t="n"/>
      <c r="PMO1" s="251" t="n"/>
      <c r="PMP1" s="251" t="n"/>
      <c r="PMQ1" s="251" t="n"/>
      <c r="PMR1" s="251" t="n"/>
      <c r="PMS1" s="251" t="n"/>
      <c r="PMT1" s="251" t="n"/>
      <c r="PMU1" s="251" t="n"/>
      <c r="PMV1" s="251" t="n"/>
      <c r="PMW1" s="251" t="n"/>
      <c r="PMX1" s="251" t="n"/>
      <c r="PMY1" s="251" t="n"/>
      <c r="PMZ1" s="251" t="n"/>
      <c r="PNA1" s="251" t="n"/>
      <c r="PNB1" s="251" t="n"/>
      <c r="PNC1" s="251" t="n"/>
      <c r="PND1" s="251" t="n"/>
      <c r="PNE1" s="251" t="n"/>
      <c r="PNF1" s="251" t="n"/>
      <c r="PNG1" s="251" t="n"/>
      <c r="PNH1" s="251" t="n"/>
      <c r="PNI1" s="251" t="n"/>
      <c r="PNJ1" s="251" t="n"/>
      <c r="PNK1" s="251" t="n"/>
      <c r="PNL1" s="251" t="n"/>
      <c r="PNM1" s="251" t="n"/>
      <c r="PNN1" s="251" t="n"/>
      <c r="PNO1" s="251" t="n"/>
      <c r="PNP1" s="251" t="n"/>
      <c r="PNQ1" s="251" t="n"/>
      <c r="PNR1" s="251" t="n"/>
      <c r="PNS1" s="251" t="n"/>
      <c r="PNT1" s="251" t="n"/>
      <c r="PNU1" s="251" t="n"/>
      <c r="PNV1" s="251" t="n"/>
      <c r="PNW1" s="251" t="n"/>
      <c r="PNX1" s="251" t="n"/>
      <c r="PNY1" s="251" t="n"/>
      <c r="PNZ1" s="251" t="n"/>
      <c r="POA1" s="251" t="n"/>
      <c r="POB1" s="251" t="n"/>
      <c r="POC1" s="251" t="n"/>
      <c r="POD1" s="251" t="n"/>
      <c r="POE1" s="251" t="n"/>
      <c r="POF1" s="251" t="n"/>
      <c r="POG1" s="251" t="n"/>
      <c r="POH1" s="251" t="n"/>
      <c r="POI1" s="251" t="n"/>
      <c r="POJ1" s="251" t="n"/>
      <c r="POK1" s="251" t="n"/>
      <c r="POL1" s="251" t="n"/>
      <c r="POM1" s="251" t="n"/>
      <c r="PON1" s="251" t="n"/>
      <c r="POO1" s="251" t="n"/>
      <c r="POP1" s="251" t="n"/>
      <c r="POQ1" s="251" t="n"/>
      <c r="POR1" s="251" t="n"/>
      <c r="POS1" s="251" t="n"/>
      <c r="POT1" s="251" t="n"/>
      <c r="POU1" s="251" t="n"/>
      <c r="POV1" s="251" t="n"/>
      <c r="POW1" s="251" t="n"/>
      <c r="POX1" s="251" t="n"/>
      <c r="POY1" s="251" t="n"/>
      <c r="POZ1" s="251" t="n"/>
      <c r="PPA1" s="251" t="n"/>
      <c r="PPB1" s="251" t="n"/>
      <c r="PPC1" s="251" t="n"/>
      <c r="PPD1" s="251" t="n"/>
      <c r="PPE1" s="251" t="n"/>
      <c r="PPF1" s="251" t="n"/>
      <c r="PPG1" s="251" t="n"/>
      <c r="PPH1" s="251" t="n"/>
      <c r="PPI1" s="251" t="n"/>
      <c r="PPJ1" s="251" t="n"/>
      <c r="PPK1" s="251" t="n"/>
      <c r="PPL1" s="251" t="n"/>
      <c r="PPM1" s="251" t="n"/>
      <c r="PPN1" s="251" t="n"/>
      <c r="PPO1" s="251" t="n"/>
      <c r="PPP1" s="251" t="n"/>
      <c r="PPQ1" s="251" t="n"/>
      <c r="PPR1" s="251" t="n"/>
      <c r="PPS1" s="251" t="n"/>
      <c r="PPT1" s="251" t="n"/>
      <c r="PPU1" s="251" t="n"/>
      <c r="PPV1" s="251" t="n"/>
      <c r="PPW1" s="251" t="n"/>
      <c r="PPX1" s="251" t="n"/>
      <c r="PPY1" s="251" t="n"/>
      <c r="PPZ1" s="251" t="n"/>
      <c r="PQA1" s="251" t="n"/>
      <c r="PQB1" s="251" t="n"/>
      <c r="PQC1" s="251" t="n"/>
      <c r="PQD1" s="251" t="n"/>
      <c r="PQE1" s="251" t="n"/>
      <c r="PQF1" s="251" t="n"/>
      <c r="PQG1" s="251" t="n"/>
      <c r="PQH1" s="251" t="n"/>
      <c r="PQI1" s="251" t="n"/>
      <c r="PQJ1" s="251" t="n"/>
      <c r="PQK1" s="251" t="n"/>
      <c r="PQL1" s="251" t="n"/>
      <c r="PQM1" s="251" t="n"/>
      <c r="PQN1" s="251" t="n"/>
      <c r="PQO1" s="251" t="n"/>
      <c r="PQP1" s="251" t="n"/>
      <c r="PQQ1" s="251" t="n"/>
      <c r="PQR1" s="251" t="n"/>
      <c r="PQS1" s="251" t="n"/>
      <c r="PQT1" s="251" t="n"/>
      <c r="PQU1" s="251" t="n"/>
      <c r="PQV1" s="251" t="n"/>
      <c r="PQW1" s="251" t="n"/>
      <c r="PQX1" s="251" t="n"/>
      <c r="PQY1" s="251" t="n"/>
      <c r="PQZ1" s="251" t="n"/>
      <c r="PRA1" s="251" t="n"/>
      <c r="PRB1" s="251" t="n"/>
      <c r="PRC1" s="251" t="n"/>
      <c r="PRD1" s="251" t="n"/>
      <c r="PRE1" s="251" t="n"/>
      <c r="PRF1" s="251" t="n"/>
      <c r="PRG1" s="251" t="n"/>
      <c r="PRH1" s="251" t="n"/>
      <c r="PRI1" s="251" t="n"/>
      <c r="PRJ1" s="251" t="n"/>
      <c r="PRK1" s="251" t="n"/>
      <c r="PRL1" s="251" t="n"/>
      <c r="PRM1" s="251" t="n"/>
      <c r="PRN1" s="251" t="n"/>
      <c r="PRO1" s="251" t="n"/>
      <c r="PRP1" s="251" t="n"/>
      <c r="PRQ1" s="251" t="n"/>
      <c r="PRR1" s="251" t="n"/>
      <c r="PRS1" s="251" t="n"/>
      <c r="PRT1" s="251" t="n"/>
      <c r="PRU1" s="251" t="n"/>
      <c r="PRV1" s="251" t="n"/>
      <c r="PRW1" s="251" t="n"/>
      <c r="PRX1" s="251" t="n"/>
      <c r="PRY1" s="251" t="n"/>
      <c r="PRZ1" s="251" t="n"/>
      <c r="PSA1" s="251" t="n"/>
      <c r="PSB1" s="251" t="n"/>
      <c r="PSC1" s="251" t="n"/>
      <c r="PSD1" s="251" t="n"/>
      <c r="PSE1" s="251" t="n"/>
      <c r="PSF1" s="251" t="n"/>
      <c r="PSG1" s="251" t="n"/>
      <c r="PSH1" s="251" t="n"/>
      <c r="PSI1" s="251" t="n"/>
      <c r="PSJ1" s="251" t="n"/>
      <c r="PSK1" s="251" t="n"/>
      <c r="PSL1" s="251" t="n"/>
      <c r="PSM1" s="251" t="n"/>
      <c r="PSN1" s="251" t="n"/>
      <c r="PSO1" s="251" t="n"/>
      <c r="PSP1" s="251" t="n"/>
      <c r="PSQ1" s="251" t="n"/>
      <c r="PSR1" s="251" t="n"/>
      <c r="PSS1" s="251" t="n"/>
      <c r="PST1" s="251" t="n"/>
      <c r="PSU1" s="251" t="n"/>
      <c r="PSV1" s="251" t="n"/>
      <c r="PSW1" s="251" t="n"/>
      <c r="PSX1" s="251" t="n"/>
      <c r="PSY1" s="251" t="n"/>
      <c r="PSZ1" s="251" t="n"/>
      <c r="PTA1" s="251" t="n"/>
      <c r="PTB1" s="251" t="n"/>
      <c r="PTC1" s="251" t="n"/>
      <c r="PTD1" s="251" t="n"/>
      <c r="PTE1" s="251" t="n"/>
      <c r="PTF1" s="251" t="n"/>
      <c r="PTG1" s="251" t="n"/>
      <c r="PTH1" s="251" t="n"/>
      <c r="PTI1" s="251" t="n"/>
      <c r="PTJ1" s="251" t="n"/>
      <c r="PTK1" s="251" t="n"/>
      <c r="PTL1" s="251" t="n"/>
      <c r="PTM1" s="251" t="n"/>
      <c r="PTN1" s="251" t="n"/>
      <c r="PTO1" s="251" t="n"/>
      <c r="PTP1" s="251" t="n"/>
      <c r="PTQ1" s="251" t="n"/>
      <c r="PTR1" s="251" t="n"/>
      <c r="PTS1" s="251" t="n"/>
      <c r="PTT1" s="251" t="n"/>
      <c r="PTU1" s="251" t="n"/>
      <c r="PTV1" s="251" t="n"/>
      <c r="PTW1" s="251" t="n"/>
      <c r="PTX1" s="251" t="n"/>
      <c r="PTY1" s="251" t="n"/>
      <c r="PTZ1" s="251" t="n"/>
      <c r="PUA1" s="251" t="n"/>
      <c r="PUB1" s="251" t="n"/>
      <c r="PUC1" s="251" t="n"/>
      <c r="PUD1" s="251" t="n"/>
      <c r="PUE1" s="251" t="n"/>
      <c r="PUF1" s="251" t="n"/>
      <c r="PUG1" s="251" t="n"/>
      <c r="PUH1" s="251" t="n"/>
      <c r="PUI1" s="251" t="n"/>
      <c r="PUJ1" s="251" t="n"/>
      <c r="PUK1" s="251" t="n"/>
      <c r="PUL1" s="251" t="n"/>
      <c r="PUM1" s="251" t="n"/>
      <c r="PUN1" s="251" t="n"/>
      <c r="PUO1" s="251" t="n"/>
      <c r="PUP1" s="251" t="n"/>
      <c r="PUQ1" s="251" t="n"/>
      <c r="PUR1" s="251" t="n"/>
      <c r="PUS1" s="251" t="n"/>
      <c r="PUT1" s="251" t="n"/>
      <c r="PUU1" s="251" t="n"/>
      <c r="PUV1" s="251" t="n"/>
      <c r="PUW1" s="251" t="n"/>
      <c r="PUX1" s="251" t="n"/>
      <c r="PUY1" s="251" t="n"/>
      <c r="PUZ1" s="251" t="n"/>
      <c r="PVA1" s="251" t="n"/>
      <c r="PVB1" s="251" t="n"/>
      <c r="PVC1" s="251" t="n"/>
      <c r="PVD1" s="251" t="n"/>
      <c r="PVE1" s="251" t="n"/>
      <c r="PVF1" s="251" t="n"/>
      <c r="PVG1" s="251" t="n"/>
      <c r="PVH1" s="251" t="n"/>
      <c r="PVI1" s="251" t="n"/>
      <c r="PVJ1" s="251" t="n"/>
      <c r="PVK1" s="251" t="n"/>
      <c r="PVL1" s="251" t="n"/>
      <c r="PVM1" s="251" t="n"/>
      <c r="PVN1" s="251" t="n"/>
      <c r="PVO1" s="251" t="n"/>
      <c r="PVP1" s="251" t="n"/>
      <c r="PVQ1" s="251" t="n"/>
      <c r="PVR1" s="251" t="n"/>
      <c r="PVS1" s="251" t="n"/>
      <c r="PVT1" s="251" t="n"/>
      <c r="PVU1" s="251" t="n"/>
      <c r="PVV1" s="251" t="n"/>
      <c r="PVW1" s="251" t="n"/>
      <c r="PVX1" s="251" t="n"/>
      <c r="PVY1" s="251" t="n"/>
      <c r="PVZ1" s="251" t="n"/>
      <c r="PWA1" s="251" t="n"/>
      <c r="PWB1" s="251" t="n"/>
      <c r="PWC1" s="251" t="n"/>
      <c r="PWD1" s="251" t="n"/>
      <c r="PWE1" s="251" t="n"/>
      <c r="PWF1" s="251" t="n"/>
      <c r="PWG1" s="251" t="n"/>
      <c r="PWH1" s="251" t="n"/>
      <c r="PWI1" s="251" t="n"/>
      <c r="PWJ1" s="251" t="n"/>
      <c r="PWK1" s="251" t="n"/>
      <c r="PWL1" s="251" t="n"/>
      <c r="PWM1" s="251" t="n"/>
      <c r="PWN1" s="251" t="n"/>
      <c r="PWO1" s="251" t="n"/>
      <c r="PWP1" s="251" t="n"/>
      <c r="PWQ1" s="251" t="n"/>
      <c r="PWR1" s="251" t="n"/>
      <c r="PWS1" s="251" t="n"/>
      <c r="PWT1" s="251" t="n"/>
      <c r="PWU1" s="251" t="n"/>
      <c r="PWV1" s="251" t="n"/>
      <c r="PWW1" s="251" t="n"/>
      <c r="PWX1" s="251" t="n"/>
      <c r="PWY1" s="251" t="n"/>
      <c r="PWZ1" s="251" t="n"/>
      <c r="PXA1" s="251" t="n"/>
      <c r="PXB1" s="251" t="n"/>
      <c r="PXC1" s="251" t="n"/>
      <c r="PXD1" s="251" t="n"/>
      <c r="PXE1" s="251" t="n"/>
      <c r="PXF1" s="251" t="n"/>
      <c r="PXG1" s="251" t="n"/>
      <c r="PXH1" s="251" t="n"/>
      <c r="PXI1" s="251" t="n"/>
      <c r="PXJ1" s="251" t="n"/>
      <c r="PXK1" s="251" t="n"/>
      <c r="PXL1" s="251" t="n"/>
      <c r="PXM1" s="251" t="n"/>
      <c r="PXN1" s="251" t="n"/>
      <c r="PXO1" s="251" t="n"/>
      <c r="PXP1" s="251" t="n"/>
      <c r="PXQ1" s="251" t="n"/>
      <c r="PXR1" s="251" t="n"/>
      <c r="PXS1" s="251" t="n"/>
      <c r="PXT1" s="251" t="n"/>
      <c r="PXU1" s="251" t="n"/>
      <c r="PXV1" s="251" t="n"/>
      <c r="PXW1" s="251" t="n"/>
      <c r="PXX1" s="251" t="n"/>
      <c r="PXY1" s="251" t="n"/>
      <c r="PXZ1" s="251" t="n"/>
      <c r="PYA1" s="251" t="n"/>
      <c r="PYB1" s="251" t="n"/>
      <c r="PYC1" s="251" t="n"/>
      <c r="PYD1" s="251" t="n"/>
      <c r="PYE1" s="251" t="n"/>
      <c r="PYF1" s="251" t="n"/>
      <c r="PYG1" s="251" t="n"/>
      <c r="PYH1" s="251" t="n"/>
      <c r="PYI1" s="251" t="n"/>
      <c r="PYJ1" s="251" t="n"/>
      <c r="PYK1" s="251" t="n"/>
      <c r="PYL1" s="251" t="n"/>
      <c r="PYM1" s="251" t="n"/>
      <c r="PYN1" s="251" t="n"/>
      <c r="PYO1" s="251" t="n"/>
      <c r="PYP1" s="251" t="n"/>
      <c r="PYQ1" s="251" t="n"/>
      <c r="PYR1" s="251" t="n"/>
      <c r="PYS1" s="251" t="n"/>
      <c r="PYT1" s="251" t="n"/>
      <c r="PYU1" s="251" t="n"/>
      <c r="PYV1" s="251" t="n"/>
      <c r="PYW1" s="251" t="n"/>
      <c r="PYX1" s="251" t="n"/>
      <c r="PYY1" s="251" t="n"/>
      <c r="PYZ1" s="251" t="n"/>
      <c r="PZA1" s="251" t="n"/>
      <c r="PZB1" s="251" t="n"/>
      <c r="PZC1" s="251" t="n"/>
      <c r="PZD1" s="251" t="n"/>
      <c r="PZE1" s="251" t="n"/>
      <c r="PZF1" s="251" t="n"/>
      <c r="PZG1" s="251" t="n"/>
      <c r="PZH1" s="251" t="n"/>
      <c r="PZI1" s="251" t="n"/>
      <c r="PZJ1" s="251" t="n"/>
      <c r="PZK1" s="251" t="n"/>
      <c r="PZL1" s="251" t="n"/>
      <c r="PZM1" s="251" t="n"/>
      <c r="PZN1" s="251" t="n"/>
      <c r="PZO1" s="251" t="n"/>
      <c r="PZP1" s="251" t="n"/>
      <c r="PZQ1" s="251" t="n"/>
      <c r="PZR1" s="251" t="n"/>
      <c r="PZS1" s="251" t="n"/>
      <c r="PZT1" s="251" t="n"/>
      <c r="PZU1" s="251" t="n"/>
      <c r="PZV1" s="251" t="n"/>
      <c r="PZW1" s="251" t="n"/>
      <c r="PZX1" s="251" t="n"/>
      <c r="PZY1" s="251" t="n"/>
      <c r="PZZ1" s="251" t="n"/>
      <c r="QAA1" s="251" t="n"/>
      <c r="QAB1" s="251" t="n"/>
      <c r="QAC1" s="251" t="n"/>
      <c r="QAD1" s="251" t="n"/>
      <c r="QAE1" s="251" t="n"/>
      <c r="QAF1" s="251" t="n"/>
      <c r="QAG1" s="251" t="n"/>
      <c r="QAH1" s="251" t="n"/>
      <c r="QAI1" s="251" t="n"/>
      <c r="QAJ1" s="251" t="n"/>
      <c r="QAK1" s="251" t="n"/>
      <c r="QAL1" s="251" t="n"/>
      <c r="QAM1" s="251" t="n"/>
      <c r="QAN1" s="251" t="n"/>
      <c r="QAO1" s="251" t="n"/>
      <c r="QAP1" s="251" t="n"/>
      <c r="QAQ1" s="251" t="n"/>
      <c r="QAR1" s="251" t="n"/>
      <c r="QAS1" s="251" t="n"/>
      <c r="QAT1" s="251" t="n"/>
      <c r="QAU1" s="251" t="n"/>
      <c r="QAV1" s="251" t="n"/>
      <c r="QAW1" s="251" t="n"/>
      <c r="QAX1" s="251" t="n"/>
      <c r="QAY1" s="251" t="n"/>
      <c r="QAZ1" s="251" t="n"/>
      <c r="QBA1" s="251" t="n"/>
      <c r="QBB1" s="251" t="n"/>
      <c r="QBC1" s="251" t="n"/>
      <c r="QBD1" s="251" t="n"/>
      <c r="QBE1" s="251" t="n"/>
      <c r="QBF1" s="251" t="n"/>
      <c r="QBG1" s="251" t="n"/>
      <c r="QBH1" s="251" t="n"/>
      <c r="QBI1" s="251" t="n"/>
      <c r="QBJ1" s="251" t="n"/>
      <c r="QBK1" s="251" t="n"/>
      <c r="QBL1" s="251" t="n"/>
      <c r="QBM1" s="251" t="n"/>
      <c r="QBN1" s="251" t="n"/>
      <c r="QBO1" s="251" t="n"/>
      <c r="QBP1" s="251" t="n"/>
      <c r="QBQ1" s="251" t="n"/>
      <c r="QBR1" s="251" t="n"/>
      <c r="QBS1" s="251" t="n"/>
      <c r="QBT1" s="251" t="n"/>
      <c r="QBU1" s="251" t="n"/>
      <c r="QBV1" s="251" t="n"/>
      <c r="QBW1" s="251" t="n"/>
      <c r="QBX1" s="251" t="n"/>
      <c r="QBY1" s="251" t="n"/>
      <c r="QBZ1" s="251" t="n"/>
      <c r="QCA1" s="251" t="n"/>
      <c r="QCB1" s="251" t="n"/>
      <c r="QCC1" s="251" t="n"/>
      <c r="QCD1" s="251" t="n"/>
      <c r="QCE1" s="251" t="n"/>
      <c r="QCF1" s="251" t="n"/>
      <c r="QCG1" s="251" t="n"/>
      <c r="QCH1" s="251" t="n"/>
      <c r="QCI1" s="251" t="n"/>
      <c r="QCJ1" s="251" t="n"/>
      <c r="QCK1" s="251" t="n"/>
      <c r="QCL1" s="251" t="n"/>
      <c r="QCM1" s="251" t="n"/>
      <c r="QCN1" s="251" t="n"/>
      <c r="QCO1" s="251" t="n"/>
      <c r="QCP1" s="251" t="n"/>
      <c r="QCQ1" s="251" t="n"/>
      <c r="QCR1" s="251" t="n"/>
      <c r="QCS1" s="251" t="n"/>
      <c r="QCT1" s="251" t="n"/>
      <c r="QCU1" s="251" t="n"/>
      <c r="QCV1" s="251" t="n"/>
      <c r="QCW1" s="251" t="n"/>
      <c r="QCX1" s="251" t="n"/>
      <c r="QCY1" s="251" t="n"/>
      <c r="QCZ1" s="251" t="n"/>
      <c r="QDA1" s="251" t="n"/>
      <c r="QDB1" s="251" t="n"/>
      <c r="QDC1" s="251" t="n"/>
      <c r="QDD1" s="251" t="n"/>
      <c r="QDE1" s="251" t="n"/>
      <c r="QDF1" s="251" t="n"/>
      <c r="QDG1" s="251" t="n"/>
      <c r="QDH1" s="251" t="n"/>
      <c r="QDI1" s="251" t="n"/>
      <c r="QDJ1" s="251" t="n"/>
      <c r="QDK1" s="251" t="n"/>
      <c r="QDL1" s="251" t="n"/>
      <c r="QDM1" s="251" t="n"/>
      <c r="QDN1" s="251" t="n"/>
      <c r="QDO1" s="251" t="n"/>
      <c r="QDP1" s="251" t="n"/>
      <c r="QDQ1" s="251" t="n"/>
      <c r="QDR1" s="251" t="n"/>
      <c r="QDS1" s="251" t="n"/>
      <c r="QDT1" s="251" t="n"/>
      <c r="QDU1" s="251" t="n"/>
      <c r="QDV1" s="251" t="n"/>
      <c r="QDW1" s="251" t="n"/>
      <c r="QDX1" s="251" t="n"/>
      <c r="QDY1" s="251" t="n"/>
      <c r="QDZ1" s="251" t="n"/>
      <c r="QEA1" s="251" t="n"/>
      <c r="QEB1" s="251" t="n"/>
      <c r="QEC1" s="251" t="n"/>
      <c r="QED1" s="251" t="n"/>
      <c r="QEE1" s="251" t="n"/>
      <c r="QEF1" s="251" t="n"/>
      <c r="QEG1" s="251" t="n"/>
      <c r="QEH1" s="251" t="n"/>
      <c r="QEI1" s="251" t="n"/>
      <c r="QEJ1" s="251" t="n"/>
      <c r="QEK1" s="251" t="n"/>
      <c r="QEL1" s="251" t="n"/>
      <c r="QEM1" s="251" t="n"/>
      <c r="QEN1" s="251" t="n"/>
      <c r="QEO1" s="251" t="n"/>
      <c r="QEP1" s="251" t="n"/>
      <c r="QEQ1" s="251" t="n"/>
      <c r="QER1" s="251" t="n"/>
      <c r="QES1" s="251" t="n"/>
      <c r="QET1" s="251" t="n"/>
      <c r="QEU1" s="251" t="n"/>
      <c r="QEV1" s="251" t="n"/>
      <c r="QEW1" s="251" t="n"/>
      <c r="QEX1" s="251" t="n"/>
      <c r="QEY1" s="251" t="n"/>
      <c r="QEZ1" s="251" t="n"/>
      <c r="QFA1" s="251" t="n"/>
      <c r="QFB1" s="251" t="n"/>
      <c r="QFC1" s="251" t="n"/>
      <c r="QFD1" s="251" t="n"/>
      <c r="QFE1" s="251" t="n"/>
      <c r="QFF1" s="251" t="n"/>
      <c r="QFG1" s="251" t="n"/>
      <c r="QFH1" s="251" t="n"/>
      <c r="QFI1" s="251" t="n"/>
      <c r="QFJ1" s="251" t="n"/>
      <c r="QFK1" s="251" t="n"/>
      <c r="QFL1" s="251" t="n"/>
      <c r="QFM1" s="251" t="n"/>
      <c r="QFN1" s="251" t="n"/>
      <c r="QFO1" s="251" t="n"/>
      <c r="QFP1" s="251" t="n"/>
      <c r="QFQ1" s="251" t="n"/>
      <c r="QFR1" s="251" t="n"/>
      <c r="QFS1" s="251" t="n"/>
      <c r="QFT1" s="251" t="n"/>
      <c r="QFU1" s="251" t="n"/>
      <c r="QFV1" s="251" t="n"/>
      <c r="QFW1" s="251" t="n"/>
      <c r="QFX1" s="251" t="n"/>
      <c r="QFY1" s="251" t="n"/>
      <c r="QFZ1" s="251" t="n"/>
      <c r="QGA1" s="251" t="n"/>
      <c r="QGB1" s="251" t="n"/>
      <c r="QGC1" s="251" t="n"/>
      <c r="QGD1" s="251" t="n"/>
      <c r="QGE1" s="251" t="n"/>
      <c r="QGF1" s="251" t="n"/>
      <c r="QGG1" s="251" t="n"/>
      <c r="QGH1" s="251" t="n"/>
      <c r="QGI1" s="251" t="n"/>
      <c r="QGJ1" s="251" t="n"/>
      <c r="QGK1" s="251" t="n"/>
      <c r="QGL1" s="251" t="n"/>
      <c r="QGM1" s="251" t="n"/>
      <c r="QGN1" s="251" t="n"/>
      <c r="QGO1" s="251" t="n"/>
      <c r="QGP1" s="251" t="n"/>
      <c r="QGQ1" s="251" t="n"/>
      <c r="QGR1" s="251" t="n"/>
      <c r="QGS1" s="251" t="n"/>
      <c r="QGT1" s="251" t="n"/>
      <c r="QGU1" s="251" t="n"/>
      <c r="QGV1" s="251" t="n"/>
      <c r="QGW1" s="251" t="n"/>
      <c r="QGX1" s="251" t="n"/>
      <c r="QGY1" s="251" t="n"/>
      <c r="QGZ1" s="251" t="n"/>
      <c r="QHA1" s="251" t="n"/>
      <c r="QHB1" s="251" t="n"/>
      <c r="QHC1" s="251" t="n"/>
      <c r="QHD1" s="251" t="n"/>
      <c r="QHE1" s="251" t="n"/>
      <c r="QHF1" s="251" t="n"/>
      <c r="QHG1" s="251" t="n"/>
      <c r="QHH1" s="251" t="n"/>
      <c r="QHI1" s="251" t="n"/>
      <c r="QHJ1" s="251" t="n"/>
      <c r="QHK1" s="251" t="n"/>
      <c r="QHL1" s="251" t="n"/>
      <c r="QHM1" s="251" t="n"/>
      <c r="QHN1" s="251" t="n"/>
      <c r="QHO1" s="251" t="n"/>
      <c r="QHP1" s="251" t="n"/>
      <c r="QHQ1" s="251" t="n"/>
      <c r="QHR1" s="251" t="n"/>
      <c r="QHS1" s="251" t="n"/>
      <c r="QHT1" s="251" t="n"/>
      <c r="QHU1" s="251" t="n"/>
      <c r="QHV1" s="251" t="n"/>
      <c r="QHW1" s="251" t="n"/>
      <c r="QHX1" s="251" t="n"/>
      <c r="QHY1" s="251" t="n"/>
      <c r="QHZ1" s="251" t="n"/>
      <c r="QIA1" s="251" t="n"/>
      <c r="QIB1" s="251" t="n"/>
      <c r="QIC1" s="251" t="n"/>
      <c r="QID1" s="251" t="n"/>
      <c r="QIE1" s="251" t="n"/>
      <c r="QIF1" s="251" t="n"/>
      <c r="QIG1" s="251" t="n"/>
      <c r="QIH1" s="251" t="n"/>
      <c r="QII1" s="251" t="n"/>
      <c r="QIJ1" s="251" t="n"/>
      <c r="QIK1" s="251" t="n"/>
      <c r="QIL1" s="251" t="n"/>
      <c r="QIM1" s="251" t="n"/>
      <c r="QIN1" s="251" t="n"/>
      <c r="QIO1" s="251" t="n"/>
      <c r="QIP1" s="251" t="n"/>
      <c r="QIQ1" s="251" t="n"/>
      <c r="QIR1" s="251" t="n"/>
      <c r="QIS1" s="251" t="n"/>
      <c r="QIT1" s="251" t="n"/>
      <c r="QIU1" s="251" t="n"/>
      <c r="QIV1" s="251" t="n"/>
      <c r="QIW1" s="251" t="n"/>
      <c r="QIX1" s="251" t="n"/>
      <c r="QIY1" s="251" t="n"/>
      <c r="QIZ1" s="251" t="n"/>
      <c r="QJA1" s="251" t="n"/>
      <c r="QJB1" s="251" t="n"/>
      <c r="QJC1" s="251" t="n"/>
      <c r="QJD1" s="251" t="n"/>
      <c r="QJE1" s="251" t="n"/>
      <c r="QJF1" s="251" t="n"/>
      <c r="QJG1" s="251" t="n"/>
      <c r="QJH1" s="251" t="n"/>
      <c r="QJI1" s="251" t="n"/>
      <c r="QJJ1" s="251" t="n"/>
      <c r="QJK1" s="251" t="n"/>
      <c r="QJL1" s="251" t="n"/>
      <c r="QJM1" s="251" t="n"/>
      <c r="QJN1" s="251" t="n"/>
      <c r="QJO1" s="251" t="n"/>
      <c r="QJP1" s="251" t="n"/>
      <c r="QJQ1" s="251" t="n"/>
      <c r="QJR1" s="251" t="n"/>
      <c r="QJS1" s="251" t="n"/>
      <c r="QJT1" s="251" t="n"/>
      <c r="QJU1" s="251" t="n"/>
      <c r="QJV1" s="251" t="n"/>
      <c r="QJW1" s="251" t="n"/>
      <c r="QJX1" s="251" t="n"/>
      <c r="QJY1" s="251" t="n"/>
      <c r="QJZ1" s="251" t="n"/>
      <c r="QKA1" s="251" t="n"/>
      <c r="QKB1" s="251" t="n"/>
      <c r="QKC1" s="251" t="n"/>
      <c r="QKD1" s="251" t="n"/>
      <c r="QKE1" s="251" t="n"/>
      <c r="QKF1" s="251" t="n"/>
      <c r="QKG1" s="251" t="n"/>
      <c r="QKH1" s="251" t="n"/>
      <c r="QKI1" s="251" t="n"/>
      <c r="QKJ1" s="251" t="n"/>
      <c r="QKK1" s="251" t="n"/>
      <c r="QKL1" s="251" t="n"/>
      <c r="QKM1" s="251" t="n"/>
      <c r="QKN1" s="251" t="n"/>
      <c r="QKO1" s="251" t="n"/>
      <c r="QKP1" s="251" t="n"/>
      <c r="QKQ1" s="251" t="n"/>
      <c r="QKR1" s="251" t="n"/>
      <c r="QKS1" s="251" t="n"/>
      <c r="QKT1" s="251" t="n"/>
      <c r="QKU1" s="251" t="n"/>
      <c r="QKV1" s="251" t="n"/>
      <c r="QKW1" s="251" t="n"/>
      <c r="QKX1" s="251" t="n"/>
      <c r="QKY1" s="251" t="n"/>
      <c r="QKZ1" s="251" t="n"/>
      <c r="QLA1" s="251" t="n"/>
      <c r="QLB1" s="251" t="n"/>
      <c r="QLC1" s="251" t="n"/>
      <c r="QLD1" s="251" t="n"/>
      <c r="QLE1" s="251" t="n"/>
      <c r="QLF1" s="251" t="n"/>
      <c r="QLG1" s="251" t="n"/>
      <c r="QLH1" s="251" t="n"/>
      <c r="QLI1" s="251" t="n"/>
      <c r="QLJ1" s="251" t="n"/>
      <c r="QLK1" s="251" t="n"/>
      <c r="QLL1" s="251" t="n"/>
      <c r="QLM1" s="251" t="n"/>
      <c r="QLN1" s="251" t="n"/>
      <c r="QLO1" s="251" t="n"/>
      <c r="QLP1" s="251" t="n"/>
      <c r="QLQ1" s="251" t="n"/>
      <c r="QLR1" s="251" t="n"/>
      <c r="QLS1" s="251" t="n"/>
      <c r="QLT1" s="251" t="n"/>
      <c r="QLU1" s="251" t="n"/>
      <c r="QLV1" s="251" t="n"/>
      <c r="QLW1" s="251" t="n"/>
      <c r="QLX1" s="251" t="n"/>
      <c r="QLY1" s="251" t="n"/>
      <c r="QLZ1" s="251" t="n"/>
      <c r="QMA1" s="251" t="n"/>
      <c r="QMB1" s="251" t="n"/>
      <c r="QMC1" s="251" t="n"/>
      <c r="QMD1" s="251" t="n"/>
      <c r="QME1" s="251" t="n"/>
      <c r="QMF1" s="251" t="n"/>
      <c r="QMG1" s="251" t="n"/>
      <c r="QMH1" s="251" t="n"/>
      <c r="QMI1" s="251" t="n"/>
      <c r="QMJ1" s="251" t="n"/>
      <c r="QMK1" s="251" t="n"/>
      <c r="QML1" s="251" t="n"/>
      <c r="QMM1" s="251" t="n"/>
      <c r="QMN1" s="251" t="n"/>
      <c r="QMO1" s="251" t="n"/>
      <c r="QMP1" s="251" t="n"/>
      <c r="QMQ1" s="251" t="n"/>
      <c r="QMR1" s="251" t="n"/>
      <c r="QMS1" s="251" t="n"/>
      <c r="QMT1" s="251" t="n"/>
      <c r="QMU1" s="251" t="n"/>
      <c r="QMV1" s="251" t="n"/>
      <c r="QMW1" s="251" t="n"/>
      <c r="QMX1" s="251" t="n"/>
      <c r="QMY1" s="251" t="n"/>
      <c r="QMZ1" s="251" t="n"/>
      <c r="QNA1" s="251" t="n"/>
      <c r="QNB1" s="251" t="n"/>
      <c r="QNC1" s="251" t="n"/>
      <c r="QND1" s="251" t="n"/>
      <c r="QNE1" s="251" t="n"/>
      <c r="QNF1" s="251" t="n"/>
      <c r="QNG1" s="251" t="n"/>
      <c r="QNH1" s="251" t="n"/>
      <c r="QNI1" s="251" t="n"/>
      <c r="QNJ1" s="251" t="n"/>
      <c r="QNK1" s="251" t="n"/>
      <c r="QNL1" s="251" t="n"/>
      <c r="QNM1" s="251" t="n"/>
      <c r="QNN1" s="251" t="n"/>
      <c r="QNO1" s="251" t="n"/>
      <c r="QNP1" s="251" t="n"/>
      <c r="QNQ1" s="251" t="n"/>
      <c r="QNR1" s="251" t="n"/>
      <c r="QNS1" s="251" t="n"/>
      <c r="QNT1" s="251" t="n"/>
      <c r="QNU1" s="251" t="n"/>
      <c r="QNV1" s="251" t="n"/>
      <c r="QNW1" s="251" t="n"/>
      <c r="QNX1" s="251" t="n"/>
      <c r="QNY1" s="251" t="n"/>
      <c r="QNZ1" s="251" t="n"/>
      <c r="QOA1" s="251" t="n"/>
      <c r="QOB1" s="251" t="n"/>
      <c r="QOC1" s="251" t="n"/>
      <c r="QOD1" s="251" t="n"/>
      <c r="QOE1" s="251" t="n"/>
      <c r="QOF1" s="251" t="n"/>
      <c r="QOG1" s="251" t="n"/>
      <c r="QOH1" s="251" t="n"/>
      <c r="QOI1" s="251" t="n"/>
      <c r="QOJ1" s="251" t="n"/>
      <c r="QOK1" s="251" t="n"/>
      <c r="QOL1" s="251" t="n"/>
      <c r="QOM1" s="251" t="n"/>
      <c r="QON1" s="251" t="n"/>
      <c r="QOO1" s="251" t="n"/>
      <c r="QOP1" s="251" t="n"/>
      <c r="QOQ1" s="251" t="n"/>
      <c r="QOR1" s="251" t="n"/>
      <c r="QOS1" s="251" t="n"/>
      <c r="QOT1" s="251" t="n"/>
      <c r="QOU1" s="251" t="n"/>
      <c r="QOV1" s="251" t="n"/>
      <c r="QOW1" s="251" t="n"/>
      <c r="QOX1" s="251" t="n"/>
      <c r="QOY1" s="251" t="n"/>
      <c r="QOZ1" s="251" t="n"/>
      <c r="QPA1" s="251" t="n"/>
      <c r="QPB1" s="251" t="n"/>
      <c r="QPC1" s="251" t="n"/>
      <c r="QPD1" s="251" t="n"/>
      <c r="QPE1" s="251" t="n"/>
      <c r="QPF1" s="251" t="n"/>
      <c r="QPG1" s="251" t="n"/>
      <c r="QPH1" s="251" t="n"/>
      <c r="QPI1" s="251" t="n"/>
      <c r="QPJ1" s="251" t="n"/>
      <c r="QPK1" s="251" t="n"/>
      <c r="QPL1" s="251" t="n"/>
      <c r="QPM1" s="251" t="n"/>
      <c r="QPN1" s="251" t="n"/>
      <c r="QPO1" s="251" t="n"/>
      <c r="QPP1" s="251" t="n"/>
      <c r="QPQ1" s="251" t="n"/>
      <c r="QPR1" s="251" t="n"/>
      <c r="QPS1" s="251" t="n"/>
      <c r="QPT1" s="251" t="n"/>
      <c r="QPU1" s="251" t="n"/>
      <c r="QPV1" s="251" t="n"/>
      <c r="QPW1" s="251" t="n"/>
      <c r="QPX1" s="251" t="n"/>
      <c r="QPY1" s="251" t="n"/>
      <c r="QPZ1" s="251" t="n"/>
      <c r="QQA1" s="251" t="n"/>
      <c r="QQB1" s="251" t="n"/>
      <c r="QQC1" s="251" t="n"/>
      <c r="QQD1" s="251" t="n"/>
      <c r="QQE1" s="251" t="n"/>
      <c r="QQF1" s="251" t="n"/>
      <c r="QQG1" s="251" t="n"/>
      <c r="QQH1" s="251" t="n"/>
      <c r="QQI1" s="251" t="n"/>
      <c r="QQJ1" s="251" t="n"/>
      <c r="QQK1" s="251" t="n"/>
      <c r="QQL1" s="251" t="n"/>
      <c r="QQM1" s="251" t="n"/>
      <c r="QQN1" s="251" t="n"/>
      <c r="QQO1" s="251" t="n"/>
      <c r="QQP1" s="251" t="n"/>
      <c r="QQQ1" s="251" t="n"/>
      <c r="QQR1" s="251" t="n"/>
      <c r="QQS1" s="251" t="n"/>
      <c r="QQT1" s="251" t="n"/>
      <c r="QQU1" s="251" t="n"/>
      <c r="QQV1" s="251" t="n"/>
      <c r="QQW1" s="251" t="n"/>
      <c r="QQX1" s="251" t="n"/>
      <c r="QQY1" s="251" t="n"/>
      <c r="QQZ1" s="251" t="n"/>
      <c r="QRA1" s="251" t="n"/>
      <c r="QRB1" s="251" t="n"/>
      <c r="QRC1" s="251" t="n"/>
      <c r="QRD1" s="251" t="n"/>
      <c r="QRE1" s="251" t="n"/>
      <c r="QRF1" s="251" t="n"/>
      <c r="QRG1" s="251" t="n"/>
      <c r="QRH1" s="251" t="n"/>
      <c r="QRI1" s="251" t="n"/>
      <c r="QRJ1" s="251" t="n"/>
      <c r="QRK1" s="251" t="n"/>
      <c r="QRL1" s="251" t="n"/>
      <c r="QRM1" s="251" t="n"/>
      <c r="QRN1" s="251" t="n"/>
      <c r="QRO1" s="251" t="n"/>
      <c r="QRP1" s="251" t="n"/>
      <c r="QRQ1" s="251" t="n"/>
      <c r="QRR1" s="251" t="n"/>
      <c r="QRS1" s="251" t="n"/>
      <c r="QRT1" s="251" t="n"/>
      <c r="QRU1" s="251" t="n"/>
      <c r="QRV1" s="251" t="n"/>
      <c r="QRW1" s="251" t="n"/>
      <c r="QRX1" s="251" t="n"/>
      <c r="QRY1" s="251" t="n"/>
      <c r="QRZ1" s="251" t="n"/>
      <c r="QSA1" s="251" t="n"/>
      <c r="QSB1" s="251" t="n"/>
      <c r="QSC1" s="251" t="n"/>
      <c r="QSD1" s="251" t="n"/>
      <c r="QSE1" s="251" t="n"/>
      <c r="QSF1" s="251" t="n"/>
      <c r="QSG1" s="251" t="n"/>
      <c r="QSH1" s="251" t="n"/>
      <c r="QSI1" s="251" t="n"/>
      <c r="QSJ1" s="251" t="n"/>
      <c r="QSK1" s="251" t="n"/>
      <c r="QSL1" s="251" t="n"/>
      <c r="QSM1" s="251" t="n"/>
      <c r="QSN1" s="251" t="n"/>
      <c r="QSO1" s="251" t="n"/>
      <c r="QSP1" s="251" t="n"/>
      <c r="QSQ1" s="251" t="n"/>
      <c r="QSR1" s="251" t="n"/>
      <c r="QSS1" s="251" t="n"/>
      <c r="QST1" s="251" t="n"/>
      <c r="QSU1" s="251" t="n"/>
      <c r="QSV1" s="251" t="n"/>
      <c r="QSW1" s="251" t="n"/>
      <c r="QSX1" s="251" t="n"/>
      <c r="QSY1" s="251" t="n"/>
      <c r="QSZ1" s="251" t="n"/>
      <c r="QTA1" s="251" t="n"/>
      <c r="QTB1" s="251" t="n"/>
      <c r="QTC1" s="251" t="n"/>
      <c r="QTD1" s="251" t="n"/>
      <c r="QTE1" s="251" t="n"/>
      <c r="QTF1" s="251" t="n"/>
      <c r="QTG1" s="251" t="n"/>
      <c r="QTH1" s="251" t="n"/>
      <c r="QTI1" s="251" t="n"/>
      <c r="QTJ1" s="251" t="n"/>
      <c r="QTK1" s="251" t="n"/>
      <c r="QTL1" s="251" t="n"/>
      <c r="QTM1" s="251" t="n"/>
      <c r="QTN1" s="251" t="n"/>
      <c r="QTO1" s="251" t="n"/>
      <c r="QTP1" s="251" t="n"/>
      <c r="QTQ1" s="251" t="n"/>
      <c r="QTR1" s="251" t="n"/>
      <c r="QTS1" s="251" t="n"/>
      <c r="QTT1" s="251" t="n"/>
      <c r="QTU1" s="251" t="n"/>
      <c r="QTV1" s="251" t="n"/>
      <c r="QTW1" s="251" t="n"/>
      <c r="QTX1" s="251" t="n"/>
      <c r="QTY1" s="251" t="n"/>
      <c r="QTZ1" s="251" t="n"/>
      <c r="QUA1" s="251" t="n"/>
      <c r="QUB1" s="251" t="n"/>
      <c r="QUC1" s="251" t="n"/>
      <c r="QUD1" s="251" t="n"/>
      <c r="QUE1" s="251" t="n"/>
      <c r="QUF1" s="251" t="n"/>
      <c r="QUG1" s="251" t="n"/>
      <c r="QUH1" s="251" t="n"/>
      <c r="QUI1" s="251" t="n"/>
      <c r="QUJ1" s="251" t="n"/>
      <c r="QUK1" s="251" t="n"/>
      <c r="QUL1" s="251" t="n"/>
      <c r="QUM1" s="251" t="n"/>
      <c r="QUN1" s="251" t="n"/>
      <c r="QUO1" s="251" t="n"/>
      <c r="QUP1" s="251" t="n"/>
      <c r="QUQ1" s="251" t="n"/>
      <c r="QUR1" s="251" t="n"/>
      <c r="QUS1" s="251" t="n"/>
      <c r="QUT1" s="251" t="n"/>
      <c r="QUU1" s="251" t="n"/>
      <c r="QUV1" s="251" t="n"/>
      <c r="QUW1" s="251" t="n"/>
      <c r="QUX1" s="251" t="n"/>
      <c r="QUY1" s="251" t="n"/>
      <c r="QUZ1" s="251" t="n"/>
      <c r="QVA1" s="251" t="n"/>
      <c r="QVB1" s="251" t="n"/>
      <c r="QVC1" s="251" t="n"/>
      <c r="QVD1" s="251" t="n"/>
      <c r="QVE1" s="251" t="n"/>
      <c r="QVF1" s="251" t="n"/>
      <c r="QVG1" s="251" t="n"/>
      <c r="QVH1" s="251" t="n"/>
      <c r="QVI1" s="251" t="n"/>
      <c r="QVJ1" s="251" t="n"/>
      <c r="QVK1" s="251" t="n"/>
      <c r="QVL1" s="251" t="n"/>
      <c r="QVM1" s="251" t="n"/>
      <c r="QVN1" s="251" t="n"/>
      <c r="QVO1" s="251" t="n"/>
      <c r="QVP1" s="251" t="n"/>
      <c r="QVQ1" s="251" t="n"/>
      <c r="QVR1" s="251" t="n"/>
      <c r="QVS1" s="251" t="n"/>
      <c r="QVT1" s="251" t="n"/>
      <c r="QVU1" s="251" t="n"/>
      <c r="QVV1" s="251" t="n"/>
      <c r="QVW1" s="251" t="n"/>
      <c r="QVX1" s="251" t="n"/>
      <c r="QVY1" s="251" t="n"/>
      <c r="QVZ1" s="251" t="n"/>
      <c r="QWA1" s="251" t="n"/>
      <c r="QWB1" s="251" t="n"/>
      <c r="QWC1" s="251" t="n"/>
      <c r="QWD1" s="251" t="n"/>
      <c r="QWE1" s="251" t="n"/>
      <c r="QWF1" s="251" t="n"/>
      <c r="QWG1" s="251" t="n"/>
      <c r="QWH1" s="251" t="n"/>
      <c r="QWI1" s="251" t="n"/>
      <c r="QWJ1" s="251" t="n"/>
      <c r="QWK1" s="251" t="n"/>
      <c r="QWL1" s="251" t="n"/>
      <c r="QWM1" s="251" t="n"/>
      <c r="QWN1" s="251" t="n"/>
      <c r="QWO1" s="251" t="n"/>
      <c r="QWP1" s="251" t="n"/>
      <c r="QWQ1" s="251" t="n"/>
      <c r="QWR1" s="251" t="n"/>
      <c r="QWS1" s="251" t="n"/>
      <c r="QWT1" s="251" t="n"/>
      <c r="QWU1" s="251" t="n"/>
      <c r="QWV1" s="251" t="n"/>
      <c r="QWW1" s="251" t="n"/>
      <c r="QWX1" s="251" t="n"/>
      <c r="QWY1" s="251" t="n"/>
      <c r="QWZ1" s="251" t="n"/>
      <c r="QXA1" s="251" t="n"/>
      <c r="QXB1" s="251" t="n"/>
      <c r="QXC1" s="251" t="n"/>
      <c r="QXD1" s="251" t="n"/>
      <c r="QXE1" s="251" t="n"/>
      <c r="QXF1" s="251" t="n"/>
      <c r="QXG1" s="251" t="n"/>
      <c r="QXH1" s="251" t="n"/>
      <c r="QXI1" s="251" t="n"/>
      <c r="QXJ1" s="251" t="n"/>
      <c r="QXK1" s="251" t="n"/>
      <c r="QXL1" s="251" t="n"/>
      <c r="QXM1" s="251" t="n"/>
      <c r="QXN1" s="251" t="n"/>
      <c r="QXO1" s="251" t="n"/>
      <c r="QXP1" s="251" t="n"/>
      <c r="QXQ1" s="251" t="n"/>
      <c r="QXR1" s="251" t="n"/>
      <c r="QXS1" s="251" t="n"/>
      <c r="QXT1" s="251" t="n"/>
      <c r="QXU1" s="251" t="n"/>
      <c r="QXV1" s="251" t="n"/>
      <c r="QXW1" s="251" t="n"/>
      <c r="QXX1" s="251" t="n"/>
      <c r="QXY1" s="251" t="n"/>
      <c r="QXZ1" s="251" t="n"/>
      <c r="QYA1" s="251" t="n"/>
      <c r="QYB1" s="251" t="n"/>
      <c r="QYC1" s="251" t="n"/>
      <c r="QYD1" s="251" t="n"/>
      <c r="QYE1" s="251" t="n"/>
      <c r="QYF1" s="251" t="n"/>
      <c r="QYG1" s="251" t="n"/>
      <c r="QYH1" s="251" t="n"/>
      <c r="QYI1" s="251" t="n"/>
      <c r="QYJ1" s="251" t="n"/>
      <c r="QYK1" s="251" t="n"/>
      <c r="QYL1" s="251" t="n"/>
      <c r="QYM1" s="251" t="n"/>
      <c r="QYN1" s="251" t="n"/>
      <c r="QYO1" s="251" t="n"/>
      <c r="QYP1" s="251" t="n"/>
      <c r="QYQ1" s="251" t="n"/>
      <c r="QYR1" s="251" t="n"/>
      <c r="QYS1" s="251" t="n"/>
      <c r="QYT1" s="251" t="n"/>
      <c r="QYU1" s="251" t="n"/>
      <c r="QYV1" s="251" t="n"/>
      <c r="QYW1" s="251" t="n"/>
      <c r="QYX1" s="251" t="n"/>
      <c r="QYY1" s="251" t="n"/>
      <c r="QYZ1" s="251" t="n"/>
      <c r="QZA1" s="251" t="n"/>
      <c r="QZB1" s="251" t="n"/>
      <c r="QZC1" s="251" t="n"/>
      <c r="QZD1" s="251" t="n"/>
      <c r="QZE1" s="251" t="n"/>
      <c r="QZF1" s="251" t="n"/>
      <c r="QZG1" s="251" t="n"/>
      <c r="QZH1" s="251" t="n"/>
      <c r="QZI1" s="251" t="n"/>
      <c r="QZJ1" s="251" t="n"/>
      <c r="QZK1" s="251" t="n"/>
      <c r="QZL1" s="251" t="n"/>
      <c r="QZM1" s="251" t="n"/>
      <c r="QZN1" s="251" t="n"/>
      <c r="QZO1" s="251" t="n"/>
      <c r="QZP1" s="251" t="n"/>
      <c r="QZQ1" s="251" t="n"/>
      <c r="QZR1" s="251" t="n"/>
      <c r="QZS1" s="251" t="n"/>
      <c r="QZT1" s="251" t="n"/>
      <c r="QZU1" s="251" t="n"/>
      <c r="QZV1" s="251" t="n"/>
      <c r="QZW1" s="251" t="n"/>
      <c r="QZX1" s="251" t="n"/>
      <c r="QZY1" s="251" t="n"/>
      <c r="QZZ1" s="251" t="n"/>
      <c r="RAA1" s="251" t="n"/>
      <c r="RAB1" s="251" t="n"/>
      <c r="RAC1" s="251" t="n"/>
      <c r="RAD1" s="251" t="n"/>
      <c r="RAE1" s="251" t="n"/>
      <c r="RAF1" s="251" t="n"/>
      <c r="RAG1" s="251" t="n"/>
      <c r="RAH1" s="251" t="n"/>
      <c r="RAI1" s="251" t="n"/>
      <c r="RAJ1" s="251" t="n"/>
      <c r="RAK1" s="251" t="n"/>
      <c r="RAL1" s="251" t="n"/>
      <c r="RAM1" s="251" t="n"/>
      <c r="RAN1" s="251" t="n"/>
      <c r="RAO1" s="251" t="n"/>
      <c r="RAP1" s="251" t="n"/>
      <c r="RAQ1" s="251" t="n"/>
      <c r="RAR1" s="251" t="n"/>
      <c r="RAS1" s="251" t="n"/>
      <c r="RAT1" s="251" t="n"/>
      <c r="RAU1" s="251" t="n"/>
      <c r="RAV1" s="251" t="n"/>
      <c r="RAW1" s="251" t="n"/>
      <c r="RAX1" s="251" t="n"/>
      <c r="RAY1" s="251" t="n"/>
      <c r="RAZ1" s="251" t="n"/>
      <c r="RBA1" s="251" t="n"/>
      <c r="RBB1" s="251" t="n"/>
      <c r="RBC1" s="251" t="n"/>
      <c r="RBD1" s="251" t="n"/>
      <c r="RBE1" s="251" t="n"/>
      <c r="RBF1" s="251" t="n"/>
      <c r="RBG1" s="251" t="n"/>
      <c r="RBH1" s="251" t="n"/>
      <c r="RBI1" s="251" t="n"/>
      <c r="RBJ1" s="251" t="n"/>
      <c r="RBK1" s="251" t="n"/>
      <c r="RBL1" s="251" t="n"/>
      <c r="RBM1" s="251" t="n"/>
      <c r="RBN1" s="251" t="n"/>
      <c r="RBO1" s="251" t="n"/>
      <c r="RBP1" s="251" t="n"/>
      <c r="RBQ1" s="251" t="n"/>
      <c r="RBR1" s="251" t="n"/>
      <c r="RBS1" s="251" t="n"/>
      <c r="RBT1" s="251" t="n"/>
      <c r="RBU1" s="251" t="n"/>
      <c r="RBV1" s="251" t="n"/>
      <c r="RBW1" s="251" t="n"/>
      <c r="RBX1" s="251" t="n"/>
      <c r="RBY1" s="251" t="n"/>
      <c r="RBZ1" s="251" t="n"/>
      <c r="RCA1" s="251" t="n"/>
      <c r="RCB1" s="251" t="n"/>
      <c r="RCC1" s="251" t="n"/>
      <c r="RCD1" s="251" t="n"/>
      <c r="RCE1" s="251" t="n"/>
      <c r="RCF1" s="251" t="n"/>
      <c r="RCG1" s="251" t="n"/>
      <c r="RCH1" s="251" t="n"/>
      <c r="RCI1" s="251" t="n"/>
      <c r="RCJ1" s="251" t="n"/>
      <c r="RCK1" s="251" t="n"/>
      <c r="RCL1" s="251" t="n"/>
      <c r="RCM1" s="251" t="n"/>
      <c r="RCN1" s="251" t="n"/>
      <c r="RCO1" s="251" t="n"/>
      <c r="RCP1" s="251" t="n"/>
      <c r="RCQ1" s="251" t="n"/>
      <c r="RCR1" s="251" t="n"/>
      <c r="RCS1" s="251" t="n"/>
      <c r="RCT1" s="251" t="n"/>
      <c r="RCU1" s="251" t="n"/>
      <c r="RCV1" s="251" t="n"/>
      <c r="RCW1" s="251" t="n"/>
      <c r="RCX1" s="251" t="n"/>
      <c r="RCY1" s="251" t="n"/>
      <c r="RCZ1" s="251" t="n"/>
      <c r="RDA1" s="251" t="n"/>
      <c r="RDB1" s="251" t="n"/>
      <c r="RDC1" s="251" t="n"/>
      <c r="RDD1" s="251" t="n"/>
      <c r="RDE1" s="251" t="n"/>
      <c r="RDF1" s="251" t="n"/>
      <c r="RDG1" s="251" t="n"/>
      <c r="RDH1" s="251" t="n"/>
      <c r="RDI1" s="251" t="n"/>
      <c r="RDJ1" s="251" t="n"/>
      <c r="RDK1" s="251" t="n"/>
      <c r="RDL1" s="251" t="n"/>
      <c r="RDM1" s="251" t="n"/>
      <c r="RDN1" s="251" t="n"/>
      <c r="RDO1" s="251" t="n"/>
      <c r="RDP1" s="251" t="n"/>
      <c r="RDQ1" s="251" t="n"/>
      <c r="RDR1" s="251" t="n"/>
      <c r="RDS1" s="251" t="n"/>
      <c r="RDT1" s="251" t="n"/>
      <c r="RDU1" s="251" t="n"/>
      <c r="RDV1" s="251" t="n"/>
      <c r="RDW1" s="251" t="n"/>
      <c r="RDX1" s="251" t="n"/>
      <c r="RDY1" s="251" t="n"/>
      <c r="RDZ1" s="251" t="n"/>
      <c r="REA1" s="251" t="n"/>
      <c r="REB1" s="251" t="n"/>
      <c r="REC1" s="251" t="n"/>
      <c r="RED1" s="251" t="n"/>
      <c r="REE1" s="251" t="n"/>
      <c r="REF1" s="251" t="n"/>
      <c r="REG1" s="251" t="n"/>
      <c r="REH1" s="251" t="n"/>
      <c r="REI1" s="251" t="n"/>
      <c r="REJ1" s="251" t="n"/>
      <c r="REK1" s="251" t="n"/>
      <c r="REL1" s="251" t="n"/>
      <c r="REM1" s="251" t="n"/>
      <c r="REN1" s="251" t="n"/>
      <c r="REO1" s="251" t="n"/>
      <c r="REP1" s="251" t="n"/>
      <c r="REQ1" s="251" t="n"/>
      <c r="RER1" s="251" t="n"/>
      <c r="RES1" s="251" t="n"/>
      <c r="RET1" s="251" t="n"/>
      <c r="REU1" s="251" t="n"/>
      <c r="REV1" s="251" t="n"/>
      <c r="REW1" s="251" t="n"/>
      <c r="REX1" s="251" t="n"/>
      <c r="REY1" s="251" t="n"/>
      <c r="REZ1" s="251" t="n"/>
      <c r="RFA1" s="251" t="n"/>
      <c r="RFB1" s="251" t="n"/>
      <c r="RFC1" s="251" t="n"/>
      <c r="RFD1" s="251" t="n"/>
      <c r="RFE1" s="251" t="n"/>
      <c r="RFF1" s="251" t="n"/>
      <c r="RFG1" s="251" t="n"/>
      <c r="RFH1" s="251" t="n"/>
      <c r="RFI1" s="251" t="n"/>
      <c r="RFJ1" s="251" t="n"/>
      <c r="RFK1" s="251" t="n"/>
      <c r="RFL1" s="251" t="n"/>
      <c r="RFM1" s="251" t="n"/>
      <c r="RFN1" s="251" t="n"/>
      <c r="RFO1" s="251" t="n"/>
      <c r="RFP1" s="251" t="n"/>
      <c r="RFQ1" s="251" t="n"/>
      <c r="RFR1" s="251" t="n"/>
      <c r="RFS1" s="251" t="n"/>
      <c r="RFT1" s="251" t="n"/>
      <c r="RFU1" s="251" t="n"/>
      <c r="RFV1" s="251" t="n"/>
      <c r="RFW1" s="251" t="n"/>
      <c r="RFX1" s="251" t="n"/>
      <c r="RFY1" s="251" t="n"/>
      <c r="RFZ1" s="251" t="n"/>
      <c r="RGA1" s="251" t="n"/>
      <c r="RGB1" s="251" t="n"/>
      <c r="RGC1" s="251" t="n"/>
      <c r="RGD1" s="251" t="n"/>
      <c r="RGE1" s="251" t="n"/>
      <c r="RGF1" s="251" t="n"/>
      <c r="RGG1" s="251" t="n"/>
      <c r="RGH1" s="251" t="n"/>
      <c r="RGI1" s="251" t="n"/>
      <c r="RGJ1" s="251" t="n"/>
      <c r="RGK1" s="251" t="n"/>
      <c r="RGL1" s="251" t="n"/>
      <c r="RGM1" s="251" t="n"/>
      <c r="RGN1" s="251" t="n"/>
      <c r="RGO1" s="251" t="n"/>
      <c r="RGP1" s="251" t="n"/>
      <c r="RGQ1" s="251" t="n"/>
      <c r="RGR1" s="251" t="n"/>
      <c r="RGS1" s="251" t="n"/>
      <c r="RGT1" s="251" t="n"/>
      <c r="RGU1" s="251" t="n"/>
      <c r="RGV1" s="251" t="n"/>
      <c r="RGW1" s="251" t="n"/>
      <c r="RGX1" s="251" t="n"/>
      <c r="RGY1" s="251" t="n"/>
      <c r="RGZ1" s="251" t="n"/>
      <c r="RHA1" s="251" t="n"/>
      <c r="RHB1" s="251" t="n"/>
      <c r="RHC1" s="251" t="n"/>
      <c r="RHD1" s="251" t="n"/>
      <c r="RHE1" s="251" t="n"/>
      <c r="RHF1" s="251" t="n"/>
      <c r="RHG1" s="251" t="n"/>
      <c r="RHH1" s="251" t="n"/>
      <c r="RHI1" s="251" t="n"/>
      <c r="RHJ1" s="251" t="n"/>
      <c r="RHK1" s="251" t="n"/>
      <c r="RHL1" s="251" t="n"/>
      <c r="RHM1" s="251" t="n"/>
      <c r="RHN1" s="251" t="n"/>
      <c r="RHO1" s="251" t="n"/>
      <c r="RHP1" s="251" t="n"/>
      <c r="RHQ1" s="251" t="n"/>
      <c r="RHR1" s="251" t="n"/>
      <c r="RHS1" s="251" t="n"/>
      <c r="RHT1" s="251" t="n"/>
      <c r="RHU1" s="251" t="n"/>
      <c r="RHV1" s="251" t="n"/>
      <c r="RHW1" s="251" t="n"/>
      <c r="RHX1" s="251" t="n"/>
      <c r="RHY1" s="251" t="n"/>
      <c r="RHZ1" s="251" t="n"/>
      <c r="RIA1" s="251" t="n"/>
      <c r="RIB1" s="251" t="n"/>
      <c r="RIC1" s="251" t="n"/>
      <c r="RID1" s="251" t="n"/>
      <c r="RIE1" s="251" t="n"/>
      <c r="RIF1" s="251" t="n"/>
      <c r="RIG1" s="251" t="n"/>
      <c r="RIH1" s="251" t="n"/>
      <c r="RII1" s="251" t="n"/>
      <c r="RIJ1" s="251" t="n"/>
      <c r="RIK1" s="251" t="n"/>
      <c r="RIL1" s="251" t="n"/>
      <c r="RIM1" s="251" t="n"/>
      <c r="RIN1" s="251" t="n"/>
      <c r="RIO1" s="251" t="n"/>
      <c r="RIP1" s="251" t="n"/>
      <c r="RIQ1" s="251" t="n"/>
      <c r="RIR1" s="251" t="n"/>
      <c r="RIS1" s="251" t="n"/>
      <c r="RIT1" s="251" t="n"/>
      <c r="RIU1" s="251" t="n"/>
      <c r="RIV1" s="251" t="n"/>
      <c r="RIW1" s="251" t="n"/>
      <c r="RIX1" s="251" t="n"/>
      <c r="RIY1" s="251" t="n"/>
      <c r="RIZ1" s="251" t="n"/>
      <c r="RJA1" s="251" t="n"/>
      <c r="RJB1" s="251" t="n"/>
      <c r="RJC1" s="251" t="n"/>
      <c r="RJD1" s="251" t="n"/>
      <c r="RJE1" s="251" t="n"/>
      <c r="RJF1" s="251" t="n"/>
      <c r="RJG1" s="251" t="n"/>
      <c r="RJH1" s="251" t="n"/>
      <c r="RJI1" s="251" t="n"/>
      <c r="RJJ1" s="251" t="n"/>
      <c r="RJK1" s="251" t="n"/>
      <c r="RJL1" s="251" t="n"/>
      <c r="RJM1" s="251" t="n"/>
      <c r="RJN1" s="251" t="n"/>
      <c r="RJO1" s="251" t="n"/>
      <c r="RJP1" s="251" t="n"/>
      <c r="RJQ1" s="251" t="n"/>
      <c r="RJR1" s="251" t="n"/>
      <c r="RJS1" s="251" t="n"/>
      <c r="RJT1" s="251" t="n"/>
      <c r="RJU1" s="251" t="n"/>
      <c r="RJV1" s="251" t="n"/>
      <c r="RJW1" s="251" t="n"/>
      <c r="RJX1" s="251" t="n"/>
      <c r="RJY1" s="251" t="n"/>
      <c r="RJZ1" s="251" t="n"/>
      <c r="RKA1" s="251" t="n"/>
      <c r="RKB1" s="251" t="n"/>
      <c r="RKC1" s="251" t="n"/>
      <c r="RKD1" s="251" t="n"/>
      <c r="RKE1" s="251" t="n"/>
      <c r="RKF1" s="251" t="n"/>
      <c r="RKG1" s="251" t="n"/>
      <c r="RKH1" s="251" t="n"/>
      <c r="RKI1" s="251" t="n"/>
      <c r="RKJ1" s="251" t="n"/>
      <c r="RKK1" s="251" t="n"/>
      <c r="RKL1" s="251" t="n"/>
      <c r="RKM1" s="251" t="n"/>
      <c r="RKN1" s="251" t="n"/>
      <c r="RKO1" s="251" t="n"/>
      <c r="RKP1" s="251" t="n"/>
      <c r="RKQ1" s="251" t="n"/>
      <c r="RKR1" s="251" t="n"/>
      <c r="RKS1" s="251" t="n"/>
      <c r="RKT1" s="251" t="n"/>
      <c r="RKU1" s="251" t="n"/>
      <c r="RKV1" s="251" t="n"/>
      <c r="RKW1" s="251" t="n"/>
      <c r="RKX1" s="251" t="n"/>
      <c r="RKY1" s="251" t="n"/>
      <c r="RKZ1" s="251" t="n"/>
      <c r="RLA1" s="251" t="n"/>
      <c r="RLB1" s="251" t="n"/>
      <c r="RLC1" s="251" t="n"/>
      <c r="RLD1" s="251" t="n"/>
      <c r="RLE1" s="251" t="n"/>
      <c r="RLF1" s="251" t="n"/>
      <c r="RLG1" s="251" t="n"/>
      <c r="RLH1" s="251" t="n"/>
      <c r="RLI1" s="251" t="n"/>
      <c r="RLJ1" s="251" t="n"/>
      <c r="RLK1" s="251" t="n"/>
      <c r="RLL1" s="251" t="n"/>
      <c r="RLM1" s="251" t="n"/>
      <c r="RLN1" s="251" t="n"/>
      <c r="RLO1" s="251" t="n"/>
      <c r="RLP1" s="251" t="n"/>
      <c r="RLQ1" s="251" t="n"/>
      <c r="RLR1" s="251" t="n"/>
      <c r="RLS1" s="251" t="n"/>
      <c r="RLT1" s="251" t="n"/>
      <c r="RLU1" s="251" t="n"/>
      <c r="RLV1" s="251" t="n"/>
      <c r="RLW1" s="251" t="n"/>
      <c r="RLX1" s="251" t="n"/>
      <c r="RLY1" s="251" t="n"/>
      <c r="RLZ1" s="251" t="n"/>
      <c r="RMA1" s="251" t="n"/>
      <c r="RMB1" s="251" t="n"/>
      <c r="RMC1" s="251" t="n"/>
      <c r="RMD1" s="251" t="n"/>
      <c r="RME1" s="251" t="n"/>
      <c r="RMF1" s="251" t="n"/>
      <c r="RMG1" s="251" t="n"/>
      <c r="RMH1" s="251" t="n"/>
      <c r="RMI1" s="251" t="n"/>
      <c r="RMJ1" s="251" t="n"/>
      <c r="RMK1" s="251" t="n"/>
      <c r="RML1" s="251" t="n"/>
      <c r="RMM1" s="251" t="n"/>
      <c r="RMN1" s="251" t="n"/>
      <c r="RMO1" s="251" t="n"/>
      <c r="RMP1" s="251" t="n"/>
      <c r="RMQ1" s="251" t="n"/>
      <c r="RMR1" s="251" t="n"/>
      <c r="RMS1" s="251" t="n"/>
      <c r="RMT1" s="251" t="n"/>
      <c r="RMU1" s="251" t="n"/>
      <c r="RMV1" s="251" t="n"/>
      <c r="RMW1" s="251" t="n"/>
      <c r="RMX1" s="251" t="n"/>
      <c r="RMY1" s="251" t="n"/>
      <c r="RMZ1" s="251" t="n"/>
      <c r="RNA1" s="251" t="n"/>
      <c r="RNB1" s="251" t="n"/>
      <c r="RNC1" s="251" t="n"/>
      <c r="RND1" s="251" t="n"/>
      <c r="RNE1" s="251" t="n"/>
      <c r="RNF1" s="251" t="n"/>
      <c r="RNG1" s="251" t="n"/>
      <c r="RNH1" s="251" t="n"/>
      <c r="RNI1" s="251" t="n"/>
      <c r="RNJ1" s="251" t="n"/>
      <c r="RNK1" s="251" t="n"/>
      <c r="RNL1" s="251" t="n"/>
      <c r="RNM1" s="251" t="n"/>
      <c r="RNN1" s="251" t="n"/>
      <c r="RNO1" s="251" t="n"/>
      <c r="RNP1" s="251" t="n"/>
      <c r="RNQ1" s="251" t="n"/>
      <c r="RNR1" s="251" t="n"/>
      <c r="RNS1" s="251" t="n"/>
      <c r="RNT1" s="251" t="n"/>
      <c r="RNU1" s="251" t="n"/>
      <c r="RNV1" s="251" t="n"/>
      <c r="RNW1" s="251" t="n"/>
      <c r="RNX1" s="251" t="n"/>
      <c r="RNY1" s="251" t="n"/>
      <c r="RNZ1" s="251" t="n"/>
      <c r="ROA1" s="251" t="n"/>
      <c r="ROB1" s="251" t="n"/>
      <c r="ROC1" s="251" t="n"/>
      <c r="ROD1" s="251" t="n"/>
      <c r="ROE1" s="251" t="n"/>
      <c r="ROF1" s="251" t="n"/>
      <c r="ROG1" s="251" t="n"/>
      <c r="ROH1" s="251" t="n"/>
      <c r="ROI1" s="251" t="n"/>
      <c r="ROJ1" s="251" t="n"/>
      <c r="ROK1" s="251" t="n"/>
      <c r="ROL1" s="251" t="n"/>
      <c r="ROM1" s="251" t="n"/>
      <c r="RON1" s="251" t="n"/>
      <c r="ROO1" s="251" t="n"/>
      <c r="ROP1" s="251" t="n"/>
      <c r="ROQ1" s="251" t="n"/>
      <c r="ROR1" s="251" t="n"/>
      <c r="ROS1" s="251" t="n"/>
      <c r="ROT1" s="251" t="n"/>
      <c r="ROU1" s="251" t="n"/>
      <c r="ROV1" s="251" t="n"/>
      <c r="ROW1" s="251" t="n"/>
      <c r="ROX1" s="251" t="n"/>
      <c r="ROY1" s="251" t="n"/>
      <c r="ROZ1" s="251" t="n"/>
      <c r="RPA1" s="251" t="n"/>
      <c r="RPB1" s="251" t="n"/>
      <c r="RPC1" s="251" t="n"/>
      <c r="RPD1" s="251" t="n"/>
      <c r="RPE1" s="251" t="n"/>
      <c r="RPF1" s="251" t="n"/>
      <c r="RPG1" s="251" t="n"/>
      <c r="RPH1" s="251" t="n"/>
      <c r="RPI1" s="251" t="n"/>
      <c r="RPJ1" s="251" t="n"/>
      <c r="RPK1" s="251" t="n"/>
      <c r="RPL1" s="251" t="n"/>
      <c r="RPM1" s="251" t="n"/>
      <c r="RPN1" s="251" t="n"/>
      <c r="RPO1" s="251" t="n"/>
      <c r="RPP1" s="251" t="n"/>
      <c r="RPQ1" s="251" t="n"/>
      <c r="RPR1" s="251" t="n"/>
      <c r="RPS1" s="251" t="n"/>
      <c r="RPT1" s="251" t="n"/>
      <c r="RPU1" s="251" t="n"/>
      <c r="RPV1" s="251" t="n"/>
      <c r="RPW1" s="251" t="n"/>
      <c r="RPX1" s="251" t="n"/>
      <c r="RPY1" s="251" t="n"/>
      <c r="RPZ1" s="251" t="n"/>
      <c r="RQA1" s="251" t="n"/>
      <c r="RQB1" s="251" t="n"/>
      <c r="RQC1" s="251" t="n"/>
      <c r="RQD1" s="251" t="n"/>
      <c r="RQE1" s="251" t="n"/>
      <c r="RQF1" s="251" t="n"/>
      <c r="RQG1" s="251" t="n"/>
      <c r="RQH1" s="251" t="n"/>
      <c r="RQI1" s="251" t="n"/>
      <c r="RQJ1" s="251" t="n"/>
      <c r="RQK1" s="251" t="n"/>
      <c r="RQL1" s="251" t="n"/>
      <c r="RQM1" s="251" t="n"/>
      <c r="RQN1" s="251" t="n"/>
      <c r="RQO1" s="251" t="n"/>
      <c r="RQP1" s="251" t="n"/>
      <c r="RQQ1" s="251" t="n"/>
      <c r="RQR1" s="251" t="n"/>
      <c r="RQS1" s="251" t="n"/>
      <c r="RQT1" s="251" t="n"/>
      <c r="RQU1" s="251" t="n"/>
      <c r="RQV1" s="251" t="n"/>
      <c r="RQW1" s="251" t="n"/>
      <c r="RQX1" s="251" t="n"/>
      <c r="RQY1" s="251" t="n"/>
      <c r="RQZ1" s="251" t="n"/>
      <c r="RRA1" s="251" t="n"/>
      <c r="RRB1" s="251" t="n"/>
      <c r="RRC1" s="251" t="n"/>
      <c r="RRD1" s="251" t="n"/>
      <c r="RRE1" s="251" t="n"/>
      <c r="RRF1" s="251" t="n"/>
      <c r="RRG1" s="251" t="n"/>
      <c r="RRH1" s="251" t="n"/>
      <c r="RRI1" s="251" t="n"/>
      <c r="RRJ1" s="251" t="n"/>
      <c r="RRK1" s="251" t="n"/>
      <c r="RRL1" s="251" t="n"/>
      <c r="RRM1" s="251" t="n"/>
      <c r="RRN1" s="251" t="n"/>
      <c r="RRO1" s="251" t="n"/>
      <c r="RRP1" s="251" t="n"/>
      <c r="RRQ1" s="251" t="n"/>
      <c r="RRR1" s="251" t="n"/>
      <c r="RRS1" s="251" t="n"/>
      <c r="RRT1" s="251" t="n"/>
      <c r="RRU1" s="251" t="n"/>
      <c r="RRV1" s="251" t="n"/>
      <c r="RRW1" s="251" t="n"/>
      <c r="RRX1" s="251" t="n"/>
      <c r="RRY1" s="251" t="n"/>
      <c r="RRZ1" s="251" t="n"/>
      <c r="RSA1" s="251" t="n"/>
      <c r="RSB1" s="251" t="n"/>
      <c r="RSC1" s="251" t="n"/>
      <c r="RSD1" s="251" t="n"/>
      <c r="RSE1" s="251" t="n"/>
      <c r="RSF1" s="251" t="n"/>
      <c r="RSG1" s="251" t="n"/>
      <c r="RSH1" s="251" t="n"/>
      <c r="RSI1" s="251" t="n"/>
      <c r="RSJ1" s="251" t="n"/>
      <c r="RSK1" s="251" t="n"/>
      <c r="RSL1" s="251" t="n"/>
      <c r="RSM1" s="251" t="n"/>
      <c r="RSN1" s="251" t="n"/>
      <c r="RSO1" s="251" t="n"/>
      <c r="RSP1" s="251" t="n"/>
      <c r="RSQ1" s="251" t="n"/>
      <c r="RSR1" s="251" t="n"/>
      <c r="RSS1" s="251" t="n"/>
      <c r="RST1" s="251" t="n"/>
      <c r="RSU1" s="251" t="n"/>
      <c r="RSV1" s="251" t="n"/>
      <c r="RSW1" s="251" t="n"/>
      <c r="RSX1" s="251" t="n"/>
      <c r="RSY1" s="251" t="n"/>
      <c r="RSZ1" s="251" t="n"/>
      <c r="RTA1" s="251" t="n"/>
      <c r="RTB1" s="251" t="n"/>
      <c r="RTC1" s="251" t="n"/>
      <c r="RTD1" s="251" t="n"/>
      <c r="RTE1" s="251" t="n"/>
      <c r="RTF1" s="251" t="n"/>
      <c r="RTG1" s="251" t="n"/>
      <c r="RTH1" s="251" t="n"/>
      <c r="RTI1" s="251" t="n"/>
      <c r="RTJ1" s="251" t="n"/>
      <c r="RTK1" s="251" t="n"/>
      <c r="RTL1" s="251" t="n"/>
      <c r="RTM1" s="251" t="n"/>
      <c r="RTN1" s="251" t="n"/>
      <c r="RTO1" s="251" t="n"/>
      <c r="RTP1" s="251" t="n"/>
      <c r="RTQ1" s="251" t="n"/>
      <c r="RTR1" s="251" t="n"/>
      <c r="RTS1" s="251" t="n"/>
      <c r="RTT1" s="251" t="n"/>
      <c r="RTU1" s="251" t="n"/>
      <c r="RTV1" s="251" t="n"/>
      <c r="RTW1" s="251" t="n"/>
      <c r="RTX1" s="251" t="n"/>
      <c r="RTY1" s="251" t="n"/>
      <c r="RTZ1" s="251" t="n"/>
      <c r="RUA1" s="251" t="n"/>
      <c r="RUB1" s="251" t="n"/>
      <c r="RUC1" s="251" t="n"/>
      <c r="RUD1" s="251" t="n"/>
      <c r="RUE1" s="251" t="n"/>
      <c r="RUF1" s="251" t="n"/>
      <c r="RUG1" s="251" t="n"/>
      <c r="RUH1" s="251" t="n"/>
      <c r="RUI1" s="251" t="n"/>
      <c r="RUJ1" s="251" t="n"/>
      <c r="RUK1" s="251" t="n"/>
      <c r="RUL1" s="251" t="n"/>
      <c r="RUM1" s="251" t="n"/>
      <c r="RUN1" s="251" t="n"/>
      <c r="RUO1" s="251" t="n"/>
      <c r="RUP1" s="251" t="n"/>
      <c r="RUQ1" s="251" t="n"/>
      <c r="RUR1" s="251" t="n"/>
      <c r="RUS1" s="251" t="n"/>
      <c r="RUT1" s="251" t="n"/>
      <c r="RUU1" s="251" t="n"/>
      <c r="RUV1" s="251" t="n"/>
      <c r="RUW1" s="251" t="n"/>
      <c r="RUX1" s="251" t="n"/>
      <c r="RUY1" s="251" t="n"/>
      <c r="RUZ1" s="251" t="n"/>
      <c r="RVA1" s="251" t="n"/>
      <c r="RVB1" s="251" t="n"/>
      <c r="RVC1" s="251" t="n"/>
      <c r="RVD1" s="251" t="n"/>
      <c r="RVE1" s="251" t="n"/>
      <c r="RVF1" s="251" t="n"/>
      <c r="RVG1" s="251" t="n"/>
      <c r="RVH1" s="251" t="n"/>
      <c r="RVI1" s="251" t="n"/>
      <c r="RVJ1" s="251" t="n"/>
      <c r="RVK1" s="251" t="n"/>
      <c r="RVL1" s="251" t="n"/>
      <c r="RVM1" s="251" t="n"/>
      <c r="RVN1" s="251" t="n"/>
      <c r="RVO1" s="251" t="n"/>
      <c r="RVP1" s="251" t="n"/>
      <c r="RVQ1" s="251" t="n"/>
      <c r="RVR1" s="251" t="n"/>
      <c r="RVS1" s="251" t="n"/>
      <c r="RVT1" s="251" t="n"/>
      <c r="RVU1" s="251" t="n"/>
      <c r="RVV1" s="251" t="n"/>
      <c r="RVW1" s="251" t="n"/>
      <c r="RVX1" s="251" t="n"/>
      <c r="RVY1" s="251" t="n"/>
      <c r="RVZ1" s="251" t="n"/>
      <c r="RWA1" s="251" t="n"/>
      <c r="RWB1" s="251" t="n"/>
      <c r="RWC1" s="251" t="n"/>
      <c r="RWD1" s="251" t="n"/>
      <c r="RWE1" s="251" t="n"/>
      <c r="RWF1" s="251" t="n"/>
      <c r="RWG1" s="251" t="n"/>
      <c r="RWH1" s="251" t="n"/>
      <c r="RWI1" s="251" t="n"/>
      <c r="RWJ1" s="251" t="n"/>
      <c r="RWK1" s="251" t="n"/>
      <c r="RWL1" s="251" t="n"/>
      <c r="RWM1" s="251" t="n"/>
      <c r="RWN1" s="251" t="n"/>
      <c r="RWO1" s="251" t="n"/>
      <c r="RWP1" s="251" t="n"/>
      <c r="RWQ1" s="251" t="n"/>
      <c r="RWR1" s="251" t="n"/>
      <c r="RWS1" s="251" t="n"/>
      <c r="RWT1" s="251" t="n"/>
      <c r="RWU1" s="251" t="n"/>
      <c r="RWV1" s="251" t="n"/>
      <c r="RWW1" s="251" t="n"/>
      <c r="RWX1" s="251" t="n"/>
      <c r="RWY1" s="251" t="n"/>
      <c r="RWZ1" s="251" t="n"/>
      <c r="RXA1" s="251" t="n"/>
      <c r="RXB1" s="251" t="n"/>
      <c r="RXC1" s="251" t="n"/>
      <c r="RXD1" s="251" t="n"/>
      <c r="RXE1" s="251" t="n"/>
      <c r="RXF1" s="251" t="n"/>
      <c r="RXG1" s="251" t="n"/>
      <c r="RXH1" s="251" t="n"/>
      <c r="RXI1" s="251" t="n"/>
      <c r="RXJ1" s="251" t="n"/>
      <c r="RXK1" s="251" t="n"/>
      <c r="RXL1" s="251" t="n"/>
      <c r="RXM1" s="251" t="n"/>
      <c r="RXN1" s="251" t="n"/>
      <c r="RXO1" s="251" t="n"/>
      <c r="RXP1" s="251" t="n"/>
      <c r="RXQ1" s="251" t="n"/>
      <c r="RXR1" s="251" t="n"/>
      <c r="RXS1" s="251" t="n"/>
      <c r="RXT1" s="251" t="n"/>
      <c r="RXU1" s="251" t="n"/>
      <c r="RXV1" s="251" t="n"/>
      <c r="RXW1" s="251" t="n"/>
      <c r="RXX1" s="251" t="n"/>
      <c r="RXY1" s="251" t="n"/>
      <c r="RXZ1" s="251" t="n"/>
      <c r="RYA1" s="251" t="n"/>
      <c r="RYB1" s="251" t="n"/>
      <c r="RYC1" s="251" t="n"/>
      <c r="RYD1" s="251" t="n"/>
      <c r="RYE1" s="251" t="n"/>
      <c r="RYF1" s="251" t="n"/>
      <c r="RYG1" s="251" t="n"/>
      <c r="RYH1" s="251" t="n"/>
      <c r="RYI1" s="251" t="n"/>
      <c r="RYJ1" s="251" t="n"/>
      <c r="RYK1" s="251" t="n"/>
      <c r="RYL1" s="251" t="n"/>
      <c r="RYM1" s="251" t="n"/>
      <c r="RYN1" s="251" t="n"/>
      <c r="RYO1" s="251" t="n"/>
      <c r="RYP1" s="251" t="n"/>
      <c r="RYQ1" s="251" t="n"/>
      <c r="RYR1" s="251" t="n"/>
      <c r="RYS1" s="251" t="n"/>
      <c r="RYT1" s="251" t="n"/>
      <c r="RYU1" s="251" t="n"/>
      <c r="RYV1" s="251" t="n"/>
      <c r="RYW1" s="251" t="n"/>
      <c r="RYX1" s="251" t="n"/>
      <c r="RYY1" s="251" t="n"/>
      <c r="RYZ1" s="251" t="n"/>
      <c r="RZA1" s="251" t="n"/>
      <c r="RZB1" s="251" t="n"/>
      <c r="RZC1" s="251" t="n"/>
      <c r="RZD1" s="251" t="n"/>
      <c r="RZE1" s="251" t="n"/>
      <c r="RZF1" s="251" t="n"/>
      <c r="RZG1" s="251" t="n"/>
      <c r="RZH1" s="251" t="n"/>
      <c r="RZI1" s="251" t="n"/>
      <c r="RZJ1" s="251" t="n"/>
      <c r="RZK1" s="251" t="n"/>
      <c r="RZL1" s="251" t="n"/>
      <c r="RZM1" s="251" t="n"/>
      <c r="RZN1" s="251" t="n"/>
      <c r="RZO1" s="251" t="n"/>
      <c r="RZP1" s="251" t="n"/>
      <c r="RZQ1" s="251" t="n"/>
      <c r="RZR1" s="251" t="n"/>
      <c r="RZS1" s="251" t="n"/>
      <c r="RZT1" s="251" t="n"/>
      <c r="RZU1" s="251" t="n"/>
      <c r="RZV1" s="251" t="n"/>
      <c r="RZW1" s="251" t="n"/>
      <c r="RZX1" s="251" t="n"/>
      <c r="RZY1" s="251" t="n"/>
      <c r="RZZ1" s="251" t="n"/>
      <c r="SAA1" s="251" t="n"/>
      <c r="SAB1" s="251" t="n"/>
      <c r="SAC1" s="251" t="n"/>
      <c r="SAD1" s="251" t="n"/>
      <c r="SAE1" s="251" t="n"/>
      <c r="SAF1" s="251" t="n"/>
      <c r="SAG1" s="251" t="n"/>
      <c r="SAH1" s="251" t="n"/>
      <c r="SAI1" s="251" t="n"/>
      <c r="SAJ1" s="251" t="n"/>
      <c r="SAK1" s="251" t="n"/>
      <c r="SAL1" s="251" t="n"/>
      <c r="SAM1" s="251" t="n"/>
      <c r="SAN1" s="251" t="n"/>
      <c r="SAO1" s="251" t="n"/>
      <c r="SAP1" s="251" t="n"/>
      <c r="SAQ1" s="251" t="n"/>
      <c r="SAR1" s="251" t="n"/>
      <c r="SAS1" s="251" t="n"/>
      <c r="SAT1" s="251" t="n"/>
      <c r="SAU1" s="251" t="n"/>
      <c r="SAV1" s="251" t="n"/>
      <c r="SAW1" s="251" t="n"/>
      <c r="SAX1" s="251" t="n"/>
      <c r="SAY1" s="251" t="n"/>
      <c r="SAZ1" s="251" t="n"/>
      <c r="SBA1" s="251" t="n"/>
      <c r="SBB1" s="251" t="n"/>
      <c r="SBC1" s="251" t="n"/>
      <c r="SBD1" s="251" t="n"/>
      <c r="SBE1" s="251" t="n"/>
      <c r="SBF1" s="251" t="n"/>
      <c r="SBG1" s="251" t="n"/>
      <c r="SBH1" s="251" t="n"/>
      <c r="SBI1" s="251" t="n"/>
      <c r="SBJ1" s="251" t="n"/>
      <c r="SBK1" s="251" t="n"/>
      <c r="SBL1" s="251" t="n"/>
      <c r="SBM1" s="251" t="n"/>
      <c r="SBN1" s="251" t="n"/>
      <c r="SBO1" s="251" t="n"/>
      <c r="SBP1" s="251" t="n"/>
      <c r="SBQ1" s="251" t="n"/>
      <c r="SBR1" s="251" t="n"/>
      <c r="SBS1" s="251" t="n"/>
      <c r="SBT1" s="251" t="n"/>
      <c r="SBU1" s="251" t="n"/>
      <c r="SBV1" s="251" t="n"/>
      <c r="SBW1" s="251" t="n"/>
      <c r="SBX1" s="251" t="n"/>
      <c r="SBY1" s="251" t="n"/>
      <c r="SBZ1" s="251" t="n"/>
      <c r="SCA1" s="251" t="n"/>
      <c r="SCB1" s="251" t="n"/>
      <c r="SCC1" s="251" t="n"/>
      <c r="SCD1" s="251" t="n"/>
      <c r="SCE1" s="251" t="n"/>
      <c r="SCF1" s="251" t="n"/>
      <c r="SCG1" s="251" t="n"/>
      <c r="SCH1" s="251" t="n"/>
      <c r="SCI1" s="251" t="n"/>
      <c r="SCJ1" s="251" t="n"/>
      <c r="SCK1" s="251" t="n"/>
      <c r="SCL1" s="251" t="n"/>
      <c r="SCM1" s="251" t="n"/>
      <c r="SCN1" s="251" t="n"/>
      <c r="SCO1" s="251" t="n"/>
      <c r="SCP1" s="251" t="n"/>
      <c r="SCQ1" s="251" t="n"/>
      <c r="SCR1" s="251" t="n"/>
      <c r="SCS1" s="251" t="n"/>
      <c r="SCT1" s="251" t="n"/>
      <c r="SCU1" s="251" t="n"/>
      <c r="SCV1" s="251" t="n"/>
      <c r="SCW1" s="251" t="n"/>
      <c r="SCX1" s="251" t="n"/>
      <c r="SCY1" s="251" t="n"/>
      <c r="SCZ1" s="251" t="n"/>
      <c r="SDA1" s="251" t="n"/>
      <c r="SDB1" s="251" t="n"/>
      <c r="SDC1" s="251" t="n"/>
      <c r="SDD1" s="251" t="n"/>
      <c r="SDE1" s="251" t="n"/>
      <c r="SDF1" s="251" t="n"/>
      <c r="SDG1" s="251" t="n"/>
      <c r="SDH1" s="251" t="n"/>
      <c r="SDI1" s="251" t="n"/>
      <c r="SDJ1" s="251" t="n"/>
      <c r="SDK1" s="251" t="n"/>
      <c r="SDL1" s="251" t="n"/>
      <c r="SDM1" s="251" t="n"/>
      <c r="SDN1" s="251" t="n"/>
      <c r="SDO1" s="251" t="n"/>
      <c r="SDP1" s="251" t="n"/>
      <c r="SDQ1" s="251" t="n"/>
      <c r="SDR1" s="251" t="n"/>
      <c r="SDS1" s="251" t="n"/>
      <c r="SDT1" s="251" t="n"/>
      <c r="SDU1" s="251" t="n"/>
      <c r="SDV1" s="251" t="n"/>
      <c r="SDW1" s="251" t="n"/>
      <c r="SDX1" s="251" t="n"/>
      <c r="SDY1" s="251" t="n"/>
      <c r="SDZ1" s="251" t="n"/>
      <c r="SEA1" s="251" t="n"/>
      <c r="SEB1" s="251" t="n"/>
      <c r="SEC1" s="251" t="n"/>
      <c r="SED1" s="251" t="n"/>
      <c r="SEE1" s="251" t="n"/>
      <c r="SEF1" s="251" t="n"/>
      <c r="SEG1" s="251" t="n"/>
      <c r="SEH1" s="251" t="n"/>
      <c r="SEI1" s="251" t="n"/>
      <c r="SEJ1" s="251" t="n"/>
      <c r="SEK1" s="251" t="n"/>
      <c r="SEL1" s="251" t="n"/>
      <c r="SEM1" s="251" t="n"/>
      <c r="SEN1" s="251" t="n"/>
      <c r="SEO1" s="251" t="n"/>
      <c r="SEP1" s="251" t="n"/>
      <c r="SEQ1" s="251" t="n"/>
      <c r="SER1" s="251" t="n"/>
      <c r="SES1" s="251" t="n"/>
      <c r="SET1" s="251" t="n"/>
      <c r="SEU1" s="251" t="n"/>
      <c r="SEV1" s="251" t="n"/>
      <c r="SEW1" s="251" t="n"/>
      <c r="SEX1" s="251" t="n"/>
      <c r="SEY1" s="251" t="n"/>
      <c r="SEZ1" s="251" t="n"/>
      <c r="SFA1" s="251" t="n"/>
      <c r="SFB1" s="251" t="n"/>
      <c r="SFC1" s="251" t="n"/>
      <c r="SFD1" s="251" t="n"/>
      <c r="SFE1" s="251" t="n"/>
      <c r="SFF1" s="251" t="n"/>
      <c r="SFG1" s="251" t="n"/>
      <c r="SFH1" s="251" t="n"/>
      <c r="SFI1" s="251" t="n"/>
      <c r="SFJ1" s="251" t="n"/>
      <c r="SFK1" s="251" t="n"/>
      <c r="SFL1" s="251" t="n"/>
      <c r="SFM1" s="251" t="n"/>
      <c r="SFN1" s="251" t="n"/>
      <c r="SFO1" s="251" t="n"/>
      <c r="SFP1" s="251" t="n"/>
      <c r="SFQ1" s="251" t="n"/>
      <c r="SFR1" s="251" t="n"/>
      <c r="SFS1" s="251" t="n"/>
      <c r="SFT1" s="251" t="n"/>
      <c r="SFU1" s="251" t="n"/>
      <c r="SFV1" s="251" t="n"/>
      <c r="SFW1" s="251" t="n"/>
      <c r="SFX1" s="251" t="n"/>
      <c r="SFY1" s="251" t="n"/>
      <c r="SFZ1" s="251" t="n"/>
      <c r="SGA1" s="251" t="n"/>
      <c r="SGB1" s="251" t="n"/>
      <c r="SGC1" s="251" t="n"/>
      <c r="SGD1" s="251" t="n"/>
      <c r="SGE1" s="251" t="n"/>
      <c r="SGF1" s="251" t="n"/>
      <c r="SGG1" s="251" t="n"/>
      <c r="SGH1" s="251" t="n"/>
      <c r="SGI1" s="251" t="n"/>
      <c r="SGJ1" s="251" t="n"/>
      <c r="SGK1" s="251" t="n"/>
      <c r="SGL1" s="251" t="n"/>
      <c r="SGM1" s="251" t="n"/>
      <c r="SGN1" s="251" t="n"/>
      <c r="SGO1" s="251" t="n"/>
      <c r="SGP1" s="251" t="n"/>
      <c r="SGQ1" s="251" t="n"/>
      <c r="SGR1" s="251" t="n"/>
      <c r="SGS1" s="251" t="n"/>
      <c r="SGT1" s="251" t="n"/>
      <c r="SGU1" s="251" t="n"/>
      <c r="SGV1" s="251" t="n"/>
      <c r="SGW1" s="251" t="n"/>
      <c r="SGX1" s="251" t="n"/>
      <c r="SGY1" s="251" t="n"/>
      <c r="SGZ1" s="251" t="n"/>
      <c r="SHA1" s="251" t="n"/>
      <c r="SHB1" s="251" t="n"/>
      <c r="SHC1" s="251" t="n"/>
      <c r="SHD1" s="251" t="n"/>
      <c r="SHE1" s="251" t="n"/>
      <c r="SHF1" s="251" t="n"/>
      <c r="SHG1" s="251" t="n"/>
      <c r="SHH1" s="251" t="n"/>
      <c r="SHI1" s="251" t="n"/>
      <c r="SHJ1" s="251" t="n"/>
      <c r="SHK1" s="251" t="n"/>
      <c r="SHL1" s="251" t="n"/>
      <c r="SHM1" s="251" t="n"/>
      <c r="SHN1" s="251" t="n"/>
      <c r="SHO1" s="251" t="n"/>
      <c r="SHP1" s="251" t="n"/>
      <c r="SHQ1" s="251" t="n"/>
      <c r="SHR1" s="251" t="n"/>
      <c r="SHS1" s="251" t="n"/>
      <c r="SHT1" s="251" t="n"/>
      <c r="SHU1" s="251" t="n"/>
      <c r="SHV1" s="251" t="n"/>
      <c r="SHW1" s="251" t="n"/>
      <c r="SHX1" s="251" t="n"/>
      <c r="SHY1" s="251" t="n"/>
      <c r="SHZ1" s="251" t="n"/>
      <c r="SIA1" s="251" t="n"/>
      <c r="SIB1" s="251" t="n"/>
      <c r="SIC1" s="251" t="n"/>
      <c r="SID1" s="251" t="n"/>
      <c r="SIE1" s="251" t="n"/>
      <c r="SIF1" s="251" t="n"/>
      <c r="SIG1" s="251" t="n"/>
      <c r="SIH1" s="251" t="n"/>
      <c r="SII1" s="251" t="n"/>
      <c r="SIJ1" s="251" t="n"/>
      <c r="SIK1" s="251" t="n"/>
      <c r="SIL1" s="251" t="n"/>
      <c r="SIM1" s="251" t="n"/>
      <c r="SIN1" s="251" t="n"/>
      <c r="SIO1" s="251" t="n"/>
      <c r="SIP1" s="251" t="n"/>
      <c r="SIQ1" s="251" t="n"/>
      <c r="SIR1" s="251" t="n"/>
      <c r="SIS1" s="251" t="n"/>
      <c r="SIT1" s="251" t="n"/>
      <c r="SIU1" s="251" t="n"/>
      <c r="SIV1" s="251" t="n"/>
      <c r="SIW1" s="251" t="n"/>
      <c r="SIX1" s="251" t="n"/>
      <c r="SIY1" s="251" t="n"/>
      <c r="SIZ1" s="251" t="n"/>
      <c r="SJA1" s="251" t="n"/>
      <c r="SJB1" s="251" t="n"/>
      <c r="SJC1" s="251" t="n"/>
      <c r="SJD1" s="251" t="n"/>
      <c r="SJE1" s="251" t="n"/>
      <c r="SJF1" s="251" t="n"/>
      <c r="SJG1" s="251" t="n"/>
      <c r="SJH1" s="251" t="n"/>
      <c r="SJI1" s="251" t="n"/>
      <c r="SJJ1" s="251" t="n"/>
      <c r="SJK1" s="251" t="n"/>
      <c r="SJL1" s="251" t="n"/>
      <c r="SJM1" s="251" t="n"/>
      <c r="SJN1" s="251" t="n"/>
      <c r="SJO1" s="251" t="n"/>
      <c r="SJP1" s="251" t="n"/>
      <c r="SJQ1" s="251" t="n"/>
      <c r="SJR1" s="251" t="n"/>
      <c r="SJS1" s="251" t="n"/>
      <c r="SJT1" s="251" t="n"/>
      <c r="SJU1" s="251" t="n"/>
      <c r="SJV1" s="251" t="n"/>
      <c r="SJW1" s="251" t="n"/>
      <c r="SJX1" s="251" t="n"/>
      <c r="SJY1" s="251" t="n"/>
      <c r="SJZ1" s="251" t="n"/>
      <c r="SKA1" s="251" t="n"/>
      <c r="SKB1" s="251" t="n"/>
      <c r="SKC1" s="251" t="n"/>
      <c r="SKD1" s="251" t="n"/>
      <c r="SKE1" s="251" t="n"/>
      <c r="SKF1" s="251" t="n"/>
      <c r="SKG1" s="251" t="n"/>
      <c r="SKH1" s="251" t="n"/>
      <c r="SKI1" s="251" t="n"/>
      <c r="SKJ1" s="251" t="n"/>
      <c r="SKK1" s="251" t="n"/>
      <c r="SKL1" s="251" t="n"/>
      <c r="SKM1" s="251" t="n"/>
      <c r="SKN1" s="251" t="n"/>
      <c r="SKO1" s="251" t="n"/>
      <c r="SKP1" s="251" t="n"/>
      <c r="SKQ1" s="251" t="n"/>
      <c r="SKR1" s="251" t="n"/>
      <c r="SKS1" s="251" t="n"/>
      <c r="SKT1" s="251" t="n"/>
      <c r="SKU1" s="251" t="n"/>
      <c r="SKV1" s="251" t="n"/>
      <c r="SKW1" s="251" t="n"/>
      <c r="SKX1" s="251" t="n"/>
      <c r="SKY1" s="251" t="n"/>
      <c r="SKZ1" s="251" t="n"/>
      <c r="SLA1" s="251" t="n"/>
      <c r="SLB1" s="251" t="n"/>
      <c r="SLC1" s="251" t="n"/>
      <c r="SLD1" s="251" t="n"/>
      <c r="SLE1" s="251" t="n"/>
      <c r="SLF1" s="251" t="n"/>
      <c r="SLG1" s="251" t="n"/>
      <c r="SLH1" s="251" t="n"/>
      <c r="SLI1" s="251" t="n"/>
      <c r="SLJ1" s="251" t="n"/>
      <c r="SLK1" s="251" t="n"/>
      <c r="SLL1" s="251" t="n"/>
      <c r="SLM1" s="251" t="n"/>
      <c r="SLN1" s="251" t="n"/>
      <c r="SLO1" s="251" t="n"/>
      <c r="SLP1" s="251" t="n"/>
      <c r="SLQ1" s="251" t="n"/>
      <c r="SLR1" s="251" t="n"/>
      <c r="SLS1" s="251" t="n"/>
      <c r="SLT1" s="251" t="n"/>
      <c r="SLU1" s="251" t="n"/>
      <c r="SLV1" s="251" t="n"/>
      <c r="SLW1" s="251" t="n"/>
      <c r="SLX1" s="251" t="n"/>
      <c r="SLY1" s="251" t="n"/>
      <c r="SLZ1" s="251" t="n"/>
      <c r="SMA1" s="251" t="n"/>
      <c r="SMB1" s="251" t="n"/>
      <c r="SMC1" s="251" t="n"/>
      <c r="SMD1" s="251" t="n"/>
      <c r="SME1" s="251" t="n"/>
      <c r="SMF1" s="251" t="n"/>
      <c r="SMG1" s="251" t="n"/>
      <c r="SMH1" s="251" t="n"/>
      <c r="SMI1" s="251" t="n"/>
      <c r="SMJ1" s="251" t="n"/>
      <c r="SMK1" s="251" t="n"/>
      <c r="SML1" s="251" t="n"/>
      <c r="SMM1" s="251" t="n"/>
      <c r="SMN1" s="251" t="n"/>
      <c r="SMO1" s="251" t="n"/>
      <c r="SMP1" s="251" t="n"/>
      <c r="SMQ1" s="251" t="n"/>
      <c r="SMR1" s="251" t="n"/>
      <c r="SMS1" s="251" t="n"/>
      <c r="SMT1" s="251" t="n"/>
      <c r="SMU1" s="251" t="n"/>
      <c r="SMV1" s="251" t="n"/>
      <c r="SMW1" s="251" t="n"/>
      <c r="SMX1" s="251" t="n"/>
      <c r="SMY1" s="251" t="n"/>
      <c r="SMZ1" s="251" t="n"/>
      <c r="SNA1" s="251" t="n"/>
      <c r="SNB1" s="251" t="n"/>
      <c r="SNC1" s="251" t="n"/>
      <c r="SND1" s="251" t="n"/>
      <c r="SNE1" s="251" t="n"/>
      <c r="SNF1" s="251" t="n"/>
      <c r="SNG1" s="251" t="n"/>
      <c r="SNH1" s="251" t="n"/>
      <c r="SNI1" s="251" t="n"/>
      <c r="SNJ1" s="251" t="n"/>
      <c r="SNK1" s="251" t="n"/>
      <c r="SNL1" s="251" t="n"/>
      <c r="SNM1" s="251" t="n"/>
      <c r="SNN1" s="251" t="n"/>
      <c r="SNO1" s="251" t="n"/>
      <c r="SNP1" s="251" t="n"/>
      <c r="SNQ1" s="251" t="n"/>
      <c r="SNR1" s="251" t="n"/>
      <c r="SNS1" s="251" t="n"/>
      <c r="SNT1" s="251" t="n"/>
      <c r="SNU1" s="251" t="n"/>
      <c r="SNV1" s="251" t="n"/>
      <c r="SNW1" s="251" t="n"/>
      <c r="SNX1" s="251" t="n"/>
      <c r="SNY1" s="251" t="n"/>
      <c r="SNZ1" s="251" t="n"/>
      <c r="SOA1" s="251" t="n"/>
      <c r="SOB1" s="251" t="n"/>
      <c r="SOC1" s="251" t="n"/>
      <c r="SOD1" s="251" t="n"/>
      <c r="SOE1" s="251" t="n"/>
      <c r="SOF1" s="251" t="n"/>
      <c r="SOG1" s="251" t="n"/>
      <c r="SOH1" s="251" t="n"/>
      <c r="SOI1" s="251" t="n"/>
      <c r="SOJ1" s="251" t="n"/>
      <c r="SOK1" s="251" t="n"/>
      <c r="SOL1" s="251" t="n"/>
      <c r="SOM1" s="251" t="n"/>
      <c r="SON1" s="251" t="n"/>
      <c r="SOO1" s="251" t="n"/>
      <c r="SOP1" s="251" t="n"/>
      <c r="SOQ1" s="251" t="n"/>
      <c r="SOR1" s="251" t="n"/>
      <c r="SOS1" s="251" t="n"/>
      <c r="SOT1" s="251" t="n"/>
      <c r="SOU1" s="251" t="n"/>
      <c r="SOV1" s="251" t="n"/>
      <c r="SOW1" s="251" t="n"/>
      <c r="SOX1" s="251" t="n"/>
      <c r="SOY1" s="251" t="n"/>
      <c r="SOZ1" s="251" t="n"/>
      <c r="SPA1" s="251" t="n"/>
      <c r="SPB1" s="251" t="n"/>
      <c r="SPC1" s="251" t="n"/>
      <c r="SPD1" s="251" t="n"/>
      <c r="SPE1" s="251" t="n"/>
      <c r="SPF1" s="251" t="n"/>
      <c r="SPG1" s="251" t="n"/>
      <c r="SPH1" s="251" t="n"/>
      <c r="SPI1" s="251" t="n"/>
      <c r="SPJ1" s="251" t="n"/>
      <c r="SPK1" s="251" t="n"/>
      <c r="SPL1" s="251" t="n"/>
      <c r="SPM1" s="251" t="n"/>
      <c r="SPN1" s="251" t="n"/>
      <c r="SPO1" s="251" t="n"/>
      <c r="SPP1" s="251" t="n"/>
      <c r="SPQ1" s="251" t="n"/>
      <c r="SPR1" s="251" t="n"/>
      <c r="SPS1" s="251" t="n"/>
      <c r="SPT1" s="251" t="n"/>
      <c r="SPU1" s="251" t="n"/>
      <c r="SPV1" s="251" t="n"/>
      <c r="SPW1" s="251" t="n"/>
      <c r="SPX1" s="251" t="n"/>
      <c r="SPY1" s="251" t="n"/>
      <c r="SPZ1" s="251" t="n"/>
      <c r="SQA1" s="251" t="n"/>
      <c r="SQB1" s="251" t="n"/>
      <c r="SQC1" s="251" t="n"/>
      <c r="SQD1" s="251" t="n"/>
      <c r="SQE1" s="251" t="n"/>
      <c r="SQF1" s="251" t="n"/>
      <c r="SQG1" s="251" t="n"/>
      <c r="SQH1" s="251" t="n"/>
      <c r="SQI1" s="251" t="n"/>
      <c r="SQJ1" s="251" t="n"/>
      <c r="SQK1" s="251" t="n"/>
      <c r="SQL1" s="251" t="n"/>
      <c r="SQM1" s="251" t="n"/>
      <c r="SQN1" s="251" t="n"/>
      <c r="SQO1" s="251" t="n"/>
      <c r="SQP1" s="251" t="n"/>
      <c r="SQQ1" s="251" t="n"/>
      <c r="SQR1" s="251" t="n"/>
      <c r="SQS1" s="251" t="n"/>
      <c r="SQT1" s="251" t="n"/>
      <c r="SQU1" s="251" t="n"/>
      <c r="SQV1" s="251" t="n"/>
      <c r="SQW1" s="251" t="n"/>
      <c r="SQX1" s="251" t="n"/>
      <c r="SQY1" s="251" t="n"/>
      <c r="SQZ1" s="251" t="n"/>
      <c r="SRA1" s="251" t="n"/>
      <c r="SRB1" s="251" t="n"/>
      <c r="SRC1" s="251" t="n"/>
      <c r="SRD1" s="251" t="n"/>
      <c r="SRE1" s="251" t="n"/>
      <c r="SRF1" s="251" t="n"/>
      <c r="SRG1" s="251" t="n"/>
      <c r="SRH1" s="251" t="n"/>
      <c r="SRI1" s="251" t="n"/>
      <c r="SRJ1" s="251" t="n"/>
      <c r="SRK1" s="251" t="n"/>
      <c r="SRL1" s="251" t="n"/>
      <c r="SRM1" s="251" t="n"/>
      <c r="SRN1" s="251" t="n"/>
      <c r="SRO1" s="251" t="n"/>
      <c r="SRP1" s="251" t="n"/>
      <c r="SRQ1" s="251" t="n"/>
      <c r="SRR1" s="251" t="n"/>
      <c r="SRS1" s="251" t="n"/>
      <c r="SRT1" s="251" t="n"/>
      <c r="SRU1" s="251" t="n"/>
      <c r="SRV1" s="251" t="n"/>
      <c r="SRW1" s="251" t="n"/>
      <c r="SRX1" s="251" t="n"/>
      <c r="SRY1" s="251" t="n"/>
      <c r="SRZ1" s="251" t="n"/>
      <c r="SSA1" s="251" t="n"/>
      <c r="SSB1" s="251" t="n"/>
      <c r="SSC1" s="251" t="n"/>
      <c r="SSD1" s="251" t="n"/>
      <c r="SSE1" s="251" t="n"/>
      <c r="SSF1" s="251" t="n"/>
      <c r="SSG1" s="251" t="n"/>
      <c r="SSH1" s="251" t="n"/>
      <c r="SSI1" s="251" t="n"/>
      <c r="SSJ1" s="251" t="n"/>
      <c r="SSK1" s="251" t="n"/>
      <c r="SSL1" s="251" t="n"/>
      <c r="SSM1" s="251" t="n"/>
      <c r="SSN1" s="251" t="n"/>
      <c r="SSO1" s="251" t="n"/>
      <c r="SSP1" s="251" t="n"/>
      <c r="SSQ1" s="251" t="n"/>
      <c r="SSR1" s="251" t="n"/>
      <c r="SSS1" s="251" t="n"/>
      <c r="SST1" s="251" t="n"/>
      <c r="SSU1" s="251" t="n"/>
      <c r="SSV1" s="251" t="n"/>
      <c r="SSW1" s="251" t="n"/>
      <c r="SSX1" s="251" t="n"/>
      <c r="SSY1" s="251" t="n"/>
      <c r="SSZ1" s="251" t="n"/>
      <c r="STA1" s="251" t="n"/>
      <c r="STB1" s="251" t="n"/>
      <c r="STC1" s="251" t="n"/>
      <c r="STD1" s="251" t="n"/>
      <c r="STE1" s="251" t="n"/>
      <c r="STF1" s="251" t="n"/>
      <c r="STG1" s="251" t="n"/>
      <c r="STH1" s="251" t="n"/>
      <c r="STI1" s="251" t="n"/>
      <c r="STJ1" s="251" t="n"/>
      <c r="STK1" s="251" t="n"/>
      <c r="STL1" s="251" t="n"/>
      <c r="STM1" s="251" t="n"/>
      <c r="STN1" s="251" t="n"/>
      <c r="STO1" s="251" t="n"/>
      <c r="STP1" s="251" t="n"/>
      <c r="STQ1" s="251" t="n"/>
      <c r="STR1" s="251" t="n"/>
      <c r="STS1" s="251" t="n"/>
      <c r="STT1" s="251" t="n"/>
      <c r="STU1" s="251" t="n"/>
      <c r="STV1" s="251" t="n"/>
      <c r="STW1" s="251" t="n"/>
      <c r="STX1" s="251" t="n"/>
      <c r="STY1" s="251" t="n"/>
      <c r="STZ1" s="251" t="n"/>
      <c r="SUA1" s="251" t="n"/>
      <c r="SUB1" s="251" t="n"/>
      <c r="SUC1" s="251" t="n"/>
      <c r="SUD1" s="251" t="n"/>
      <c r="SUE1" s="251" t="n"/>
      <c r="SUF1" s="251" t="n"/>
      <c r="SUG1" s="251" t="n"/>
      <c r="SUH1" s="251" t="n"/>
      <c r="SUI1" s="251" t="n"/>
      <c r="SUJ1" s="251" t="n"/>
      <c r="SUK1" s="251" t="n"/>
      <c r="SUL1" s="251" t="n"/>
      <c r="SUM1" s="251" t="n"/>
      <c r="SUN1" s="251" t="n"/>
      <c r="SUO1" s="251" t="n"/>
      <c r="SUP1" s="251" t="n"/>
      <c r="SUQ1" s="251" t="n"/>
      <c r="SUR1" s="251" t="n"/>
      <c r="SUS1" s="251" t="n"/>
      <c r="SUT1" s="251" t="n"/>
      <c r="SUU1" s="251" t="n"/>
      <c r="SUV1" s="251" t="n"/>
      <c r="SUW1" s="251" t="n"/>
      <c r="SUX1" s="251" t="n"/>
      <c r="SUY1" s="251" t="n"/>
      <c r="SUZ1" s="251" t="n"/>
      <c r="SVA1" s="251" t="n"/>
      <c r="SVB1" s="251" t="n"/>
      <c r="SVC1" s="251" t="n"/>
      <c r="SVD1" s="251" t="n"/>
      <c r="SVE1" s="251" t="n"/>
      <c r="SVF1" s="251" t="n"/>
      <c r="SVG1" s="251" t="n"/>
      <c r="SVH1" s="251" t="n"/>
      <c r="SVI1" s="251" t="n"/>
      <c r="SVJ1" s="251" t="n"/>
      <c r="SVK1" s="251" t="n"/>
      <c r="SVL1" s="251" t="n"/>
      <c r="SVM1" s="251" t="n"/>
      <c r="SVN1" s="251" t="n"/>
      <c r="SVO1" s="251" t="n"/>
      <c r="SVP1" s="251" t="n"/>
      <c r="SVQ1" s="251" t="n"/>
      <c r="SVR1" s="251" t="n"/>
      <c r="SVS1" s="251" t="n"/>
      <c r="SVT1" s="251" t="n"/>
      <c r="SVU1" s="251" t="n"/>
      <c r="SVV1" s="251" t="n"/>
      <c r="SVW1" s="251" t="n"/>
      <c r="SVX1" s="251" t="n"/>
      <c r="SVY1" s="251" t="n"/>
      <c r="SVZ1" s="251" t="n"/>
      <c r="SWA1" s="251" t="n"/>
      <c r="SWB1" s="251" t="n"/>
      <c r="SWC1" s="251" t="n"/>
      <c r="SWD1" s="251" t="n"/>
      <c r="SWE1" s="251" t="n"/>
      <c r="SWF1" s="251" t="n"/>
      <c r="SWG1" s="251" t="n"/>
      <c r="SWH1" s="251" t="n"/>
      <c r="SWI1" s="251" t="n"/>
      <c r="SWJ1" s="251" t="n"/>
      <c r="SWK1" s="251" t="n"/>
      <c r="SWL1" s="251" t="n"/>
      <c r="SWM1" s="251" t="n"/>
      <c r="SWN1" s="251" t="n"/>
      <c r="SWO1" s="251" t="n"/>
      <c r="SWP1" s="251" t="n"/>
      <c r="SWQ1" s="251" t="n"/>
      <c r="SWR1" s="251" t="n"/>
      <c r="SWS1" s="251" t="n"/>
      <c r="SWT1" s="251" t="n"/>
      <c r="SWU1" s="251" t="n"/>
      <c r="SWV1" s="251" t="n"/>
      <c r="SWW1" s="251" t="n"/>
      <c r="SWX1" s="251" t="n"/>
      <c r="SWY1" s="251" t="n"/>
      <c r="SWZ1" s="251" t="n"/>
      <c r="SXA1" s="251" t="n"/>
      <c r="SXB1" s="251" t="n"/>
      <c r="SXC1" s="251" t="n"/>
      <c r="SXD1" s="251" t="n"/>
      <c r="SXE1" s="251" t="n"/>
      <c r="SXF1" s="251" t="n"/>
      <c r="SXG1" s="251" t="n"/>
      <c r="SXH1" s="251" t="n"/>
      <c r="SXI1" s="251" t="n"/>
      <c r="SXJ1" s="251" t="n"/>
      <c r="SXK1" s="251" t="n"/>
      <c r="SXL1" s="251" t="n"/>
      <c r="SXM1" s="251" t="n"/>
      <c r="SXN1" s="251" t="n"/>
      <c r="SXO1" s="251" t="n"/>
      <c r="SXP1" s="251" t="n"/>
      <c r="SXQ1" s="251" t="n"/>
      <c r="SXR1" s="251" t="n"/>
      <c r="SXS1" s="251" t="n"/>
      <c r="SXT1" s="251" t="n"/>
      <c r="SXU1" s="251" t="n"/>
      <c r="SXV1" s="251" t="n"/>
      <c r="SXW1" s="251" t="n"/>
      <c r="SXX1" s="251" t="n"/>
      <c r="SXY1" s="251" t="n"/>
      <c r="SXZ1" s="251" t="n"/>
      <c r="SYA1" s="251" t="n"/>
      <c r="SYB1" s="251" t="n"/>
      <c r="SYC1" s="251" t="n"/>
      <c r="SYD1" s="251" t="n"/>
      <c r="SYE1" s="251" t="n"/>
      <c r="SYF1" s="251" t="n"/>
      <c r="SYG1" s="251" t="n"/>
      <c r="SYH1" s="251" t="n"/>
      <c r="SYI1" s="251" t="n"/>
      <c r="SYJ1" s="251" t="n"/>
      <c r="SYK1" s="251" t="n"/>
      <c r="SYL1" s="251" t="n"/>
      <c r="SYM1" s="251" t="n"/>
      <c r="SYN1" s="251" t="n"/>
      <c r="SYO1" s="251" t="n"/>
      <c r="SYP1" s="251" t="n"/>
      <c r="SYQ1" s="251" t="n"/>
      <c r="SYR1" s="251" t="n"/>
      <c r="SYS1" s="251" t="n"/>
      <c r="SYT1" s="251" t="n"/>
      <c r="SYU1" s="251" t="n"/>
      <c r="SYV1" s="251" t="n"/>
      <c r="SYW1" s="251" t="n"/>
      <c r="SYX1" s="251" t="n"/>
      <c r="SYY1" s="251" t="n"/>
      <c r="SYZ1" s="251" t="n"/>
      <c r="SZA1" s="251" t="n"/>
      <c r="SZB1" s="251" t="n"/>
      <c r="SZC1" s="251" t="n"/>
      <c r="SZD1" s="251" t="n"/>
      <c r="SZE1" s="251" t="n"/>
      <c r="SZF1" s="251" t="n"/>
      <c r="SZG1" s="251" t="n"/>
      <c r="SZH1" s="251" t="n"/>
      <c r="SZI1" s="251" t="n"/>
      <c r="SZJ1" s="251" t="n"/>
      <c r="SZK1" s="251" t="n"/>
      <c r="SZL1" s="251" t="n"/>
      <c r="SZM1" s="251" t="n"/>
      <c r="SZN1" s="251" t="n"/>
      <c r="SZO1" s="251" t="n"/>
      <c r="SZP1" s="251" t="n"/>
      <c r="SZQ1" s="251" t="n"/>
      <c r="SZR1" s="251" t="n"/>
      <c r="SZS1" s="251" t="n"/>
      <c r="SZT1" s="251" t="n"/>
      <c r="SZU1" s="251" t="n"/>
      <c r="SZV1" s="251" t="n"/>
      <c r="SZW1" s="251" t="n"/>
      <c r="SZX1" s="251" t="n"/>
      <c r="SZY1" s="251" t="n"/>
      <c r="SZZ1" s="251" t="n"/>
      <c r="TAA1" s="251" t="n"/>
      <c r="TAB1" s="251" t="n"/>
      <c r="TAC1" s="251" t="n"/>
      <c r="TAD1" s="251" t="n"/>
      <c r="TAE1" s="251" t="n"/>
      <c r="TAF1" s="251" t="n"/>
      <c r="TAG1" s="251" t="n"/>
      <c r="TAH1" s="251" t="n"/>
      <c r="TAI1" s="251" t="n"/>
      <c r="TAJ1" s="251" t="n"/>
      <c r="TAK1" s="251" t="n"/>
      <c r="TAL1" s="251" t="n"/>
      <c r="TAM1" s="251" t="n"/>
      <c r="TAN1" s="251" t="n"/>
      <c r="TAO1" s="251" t="n"/>
      <c r="TAP1" s="251" t="n"/>
      <c r="TAQ1" s="251" t="n"/>
      <c r="TAR1" s="251" t="n"/>
      <c r="TAS1" s="251" t="n"/>
      <c r="TAT1" s="251" t="n"/>
      <c r="TAU1" s="251" t="n"/>
      <c r="TAV1" s="251" t="n"/>
      <c r="TAW1" s="251" t="n"/>
      <c r="TAX1" s="251" t="n"/>
      <c r="TAY1" s="251" t="n"/>
      <c r="TAZ1" s="251" t="n"/>
      <c r="TBA1" s="251" t="n"/>
      <c r="TBB1" s="251" t="n"/>
      <c r="TBC1" s="251" t="n"/>
      <c r="TBD1" s="251" t="n"/>
      <c r="TBE1" s="251" t="n"/>
      <c r="TBF1" s="251" t="n"/>
      <c r="TBG1" s="251" t="n"/>
      <c r="TBH1" s="251" t="n"/>
      <c r="TBI1" s="251" t="n"/>
      <c r="TBJ1" s="251" t="n"/>
      <c r="TBK1" s="251" t="n"/>
      <c r="TBL1" s="251" t="n"/>
      <c r="TBM1" s="251" t="n"/>
      <c r="TBN1" s="251" t="n"/>
      <c r="TBO1" s="251" t="n"/>
      <c r="TBP1" s="251" t="n"/>
      <c r="TBQ1" s="251" t="n"/>
      <c r="TBR1" s="251" t="n"/>
      <c r="TBS1" s="251" t="n"/>
      <c r="TBT1" s="251" t="n"/>
      <c r="TBU1" s="251" t="n"/>
      <c r="TBV1" s="251" t="n"/>
      <c r="TBW1" s="251" t="n"/>
      <c r="TBX1" s="251" t="n"/>
      <c r="TBY1" s="251" t="n"/>
      <c r="TBZ1" s="251" t="n"/>
      <c r="TCA1" s="251" t="n"/>
      <c r="TCB1" s="251" t="n"/>
      <c r="TCC1" s="251" t="n"/>
      <c r="TCD1" s="251" t="n"/>
      <c r="TCE1" s="251" t="n"/>
      <c r="TCF1" s="251" t="n"/>
      <c r="TCG1" s="251" t="n"/>
      <c r="TCH1" s="251" t="n"/>
      <c r="TCI1" s="251" t="n"/>
      <c r="TCJ1" s="251" t="n"/>
      <c r="TCK1" s="251" t="n"/>
      <c r="TCL1" s="251" t="n"/>
      <c r="TCM1" s="251" t="n"/>
      <c r="TCN1" s="251" t="n"/>
      <c r="TCO1" s="251" t="n"/>
      <c r="TCP1" s="251" t="n"/>
      <c r="TCQ1" s="251" t="n"/>
      <c r="TCR1" s="251" t="n"/>
      <c r="TCS1" s="251" t="n"/>
      <c r="TCT1" s="251" t="n"/>
      <c r="TCU1" s="251" t="n"/>
      <c r="TCV1" s="251" t="n"/>
      <c r="TCW1" s="251" t="n"/>
      <c r="TCX1" s="251" t="n"/>
      <c r="TCY1" s="251" t="n"/>
      <c r="TCZ1" s="251" t="n"/>
      <c r="TDA1" s="251" t="n"/>
      <c r="TDB1" s="251" t="n"/>
      <c r="TDC1" s="251" t="n"/>
      <c r="TDD1" s="251" t="n"/>
      <c r="TDE1" s="251" t="n"/>
      <c r="TDF1" s="251" t="n"/>
      <c r="TDG1" s="251" t="n"/>
      <c r="TDH1" s="251" t="n"/>
      <c r="TDI1" s="251" t="n"/>
      <c r="TDJ1" s="251" t="n"/>
      <c r="TDK1" s="251" t="n"/>
      <c r="TDL1" s="251" t="n"/>
      <c r="TDM1" s="251" t="n"/>
      <c r="TDN1" s="251" t="n"/>
      <c r="TDO1" s="251" t="n"/>
      <c r="TDP1" s="251" t="n"/>
      <c r="TDQ1" s="251" t="n"/>
      <c r="TDR1" s="251" t="n"/>
      <c r="TDS1" s="251" t="n"/>
      <c r="TDT1" s="251" t="n"/>
      <c r="TDU1" s="251" t="n"/>
      <c r="TDV1" s="251" t="n"/>
      <c r="TDW1" s="251" t="n"/>
      <c r="TDX1" s="251" t="n"/>
      <c r="TDY1" s="251" t="n"/>
      <c r="TDZ1" s="251" t="n"/>
      <c r="TEA1" s="251" t="n"/>
      <c r="TEB1" s="251" t="n"/>
      <c r="TEC1" s="251" t="n"/>
      <c r="TED1" s="251" t="n"/>
      <c r="TEE1" s="251" t="n"/>
      <c r="TEF1" s="251" t="n"/>
      <c r="TEG1" s="251" t="n"/>
      <c r="TEH1" s="251" t="n"/>
      <c r="TEI1" s="251" t="n"/>
      <c r="TEJ1" s="251" t="n"/>
      <c r="TEK1" s="251" t="n"/>
      <c r="TEL1" s="251" t="n"/>
      <c r="TEM1" s="251" t="n"/>
      <c r="TEN1" s="251" t="n"/>
      <c r="TEO1" s="251" t="n"/>
      <c r="TEP1" s="251" t="n"/>
      <c r="TEQ1" s="251" t="n"/>
      <c r="TER1" s="251" t="n"/>
      <c r="TES1" s="251" t="n"/>
      <c r="TET1" s="251" t="n"/>
      <c r="TEU1" s="251" t="n"/>
      <c r="TEV1" s="251" t="n"/>
      <c r="TEW1" s="251" t="n"/>
      <c r="TEX1" s="251" t="n"/>
      <c r="TEY1" s="251" t="n"/>
      <c r="TEZ1" s="251" t="n"/>
      <c r="TFA1" s="251" t="n"/>
      <c r="TFB1" s="251" t="n"/>
      <c r="TFC1" s="251" t="n"/>
      <c r="TFD1" s="251" t="n"/>
      <c r="TFE1" s="251" t="n"/>
      <c r="TFF1" s="251" t="n"/>
      <c r="TFG1" s="251" t="n"/>
      <c r="TFH1" s="251" t="n"/>
      <c r="TFI1" s="251" t="n"/>
      <c r="TFJ1" s="251" t="n"/>
      <c r="TFK1" s="251" t="n"/>
      <c r="TFL1" s="251" t="n"/>
      <c r="TFM1" s="251" t="n"/>
      <c r="TFN1" s="251" t="n"/>
      <c r="TFO1" s="251" t="n"/>
      <c r="TFP1" s="251" t="n"/>
      <c r="TFQ1" s="251" t="n"/>
      <c r="TFR1" s="251" t="n"/>
      <c r="TFS1" s="251" t="n"/>
      <c r="TFT1" s="251" t="n"/>
      <c r="TFU1" s="251" t="n"/>
      <c r="TFV1" s="251" t="n"/>
      <c r="TFW1" s="251" t="n"/>
      <c r="TFX1" s="251" t="n"/>
      <c r="TFY1" s="251" t="n"/>
      <c r="TFZ1" s="251" t="n"/>
      <c r="TGA1" s="251" t="n"/>
      <c r="TGB1" s="251" t="n"/>
      <c r="TGC1" s="251" t="n"/>
      <c r="TGD1" s="251" t="n"/>
      <c r="TGE1" s="251" t="n"/>
      <c r="TGF1" s="251" t="n"/>
      <c r="TGG1" s="251" t="n"/>
      <c r="TGH1" s="251" t="n"/>
      <c r="TGI1" s="251" t="n"/>
      <c r="TGJ1" s="251" t="n"/>
      <c r="TGK1" s="251" t="n"/>
      <c r="TGL1" s="251" t="n"/>
      <c r="TGM1" s="251" t="n"/>
      <c r="TGN1" s="251" t="n"/>
      <c r="TGO1" s="251" t="n"/>
      <c r="TGP1" s="251" t="n"/>
      <c r="TGQ1" s="251" t="n"/>
      <c r="TGR1" s="251" t="n"/>
      <c r="TGS1" s="251" t="n"/>
      <c r="TGT1" s="251" t="n"/>
      <c r="TGU1" s="251" t="n"/>
      <c r="TGV1" s="251" t="n"/>
      <c r="TGW1" s="251" t="n"/>
      <c r="TGX1" s="251" t="n"/>
      <c r="TGY1" s="251" t="n"/>
      <c r="TGZ1" s="251" t="n"/>
      <c r="THA1" s="251" t="n"/>
      <c r="THB1" s="251" t="n"/>
      <c r="THC1" s="251" t="n"/>
      <c r="THD1" s="251" t="n"/>
      <c r="THE1" s="251" t="n"/>
      <c r="THF1" s="251" t="n"/>
      <c r="THG1" s="251" t="n"/>
      <c r="THH1" s="251" t="n"/>
      <c r="THI1" s="251" t="n"/>
      <c r="THJ1" s="251" t="n"/>
      <c r="THK1" s="251" t="n"/>
      <c r="THL1" s="251" t="n"/>
      <c r="THM1" s="251" t="n"/>
      <c r="THN1" s="251" t="n"/>
      <c r="THO1" s="251" t="n"/>
      <c r="THP1" s="251" t="n"/>
      <c r="THQ1" s="251" t="n"/>
      <c r="THR1" s="251" t="n"/>
      <c r="THS1" s="251" t="n"/>
      <c r="THT1" s="251" t="n"/>
      <c r="THU1" s="251" t="n"/>
      <c r="THV1" s="251" t="n"/>
      <c r="THW1" s="251" t="n"/>
      <c r="THX1" s="251" t="n"/>
      <c r="THY1" s="251" t="n"/>
      <c r="THZ1" s="251" t="n"/>
      <c r="TIA1" s="251" t="n"/>
      <c r="TIB1" s="251" t="n"/>
      <c r="TIC1" s="251" t="n"/>
      <c r="TID1" s="251" t="n"/>
      <c r="TIE1" s="251" t="n"/>
      <c r="TIF1" s="251" t="n"/>
      <c r="TIG1" s="251" t="n"/>
      <c r="TIH1" s="251" t="n"/>
      <c r="TII1" s="251" t="n"/>
      <c r="TIJ1" s="251" t="n"/>
      <c r="TIK1" s="251" t="n"/>
      <c r="TIL1" s="251" t="n"/>
      <c r="TIM1" s="251" t="n"/>
      <c r="TIN1" s="251" t="n"/>
      <c r="TIO1" s="251" t="n"/>
      <c r="TIP1" s="251" t="n"/>
      <c r="TIQ1" s="251" t="n"/>
      <c r="TIR1" s="251" t="n"/>
      <c r="TIS1" s="251" t="n"/>
      <c r="TIT1" s="251" t="n"/>
      <c r="TIU1" s="251" t="n"/>
      <c r="TIV1" s="251" t="n"/>
      <c r="TIW1" s="251" t="n"/>
      <c r="TIX1" s="251" t="n"/>
      <c r="TIY1" s="251" t="n"/>
      <c r="TIZ1" s="251" t="n"/>
      <c r="TJA1" s="251" t="n"/>
      <c r="TJB1" s="251" t="n"/>
      <c r="TJC1" s="251" t="n"/>
      <c r="TJD1" s="251" t="n"/>
      <c r="TJE1" s="251" t="n"/>
      <c r="TJF1" s="251" t="n"/>
      <c r="TJG1" s="251" t="n"/>
      <c r="TJH1" s="251" t="n"/>
      <c r="TJI1" s="251" t="n"/>
      <c r="TJJ1" s="251" t="n"/>
      <c r="TJK1" s="251" t="n"/>
      <c r="TJL1" s="251" t="n"/>
      <c r="TJM1" s="251" t="n"/>
      <c r="TJN1" s="251" t="n"/>
      <c r="TJO1" s="251" t="n"/>
      <c r="TJP1" s="251" t="n"/>
      <c r="TJQ1" s="251" t="n"/>
      <c r="TJR1" s="251" t="n"/>
      <c r="TJS1" s="251" t="n"/>
      <c r="TJT1" s="251" t="n"/>
      <c r="TJU1" s="251" t="n"/>
      <c r="TJV1" s="251" t="n"/>
      <c r="TJW1" s="251" t="n"/>
      <c r="TJX1" s="251" t="n"/>
      <c r="TJY1" s="251" t="n"/>
      <c r="TJZ1" s="251" t="n"/>
      <c r="TKA1" s="251" t="n"/>
      <c r="TKB1" s="251" t="n"/>
      <c r="TKC1" s="251" t="n"/>
      <c r="TKD1" s="251" t="n"/>
      <c r="TKE1" s="251" t="n"/>
      <c r="TKF1" s="251" t="n"/>
      <c r="TKG1" s="251" t="n"/>
      <c r="TKH1" s="251" t="n"/>
      <c r="TKI1" s="251" t="n"/>
      <c r="TKJ1" s="251" t="n"/>
      <c r="TKK1" s="251" t="n"/>
      <c r="TKL1" s="251" t="n"/>
      <c r="TKM1" s="251" t="n"/>
      <c r="TKN1" s="251" t="n"/>
      <c r="TKO1" s="251" t="n"/>
      <c r="TKP1" s="251" t="n"/>
      <c r="TKQ1" s="251" t="n"/>
      <c r="TKR1" s="251" t="n"/>
      <c r="TKS1" s="251" t="n"/>
      <c r="TKT1" s="251" t="n"/>
      <c r="TKU1" s="251" t="n"/>
      <c r="TKV1" s="251" t="n"/>
      <c r="TKW1" s="251" t="n"/>
      <c r="TKX1" s="251" t="n"/>
      <c r="TKY1" s="251" t="n"/>
      <c r="TKZ1" s="251" t="n"/>
      <c r="TLA1" s="251" t="n"/>
      <c r="TLB1" s="251" t="n"/>
      <c r="TLC1" s="251" t="n"/>
      <c r="TLD1" s="251" t="n"/>
      <c r="TLE1" s="251" t="n"/>
      <c r="TLF1" s="251" t="n"/>
      <c r="TLG1" s="251" t="n"/>
      <c r="TLH1" s="251" t="n"/>
      <c r="TLI1" s="251" t="n"/>
      <c r="TLJ1" s="251" t="n"/>
      <c r="TLK1" s="251" t="n"/>
      <c r="TLL1" s="251" t="n"/>
      <c r="TLM1" s="251" t="n"/>
      <c r="TLN1" s="251" t="n"/>
      <c r="TLO1" s="251" t="n"/>
      <c r="TLP1" s="251" t="n"/>
      <c r="TLQ1" s="251" t="n"/>
      <c r="TLR1" s="251" t="n"/>
      <c r="TLS1" s="251" t="n"/>
      <c r="TLT1" s="251" t="n"/>
      <c r="TLU1" s="251" t="n"/>
      <c r="TLV1" s="251" t="n"/>
      <c r="TLW1" s="251" t="n"/>
      <c r="TLX1" s="251" t="n"/>
      <c r="TLY1" s="251" t="n"/>
      <c r="TLZ1" s="251" t="n"/>
      <c r="TMA1" s="251" t="n"/>
      <c r="TMB1" s="251" t="n"/>
      <c r="TMC1" s="251" t="n"/>
      <c r="TMD1" s="251" t="n"/>
      <c r="TME1" s="251" t="n"/>
      <c r="TMF1" s="251" t="n"/>
      <c r="TMG1" s="251" t="n"/>
      <c r="TMH1" s="251" t="n"/>
      <c r="TMI1" s="251" t="n"/>
      <c r="TMJ1" s="251" t="n"/>
      <c r="TMK1" s="251" t="n"/>
      <c r="TML1" s="251" t="n"/>
      <c r="TMM1" s="251" t="n"/>
      <c r="TMN1" s="251" t="n"/>
      <c r="TMO1" s="251" t="n"/>
      <c r="TMP1" s="251" t="n"/>
      <c r="TMQ1" s="251" t="n"/>
      <c r="TMR1" s="251" t="n"/>
      <c r="TMS1" s="251" t="n"/>
      <c r="TMT1" s="251" t="n"/>
      <c r="TMU1" s="251" t="n"/>
      <c r="TMV1" s="251" t="n"/>
      <c r="TMW1" s="251" t="n"/>
      <c r="TMX1" s="251" t="n"/>
      <c r="TMY1" s="251" t="n"/>
      <c r="TMZ1" s="251" t="n"/>
      <c r="TNA1" s="251" t="n"/>
      <c r="TNB1" s="251" t="n"/>
      <c r="TNC1" s="251" t="n"/>
      <c r="TND1" s="251" t="n"/>
      <c r="TNE1" s="251" t="n"/>
      <c r="TNF1" s="251" t="n"/>
      <c r="TNG1" s="251" t="n"/>
      <c r="TNH1" s="251" t="n"/>
      <c r="TNI1" s="251" t="n"/>
      <c r="TNJ1" s="251" t="n"/>
      <c r="TNK1" s="251" t="n"/>
      <c r="TNL1" s="251" t="n"/>
      <c r="TNM1" s="251" t="n"/>
      <c r="TNN1" s="251" t="n"/>
      <c r="TNO1" s="251" t="n"/>
      <c r="TNP1" s="251" t="n"/>
      <c r="TNQ1" s="251" t="n"/>
      <c r="TNR1" s="251" t="n"/>
      <c r="TNS1" s="251" t="n"/>
      <c r="TNT1" s="251" t="n"/>
      <c r="TNU1" s="251" t="n"/>
      <c r="TNV1" s="251" t="n"/>
      <c r="TNW1" s="251" t="n"/>
      <c r="TNX1" s="251" t="n"/>
      <c r="TNY1" s="251" t="n"/>
      <c r="TNZ1" s="251" t="n"/>
      <c r="TOA1" s="251" t="n"/>
      <c r="TOB1" s="251" t="n"/>
      <c r="TOC1" s="251" t="n"/>
      <c r="TOD1" s="251" t="n"/>
      <c r="TOE1" s="251" t="n"/>
      <c r="TOF1" s="251" t="n"/>
      <c r="TOG1" s="251" t="n"/>
      <c r="TOH1" s="251" t="n"/>
      <c r="TOI1" s="251" t="n"/>
      <c r="TOJ1" s="251" t="n"/>
      <c r="TOK1" s="251" t="n"/>
      <c r="TOL1" s="251" t="n"/>
      <c r="TOM1" s="251" t="n"/>
      <c r="TON1" s="251" t="n"/>
      <c r="TOO1" s="251" t="n"/>
      <c r="TOP1" s="251" t="n"/>
      <c r="TOQ1" s="251" t="n"/>
      <c r="TOR1" s="251" t="n"/>
      <c r="TOS1" s="251" t="n"/>
      <c r="TOT1" s="251" t="n"/>
      <c r="TOU1" s="251" t="n"/>
      <c r="TOV1" s="251" t="n"/>
      <c r="TOW1" s="251" t="n"/>
      <c r="TOX1" s="251" t="n"/>
      <c r="TOY1" s="251" t="n"/>
      <c r="TOZ1" s="251" t="n"/>
      <c r="TPA1" s="251" t="n"/>
      <c r="TPB1" s="251" t="n"/>
      <c r="TPC1" s="251" t="n"/>
      <c r="TPD1" s="251" t="n"/>
      <c r="TPE1" s="251" t="n"/>
      <c r="TPF1" s="251" t="n"/>
      <c r="TPG1" s="251" t="n"/>
      <c r="TPH1" s="251" t="n"/>
      <c r="TPI1" s="251" t="n"/>
      <c r="TPJ1" s="251" t="n"/>
      <c r="TPK1" s="251" t="n"/>
      <c r="TPL1" s="251" t="n"/>
      <c r="TPM1" s="251" t="n"/>
      <c r="TPN1" s="251" t="n"/>
      <c r="TPO1" s="251" t="n"/>
      <c r="TPP1" s="251" t="n"/>
      <c r="TPQ1" s="251" t="n"/>
      <c r="TPR1" s="251" t="n"/>
      <c r="TPS1" s="251" t="n"/>
      <c r="TPT1" s="251" t="n"/>
      <c r="TPU1" s="251" t="n"/>
      <c r="TPV1" s="251" t="n"/>
      <c r="TPW1" s="251" t="n"/>
      <c r="TPX1" s="251" t="n"/>
      <c r="TPY1" s="251" t="n"/>
      <c r="TPZ1" s="251" t="n"/>
      <c r="TQA1" s="251" t="n"/>
      <c r="TQB1" s="251" t="n"/>
      <c r="TQC1" s="251" t="n"/>
      <c r="TQD1" s="251" t="n"/>
      <c r="TQE1" s="251" t="n"/>
      <c r="TQF1" s="251" t="n"/>
      <c r="TQG1" s="251" t="n"/>
      <c r="TQH1" s="251" t="n"/>
      <c r="TQI1" s="251" t="n"/>
      <c r="TQJ1" s="251" t="n"/>
      <c r="TQK1" s="251" t="n"/>
      <c r="TQL1" s="251" t="n"/>
      <c r="TQM1" s="251" t="n"/>
      <c r="TQN1" s="251" t="n"/>
      <c r="TQO1" s="251" t="n"/>
      <c r="TQP1" s="251" t="n"/>
      <c r="TQQ1" s="251" t="n"/>
      <c r="TQR1" s="251" t="n"/>
      <c r="TQS1" s="251" t="n"/>
      <c r="TQT1" s="251" t="n"/>
      <c r="TQU1" s="251" t="n"/>
      <c r="TQV1" s="251" t="n"/>
      <c r="TQW1" s="251" t="n"/>
      <c r="TQX1" s="251" t="n"/>
      <c r="TQY1" s="251" t="n"/>
      <c r="TQZ1" s="251" t="n"/>
      <c r="TRA1" s="251" t="n"/>
      <c r="TRB1" s="251" t="n"/>
      <c r="TRC1" s="251" t="n"/>
      <c r="TRD1" s="251" t="n"/>
      <c r="TRE1" s="251" t="n"/>
      <c r="TRF1" s="251" t="n"/>
      <c r="TRG1" s="251" t="n"/>
      <c r="TRH1" s="251" t="n"/>
      <c r="TRI1" s="251" t="n"/>
      <c r="TRJ1" s="251" t="n"/>
      <c r="TRK1" s="251" t="n"/>
      <c r="TRL1" s="251" t="n"/>
      <c r="TRM1" s="251" t="n"/>
      <c r="TRN1" s="251" t="n"/>
      <c r="TRO1" s="251" t="n"/>
      <c r="TRP1" s="251" t="n"/>
      <c r="TRQ1" s="251" t="n"/>
      <c r="TRR1" s="251" t="n"/>
      <c r="TRS1" s="251" t="n"/>
      <c r="TRT1" s="251" t="n"/>
      <c r="TRU1" s="251" t="n"/>
      <c r="TRV1" s="251" t="n"/>
      <c r="TRW1" s="251" t="n"/>
      <c r="TRX1" s="251" t="n"/>
      <c r="TRY1" s="251" t="n"/>
      <c r="TRZ1" s="251" t="n"/>
      <c r="TSA1" s="251" t="n"/>
      <c r="TSB1" s="251" t="n"/>
      <c r="TSC1" s="251" t="n"/>
      <c r="TSD1" s="251" t="n"/>
      <c r="TSE1" s="251" t="n"/>
      <c r="TSF1" s="251" t="n"/>
      <c r="TSG1" s="251" t="n"/>
      <c r="TSH1" s="251" t="n"/>
      <c r="TSI1" s="251" t="n"/>
      <c r="TSJ1" s="251" t="n"/>
      <c r="TSK1" s="251" t="n"/>
      <c r="TSL1" s="251" t="n"/>
      <c r="TSM1" s="251" t="n"/>
      <c r="TSN1" s="251" t="n"/>
      <c r="TSO1" s="251" t="n"/>
      <c r="TSP1" s="251" t="n"/>
      <c r="TSQ1" s="251" t="n"/>
      <c r="TSR1" s="251" t="n"/>
      <c r="TSS1" s="251" t="n"/>
      <c r="TST1" s="251" t="n"/>
      <c r="TSU1" s="251" t="n"/>
      <c r="TSV1" s="251" t="n"/>
      <c r="TSW1" s="251" t="n"/>
      <c r="TSX1" s="251" t="n"/>
      <c r="TSY1" s="251" t="n"/>
      <c r="TSZ1" s="251" t="n"/>
      <c r="TTA1" s="251" t="n"/>
      <c r="TTB1" s="251" t="n"/>
      <c r="TTC1" s="251" t="n"/>
      <c r="TTD1" s="251" t="n"/>
      <c r="TTE1" s="251" t="n"/>
      <c r="TTF1" s="251" t="n"/>
      <c r="TTG1" s="251" t="n"/>
      <c r="TTH1" s="251" t="n"/>
      <c r="TTI1" s="251" t="n"/>
      <c r="TTJ1" s="251" t="n"/>
      <c r="TTK1" s="251" t="n"/>
      <c r="TTL1" s="251" t="n"/>
      <c r="TTM1" s="251" t="n"/>
      <c r="TTN1" s="251" t="n"/>
      <c r="TTO1" s="251" t="n"/>
      <c r="TTP1" s="251" t="n"/>
      <c r="TTQ1" s="251" t="n"/>
      <c r="TTR1" s="251" t="n"/>
      <c r="TTS1" s="251" t="n"/>
      <c r="TTT1" s="251" t="n"/>
      <c r="TTU1" s="251" t="n"/>
      <c r="TTV1" s="251" t="n"/>
      <c r="TTW1" s="251" t="n"/>
      <c r="TTX1" s="251" t="n"/>
      <c r="TTY1" s="251" t="n"/>
      <c r="TTZ1" s="251" t="n"/>
      <c r="TUA1" s="251" t="n"/>
      <c r="TUB1" s="251" t="n"/>
      <c r="TUC1" s="251" t="n"/>
      <c r="TUD1" s="251" t="n"/>
      <c r="TUE1" s="251" t="n"/>
      <c r="TUF1" s="251" t="n"/>
      <c r="TUG1" s="251" t="n"/>
      <c r="TUH1" s="251" t="n"/>
      <c r="TUI1" s="251" t="n"/>
      <c r="TUJ1" s="251" t="n"/>
      <c r="TUK1" s="251" t="n"/>
      <c r="TUL1" s="251" t="n"/>
      <c r="TUM1" s="251" t="n"/>
      <c r="TUN1" s="251" t="n"/>
      <c r="TUO1" s="251" t="n"/>
      <c r="TUP1" s="251" t="n"/>
      <c r="TUQ1" s="251" t="n"/>
      <c r="TUR1" s="251" t="n"/>
      <c r="TUS1" s="251" t="n"/>
      <c r="TUT1" s="251" t="n"/>
      <c r="TUU1" s="251" t="n"/>
      <c r="TUV1" s="251" t="n"/>
      <c r="TUW1" s="251" t="n"/>
      <c r="TUX1" s="251" t="n"/>
      <c r="TUY1" s="251" t="n"/>
      <c r="TUZ1" s="251" t="n"/>
      <c r="TVA1" s="251" t="n"/>
      <c r="TVB1" s="251" t="n"/>
      <c r="TVC1" s="251" t="n"/>
      <c r="TVD1" s="251" t="n"/>
      <c r="TVE1" s="251" t="n"/>
      <c r="TVF1" s="251" t="n"/>
      <c r="TVG1" s="251" t="n"/>
      <c r="TVH1" s="251" t="n"/>
      <c r="TVI1" s="251" t="n"/>
      <c r="TVJ1" s="251" t="n"/>
      <c r="TVK1" s="251" t="n"/>
      <c r="TVL1" s="251" t="n"/>
      <c r="TVM1" s="251" t="n"/>
      <c r="TVN1" s="251" t="n"/>
      <c r="TVO1" s="251" t="n"/>
      <c r="TVP1" s="251" t="n"/>
      <c r="TVQ1" s="251" t="n"/>
      <c r="TVR1" s="251" t="n"/>
      <c r="TVS1" s="251" t="n"/>
      <c r="TVT1" s="251" t="n"/>
      <c r="TVU1" s="251" t="n"/>
      <c r="TVV1" s="251" t="n"/>
      <c r="TVW1" s="251" t="n"/>
      <c r="TVX1" s="251" t="n"/>
      <c r="TVY1" s="251" t="n"/>
      <c r="TVZ1" s="251" t="n"/>
      <c r="TWA1" s="251" t="n"/>
      <c r="TWB1" s="251" t="n"/>
      <c r="TWC1" s="251" t="n"/>
      <c r="TWD1" s="251" t="n"/>
      <c r="TWE1" s="251" t="n"/>
      <c r="TWF1" s="251" t="n"/>
      <c r="TWG1" s="251" t="n"/>
      <c r="TWH1" s="251" t="n"/>
      <c r="TWI1" s="251" t="n"/>
      <c r="TWJ1" s="251" t="n"/>
      <c r="TWK1" s="251" t="n"/>
      <c r="TWL1" s="251" t="n"/>
      <c r="TWM1" s="251" t="n"/>
      <c r="TWN1" s="251" t="n"/>
      <c r="TWO1" s="251" t="n"/>
      <c r="TWP1" s="251" t="n"/>
      <c r="TWQ1" s="251" t="n"/>
      <c r="TWR1" s="251" t="n"/>
      <c r="TWS1" s="251" t="n"/>
      <c r="TWT1" s="251" t="n"/>
      <c r="TWU1" s="251" t="n"/>
      <c r="TWV1" s="251" t="n"/>
      <c r="TWW1" s="251" t="n"/>
      <c r="TWX1" s="251" t="n"/>
      <c r="TWY1" s="251" t="n"/>
      <c r="TWZ1" s="251" t="n"/>
      <c r="TXA1" s="251" t="n"/>
      <c r="TXB1" s="251" t="n"/>
      <c r="TXC1" s="251" t="n"/>
      <c r="TXD1" s="251" t="n"/>
      <c r="TXE1" s="251" t="n"/>
      <c r="TXF1" s="251" t="n"/>
      <c r="TXG1" s="251" t="n"/>
      <c r="TXH1" s="251" t="n"/>
      <c r="TXI1" s="251" t="n"/>
      <c r="TXJ1" s="251" t="n"/>
      <c r="TXK1" s="251" t="n"/>
      <c r="TXL1" s="251" t="n"/>
      <c r="TXM1" s="251" t="n"/>
      <c r="TXN1" s="251" t="n"/>
      <c r="TXO1" s="251" t="n"/>
      <c r="TXP1" s="251" t="n"/>
      <c r="TXQ1" s="251" t="n"/>
      <c r="TXR1" s="251" t="n"/>
      <c r="TXS1" s="251" t="n"/>
      <c r="TXT1" s="251" t="n"/>
      <c r="TXU1" s="251" t="n"/>
      <c r="TXV1" s="251" t="n"/>
      <c r="TXW1" s="251" t="n"/>
      <c r="TXX1" s="251" t="n"/>
      <c r="TXY1" s="251" t="n"/>
      <c r="TXZ1" s="251" t="n"/>
      <c r="TYA1" s="251" t="n"/>
      <c r="TYB1" s="251" t="n"/>
      <c r="TYC1" s="251" t="n"/>
      <c r="TYD1" s="251" t="n"/>
      <c r="TYE1" s="251" t="n"/>
      <c r="TYF1" s="251" t="n"/>
      <c r="TYG1" s="251" t="n"/>
      <c r="TYH1" s="251" t="n"/>
      <c r="TYI1" s="251" t="n"/>
      <c r="TYJ1" s="251" t="n"/>
      <c r="TYK1" s="251" t="n"/>
      <c r="TYL1" s="251" t="n"/>
      <c r="TYM1" s="251" t="n"/>
      <c r="TYN1" s="251" t="n"/>
      <c r="TYO1" s="251" t="n"/>
      <c r="TYP1" s="251" t="n"/>
      <c r="TYQ1" s="251" t="n"/>
      <c r="TYR1" s="251" t="n"/>
      <c r="TYS1" s="251" t="n"/>
      <c r="TYT1" s="251" t="n"/>
      <c r="TYU1" s="251" t="n"/>
      <c r="TYV1" s="251" t="n"/>
      <c r="TYW1" s="251" t="n"/>
      <c r="TYX1" s="251" t="n"/>
      <c r="TYY1" s="251" t="n"/>
      <c r="TYZ1" s="251" t="n"/>
      <c r="TZA1" s="251" t="n"/>
      <c r="TZB1" s="251" t="n"/>
      <c r="TZC1" s="251" t="n"/>
      <c r="TZD1" s="251" t="n"/>
      <c r="TZE1" s="251" t="n"/>
      <c r="TZF1" s="251" t="n"/>
      <c r="TZG1" s="251" t="n"/>
      <c r="TZH1" s="251" t="n"/>
      <c r="TZI1" s="251" t="n"/>
      <c r="TZJ1" s="251" t="n"/>
      <c r="TZK1" s="251" t="n"/>
      <c r="TZL1" s="251" t="n"/>
      <c r="TZM1" s="251" t="n"/>
      <c r="TZN1" s="251" t="n"/>
      <c r="TZO1" s="251" t="n"/>
      <c r="TZP1" s="251" t="n"/>
      <c r="TZQ1" s="251" t="n"/>
      <c r="TZR1" s="251" t="n"/>
      <c r="TZS1" s="251" t="n"/>
      <c r="TZT1" s="251" t="n"/>
      <c r="TZU1" s="251" t="n"/>
      <c r="TZV1" s="251" t="n"/>
      <c r="TZW1" s="251" t="n"/>
      <c r="TZX1" s="251" t="n"/>
      <c r="TZY1" s="251" t="n"/>
      <c r="TZZ1" s="251" t="n"/>
      <c r="UAA1" s="251" t="n"/>
      <c r="UAB1" s="251" t="n"/>
      <c r="UAC1" s="251" t="n"/>
      <c r="UAD1" s="251" t="n"/>
      <c r="UAE1" s="251" t="n"/>
      <c r="UAF1" s="251" t="n"/>
      <c r="UAG1" s="251" t="n"/>
      <c r="UAH1" s="251" t="n"/>
      <c r="UAI1" s="251" t="n"/>
      <c r="UAJ1" s="251" t="n"/>
      <c r="UAK1" s="251" t="n"/>
      <c r="UAL1" s="251" t="n"/>
      <c r="UAM1" s="251" t="n"/>
      <c r="UAN1" s="251" t="n"/>
      <c r="UAO1" s="251" t="n"/>
      <c r="UAP1" s="251" t="n"/>
      <c r="UAQ1" s="251" t="n"/>
      <c r="UAR1" s="251" t="n"/>
      <c r="UAS1" s="251" t="n"/>
      <c r="UAT1" s="251" t="n"/>
      <c r="UAU1" s="251" t="n"/>
      <c r="UAV1" s="251" t="n"/>
      <c r="UAW1" s="251" t="n"/>
      <c r="UAX1" s="251" t="n"/>
      <c r="UAY1" s="251" t="n"/>
      <c r="UAZ1" s="251" t="n"/>
      <c r="UBA1" s="251" t="n"/>
      <c r="UBB1" s="251" t="n"/>
      <c r="UBC1" s="251" t="n"/>
      <c r="UBD1" s="251" t="n"/>
      <c r="UBE1" s="251" t="n"/>
      <c r="UBF1" s="251" t="n"/>
      <c r="UBG1" s="251" t="n"/>
      <c r="UBH1" s="251" t="n"/>
      <c r="UBI1" s="251" t="n"/>
      <c r="UBJ1" s="251" t="n"/>
      <c r="UBK1" s="251" t="n"/>
      <c r="UBL1" s="251" t="n"/>
      <c r="UBM1" s="251" t="n"/>
      <c r="UBN1" s="251" t="n"/>
      <c r="UBO1" s="251" t="n"/>
      <c r="UBP1" s="251" t="n"/>
      <c r="UBQ1" s="251" t="n"/>
      <c r="UBR1" s="251" t="n"/>
      <c r="UBS1" s="251" t="n"/>
      <c r="UBT1" s="251" t="n"/>
      <c r="UBU1" s="251" t="n"/>
      <c r="UBV1" s="251" t="n"/>
      <c r="UBW1" s="251" t="n"/>
      <c r="UBX1" s="251" t="n"/>
      <c r="UBY1" s="251" t="n"/>
      <c r="UBZ1" s="251" t="n"/>
      <c r="UCA1" s="251" t="n"/>
      <c r="UCB1" s="251" t="n"/>
      <c r="UCC1" s="251" t="n"/>
      <c r="UCD1" s="251" t="n"/>
      <c r="UCE1" s="251" t="n"/>
      <c r="UCF1" s="251" t="n"/>
      <c r="UCG1" s="251" t="n"/>
      <c r="UCH1" s="251" t="n"/>
      <c r="UCI1" s="251" t="n"/>
      <c r="UCJ1" s="251" t="n"/>
      <c r="UCK1" s="251" t="n"/>
      <c r="UCL1" s="251" t="n"/>
      <c r="UCM1" s="251" t="n"/>
      <c r="UCN1" s="251" t="n"/>
      <c r="UCO1" s="251" t="n"/>
      <c r="UCP1" s="251" t="n"/>
      <c r="UCQ1" s="251" t="n"/>
      <c r="UCR1" s="251" t="n"/>
      <c r="UCS1" s="251" t="n"/>
      <c r="UCT1" s="251" t="n"/>
      <c r="UCU1" s="251" t="n"/>
      <c r="UCV1" s="251" t="n"/>
      <c r="UCW1" s="251" t="n"/>
      <c r="UCX1" s="251" t="n"/>
      <c r="UCY1" s="251" t="n"/>
      <c r="UCZ1" s="251" t="n"/>
      <c r="UDA1" s="251" t="n"/>
      <c r="UDB1" s="251" t="n"/>
      <c r="UDC1" s="251" t="n"/>
      <c r="UDD1" s="251" t="n"/>
      <c r="UDE1" s="251" t="n"/>
      <c r="UDF1" s="251" t="n"/>
      <c r="UDG1" s="251" t="n"/>
      <c r="UDH1" s="251" t="n"/>
      <c r="UDI1" s="251" t="n"/>
      <c r="UDJ1" s="251" t="n"/>
      <c r="UDK1" s="251" t="n"/>
      <c r="UDL1" s="251" t="n"/>
      <c r="UDM1" s="251" t="n"/>
      <c r="UDN1" s="251" t="n"/>
      <c r="UDO1" s="251" t="n"/>
      <c r="UDP1" s="251" t="n"/>
      <c r="UDQ1" s="251" t="n"/>
      <c r="UDR1" s="251" t="n"/>
      <c r="UDS1" s="251" t="n"/>
      <c r="UDT1" s="251" t="n"/>
      <c r="UDU1" s="251" t="n"/>
      <c r="UDV1" s="251" t="n"/>
      <c r="UDW1" s="251" t="n"/>
      <c r="UDX1" s="251" t="n"/>
      <c r="UDY1" s="251" t="n"/>
      <c r="UDZ1" s="251" t="n"/>
      <c r="UEA1" s="251" t="n"/>
      <c r="UEB1" s="251" t="n"/>
      <c r="UEC1" s="251" t="n"/>
      <c r="UED1" s="251" t="n"/>
      <c r="UEE1" s="251" t="n"/>
      <c r="UEF1" s="251" t="n"/>
      <c r="UEG1" s="251" t="n"/>
      <c r="UEH1" s="251" t="n"/>
      <c r="UEI1" s="251" t="n"/>
      <c r="UEJ1" s="251" t="n"/>
      <c r="UEK1" s="251" t="n"/>
      <c r="UEL1" s="251" t="n"/>
      <c r="UEM1" s="251" t="n"/>
      <c r="UEN1" s="251" t="n"/>
      <c r="UEO1" s="251" t="n"/>
      <c r="UEP1" s="251" t="n"/>
      <c r="UEQ1" s="251" t="n"/>
      <c r="UER1" s="251" t="n"/>
      <c r="UES1" s="251" t="n"/>
      <c r="UET1" s="251" t="n"/>
      <c r="UEU1" s="251" t="n"/>
      <c r="UEV1" s="251" t="n"/>
      <c r="UEW1" s="251" t="n"/>
      <c r="UEX1" s="251" t="n"/>
      <c r="UEY1" s="251" t="n"/>
      <c r="UEZ1" s="251" t="n"/>
      <c r="UFA1" s="251" t="n"/>
      <c r="UFB1" s="251" t="n"/>
      <c r="UFC1" s="251" t="n"/>
      <c r="UFD1" s="251" t="n"/>
      <c r="UFE1" s="251" t="n"/>
      <c r="UFF1" s="251" t="n"/>
      <c r="UFG1" s="251" t="n"/>
      <c r="UFH1" s="251" t="n"/>
      <c r="UFI1" s="251" t="n"/>
      <c r="UFJ1" s="251" t="n"/>
      <c r="UFK1" s="251" t="n"/>
      <c r="UFL1" s="251" t="n"/>
      <c r="UFM1" s="251" t="n"/>
      <c r="UFN1" s="251" t="n"/>
      <c r="UFO1" s="251" t="n"/>
      <c r="UFP1" s="251" t="n"/>
      <c r="UFQ1" s="251" t="n"/>
      <c r="UFR1" s="251" t="n"/>
      <c r="UFS1" s="251" t="n"/>
      <c r="UFT1" s="251" t="n"/>
      <c r="UFU1" s="251" t="n"/>
      <c r="UFV1" s="251" t="n"/>
      <c r="UFW1" s="251" t="n"/>
      <c r="UFX1" s="251" t="n"/>
      <c r="UFY1" s="251" t="n"/>
      <c r="UFZ1" s="251" t="n"/>
      <c r="UGA1" s="251" t="n"/>
      <c r="UGB1" s="251" t="n"/>
      <c r="UGC1" s="251" t="n"/>
      <c r="UGD1" s="251" t="n"/>
      <c r="UGE1" s="251" t="n"/>
      <c r="UGF1" s="251" t="n"/>
      <c r="UGG1" s="251" t="n"/>
      <c r="UGH1" s="251" t="n"/>
      <c r="UGI1" s="251" t="n"/>
      <c r="UGJ1" s="251" t="n"/>
      <c r="UGK1" s="251" t="n"/>
      <c r="UGL1" s="251" t="n"/>
      <c r="UGM1" s="251" t="n"/>
      <c r="UGN1" s="251" t="n"/>
      <c r="UGO1" s="251" t="n"/>
      <c r="UGP1" s="251" t="n"/>
      <c r="UGQ1" s="251" t="n"/>
      <c r="UGR1" s="251" t="n"/>
      <c r="UGS1" s="251" t="n"/>
      <c r="UGT1" s="251" t="n"/>
      <c r="UGU1" s="251" t="n"/>
      <c r="UGV1" s="251" t="n"/>
      <c r="UGW1" s="251" t="n"/>
      <c r="UGX1" s="251" t="n"/>
      <c r="UGY1" s="251" t="n"/>
      <c r="UGZ1" s="251" t="n"/>
      <c r="UHA1" s="251" t="n"/>
      <c r="UHB1" s="251" t="n"/>
      <c r="UHC1" s="251" t="n"/>
      <c r="UHD1" s="251" t="n"/>
      <c r="UHE1" s="251" t="n"/>
      <c r="UHF1" s="251" t="n"/>
      <c r="UHG1" s="251" t="n"/>
      <c r="UHH1" s="251" t="n"/>
      <c r="UHI1" s="251" t="n"/>
      <c r="UHJ1" s="251" t="n"/>
      <c r="UHK1" s="251" t="n"/>
      <c r="UHL1" s="251" t="n"/>
      <c r="UHM1" s="251" t="n"/>
      <c r="UHN1" s="251" t="n"/>
      <c r="UHO1" s="251" t="n"/>
      <c r="UHP1" s="251" t="n"/>
      <c r="UHQ1" s="251" t="n"/>
      <c r="UHR1" s="251" t="n"/>
      <c r="UHS1" s="251" t="n"/>
      <c r="UHT1" s="251" t="n"/>
      <c r="UHU1" s="251" t="n"/>
      <c r="UHV1" s="251" t="n"/>
      <c r="UHW1" s="251" t="n"/>
      <c r="UHX1" s="251" t="n"/>
      <c r="UHY1" s="251" t="n"/>
      <c r="UHZ1" s="251" t="n"/>
      <c r="UIA1" s="251" t="n"/>
      <c r="UIB1" s="251" t="n"/>
      <c r="UIC1" s="251" t="n"/>
      <c r="UID1" s="251" t="n"/>
      <c r="UIE1" s="251" t="n"/>
      <c r="UIF1" s="251" t="n"/>
      <c r="UIG1" s="251" t="n"/>
      <c r="UIH1" s="251" t="n"/>
      <c r="UII1" s="251" t="n"/>
      <c r="UIJ1" s="251" t="n"/>
      <c r="UIK1" s="251" t="n"/>
      <c r="UIL1" s="251" t="n"/>
      <c r="UIM1" s="251" t="n"/>
      <c r="UIN1" s="251" t="n"/>
      <c r="UIO1" s="251" t="n"/>
      <c r="UIP1" s="251" t="n"/>
      <c r="UIQ1" s="251" t="n"/>
      <c r="UIR1" s="251" t="n"/>
      <c r="UIS1" s="251" t="n"/>
      <c r="UIT1" s="251" t="n"/>
      <c r="UIU1" s="251" t="n"/>
      <c r="UIV1" s="251" t="n"/>
      <c r="UIW1" s="251" t="n"/>
      <c r="UIX1" s="251" t="n"/>
      <c r="UIY1" s="251" t="n"/>
      <c r="UIZ1" s="251" t="n"/>
      <c r="UJA1" s="251" t="n"/>
      <c r="UJB1" s="251" t="n"/>
      <c r="UJC1" s="251" t="n"/>
      <c r="UJD1" s="251" t="n"/>
      <c r="UJE1" s="251" t="n"/>
      <c r="UJF1" s="251" t="n"/>
      <c r="UJG1" s="251" t="n"/>
      <c r="UJH1" s="251" t="n"/>
      <c r="UJI1" s="251" t="n"/>
      <c r="UJJ1" s="251" t="n"/>
      <c r="UJK1" s="251" t="n"/>
      <c r="UJL1" s="251" t="n"/>
      <c r="UJM1" s="251" t="n"/>
      <c r="UJN1" s="251" t="n"/>
      <c r="UJO1" s="251" t="n"/>
      <c r="UJP1" s="251" t="n"/>
      <c r="UJQ1" s="251" t="n"/>
      <c r="UJR1" s="251" t="n"/>
      <c r="UJS1" s="251" t="n"/>
      <c r="UJT1" s="251" t="n"/>
      <c r="UJU1" s="251" t="n"/>
      <c r="UJV1" s="251" t="n"/>
      <c r="UJW1" s="251" t="n"/>
      <c r="UJX1" s="251" t="n"/>
      <c r="UJY1" s="251" t="n"/>
      <c r="UJZ1" s="251" t="n"/>
      <c r="UKA1" s="251" t="n"/>
      <c r="UKB1" s="251" t="n"/>
      <c r="UKC1" s="251" t="n"/>
      <c r="UKD1" s="251" t="n"/>
      <c r="UKE1" s="251" t="n"/>
      <c r="UKF1" s="251" t="n"/>
      <c r="UKG1" s="251" t="n"/>
      <c r="UKH1" s="251" t="n"/>
      <c r="UKI1" s="251" t="n"/>
      <c r="UKJ1" s="251" t="n"/>
      <c r="UKK1" s="251" t="n"/>
      <c r="UKL1" s="251" t="n"/>
      <c r="UKM1" s="251" t="n"/>
      <c r="UKN1" s="251" t="n"/>
      <c r="UKO1" s="251" t="n"/>
      <c r="UKP1" s="251" t="n"/>
      <c r="UKQ1" s="251" t="n"/>
      <c r="UKR1" s="251" t="n"/>
      <c r="UKS1" s="251" t="n"/>
      <c r="UKT1" s="251" t="n"/>
      <c r="UKU1" s="251" t="n"/>
      <c r="UKV1" s="251" t="n"/>
      <c r="UKW1" s="251" t="n"/>
      <c r="UKX1" s="251" t="n"/>
      <c r="UKY1" s="251" t="n"/>
      <c r="UKZ1" s="251" t="n"/>
      <c r="ULA1" s="251" t="n"/>
      <c r="ULB1" s="251" t="n"/>
      <c r="ULC1" s="251" t="n"/>
      <c r="ULD1" s="251" t="n"/>
      <c r="ULE1" s="251" t="n"/>
      <c r="ULF1" s="251" t="n"/>
      <c r="ULG1" s="251" t="n"/>
      <c r="ULH1" s="251" t="n"/>
      <c r="ULI1" s="251" t="n"/>
      <c r="ULJ1" s="251" t="n"/>
      <c r="ULK1" s="251" t="n"/>
      <c r="ULL1" s="251" t="n"/>
      <c r="ULM1" s="251" t="n"/>
      <c r="ULN1" s="251" t="n"/>
      <c r="ULO1" s="251" t="n"/>
      <c r="ULP1" s="251" t="n"/>
      <c r="ULQ1" s="251" t="n"/>
      <c r="ULR1" s="251" t="n"/>
      <c r="ULS1" s="251" t="n"/>
      <c r="ULT1" s="251" t="n"/>
      <c r="ULU1" s="251" t="n"/>
      <c r="ULV1" s="251" t="n"/>
      <c r="ULW1" s="251" t="n"/>
      <c r="ULX1" s="251" t="n"/>
      <c r="ULY1" s="251" t="n"/>
      <c r="ULZ1" s="251" t="n"/>
      <c r="UMA1" s="251" t="n"/>
      <c r="UMB1" s="251" t="n"/>
      <c r="UMC1" s="251" t="n"/>
      <c r="UMD1" s="251" t="n"/>
      <c r="UME1" s="251" t="n"/>
      <c r="UMF1" s="251" t="n"/>
      <c r="UMG1" s="251" t="n"/>
      <c r="UMH1" s="251" t="n"/>
      <c r="UMI1" s="251" t="n"/>
      <c r="UMJ1" s="251" t="n"/>
      <c r="UMK1" s="251" t="n"/>
      <c r="UML1" s="251" t="n"/>
      <c r="UMM1" s="251" t="n"/>
      <c r="UMN1" s="251" t="n"/>
      <c r="UMO1" s="251" t="n"/>
      <c r="UMP1" s="251" t="n"/>
      <c r="UMQ1" s="251" t="n"/>
      <c r="UMR1" s="251" t="n"/>
      <c r="UMS1" s="251" t="n"/>
      <c r="UMT1" s="251" t="n"/>
      <c r="UMU1" s="251" t="n"/>
      <c r="UMV1" s="251" t="n"/>
      <c r="UMW1" s="251" t="n"/>
      <c r="UMX1" s="251" t="n"/>
      <c r="UMY1" s="251" t="n"/>
      <c r="UMZ1" s="251" t="n"/>
      <c r="UNA1" s="251" t="n"/>
      <c r="UNB1" s="251" t="n"/>
      <c r="UNC1" s="251" t="n"/>
      <c r="UND1" s="251" t="n"/>
      <c r="UNE1" s="251" t="n"/>
      <c r="UNF1" s="251" t="n"/>
      <c r="UNG1" s="251" t="n"/>
      <c r="UNH1" s="251" t="n"/>
      <c r="UNI1" s="251" t="n"/>
      <c r="UNJ1" s="251" t="n"/>
      <c r="UNK1" s="251" t="n"/>
      <c r="UNL1" s="251" t="n"/>
      <c r="UNM1" s="251" t="n"/>
      <c r="UNN1" s="251" t="n"/>
      <c r="UNO1" s="251" t="n"/>
      <c r="UNP1" s="251" t="n"/>
      <c r="UNQ1" s="251" t="n"/>
      <c r="UNR1" s="251" t="n"/>
      <c r="UNS1" s="251" t="n"/>
      <c r="UNT1" s="251" t="n"/>
      <c r="UNU1" s="251" t="n"/>
      <c r="UNV1" s="251" t="n"/>
      <c r="UNW1" s="251" t="n"/>
      <c r="UNX1" s="251" t="n"/>
      <c r="UNY1" s="251" t="n"/>
      <c r="UNZ1" s="251" t="n"/>
      <c r="UOA1" s="251" t="n"/>
      <c r="UOB1" s="251" t="n"/>
      <c r="UOC1" s="251" t="n"/>
      <c r="UOD1" s="251" t="n"/>
      <c r="UOE1" s="251" t="n"/>
      <c r="UOF1" s="251" t="n"/>
      <c r="UOG1" s="251" t="n"/>
      <c r="UOH1" s="251" t="n"/>
      <c r="UOI1" s="251" t="n"/>
      <c r="UOJ1" s="251" t="n"/>
      <c r="UOK1" s="251" t="n"/>
      <c r="UOL1" s="251" t="n"/>
      <c r="UOM1" s="251" t="n"/>
      <c r="UON1" s="251" t="n"/>
      <c r="UOO1" s="251" t="n"/>
      <c r="UOP1" s="251" t="n"/>
      <c r="UOQ1" s="251" t="n"/>
      <c r="UOR1" s="251" t="n"/>
      <c r="UOS1" s="251" t="n"/>
      <c r="UOT1" s="251" t="n"/>
      <c r="UOU1" s="251" t="n"/>
      <c r="UOV1" s="251" t="n"/>
      <c r="UOW1" s="251" t="n"/>
      <c r="UOX1" s="251" t="n"/>
      <c r="UOY1" s="251" t="n"/>
      <c r="UOZ1" s="251" t="n"/>
      <c r="UPA1" s="251" t="n"/>
      <c r="UPB1" s="251" t="n"/>
      <c r="UPC1" s="251" t="n"/>
      <c r="UPD1" s="251" t="n"/>
      <c r="UPE1" s="251" t="n"/>
      <c r="UPF1" s="251" t="n"/>
      <c r="UPG1" s="251" t="n"/>
      <c r="UPH1" s="251" t="n"/>
      <c r="UPI1" s="251" t="n"/>
      <c r="UPJ1" s="251" t="n"/>
      <c r="UPK1" s="251" t="n"/>
      <c r="UPL1" s="251" t="n"/>
      <c r="UPM1" s="251" t="n"/>
      <c r="UPN1" s="251" t="n"/>
      <c r="UPO1" s="251" t="n"/>
      <c r="UPP1" s="251" t="n"/>
      <c r="UPQ1" s="251" t="n"/>
      <c r="UPR1" s="251" t="n"/>
      <c r="UPS1" s="251" t="n"/>
      <c r="UPT1" s="251" t="n"/>
      <c r="UPU1" s="251" t="n"/>
      <c r="UPV1" s="251" t="n"/>
      <c r="UPW1" s="251" t="n"/>
      <c r="UPX1" s="251" t="n"/>
      <c r="UPY1" s="251" t="n"/>
      <c r="UPZ1" s="251" t="n"/>
      <c r="UQA1" s="251" t="n"/>
      <c r="UQB1" s="251" t="n"/>
      <c r="UQC1" s="251" t="n"/>
      <c r="UQD1" s="251" t="n"/>
      <c r="UQE1" s="251" t="n"/>
      <c r="UQF1" s="251" t="n"/>
      <c r="UQG1" s="251" t="n"/>
      <c r="UQH1" s="251" t="n"/>
      <c r="UQI1" s="251" t="n"/>
      <c r="UQJ1" s="251" t="n"/>
      <c r="UQK1" s="251" t="n"/>
      <c r="UQL1" s="251" t="n"/>
      <c r="UQM1" s="251" t="n"/>
      <c r="UQN1" s="251" t="n"/>
      <c r="UQO1" s="251" t="n"/>
      <c r="UQP1" s="251" t="n"/>
      <c r="UQQ1" s="251" t="n"/>
      <c r="UQR1" s="251" t="n"/>
      <c r="UQS1" s="251" t="n"/>
      <c r="UQT1" s="251" t="n"/>
      <c r="UQU1" s="251" t="n"/>
      <c r="UQV1" s="251" t="n"/>
      <c r="UQW1" s="251" t="n"/>
      <c r="UQX1" s="251" t="n"/>
      <c r="UQY1" s="251" t="n"/>
      <c r="UQZ1" s="251" t="n"/>
      <c r="URA1" s="251" t="n"/>
      <c r="URB1" s="251" t="n"/>
      <c r="URC1" s="251" t="n"/>
      <c r="URD1" s="251" t="n"/>
      <c r="URE1" s="251" t="n"/>
      <c r="URF1" s="251" t="n"/>
      <c r="URG1" s="251" t="n"/>
      <c r="URH1" s="251" t="n"/>
      <c r="URI1" s="251" t="n"/>
      <c r="URJ1" s="251" t="n"/>
      <c r="URK1" s="251" t="n"/>
      <c r="URL1" s="251" t="n"/>
      <c r="URM1" s="251" t="n"/>
      <c r="URN1" s="251" t="n"/>
      <c r="URO1" s="251" t="n"/>
      <c r="URP1" s="251" t="n"/>
      <c r="URQ1" s="251" t="n"/>
      <c r="URR1" s="251" t="n"/>
      <c r="URS1" s="251" t="n"/>
      <c r="URT1" s="251" t="n"/>
      <c r="URU1" s="251" t="n"/>
      <c r="URV1" s="251" t="n"/>
      <c r="URW1" s="251" t="n"/>
      <c r="URX1" s="251" t="n"/>
      <c r="URY1" s="251" t="n"/>
      <c r="URZ1" s="251" t="n"/>
      <c r="USA1" s="251" t="n"/>
      <c r="USB1" s="251" t="n"/>
      <c r="USC1" s="251" t="n"/>
      <c r="USD1" s="251" t="n"/>
      <c r="USE1" s="251" t="n"/>
      <c r="USF1" s="251" t="n"/>
      <c r="USG1" s="251" t="n"/>
      <c r="USH1" s="251" t="n"/>
      <c r="USI1" s="251" t="n"/>
      <c r="USJ1" s="251" t="n"/>
      <c r="USK1" s="251" t="n"/>
      <c r="USL1" s="251" t="n"/>
      <c r="USM1" s="251" t="n"/>
      <c r="USN1" s="251" t="n"/>
      <c r="USO1" s="251" t="n"/>
      <c r="USP1" s="251" t="n"/>
      <c r="USQ1" s="251" t="n"/>
      <c r="USR1" s="251" t="n"/>
      <c r="USS1" s="251" t="n"/>
      <c r="UST1" s="251" t="n"/>
      <c r="USU1" s="251" t="n"/>
      <c r="USV1" s="251" t="n"/>
      <c r="USW1" s="251" t="n"/>
      <c r="USX1" s="251" t="n"/>
      <c r="USY1" s="251" t="n"/>
      <c r="USZ1" s="251" t="n"/>
      <c r="UTA1" s="251" t="n"/>
      <c r="UTB1" s="251" t="n"/>
      <c r="UTC1" s="251" t="n"/>
      <c r="UTD1" s="251" t="n"/>
      <c r="UTE1" s="251" t="n"/>
      <c r="UTF1" s="251" t="n"/>
      <c r="UTG1" s="251" t="n"/>
      <c r="UTH1" s="251" t="n"/>
      <c r="UTI1" s="251" t="n"/>
      <c r="UTJ1" s="251" t="n"/>
      <c r="UTK1" s="251" t="n"/>
      <c r="UTL1" s="251" t="n"/>
      <c r="UTM1" s="251" t="n"/>
      <c r="UTN1" s="251" t="n"/>
      <c r="UTO1" s="251" t="n"/>
      <c r="UTP1" s="251" t="n"/>
      <c r="UTQ1" s="251" t="n"/>
      <c r="UTR1" s="251" t="n"/>
      <c r="UTS1" s="251" t="n"/>
      <c r="UTT1" s="251" t="n"/>
      <c r="UTU1" s="251" t="n"/>
      <c r="UTV1" s="251" t="n"/>
      <c r="UTW1" s="251" t="n"/>
      <c r="UTX1" s="251" t="n"/>
      <c r="UTY1" s="251" t="n"/>
      <c r="UTZ1" s="251" t="n"/>
      <c r="UUA1" s="251" t="n"/>
      <c r="UUB1" s="251" t="n"/>
      <c r="UUC1" s="251" t="n"/>
      <c r="UUD1" s="251" t="n"/>
      <c r="UUE1" s="251" t="n"/>
      <c r="UUF1" s="251" t="n"/>
      <c r="UUG1" s="251" t="n"/>
      <c r="UUH1" s="251" t="n"/>
      <c r="UUI1" s="251" t="n"/>
      <c r="UUJ1" s="251" t="n"/>
      <c r="UUK1" s="251" t="n"/>
      <c r="UUL1" s="251" t="n"/>
      <c r="UUM1" s="251" t="n"/>
      <c r="UUN1" s="251" t="n"/>
      <c r="UUO1" s="251" t="n"/>
      <c r="UUP1" s="251" t="n"/>
      <c r="UUQ1" s="251" t="n"/>
      <c r="UUR1" s="251" t="n"/>
      <c r="UUS1" s="251" t="n"/>
      <c r="UUT1" s="251" t="n"/>
      <c r="UUU1" s="251" t="n"/>
      <c r="UUV1" s="251" t="n"/>
      <c r="UUW1" s="251" t="n"/>
      <c r="UUX1" s="251" t="n"/>
      <c r="UUY1" s="251" t="n"/>
      <c r="UUZ1" s="251" t="n"/>
      <c r="UVA1" s="251" t="n"/>
      <c r="UVB1" s="251" t="n"/>
      <c r="UVC1" s="251" t="n"/>
      <c r="UVD1" s="251" t="n"/>
      <c r="UVE1" s="251" t="n"/>
      <c r="UVF1" s="251" t="n"/>
      <c r="UVG1" s="251" t="n"/>
      <c r="UVH1" s="251" t="n"/>
      <c r="UVI1" s="251" t="n"/>
      <c r="UVJ1" s="251" t="n"/>
      <c r="UVK1" s="251" t="n"/>
      <c r="UVL1" s="251" t="n"/>
      <c r="UVM1" s="251" t="n"/>
      <c r="UVN1" s="251" t="n"/>
      <c r="UVO1" s="251" t="n"/>
      <c r="UVP1" s="251" t="n"/>
      <c r="UVQ1" s="251" t="n"/>
      <c r="UVR1" s="251" t="n"/>
      <c r="UVS1" s="251" t="n"/>
      <c r="UVT1" s="251" t="n"/>
      <c r="UVU1" s="251" t="n"/>
      <c r="UVV1" s="251" t="n"/>
      <c r="UVW1" s="251" t="n"/>
      <c r="UVX1" s="251" t="n"/>
      <c r="UVY1" s="251" t="n"/>
      <c r="UVZ1" s="251" t="n"/>
      <c r="UWA1" s="251" t="n"/>
      <c r="UWB1" s="251" t="n"/>
      <c r="UWC1" s="251" t="n"/>
      <c r="UWD1" s="251" t="n"/>
      <c r="UWE1" s="251" t="n"/>
      <c r="UWF1" s="251" t="n"/>
      <c r="UWG1" s="251" t="n"/>
      <c r="UWH1" s="251" t="n"/>
      <c r="UWI1" s="251" t="n"/>
      <c r="UWJ1" s="251" t="n"/>
      <c r="UWK1" s="251" t="n"/>
      <c r="UWL1" s="251" t="n"/>
      <c r="UWM1" s="251" t="n"/>
      <c r="UWN1" s="251" t="n"/>
      <c r="UWO1" s="251" t="n"/>
      <c r="UWP1" s="251" t="n"/>
      <c r="UWQ1" s="251" t="n"/>
      <c r="UWR1" s="251" t="n"/>
      <c r="UWS1" s="251" t="n"/>
      <c r="UWT1" s="251" t="n"/>
      <c r="UWU1" s="251" t="n"/>
      <c r="UWV1" s="251" t="n"/>
      <c r="UWW1" s="251" t="n"/>
      <c r="UWX1" s="251" t="n"/>
      <c r="UWY1" s="251" t="n"/>
      <c r="UWZ1" s="251" t="n"/>
      <c r="UXA1" s="251" t="n"/>
      <c r="UXB1" s="251" t="n"/>
      <c r="UXC1" s="251" t="n"/>
      <c r="UXD1" s="251" t="n"/>
      <c r="UXE1" s="251" t="n"/>
      <c r="UXF1" s="251" t="n"/>
      <c r="UXG1" s="251" t="n"/>
      <c r="UXH1" s="251" t="n"/>
      <c r="UXI1" s="251" t="n"/>
      <c r="UXJ1" s="251" t="n"/>
      <c r="UXK1" s="251" t="n"/>
      <c r="UXL1" s="251" t="n"/>
      <c r="UXM1" s="251" t="n"/>
      <c r="UXN1" s="251" t="n"/>
      <c r="UXO1" s="251" t="n"/>
      <c r="UXP1" s="251" t="n"/>
      <c r="UXQ1" s="251" t="n"/>
      <c r="UXR1" s="251" t="n"/>
      <c r="UXS1" s="251" t="n"/>
      <c r="UXT1" s="251" t="n"/>
      <c r="UXU1" s="251" t="n"/>
      <c r="UXV1" s="251" t="n"/>
      <c r="UXW1" s="251" t="n"/>
      <c r="UXX1" s="251" t="n"/>
      <c r="UXY1" s="251" t="n"/>
      <c r="UXZ1" s="251" t="n"/>
      <c r="UYA1" s="251" t="n"/>
      <c r="UYB1" s="251" t="n"/>
      <c r="UYC1" s="251" t="n"/>
      <c r="UYD1" s="251" t="n"/>
      <c r="UYE1" s="251" t="n"/>
      <c r="UYF1" s="251" t="n"/>
      <c r="UYG1" s="251" t="n"/>
      <c r="UYH1" s="251" t="n"/>
      <c r="UYI1" s="251" t="n"/>
      <c r="UYJ1" s="251" t="n"/>
      <c r="UYK1" s="251" t="n"/>
      <c r="UYL1" s="251" t="n"/>
      <c r="UYM1" s="251" t="n"/>
      <c r="UYN1" s="251" t="n"/>
      <c r="UYO1" s="251" t="n"/>
      <c r="UYP1" s="251" t="n"/>
      <c r="UYQ1" s="251" t="n"/>
      <c r="UYR1" s="251" t="n"/>
      <c r="UYS1" s="251" t="n"/>
      <c r="UYT1" s="251" t="n"/>
      <c r="UYU1" s="251" t="n"/>
      <c r="UYV1" s="251" t="n"/>
      <c r="UYW1" s="251" t="n"/>
      <c r="UYX1" s="251" t="n"/>
      <c r="UYY1" s="251" t="n"/>
      <c r="UYZ1" s="251" t="n"/>
      <c r="UZA1" s="251" t="n"/>
      <c r="UZB1" s="251" t="n"/>
      <c r="UZC1" s="251" t="n"/>
      <c r="UZD1" s="251" t="n"/>
      <c r="UZE1" s="251" t="n"/>
      <c r="UZF1" s="251" t="n"/>
      <c r="UZG1" s="251" t="n"/>
      <c r="UZH1" s="251" t="n"/>
      <c r="UZI1" s="251" t="n"/>
      <c r="UZJ1" s="251" t="n"/>
      <c r="UZK1" s="251" t="n"/>
      <c r="UZL1" s="251" t="n"/>
      <c r="UZM1" s="251" t="n"/>
      <c r="UZN1" s="251" t="n"/>
      <c r="UZO1" s="251" t="n"/>
      <c r="UZP1" s="251" t="n"/>
      <c r="UZQ1" s="251" t="n"/>
      <c r="UZR1" s="251" t="n"/>
      <c r="UZS1" s="251" t="n"/>
      <c r="UZT1" s="251" t="n"/>
      <c r="UZU1" s="251" t="n"/>
      <c r="UZV1" s="251" t="n"/>
      <c r="UZW1" s="251" t="n"/>
      <c r="UZX1" s="251" t="n"/>
      <c r="UZY1" s="251" t="n"/>
      <c r="UZZ1" s="251" t="n"/>
      <c r="VAA1" s="251" t="n"/>
      <c r="VAB1" s="251" t="n"/>
      <c r="VAC1" s="251" t="n"/>
      <c r="VAD1" s="251" t="n"/>
      <c r="VAE1" s="251" t="n"/>
      <c r="VAF1" s="251" t="n"/>
      <c r="VAG1" s="251" t="n"/>
      <c r="VAH1" s="251" t="n"/>
      <c r="VAI1" s="251" t="n"/>
      <c r="VAJ1" s="251" t="n"/>
      <c r="VAK1" s="251" t="n"/>
      <c r="VAL1" s="251" t="n"/>
      <c r="VAM1" s="251" t="n"/>
      <c r="VAN1" s="251" t="n"/>
      <c r="VAO1" s="251" t="n"/>
      <c r="VAP1" s="251" t="n"/>
      <c r="VAQ1" s="251" t="n"/>
      <c r="VAR1" s="251" t="n"/>
      <c r="VAS1" s="251" t="n"/>
      <c r="VAT1" s="251" t="n"/>
      <c r="VAU1" s="251" t="n"/>
      <c r="VAV1" s="251" t="n"/>
      <c r="VAW1" s="251" t="n"/>
      <c r="VAX1" s="251" t="n"/>
      <c r="VAY1" s="251" t="n"/>
      <c r="VAZ1" s="251" t="n"/>
      <c r="VBA1" s="251" t="n"/>
      <c r="VBB1" s="251" t="n"/>
      <c r="VBC1" s="251" t="n"/>
      <c r="VBD1" s="251" t="n"/>
      <c r="VBE1" s="251" t="n"/>
      <c r="VBF1" s="251" t="n"/>
      <c r="VBG1" s="251" t="n"/>
      <c r="VBH1" s="251" t="n"/>
      <c r="VBI1" s="251" t="n"/>
      <c r="VBJ1" s="251" t="n"/>
      <c r="VBK1" s="251" t="n"/>
      <c r="VBL1" s="251" t="n"/>
      <c r="VBM1" s="251" t="n"/>
      <c r="VBN1" s="251" t="n"/>
      <c r="VBO1" s="251" t="n"/>
      <c r="VBP1" s="251" t="n"/>
      <c r="VBQ1" s="251" t="n"/>
      <c r="VBR1" s="251" t="n"/>
      <c r="VBS1" s="251" t="n"/>
      <c r="VBT1" s="251" t="n"/>
      <c r="VBU1" s="251" t="n"/>
      <c r="VBV1" s="251" t="n"/>
      <c r="VBW1" s="251" t="n"/>
      <c r="VBX1" s="251" t="n"/>
      <c r="VBY1" s="251" t="n"/>
      <c r="VBZ1" s="251" t="n"/>
      <c r="VCA1" s="251" t="n"/>
      <c r="VCB1" s="251" t="n"/>
      <c r="VCC1" s="251" t="n"/>
      <c r="VCD1" s="251" t="n"/>
      <c r="VCE1" s="251" t="n"/>
      <c r="VCF1" s="251" t="n"/>
      <c r="VCG1" s="251" t="n"/>
      <c r="VCH1" s="251" t="n"/>
      <c r="VCI1" s="251" t="n"/>
      <c r="VCJ1" s="251" t="n"/>
      <c r="VCK1" s="251" t="n"/>
      <c r="VCL1" s="251" t="n"/>
      <c r="VCM1" s="251" t="n"/>
      <c r="VCN1" s="251" t="n"/>
      <c r="VCO1" s="251" t="n"/>
      <c r="VCP1" s="251" t="n"/>
      <c r="VCQ1" s="251" t="n"/>
      <c r="VCR1" s="251" t="n"/>
      <c r="VCS1" s="251" t="n"/>
      <c r="VCT1" s="251" t="n"/>
      <c r="VCU1" s="251" t="n"/>
      <c r="VCV1" s="251" t="n"/>
      <c r="VCW1" s="251" t="n"/>
      <c r="VCX1" s="251" t="n"/>
      <c r="VCY1" s="251" t="n"/>
      <c r="VCZ1" s="251" t="n"/>
      <c r="VDA1" s="251" t="n"/>
      <c r="VDB1" s="251" t="n"/>
      <c r="VDC1" s="251" t="n"/>
      <c r="VDD1" s="251" t="n"/>
      <c r="VDE1" s="251" t="n"/>
      <c r="VDF1" s="251" t="n"/>
      <c r="VDG1" s="251" t="n"/>
      <c r="VDH1" s="251" t="n"/>
      <c r="VDI1" s="251" t="n"/>
      <c r="VDJ1" s="251" t="n"/>
      <c r="VDK1" s="251" t="n"/>
      <c r="VDL1" s="251" t="n"/>
      <c r="VDM1" s="251" t="n"/>
      <c r="VDN1" s="251" t="n"/>
      <c r="VDO1" s="251" t="n"/>
      <c r="VDP1" s="251" t="n"/>
      <c r="VDQ1" s="251" t="n"/>
      <c r="VDR1" s="251" t="n"/>
      <c r="VDS1" s="251" t="n"/>
      <c r="VDT1" s="251" t="n"/>
      <c r="VDU1" s="251" t="n"/>
      <c r="VDV1" s="251" t="n"/>
      <c r="VDW1" s="251" t="n"/>
      <c r="VDX1" s="251" t="n"/>
      <c r="VDY1" s="251" t="n"/>
      <c r="VDZ1" s="251" t="n"/>
      <c r="VEA1" s="251" t="n"/>
      <c r="VEB1" s="251" t="n"/>
      <c r="VEC1" s="251" t="n"/>
      <c r="VED1" s="251" t="n"/>
      <c r="VEE1" s="251" t="n"/>
      <c r="VEF1" s="251" t="n"/>
      <c r="VEG1" s="251" t="n"/>
      <c r="VEH1" s="251" t="n"/>
      <c r="VEI1" s="251" t="n"/>
      <c r="VEJ1" s="251" t="n"/>
      <c r="VEK1" s="251" t="n"/>
      <c r="VEL1" s="251" t="n"/>
      <c r="VEM1" s="251" t="n"/>
      <c r="VEN1" s="251" t="n"/>
      <c r="VEO1" s="251" t="n"/>
      <c r="VEP1" s="251" t="n"/>
      <c r="VEQ1" s="251" t="n"/>
      <c r="VER1" s="251" t="n"/>
      <c r="VES1" s="251" t="n"/>
      <c r="VET1" s="251" t="n"/>
      <c r="VEU1" s="251" t="n"/>
      <c r="VEV1" s="251" t="n"/>
      <c r="VEW1" s="251" t="n"/>
      <c r="VEX1" s="251" t="n"/>
      <c r="VEY1" s="251" t="n"/>
      <c r="VEZ1" s="251" t="n"/>
      <c r="VFA1" s="251" t="n"/>
      <c r="VFB1" s="251" t="n"/>
      <c r="VFC1" s="251" t="n"/>
      <c r="VFD1" s="251" t="n"/>
      <c r="VFE1" s="251" t="n"/>
      <c r="VFF1" s="251" t="n"/>
      <c r="VFG1" s="251" t="n"/>
      <c r="VFH1" s="251" t="n"/>
      <c r="VFI1" s="251" t="n"/>
      <c r="VFJ1" s="251" t="n"/>
      <c r="VFK1" s="251" t="n"/>
      <c r="VFL1" s="251" t="n"/>
      <c r="VFM1" s="251" t="n"/>
      <c r="VFN1" s="251" t="n"/>
      <c r="VFO1" s="251" t="n"/>
      <c r="VFP1" s="251" t="n"/>
      <c r="VFQ1" s="251" t="n"/>
      <c r="VFR1" s="251" t="n"/>
      <c r="VFS1" s="251" t="n"/>
      <c r="VFT1" s="251" t="n"/>
      <c r="VFU1" s="251" t="n"/>
      <c r="VFV1" s="251" t="n"/>
      <c r="VFW1" s="251" t="n"/>
      <c r="VFX1" s="251" t="n"/>
      <c r="VFY1" s="251" t="n"/>
      <c r="VFZ1" s="251" t="n"/>
      <c r="VGA1" s="251" t="n"/>
      <c r="VGB1" s="251" t="n"/>
      <c r="VGC1" s="251" t="n"/>
      <c r="VGD1" s="251" t="n"/>
      <c r="VGE1" s="251" t="n"/>
      <c r="VGF1" s="251" t="n"/>
      <c r="VGG1" s="251" t="n"/>
      <c r="VGH1" s="251" t="n"/>
      <c r="VGI1" s="251" t="n"/>
      <c r="VGJ1" s="251" t="n"/>
      <c r="VGK1" s="251" t="n"/>
      <c r="VGL1" s="251" t="n"/>
      <c r="VGM1" s="251" t="n"/>
      <c r="VGN1" s="251" t="n"/>
      <c r="VGO1" s="251" t="n"/>
      <c r="VGP1" s="251" t="n"/>
      <c r="VGQ1" s="251" t="n"/>
      <c r="VGR1" s="251" t="n"/>
      <c r="VGS1" s="251" t="n"/>
      <c r="VGT1" s="251" t="n"/>
      <c r="VGU1" s="251" t="n"/>
      <c r="VGV1" s="251" t="n"/>
      <c r="VGW1" s="251" t="n"/>
      <c r="VGX1" s="251" t="n"/>
      <c r="VGY1" s="251" t="n"/>
      <c r="VGZ1" s="251" t="n"/>
      <c r="VHA1" s="251" t="n"/>
      <c r="VHB1" s="251" t="n"/>
      <c r="VHC1" s="251" t="n"/>
      <c r="VHD1" s="251" t="n"/>
      <c r="VHE1" s="251" t="n"/>
      <c r="VHF1" s="251" t="n"/>
      <c r="VHG1" s="251" t="n"/>
      <c r="VHH1" s="251" t="n"/>
      <c r="VHI1" s="251" t="n"/>
      <c r="VHJ1" s="251" t="n"/>
      <c r="VHK1" s="251" t="n"/>
      <c r="VHL1" s="251" t="n"/>
      <c r="VHM1" s="251" t="n"/>
      <c r="VHN1" s="251" t="n"/>
      <c r="VHO1" s="251" t="n"/>
      <c r="VHP1" s="251" t="n"/>
      <c r="VHQ1" s="251" t="n"/>
      <c r="VHR1" s="251" t="n"/>
      <c r="VHS1" s="251" t="n"/>
      <c r="VHT1" s="251" t="n"/>
      <c r="VHU1" s="251" t="n"/>
      <c r="VHV1" s="251" t="n"/>
      <c r="VHW1" s="251" t="n"/>
      <c r="VHX1" s="251" t="n"/>
      <c r="VHY1" s="251" t="n"/>
      <c r="VHZ1" s="251" t="n"/>
      <c r="VIA1" s="251" t="n"/>
      <c r="VIB1" s="251" t="n"/>
      <c r="VIC1" s="251" t="n"/>
      <c r="VID1" s="251" t="n"/>
      <c r="VIE1" s="251" t="n"/>
      <c r="VIF1" s="251" t="n"/>
      <c r="VIG1" s="251" t="n"/>
      <c r="VIH1" s="251" t="n"/>
      <c r="VII1" s="251" t="n"/>
      <c r="VIJ1" s="251" t="n"/>
      <c r="VIK1" s="251" t="n"/>
      <c r="VIL1" s="251" t="n"/>
      <c r="VIM1" s="251" t="n"/>
      <c r="VIN1" s="251" t="n"/>
      <c r="VIO1" s="251" t="n"/>
      <c r="VIP1" s="251" t="n"/>
      <c r="VIQ1" s="251" t="n"/>
      <c r="VIR1" s="251" t="n"/>
      <c r="VIS1" s="251" t="n"/>
      <c r="VIT1" s="251" t="n"/>
      <c r="VIU1" s="251" t="n"/>
      <c r="VIV1" s="251" t="n"/>
      <c r="VIW1" s="251" t="n"/>
      <c r="VIX1" s="251" t="n"/>
      <c r="VIY1" s="251" t="n"/>
      <c r="VIZ1" s="251" t="n"/>
      <c r="VJA1" s="251" t="n"/>
      <c r="VJB1" s="251" t="n"/>
      <c r="VJC1" s="251" t="n"/>
      <c r="VJD1" s="251" t="n"/>
      <c r="VJE1" s="251" t="n"/>
      <c r="VJF1" s="251" t="n"/>
      <c r="VJG1" s="251" t="n"/>
      <c r="VJH1" s="251" t="n"/>
      <c r="VJI1" s="251" t="n"/>
      <c r="VJJ1" s="251" t="n"/>
      <c r="VJK1" s="251" t="n"/>
      <c r="VJL1" s="251" t="n"/>
      <c r="VJM1" s="251" t="n"/>
      <c r="VJN1" s="251" t="n"/>
      <c r="VJO1" s="251" t="n"/>
      <c r="VJP1" s="251" t="n"/>
      <c r="VJQ1" s="251" t="n"/>
      <c r="VJR1" s="251" t="n"/>
      <c r="VJS1" s="251" t="n"/>
      <c r="VJT1" s="251" t="n"/>
      <c r="VJU1" s="251" t="n"/>
      <c r="VJV1" s="251" t="n"/>
      <c r="VJW1" s="251" t="n"/>
      <c r="VJX1" s="251" t="n"/>
      <c r="VJY1" s="251" t="n"/>
      <c r="VJZ1" s="251" t="n"/>
      <c r="VKA1" s="251" t="n"/>
      <c r="VKB1" s="251" t="n"/>
      <c r="VKC1" s="251" t="n"/>
      <c r="VKD1" s="251" t="n"/>
      <c r="VKE1" s="251" t="n"/>
      <c r="VKF1" s="251" t="n"/>
      <c r="VKG1" s="251" t="n"/>
      <c r="VKH1" s="251" t="n"/>
      <c r="VKI1" s="251" t="n"/>
      <c r="VKJ1" s="251" t="n"/>
      <c r="VKK1" s="251" t="n"/>
      <c r="VKL1" s="251" t="n"/>
      <c r="VKM1" s="251" t="n"/>
      <c r="VKN1" s="251" t="n"/>
      <c r="VKO1" s="251" t="n"/>
      <c r="VKP1" s="251" t="n"/>
      <c r="VKQ1" s="251" t="n"/>
      <c r="VKR1" s="251" t="n"/>
      <c r="VKS1" s="251" t="n"/>
      <c r="VKT1" s="251" t="n"/>
      <c r="VKU1" s="251" t="n"/>
      <c r="VKV1" s="251" t="n"/>
      <c r="VKW1" s="251" t="n"/>
      <c r="VKX1" s="251" t="n"/>
      <c r="VKY1" s="251" t="n"/>
      <c r="VKZ1" s="251" t="n"/>
      <c r="VLA1" s="251" t="n"/>
      <c r="VLB1" s="251" t="n"/>
      <c r="VLC1" s="251" t="n"/>
      <c r="VLD1" s="251" t="n"/>
      <c r="VLE1" s="251" t="n"/>
      <c r="VLF1" s="251" t="n"/>
      <c r="VLG1" s="251" t="n"/>
      <c r="VLH1" s="251" t="n"/>
      <c r="VLI1" s="251" t="n"/>
      <c r="VLJ1" s="251" t="n"/>
      <c r="VLK1" s="251" t="n"/>
      <c r="VLL1" s="251" t="n"/>
      <c r="VLM1" s="251" t="n"/>
      <c r="VLN1" s="251" t="n"/>
      <c r="VLO1" s="251" t="n"/>
      <c r="VLP1" s="251" t="n"/>
      <c r="VLQ1" s="251" t="n"/>
      <c r="VLR1" s="251" t="n"/>
      <c r="VLS1" s="251" t="n"/>
      <c r="VLT1" s="251" t="n"/>
      <c r="VLU1" s="251" t="n"/>
      <c r="VLV1" s="251" t="n"/>
      <c r="VLW1" s="251" t="n"/>
      <c r="VLX1" s="251" t="n"/>
      <c r="VLY1" s="251" t="n"/>
      <c r="VLZ1" s="251" t="n"/>
      <c r="VMA1" s="251" t="n"/>
      <c r="VMB1" s="251" t="n"/>
      <c r="VMC1" s="251" t="n"/>
      <c r="VMD1" s="251" t="n"/>
      <c r="VME1" s="251" t="n"/>
      <c r="VMF1" s="251" t="n"/>
      <c r="VMG1" s="251" t="n"/>
      <c r="VMH1" s="251" t="n"/>
      <c r="VMI1" s="251" t="n"/>
      <c r="VMJ1" s="251" t="n"/>
      <c r="VMK1" s="251" t="n"/>
      <c r="VML1" s="251" t="n"/>
      <c r="VMM1" s="251" t="n"/>
      <c r="VMN1" s="251" t="n"/>
      <c r="VMO1" s="251" t="n"/>
      <c r="VMP1" s="251" t="n"/>
      <c r="VMQ1" s="251" t="n"/>
      <c r="VMR1" s="251" t="n"/>
      <c r="VMS1" s="251" t="n"/>
      <c r="VMT1" s="251" t="n"/>
      <c r="VMU1" s="251" t="n"/>
      <c r="VMV1" s="251" t="n"/>
      <c r="VMW1" s="251" t="n"/>
      <c r="VMX1" s="251" t="n"/>
      <c r="VMY1" s="251" t="n"/>
      <c r="VMZ1" s="251" t="n"/>
      <c r="VNA1" s="251" t="n"/>
      <c r="VNB1" s="251" t="n"/>
      <c r="VNC1" s="251" t="n"/>
      <c r="VND1" s="251" t="n"/>
      <c r="VNE1" s="251" t="n"/>
      <c r="VNF1" s="251" t="n"/>
      <c r="VNG1" s="251" t="n"/>
      <c r="VNH1" s="251" t="n"/>
      <c r="VNI1" s="251" t="n"/>
      <c r="VNJ1" s="251" t="n"/>
      <c r="VNK1" s="251" t="n"/>
      <c r="VNL1" s="251" t="n"/>
      <c r="VNM1" s="251" t="n"/>
      <c r="VNN1" s="251" t="n"/>
      <c r="VNO1" s="251" t="n"/>
      <c r="VNP1" s="251" t="n"/>
      <c r="VNQ1" s="251" t="n"/>
      <c r="VNR1" s="251" t="n"/>
      <c r="VNS1" s="251" t="n"/>
      <c r="VNT1" s="251" t="n"/>
      <c r="VNU1" s="251" t="n"/>
      <c r="VNV1" s="251" t="n"/>
      <c r="VNW1" s="251" t="n"/>
      <c r="VNX1" s="251" t="n"/>
      <c r="VNY1" s="251" t="n"/>
      <c r="VNZ1" s="251" t="n"/>
      <c r="VOA1" s="251" t="n"/>
      <c r="VOB1" s="251" t="n"/>
      <c r="VOC1" s="251" t="n"/>
      <c r="VOD1" s="251" t="n"/>
      <c r="VOE1" s="251" t="n"/>
      <c r="VOF1" s="251" t="n"/>
      <c r="VOG1" s="251" t="n"/>
      <c r="VOH1" s="251" t="n"/>
      <c r="VOI1" s="251" t="n"/>
      <c r="VOJ1" s="251" t="n"/>
      <c r="VOK1" s="251" t="n"/>
      <c r="VOL1" s="251" t="n"/>
      <c r="VOM1" s="251" t="n"/>
      <c r="VON1" s="251" t="n"/>
      <c r="VOO1" s="251" t="n"/>
      <c r="VOP1" s="251" t="n"/>
      <c r="VOQ1" s="251" t="n"/>
      <c r="VOR1" s="251" t="n"/>
      <c r="VOS1" s="251" t="n"/>
      <c r="VOT1" s="251" t="n"/>
      <c r="VOU1" s="251" t="n"/>
      <c r="VOV1" s="251" t="n"/>
      <c r="VOW1" s="251" t="n"/>
      <c r="VOX1" s="251" t="n"/>
      <c r="VOY1" s="251" t="n"/>
      <c r="VOZ1" s="251" t="n"/>
      <c r="VPA1" s="251" t="n"/>
      <c r="VPB1" s="251" t="n"/>
      <c r="VPC1" s="251" t="n"/>
      <c r="VPD1" s="251" t="n"/>
      <c r="VPE1" s="251" t="n"/>
      <c r="VPF1" s="251" t="n"/>
      <c r="VPG1" s="251" t="n"/>
      <c r="VPH1" s="251" t="n"/>
      <c r="VPI1" s="251" t="n"/>
      <c r="VPJ1" s="251" t="n"/>
      <c r="VPK1" s="251" t="n"/>
      <c r="VPL1" s="251" t="n"/>
      <c r="VPM1" s="251" t="n"/>
      <c r="VPN1" s="251" t="n"/>
      <c r="VPO1" s="251" t="n"/>
      <c r="VPP1" s="251" t="n"/>
      <c r="VPQ1" s="251" t="n"/>
      <c r="VPR1" s="251" t="n"/>
      <c r="VPS1" s="251" t="n"/>
      <c r="VPT1" s="251" t="n"/>
      <c r="VPU1" s="251" t="n"/>
      <c r="VPV1" s="251" t="n"/>
      <c r="VPW1" s="251" t="n"/>
      <c r="VPX1" s="251" t="n"/>
      <c r="VPY1" s="251" t="n"/>
      <c r="VPZ1" s="251" t="n"/>
      <c r="VQA1" s="251" t="n"/>
      <c r="VQB1" s="251" t="n"/>
      <c r="VQC1" s="251" t="n"/>
      <c r="VQD1" s="251" t="n"/>
      <c r="VQE1" s="251" t="n"/>
      <c r="VQF1" s="251" t="n"/>
      <c r="VQG1" s="251" t="n"/>
      <c r="VQH1" s="251" t="n"/>
      <c r="VQI1" s="251" t="n"/>
      <c r="VQJ1" s="251" t="n"/>
      <c r="VQK1" s="251" t="n"/>
      <c r="VQL1" s="251" t="n"/>
      <c r="VQM1" s="251" t="n"/>
      <c r="VQN1" s="251" t="n"/>
      <c r="VQO1" s="251" t="n"/>
      <c r="VQP1" s="251" t="n"/>
      <c r="VQQ1" s="251" t="n"/>
      <c r="VQR1" s="251" t="n"/>
      <c r="VQS1" s="251" t="n"/>
      <c r="VQT1" s="251" t="n"/>
      <c r="VQU1" s="251" t="n"/>
      <c r="VQV1" s="251" t="n"/>
      <c r="VQW1" s="251" t="n"/>
      <c r="VQX1" s="251" t="n"/>
      <c r="VQY1" s="251" t="n"/>
      <c r="VQZ1" s="251" t="n"/>
      <c r="VRA1" s="251" t="n"/>
      <c r="VRB1" s="251" t="n"/>
      <c r="VRC1" s="251" t="n"/>
      <c r="VRD1" s="251" t="n"/>
      <c r="VRE1" s="251" t="n"/>
      <c r="VRF1" s="251" t="n"/>
      <c r="VRG1" s="251" t="n"/>
      <c r="VRH1" s="251" t="n"/>
      <c r="VRI1" s="251" t="n"/>
      <c r="VRJ1" s="251" t="n"/>
      <c r="VRK1" s="251" t="n"/>
      <c r="VRL1" s="251" t="n"/>
      <c r="VRM1" s="251" t="n"/>
      <c r="VRN1" s="251" t="n"/>
      <c r="VRO1" s="251" t="n"/>
      <c r="VRP1" s="251" t="n"/>
      <c r="VRQ1" s="251" t="n"/>
      <c r="VRR1" s="251" t="n"/>
      <c r="VRS1" s="251" t="n"/>
      <c r="VRT1" s="251" t="n"/>
      <c r="VRU1" s="251" t="n"/>
      <c r="VRV1" s="251" t="n"/>
      <c r="VRW1" s="251" t="n"/>
      <c r="VRX1" s="251" t="n"/>
      <c r="VRY1" s="251" t="n"/>
      <c r="VRZ1" s="251" t="n"/>
      <c r="VSA1" s="251" t="n"/>
      <c r="VSB1" s="251" t="n"/>
      <c r="VSC1" s="251" t="n"/>
      <c r="VSD1" s="251" t="n"/>
      <c r="VSE1" s="251" t="n"/>
      <c r="VSF1" s="251" t="n"/>
      <c r="VSG1" s="251" t="n"/>
      <c r="VSH1" s="251" t="n"/>
      <c r="VSI1" s="251" t="n"/>
      <c r="VSJ1" s="251" t="n"/>
      <c r="VSK1" s="251" t="n"/>
      <c r="VSL1" s="251" t="n"/>
      <c r="VSM1" s="251" t="n"/>
      <c r="VSN1" s="251" t="n"/>
      <c r="VSO1" s="251" t="n"/>
      <c r="VSP1" s="251" t="n"/>
      <c r="VSQ1" s="251" t="n"/>
      <c r="VSR1" s="251" t="n"/>
      <c r="VSS1" s="251" t="n"/>
      <c r="VST1" s="251" t="n"/>
      <c r="VSU1" s="251" t="n"/>
      <c r="VSV1" s="251" t="n"/>
      <c r="VSW1" s="251" t="n"/>
      <c r="VSX1" s="251" t="n"/>
      <c r="VSY1" s="251" t="n"/>
      <c r="VSZ1" s="251" t="n"/>
      <c r="VTA1" s="251" t="n"/>
      <c r="VTB1" s="251" t="n"/>
      <c r="VTC1" s="251" t="n"/>
      <c r="VTD1" s="251" t="n"/>
      <c r="VTE1" s="251" t="n"/>
      <c r="VTF1" s="251" t="n"/>
      <c r="VTG1" s="251" t="n"/>
      <c r="VTH1" s="251" t="n"/>
      <c r="VTI1" s="251" t="n"/>
      <c r="VTJ1" s="251" t="n"/>
      <c r="VTK1" s="251" t="n"/>
      <c r="VTL1" s="251" t="n"/>
      <c r="VTM1" s="251" t="n"/>
      <c r="VTN1" s="251" t="n"/>
      <c r="VTO1" s="251" t="n"/>
      <c r="VTP1" s="251" t="n"/>
      <c r="VTQ1" s="251" t="n"/>
      <c r="VTR1" s="251" t="n"/>
      <c r="VTS1" s="251" t="n"/>
      <c r="VTT1" s="251" t="n"/>
      <c r="VTU1" s="251" t="n"/>
      <c r="VTV1" s="251" t="n"/>
      <c r="VTW1" s="251" t="n"/>
      <c r="VTX1" s="251" t="n"/>
      <c r="VTY1" s="251" t="n"/>
      <c r="VTZ1" s="251" t="n"/>
      <c r="VUA1" s="251" t="n"/>
      <c r="VUB1" s="251" t="n"/>
      <c r="VUC1" s="251" t="n"/>
      <c r="VUD1" s="251" t="n"/>
      <c r="VUE1" s="251" t="n"/>
      <c r="VUF1" s="251" t="n"/>
      <c r="VUG1" s="251" t="n"/>
      <c r="VUH1" s="251" t="n"/>
      <c r="VUI1" s="251" t="n"/>
      <c r="VUJ1" s="251" t="n"/>
      <c r="VUK1" s="251" t="n"/>
      <c r="VUL1" s="251" t="n"/>
      <c r="VUM1" s="251" t="n"/>
      <c r="VUN1" s="251" t="n"/>
      <c r="VUO1" s="251" t="n"/>
      <c r="VUP1" s="251" t="n"/>
      <c r="VUQ1" s="251" t="n"/>
      <c r="VUR1" s="251" t="n"/>
      <c r="VUS1" s="251" t="n"/>
      <c r="VUT1" s="251" t="n"/>
      <c r="VUU1" s="251" t="n"/>
      <c r="VUV1" s="251" t="n"/>
      <c r="VUW1" s="251" t="n"/>
      <c r="VUX1" s="251" t="n"/>
      <c r="VUY1" s="251" t="n"/>
      <c r="VUZ1" s="251" t="n"/>
      <c r="VVA1" s="251" t="n"/>
      <c r="VVB1" s="251" t="n"/>
      <c r="VVC1" s="251" t="n"/>
      <c r="VVD1" s="251" t="n"/>
      <c r="VVE1" s="251" t="n"/>
      <c r="VVF1" s="251" t="n"/>
      <c r="VVG1" s="251" t="n"/>
      <c r="VVH1" s="251" t="n"/>
      <c r="VVI1" s="251" t="n"/>
      <c r="VVJ1" s="251" t="n"/>
      <c r="VVK1" s="251" t="n"/>
      <c r="VVL1" s="251" t="n"/>
      <c r="VVM1" s="251" t="n"/>
      <c r="VVN1" s="251" t="n"/>
      <c r="VVO1" s="251" t="n"/>
      <c r="VVP1" s="251" t="n"/>
      <c r="VVQ1" s="251" t="n"/>
      <c r="VVR1" s="251" t="n"/>
      <c r="VVS1" s="251" t="n"/>
      <c r="VVT1" s="251" t="n"/>
      <c r="VVU1" s="251" t="n"/>
      <c r="VVV1" s="251" t="n"/>
      <c r="VVW1" s="251" t="n"/>
      <c r="VVX1" s="251" t="n"/>
      <c r="VVY1" s="251" t="n"/>
      <c r="VVZ1" s="251" t="n"/>
      <c r="VWA1" s="251" t="n"/>
      <c r="VWB1" s="251" t="n"/>
      <c r="VWC1" s="251" t="n"/>
      <c r="VWD1" s="251" t="n"/>
      <c r="VWE1" s="251" t="n"/>
      <c r="VWF1" s="251" t="n"/>
      <c r="VWG1" s="251" t="n"/>
      <c r="VWH1" s="251" t="n"/>
      <c r="VWI1" s="251" t="n"/>
      <c r="VWJ1" s="251" t="n"/>
      <c r="VWK1" s="251" t="n"/>
      <c r="VWL1" s="251" t="n"/>
      <c r="VWM1" s="251" t="n"/>
      <c r="VWN1" s="251" t="n"/>
      <c r="VWO1" s="251" t="n"/>
      <c r="VWP1" s="251" t="n"/>
      <c r="VWQ1" s="251" t="n"/>
      <c r="VWR1" s="251" t="n"/>
      <c r="VWS1" s="251" t="n"/>
      <c r="VWT1" s="251" t="n"/>
      <c r="VWU1" s="251" t="n"/>
      <c r="VWV1" s="251" t="n"/>
      <c r="VWW1" s="251" t="n"/>
      <c r="VWX1" s="251" t="n"/>
      <c r="VWY1" s="251" t="n"/>
      <c r="VWZ1" s="251" t="n"/>
      <c r="VXA1" s="251" t="n"/>
      <c r="VXB1" s="251" t="n"/>
      <c r="VXC1" s="251" t="n"/>
      <c r="VXD1" s="251" t="n"/>
      <c r="VXE1" s="251" t="n"/>
      <c r="VXF1" s="251" t="n"/>
      <c r="VXG1" s="251" t="n"/>
      <c r="VXH1" s="251" t="n"/>
      <c r="VXI1" s="251" t="n"/>
      <c r="VXJ1" s="251" t="n"/>
      <c r="VXK1" s="251" t="n"/>
      <c r="VXL1" s="251" t="n"/>
      <c r="VXM1" s="251" t="n"/>
      <c r="VXN1" s="251" t="n"/>
      <c r="VXO1" s="251" t="n"/>
      <c r="VXP1" s="251" t="n"/>
      <c r="VXQ1" s="251" t="n"/>
      <c r="VXR1" s="251" t="n"/>
      <c r="VXS1" s="251" t="n"/>
      <c r="VXT1" s="251" t="n"/>
      <c r="VXU1" s="251" t="n"/>
      <c r="VXV1" s="251" t="n"/>
      <c r="VXW1" s="251" t="n"/>
      <c r="VXX1" s="251" t="n"/>
      <c r="VXY1" s="251" t="n"/>
      <c r="VXZ1" s="251" t="n"/>
      <c r="VYA1" s="251" t="n"/>
      <c r="VYB1" s="251" t="n"/>
      <c r="VYC1" s="251" t="n"/>
      <c r="VYD1" s="251" t="n"/>
      <c r="VYE1" s="251" t="n"/>
      <c r="VYF1" s="251" t="n"/>
      <c r="VYG1" s="251" t="n"/>
      <c r="VYH1" s="251" t="n"/>
      <c r="VYI1" s="251" t="n"/>
      <c r="VYJ1" s="251" t="n"/>
      <c r="VYK1" s="251" t="n"/>
      <c r="VYL1" s="251" t="n"/>
      <c r="VYM1" s="251" t="n"/>
      <c r="VYN1" s="251" t="n"/>
      <c r="VYO1" s="251" t="n"/>
      <c r="VYP1" s="251" t="n"/>
      <c r="VYQ1" s="251" t="n"/>
      <c r="VYR1" s="251" t="n"/>
      <c r="VYS1" s="251" t="n"/>
      <c r="VYT1" s="251" t="n"/>
      <c r="VYU1" s="251" t="n"/>
      <c r="VYV1" s="251" t="n"/>
      <c r="VYW1" s="251" t="n"/>
      <c r="VYX1" s="251" t="n"/>
      <c r="VYY1" s="251" t="n"/>
      <c r="VYZ1" s="251" t="n"/>
      <c r="VZA1" s="251" t="n"/>
      <c r="VZB1" s="251" t="n"/>
      <c r="VZC1" s="251" t="n"/>
      <c r="VZD1" s="251" t="n"/>
      <c r="VZE1" s="251" t="n"/>
      <c r="VZF1" s="251" t="n"/>
      <c r="VZG1" s="251" t="n"/>
      <c r="VZH1" s="251" t="n"/>
      <c r="VZI1" s="251" t="n"/>
      <c r="VZJ1" s="251" t="n"/>
      <c r="VZK1" s="251" t="n"/>
      <c r="VZL1" s="251" t="n"/>
      <c r="VZM1" s="251" t="n"/>
      <c r="VZN1" s="251" t="n"/>
      <c r="VZO1" s="251" t="n"/>
      <c r="VZP1" s="251" t="n"/>
      <c r="VZQ1" s="251" t="n"/>
      <c r="VZR1" s="251" t="n"/>
      <c r="VZS1" s="251" t="n"/>
      <c r="VZT1" s="251" t="n"/>
      <c r="VZU1" s="251" t="n"/>
      <c r="VZV1" s="251" t="n"/>
      <c r="VZW1" s="251" t="n"/>
      <c r="VZX1" s="251" t="n"/>
      <c r="VZY1" s="251" t="n"/>
      <c r="VZZ1" s="251" t="n"/>
      <c r="WAA1" s="251" t="n"/>
      <c r="WAB1" s="251" t="n"/>
      <c r="WAC1" s="251" t="n"/>
      <c r="WAD1" s="251" t="n"/>
      <c r="WAE1" s="251" t="n"/>
      <c r="WAF1" s="251" t="n"/>
      <c r="WAG1" s="251" t="n"/>
      <c r="WAH1" s="251" t="n"/>
      <c r="WAI1" s="251" t="n"/>
      <c r="WAJ1" s="251" t="n"/>
      <c r="WAK1" s="251" t="n"/>
      <c r="WAL1" s="251" t="n"/>
      <c r="WAM1" s="251" t="n"/>
      <c r="WAN1" s="251" t="n"/>
      <c r="WAO1" s="251" t="n"/>
      <c r="WAP1" s="251" t="n"/>
      <c r="WAQ1" s="251" t="n"/>
      <c r="WAR1" s="251" t="n"/>
      <c r="WAS1" s="251" t="n"/>
      <c r="WAT1" s="251" t="n"/>
      <c r="WAU1" s="251" t="n"/>
      <c r="WAV1" s="251" t="n"/>
      <c r="WAW1" s="251" t="n"/>
      <c r="WAX1" s="251" t="n"/>
      <c r="WAY1" s="251" t="n"/>
      <c r="WAZ1" s="251" t="n"/>
      <c r="WBA1" s="251" t="n"/>
      <c r="WBB1" s="251" t="n"/>
      <c r="WBC1" s="251" t="n"/>
      <c r="WBD1" s="251" t="n"/>
      <c r="WBE1" s="251" t="n"/>
      <c r="WBF1" s="251" t="n"/>
      <c r="WBG1" s="251" t="n"/>
      <c r="WBH1" s="251" t="n"/>
      <c r="WBI1" s="251" t="n"/>
      <c r="WBJ1" s="251" t="n"/>
      <c r="WBK1" s="251" t="n"/>
      <c r="WBL1" s="251" t="n"/>
      <c r="WBM1" s="251" t="n"/>
      <c r="WBN1" s="251" t="n"/>
      <c r="WBO1" s="251" t="n"/>
      <c r="WBP1" s="251" t="n"/>
      <c r="WBQ1" s="251" t="n"/>
      <c r="WBR1" s="251" t="n"/>
      <c r="WBS1" s="251" t="n"/>
      <c r="WBT1" s="251" t="n"/>
      <c r="WBU1" s="251" t="n"/>
      <c r="WBV1" s="251" t="n"/>
      <c r="WBW1" s="251" t="n"/>
      <c r="WBX1" s="251" t="n"/>
      <c r="WBY1" s="251" t="n"/>
      <c r="WBZ1" s="251" t="n"/>
      <c r="WCA1" s="251" t="n"/>
      <c r="WCB1" s="251" t="n"/>
      <c r="WCC1" s="251" t="n"/>
      <c r="WCD1" s="251" t="n"/>
      <c r="WCE1" s="251" t="n"/>
      <c r="WCF1" s="251" t="n"/>
      <c r="WCG1" s="251" t="n"/>
      <c r="WCH1" s="251" t="n"/>
      <c r="WCI1" s="251" t="n"/>
      <c r="WCJ1" s="251" t="n"/>
      <c r="WCK1" s="251" t="n"/>
      <c r="WCL1" s="251" t="n"/>
      <c r="WCM1" s="251" t="n"/>
      <c r="WCN1" s="251" t="n"/>
      <c r="WCO1" s="251" t="n"/>
      <c r="WCP1" s="251" t="n"/>
      <c r="WCQ1" s="251" t="n"/>
      <c r="WCR1" s="251" t="n"/>
      <c r="WCS1" s="251" t="n"/>
      <c r="WCT1" s="251" t="n"/>
      <c r="WCU1" s="251" t="n"/>
      <c r="WCV1" s="251" t="n"/>
      <c r="WCW1" s="251" t="n"/>
      <c r="WCX1" s="251" t="n"/>
      <c r="WCY1" s="251" t="n"/>
      <c r="WCZ1" s="251" t="n"/>
      <c r="WDA1" s="251" t="n"/>
      <c r="WDB1" s="251" t="n"/>
      <c r="WDC1" s="251" t="n"/>
      <c r="WDD1" s="251" t="n"/>
      <c r="WDE1" s="251" t="n"/>
      <c r="WDF1" s="251" t="n"/>
      <c r="WDG1" s="251" t="n"/>
      <c r="WDH1" s="251" t="n"/>
      <c r="WDI1" s="251" t="n"/>
      <c r="WDJ1" s="251" t="n"/>
      <c r="WDK1" s="251" t="n"/>
      <c r="WDL1" s="251" t="n"/>
      <c r="WDM1" s="251" t="n"/>
      <c r="WDN1" s="251" t="n"/>
      <c r="WDO1" s="251" t="n"/>
      <c r="WDP1" s="251" t="n"/>
      <c r="WDQ1" s="251" t="n"/>
      <c r="WDR1" s="251" t="n"/>
      <c r="WDS1" s="251" t="n"/>
      <c r="WDT1" s="251" t="n"/>
      <c r="WDU1" s="251" t="n"/>
      <c r="WDV1" s="251" t="n"/>
      <c r="WDW1" s="251" t="n"/>
      <c r="WDX1" s="251" t="n"/>
      <c r="WDY1" s="251" t="n"/>
      <c r="WDZ1" s="251" t="n"/>
      <c r="WEA1" s="251" t="n"/>
      <c r="WEB1" s="251" t="n"/>
      <c r="WEC1" s="251" t="n"/>
      <c r="WED1" s="251" t="n"/>
      <c r="WEE1" s="251" t="n"/>
      <c r="WEF1" s="251" t="n"/>
      <c r="WEG1" s="251" t="n"/>
      <c r="WEH1" s="251" t="n"/>
      <c r="WEI1" s="251" t="n"/>
      <c r="WEJ1" s="251" t="n"/>
      <c r="WEK1" s="251" t="n"/>
      <c r="WEL1" s="251" t="n"/>
      <c r="WEM1" s="251" t="n"/>
      <c r="WEN1" s="251" t="n"/>
      <c r="WEO1" s="251" t="n"/>
      <c r="WEP1" s="251" t="n"/>
      <c r="WEQ1" s="251" t="n"/>
      <c r="WER1" s="251" t="n"/>
      <c r="WES1" s="251" t="n"/>
      <c r="WET1" s="251" t="n"/>
      <c r="WEU1" s="251" t="n"/>
      <c r="WEV1" s="251" t="n"/>
      <c r="WEW1" s="251" t="n"/>
      <c r="WEX1" s="251" t="n"/>
      <c r="WEY1" s="251" t="n"/>
      <c r="WEZ1" s="251" t="n"/>
      <c r="WFA1" s="251" t="n"/>
      <c r="WFB1" s="251" t="n"/>
      <c r="WFC1" s="251" t="n"/>
      <c r="WFD1" s="251" t="n"/>
      <c r="WFE1" s="251" t="n"/>
      <c r="WFF1" s="251" t="n"/>
      <c r="WFG1" s="251" t="n"/>
      <c r="WFH1" s="251" t="n"/>
      <c r="WFI1" s="251" t="n"/>
      <c r="WFJ1" s="251" t="n"/>
      <c r="WFK1" s="251" t="n"/>
      <c r="WFL1" s="251" t="n"/>
      <c r="WFM1" s="251" t="n"/>
      <c r="WFN1" s="251" t="n"/>
      <c r="WFO1" s="251" t="n"/>
      <c r="WFP1" s="251" t="n"/>
      <c r="WFQ1" s="251" t="n"/>
      <c r="WFR1" s="251" t="n"/>
      <c r="WFS1" s="251" t="n"/>
      <c r="WFT1" s="251" t="n"/>
      <c r="WFU1" s="251" t="n"/>
      <c r="WFV1" s="251" t="n"/>
      <c r="WFW1" s="251" t="n"/>
      <c r="WFX1" s="251" t="n"/>
      <c r="WFY1" s="251" t="n"/>
      <c r="WFZ1" s="251" t="n"/>
      <c r="WGA1" s="251" t="n"/>
      <c r="WGB1" s="251" t="n"/>
      <c r="WGC1" s="251" t="n"/>
      <c r="WGD1" s="251" t="n"/>
      <c r="WGE1" s="251" t="n"/>
      <c r="WGF1" s="251" t="n"/>
      <c r="WGG1" s="251" t="n"/>
      <c r="WGH1" s="251" t="n"/>
      <c r="WGI1" s="251" t="n"/>
      <c r="WGJ1" s="251" t="n"/>
      <c r="WGK1" s="251" t="n"/>
      <c r="WGL1" s="251" t="n"/>
      <c r="WGM1" s="251" t="n"/>
      <c r="WGN1" s="251" t="n"/>
      <c r="WGO1" s="251" t="n"/>
      <c r="WGP1" s="251" t="n"/>
      <c r="WGQ1" s="251" t="n"/>
      <c r="WGR1" s="251" t="n"/>
      <c r="WGS1" s="251" t="n"/>
      <c r="WGT1" s="251" t="n"/>
      <c r="WGU1" s="251" t="n"/>
      <c r="WGV1" s="251" t="n"/>
      <c r="WGW1" s="251" t="n"/>
      <c r="WGX1" s="251" t="n"/>
      <c r="WGY1" s="251" t="n"/>
      <c r="WGZ1" s="251" t="n"/>
      <c r="WHA1" s="251" t="n"/>
      <c r="WHB1" s="251" t="n"/>
      <c r="WHC1" s="251" t="n"/>
      <c r="WHD1" s="251" t="n"/>
      <c r="WHE1" s="251" t="n"/>
      <c r="WHF1" s="251" t="n"/>
      <c r="WHG1" s="251" t="n"/>
      <c r="WHH1" s="251" t="n"/>
      <c r="WHI1" s="251" t="n"/>
      <c r="WHJ1" s="251" t="n"/>
      <c r="WHK1" s="251" t="n"/>
      <c r="WHL1" s="251" t="n"/>
      <c r="WHM1" s="251" t="n"/>
      <c r="WHN1" s="251" t="n"/>
      <c r="WHO1" s="251" t="n"/>
      <c r="WHP1" s="251" t="n"/>
      <c r="WHQ1" s="251" t="n"/>
      <c r="WHR1" s="251" t="n"/>
      <c r="WHS1" s="251" t="n"/>
      <c r="WHT1" s="251" t="n"/>
      <c r="WHU1" s="251" t="n"/>
      <c r="WHV1" s="251" t="n"/>
      <c r="WHW1" s="251" t="n"/>
      <c r="WHX1" s="251" t="n"/>
      <c r="WHY1" s="251" t="n"/>
      <c r="WHZ1" s="251" t="n"/>
      <c r="WIA1" s="251" t="n"/>
      <c r="WIB1" s="251" t="n"/>
      <c r="WIC1" s="251" t="n"/>
      <c r="WID1" s="251" t="n"/>
      <c r="WIE1" s="251" t="n"/>
      <c r="WIF1" s="251" t="n"/>
      <c r="WIG1" s="251" t="n"/>
      <c r="WIH1" s="251" t="n"/>
      <c r="WII1" s="251" t="n"/>
      <c r="WIJ1" s="251" t="n"/>
      <c r="WIK1" s="251" t="n"/>
      <c r="WIL1" s="251" t="n"/>
      <c r="WIM1" s="251" t="n"/>
      <c r="WIN1" s="251" t="n"/>
      <c r="WIO1" s="251" t="n"/>
      <c r="WIP1" s="251" t="n"/>
      <c r="WIQ1" s="251" t="n"/>
      <c r="WIR1" s="251" t="n"/>
      <c r="WIS1" s="251" t="n"/>
      <c r="WIT1" s="251" t="n"/>
      <c r="WIU1" s="251" t="n"/>
      <c r="WIV1" s="251" t="n"/>
      <c r="WIW1" s="251" t="n"/>
      <c r="WIX1" s="251" t="n"/>
      <c r="WIY1" s="251" t="n"/>
      <c r="WIZ1" s="251" t="n"/>
      <c r="WJA1" s="251" t="n"/>
      <c r="WJB1" s="251" t="n"/>
      <c r="WJC1" s="251" t="n"/>
      <c r="WJD1" s="251" t="n"/>
      <c r="WJE1" s="251" t="n"/>
      <c r="WJF1" s="251" t="n"/>
      <c r="WJG1" s="251" t="n"/>
      <c r="WJH1" s="251" t="n"/>
      <c r="WJI1" s="251" t="n"/>
      <c r="WJJ1" s="251" t="n"/>
      <c r="WJK1" s="251" t="n"/>
      <c r="WJL1" s="251" t="n"/>
      <c r="WJM1" s="251" t="n"/>
      <c r="WJN1" s="251" t="n"/>
      <c r="WJO1" s="251" t="n"/>
      <c r="WJP1" s="251" t="n"/>
      <c r="WJQ1" s="251" t="n"/>
      <c r="WJR1" s="251" t="n"/>
      <c r="WJS1" s="251" t="n"/>
      <c r="WJT1" s="251" t="n"/>
      <c r="WJU1" s="251" t="n"/>
      <c r="WJV1" s="251" t="n"/>
      <c r="WJW1" s="251" t="n"/>
      <c r="WJX1" s="251" t="n"/>
      <c r="WJY1" s="251" t="n"/>
      <c r="WJZ1" s="251" t="n"/>
      <c r="WKA1" s="251" t="n"/>
      <c r="WKB1" s="251" t="n"/>
      <c r="WKC1" s="251" t="n"/>
      <c r="WKD1" s="251" t="n"/>
      <c r="WKE1" s="251" t="n"/>
      <c r="WKF1" s="251" t="n"/>
      <c r="WKG1" s="251" t="n"/>
      <c r="WKH1" s="251" t="n"/>
      <c r="WKI1" s="251" t="n"/>
      <c r="WKJ1" s="251" t="n"/>
      <c r="WKK1" s="251" t="n"/>
      <c r="WKL1" s="251" t="n"/>
      <c r="WKM1" s="251" t="n"/>
      <c r="WKN1" s="251" t="n"/>
      <c r="WKO1" s="251" t="n"/>
      <c r="WKP1" s="251" t="n"/>
      <c r="WKQ1" s="251" t="n"/>
      <c r="WKR1" s="251" t="n"/>
      <c r="WKS1" s="251" t="n"/>
      <c r="WKT1" s="251" t="n"/>
      <c r="WKU1" s="251" t="n"/>
      <c r="WKV1" s="251" t="n"/>
      <c r="WKW1" s="251" t="n"/>
      <c r="WKX1" s="251" t="n"/>
      <c r="WKY1" s="251" t="n"/>
      <c r="WKZ1" s="251" t="n"/>
      <c r="WLA1" s="251" t="n"/>
      <c r="WLB1" s="251" t="n"/>
      <c r="WLC1" s="251" t="n"/>
      <c r="WLD1" s="251" t="n"/>
      <c r="WLE1" s="251" t="n"/>
      <c r="WLF1" s="251" t="n"/>
      <c r="WLG1" s="251" t="n"/>
      <c r="WLH1" s="251" t="n"/>
      <c r="WLI1" s="251" t="n"/>
      <c r="WLJ1" s="251" t="n"/>
      <c r="WLK1" s="251" t="n"/>
      <c r="WLL1" s="251" t="n"/>
      <c r="WLM1" s="251" t="n"/>
      <c r="WLN1" s="251" t="n"/>
      <c r="WLO1" s="251" t="n"/>
      <c r="WLP1" s="251" t="n"/>
      <c r="WLQ1" s="251" t="n"/>
      <c r="WLR1" s="251" t="n"/>
      <c r="WLS1" s="251" t="n"/>
      <c r="WLT1" s="251" t="n"/>
      <c r="WLU1" s="251" t="n"/>
      <c r="WLV1" s="251" t="n"/>
      <c r="WLW1" s="251" t="n"/>
      <c r="WLX1" s="251" t="n"/>
      <c r="WLY1" s="251" t="n"/>
      <c r="WLZ1" s="251" t="n"/>
      <c r="WMA1" s="251" t="n"/>
      <c r="WMB1" s="251" t="n"/>
      <c r="WMC1" s="251" t="n"/>
      <c r="WMD1" s="251" t="n"/>
      <c r="WME1" s="251" t="n"/>
      <c r="WMF1" s="251" t="n"/>
      <c r="WMG1" s="251" t="n"/>
      <c r="WMH1" s="251" t="n"/>
      <c r="WMI1" s="251" t="n"/>
      <c r="WMJ1" s="251" t="n"/>
      <c r="WMK1" s="251" t="n"/>
      <c r="WML1" s="251" t="n"/>
      <c r="WMM1" s="251" t="n"/>
      <c r="WMN1" s="251" t="n"/>
      <c r="WMO1" s="251" t="n"/>
      <c r="WMP1" s="251" t="n"/>
      <c r="WMQ1" s="251" t="n"/>
      <c r="WMR1" s="251" t="n"/>
      <c r="WMS1" s="251" t="n"/>
      <c r="WMT1" s="251" t="n"/>
      <c r="WMU1" s="251" t="n"/>
      <c r="WMV1" s="251" t="n"/>
      <c r="WMW1" s="251" t="n"/>
      <c r="WMX1" s="251" t="n"/>
      <c r="WMY1" s="251" t="n"/>
      <c r="WMZ1" s="251" t="n"/>
      <c r="WNA1" s="251" t="n"/>
      <c r="WNB1" s="251" t="n"/>
      <c r="WNC1" s="251" t="n"/>
      <c r="WND1" s="251" t="n"/>
      <c r="WNE1" s="251" t="n"/>
      <c r="WNF1" s="251" t="n"/>
      <c r="WNG1" s="251" t="n"/>
      <c r="WNH1" s="251" t="n"/>
      <c r="WNI1" s="251" t="n"/>
      <c r="WNJ1" s="251" t="n"/>
      <c r="WNK1" s="251" t="n"/>
      <c r="WNL1" s="251" t="n"/>
      <c r="WNM1" s="251" t="n"/>
      <c r="WNN1" s="251" t="n"/>
      <c r="WNO1" s="251" t="n"/>
      <c r="WNP1" s="251" t="n"/>
      <c r="WNQ1" s="251" t="n"/>
      <c r="WNR1" s="251" t="n"/>
      <c r="WNS1" s="251" t="n"/>
      <c r="WNT1" s="251" t="n"/>
      <c r="WNU1" s="251" t="n"/>
      <c r="WNV1" s="251" t="n"/>
      <c r="WNW1" s="251" t="n"/>
      <c r="WNX1" s="251" t="n"/>
      <c r="WNY1" s="251" t="n"/>
      <c r="WNZ1" s="251" t="n"/>
      <c r="WOA1" s="251" t="n"/>
      <c r="WOB1" s="251" t="n"/>
      <c r="WOC1" s="251" t="n"/>
      <c r="WOD1" s="251" t="n"/>
      <c r="WOE1" s="251" t="n"/>
      <c r="WOF1" s="251" t="n"/>
      <c r="WOG1" s="251" t="n"/>
      <c r="WOH1" s="251" t="n"/>
      <c r="WOI1" s="251" t="n"/>
      <c r="WOJ1" s="251" t="n"/>
      <c r="WOK1" s="251" t="n"/>
      <c r="WOL1" s="251" t="n"/>
      <c r="WOM1" s="251" t="n"/>
      <c r="WON1" s="251" t="n"/>
      <c r="WOO1" s="251" t="n"/>
      <c r="WOP1" s="251" t="n"/>
      <c r="WOQ1" s="251" t="n"/>
      <c r="WOR1" s="251" t="n"/>
      <c r="WOS1" s="251" t="n"/>
      <c r="WOT1" s="251" t="n"/>
      <c r="WOU1" s="251" t="n"/>
      <c r="WOV1" s="251" t="n"/>
      <c r="WOW1" s="251" t="n"/>
      <c r="WOX1" s="251" t="n"/>
      <c r="WOY1" s="251" t="n"/>
      <c r="WOZ1" s="251" t="n"/>
      <c r="WPA1" s="251" t="n"/>
      <c r="WPB1" s="251" t="n"/>
      <c r="WPC1" s="251" t="n"/>
      <c r="WPD1" s="251" t="n"/>
      <c r="WPE1" s="251" t="n"/>
      <c r="WPF1" s="251" t="n"/>
      <c r="WPG1" s="251" t="n"/>
      <c r="WPH1" s="251" t="n"/>
      <c r="WPI1" s="251" t="n"/>
      <c r="WPJ1" s="251" t="n"/>
      <c r="WPK1" s="251" t="n"/>
      <c r="WPL1" s="251" t="n"/>
      <c r="WPM1" s="251" t="n"/>
      <c r="WPN1" s="251" t="n"/>
      <c r="WPO1" s="251" t="n"/>
      <c r="WPP1" s="251" t="n"/>
      <c r="WPQ1" s="251" t="n"/>
      <c r="WPR1" s="251" t="n"/>
      <c r="WPS1" s="251" t="n"/>
      <c r="WPT1" s="251" t="n"/>
      <c r="WPU1" s="251" t="n"/>
      <c r="WPV1" s="251" t="n"/>
      <c r="WPW1" s="251" t="n"/>
      <c r="WPX1" s="251" t="n"/>
      <c r="WPY1" s="251" t="n"/>
      <c r="WPZ1" s="251" t="n"/>
      <c r="WQA1" s="251" t="n"/>
      <c r="WQB1" s="251" t="n"/>
      <c r="WQC1" s="251" t="n"/>
      <c r="WQD1" s="251" t="n"/>
      <c r="WQE1" s="251" t="n"/>
      <c r="WQF1" s="251" t="n"/>
      <c r="WQG1" s="251" t="n"/>
      <c r="WQH1" s="251" t="n"/>
      <c r="WQI1" s="251" t="n"/>
      <c r="WQJ1" s="251" t="n"/>
      <c r="WQK1" s="251" t="n"/>
      <c r="WQL1" s="251" t="n"/>
      <c r="WQM1" s="251" t="n"/>
      <c r="WQN1" s="251" t="n"/>
      <c r="WQO1" s="251" t="n"/>
      <c r="WQP1" s="251" t="n"/>
      <c r="WQQ1" s="251" t="n"/>
      <c r="WQR1" s="251" t="n"/>
      <c r="WQS1" s="251" t="n"/>
      <c r="WQT1" s="251" t="n"/>
      <c r="WQU1" s="251" t="n"/>
      <c r="WQV1" s="251" t="n"/>
      <c r="WQW1" s="251" t="n"/>
      <c r="WQX1" s="251" t="n"/>
      <c r="WQY1" s="251" t="n"/>
      <c r="WQZ1" s="251" t="n"/>
      <c r="WRA1" s="251" t="n"/>
      <c r="WRB1" s="251" t="n"/>
      <c r="WRC1" s="251" t="n"/>
      <c r="WRD1" s="251" t="n"/>
      <c r="WRE1" s="251" t="n"/>
      <c r="WRF1" s="251" t="n"/>
      <c r="WRG1" s="251" t="n"/>
      <c r="WRH1" s="251" t="n"/>
      <c r="WRI1" s="251" t="n"/>
      <c r="WRJ1" s="251" t="n"/>
      <c r="WRK1" s="251" t="n"/>
      <c r="WRL1" s="251" t="n"/>
      <c r="WRM1" s="251" t="n"/>
      <c r="WRN1" s="251" t="n"/>
      <c r="WRO1" s="251" t="n"/>
      <c r="WRP1" s="251" t="n"/>
      <c r="WRQ1" s="251" t="n"/>
      <c r="WRR1" s="251" t="n"/>
      <c r="WRS1" s="251" t="n"/>
      <c r="WRT1" s="251" t="n"/>
      <c r="WRU1" s="251" t="n"/>
      <c r="WRV1" s="251" t="n"/>
      <c r="WRW1" s="251" t="n"/>
      <c r="WRX1" s="251" t="n"/>
      <c r="WRY1" s="251" t="n"/>
      <c r="WRZ1" s="251" t="n"/>
      <c r="WSA1" s="251" t="n"/>
      <c r="WSB1" s="251" t="n"/>
      <c r="WSC1" s="251" t="n"/>
      <c r="WSD1" s="251" t="n"/>
      <c r="WSE1" s="251" t="n"/>
      <c r="WSF1" s="251" t="n"/>
      <c r="WSG1" s="251" t="n"/>
      <c r="WSH1" s="251" t="n"/>
      <c r="WSI1" s="251" t="n"/>
      <c r="WSJ1" s="251" t="n"/>
      <c r="WSK1" s="251" t="n"/>
      <c r="WSL1" s="251" t="n"/>
      <c r="WSM1" s="251" t="n"/>
      <c r="WSN1" s="251" t="n"/>
      <c r="WSO1" s="251" t="n"/>
      <c r="WSP1" s="251" t="n"/>
      <c r="WSQ1" s="251" t="n"/>
      <c r="WSR1" s="251" t="n"/>
      <c r="WSS1" s="251" t="n"/>
      <c r="WST1" s="251" t="n"/>
      <c r="WSU1" s="251" t="n"/>
      <c r="WSV1" s="251" t="n"/>
      <c r="WSW1" s="251" t="n"/>
      <c r="WSX1" s="251" t="n"/>
      <c r="WSY1" s="251" t="n"/>
      <c r="WSZ1" s="251" t="n"/>
      <c r="WTA1" s="251" t="n"/>
      <c r="WTB1" s="251" t="n"/>
      <c r="WTC1" s="251" t="n"/>
      <c r="WTD1" s="251" t="n"/>
      <c r="WTE1" s="251" t="n"/>
      <c r="WTF1" s="251" t="n"/>
      <c r="WTG1" s="251" t="n"/>
      <c r="WTH1" s="251" t="n"/>
      <c r="WTI1" s="251" t="n"/>
      <c r="WTJ1" s="251" t="n"/>
      <c r="WTK1" s="251" t="n"/>
      <c r="WTL1" s="251" t="n"/>
      <c r="WTM1" s="251" t="n"/>
      <c r="WTN1" s="251" t="n"/>
      <c r="WTO1" s="251" t="n"/>
      <c r="WTP1" s="251" t="n"/>
      <c r="WTQ1" s="251" t="n"/>
      <c r="WTR1" s="251" t="n"/>
      <c r="WTS1" s="251" t="n"/>
      <c r="WTT1" s="251" t="n"/>
      <c r="WTU1" s="251" t="n"/>
      <c r="WTV1" s="251" t="n"/>
      <c r="WTW1" s="251" t="n"/>
      <c r="WTX1" s="251" t="n"/>
      <c r="WTY1" s="251" t="n"/>
      <c r="WTZ1" s="251" t="n"/>
      <c r="WUA1" s="251" t="n"/>
      <c r="WUB1" s="251" t="n"/>
      <c r="WUC1" s="251" t="n"/>
      <c r="WUD1" s="251" t="n"/>
      <c r="WUE1" s="251" t="n"/>
      <c r="WUF1" s="251" t="n"/>
      <c r="WUG1" s="251" t="n"/>
      <c r="WUH1" s="251" t="n"/>
      <c r="WUI1" s="251" t="n"/>
      <c r="WUJ1" s="251" t="n"/>
      <c r="WUK1" s="251" t="n"/>
      <c r="WUL1" s="251" t="n"/>
      <c r="WUM1" s="251" t="n"/>
      <c r="WUN1" s="251" t="n"/>
      <c r="WUO1" s="251" t="n"/>
      <c r="WUP1" s="251" t="n"/>
      <c r="WUQ1" s="251" t="n"/>
      <c r="WUR1" s="251" t="n"/>
      <c r="WUS1" s="251" t="n"/>
      <c r="WUT1" s="251" t="n"/>
      <c r="WUU1" s="251" t="n"/>
      <c r="WUV1" s="251" t="n"/>
      <c r="WUW1" s="251" t="n"/>
      <c r="WUX1" s="251" t="n"/>
      <c r="WUY1" s="251" t="n"/>
      <c r="WUZ1" s="251" t="n"/>
      <c r="WVA1" s="251" t="n"/>
      <c r="WVB1" s="251" t="n"/>
      <c r="WVC1" s="251" t="n"/>
      <c r="WVD1" s="251" t="n"/>
      <c r="WVE1" s="251" t="n"/>
      <c r="WVF1" s="251" t="n"/>
      <c r="WVG1" s="251" t="n"/>
      <c r="WVH1" s="251" t="n"/>
      <c r="WVI1" s="251" t="n"/>
      <c r="WVJ1" s="251" t="n"/>
      <c r="WVK1" s="251" t="n"/>
      <c r="WVL1" s="251" t="n"/>
      <c r="WVM1" s="251" t="n"/>
      <c r="WVN1" s="251" t="n"/>
      <c r="WVO1" s="251" t="n"/>
      <c r="WVP1" s="251" t="n"/>
      <c r="WVQ1" s="251" t="n"/>
      <c r="WVR1" s="251" t="n"/>
      <c r="WVS1" s="251" t="n"/>
      <c r="WVT1" s="251" t="n"/>
      <c r="WVU1" s="251" t="n"/>
      <c r="WVV1" s="251" t="n"/>
      <c r="WVW1" s="251" t="n"/>
      <c r="WVX1" s="251" t="n"/>
      <c r="WVY1" s="251" t="n"/>
      <c r="WVZ1" s="251" t="n"/>
      <c r="WWA1" s="251" t="n"/>
      <c r="WWB1" s="251" t="n"/>
      <c r="WWC1" s="251" t="n"/>
      <c r="WWD1" s="251" t="n"/>
      <c r="WWE1" s="251" t="n"/>
      <c r="WWF1" s="251" t="n"/>
      <c r="WWG1" s="251" t="n"/>
      <c r="WWH1" s="251" t="n"/>
      <c r="WWI1" s="251" t="n"/>
      <c r="WWJ1" s="251" t="n"/>
      <c r="WWK1" s="251" t="n"/>
      <c r="WWL1" s="251" t="n"/>
      <c r="WWM1" s="251" t="n"/>
      <c r="WWN1" s="251" t="n"/>
      <c r="WWO1" s="251" t="n"/>
      <c r="WWP1" s="251" t="n"/>
      <c r="WWQ1" s="251" t="n"/>
      <c r="WWR1" s="251" t="n"/>
      <c r="WWS1" s="251" t="n"/>
      <c r="WWT1" s="251" t="n"/>
      <c r="WWU1" s="251" t="n"/>
      <c r="WWV1" s="251" t="n"/>
      <c r="WWW1" s="251" t="n"/>
      <c r="WWX1" s="251" t="n"/>
      <c r="WWY1" s="251" t="n"/>
      <c r="WWZ1" s="251" t="n"/>
      <c r="WXA1" s="251" t="n"/>
      <c r="WXB1" s="251" t="n"/>
      <c r="WXC1" s="251" t="n"/>
      <c r="WXD1" s="251" t="n"/>
      <c r="WXE1" s="251" t="n"/>
      <c r="WXF1" s="251" t="n"/>
      <c r="WXG1" s="251" t="n"/>
      <c r="WXH1" s="251" t="n"/>
      <c r="WXI1" s="251" t="n"/>
      <c r="WXJ1" s="251" t="n"/>
      <c r="WXK1" s="251" t="n"/>
      <c r="WXL1" s="251" t="n"/>
      <c r="WXM1" s="251" t="n"/>
      <c r="WXN1" s="251" t="n"/>
      <c r="WXO1" s="251" t="n"/>
      <c r="WXP1" s="251" t="n"/>
      <c r="WXQ1" s="251" t="n"/>
      <c r="WXR1" s="251" t="n"/>
      <c r="WXS1" s="251" t="n"/>
      <c r="WXT1" s="251" t="n"/>
      <c r="WXU1" s="251" t="n"/>
      <c r="WXV1" s="251" t="n"/>
      <c r="WXW1" s="251" t="n"/>
      <c r="WXX1" s="251" t="n"/>
      <c r="WXY1" s="251" t="n"/>
      <c r="WXZ1" s="251" t="n"/>
      <c r="WYA1" s="251" t="n"/>
      <c r="WYB1" s="251" t="n"/>
      <c r="WYC1" s="251" t="n"/>
      <c r="WYD1" s="251" t="n"/>
      <c r="WYE1" s="251" t="n"/>
      <c r="WYF1" s="251" t="n"/>
      <c r="WYG1" s="251" t="n"/>
      <c r="WYH1" s="251" t="n"/>
      <c r="WYI1" s="251" t="n"/>
      <c r="WYJ1" s="251" t="n"/>
      <c r="WYK1" s="251" t="n"/>
      <c r="WYL1" s="251" t="n"/>
      <c r="WYM1" s="251" t="n"/>
      <c r="WYN1" s="251" t="n"/>
      <c r="WYO1" s="251" t="n"/>
      <c r="WYP1" s="251" t="n"/>
      <c r="WYQ1" s="251" t="n"/>
      <c r="WYR1" s="251" t="n"/>
      <c r="WYS1" s="251" t="n"/>
      <c r="WYT1" s="251" t="n"/>
      <c r="WYU1" s="251" t="n"/>
      <c r="WYV1" s="251" t="n"/>
      <c r="WYW1" s="251" t="n"/>
      <c r="WYX1" s="251" t="n"/>
      <c r="WYY1" s="251" t="n"/>
      <c r="WYZ1" s="251" t="n"/>
      <c r="WZA1" s="251" t="n"/>
      <c r="WZB1" s="251" t="n"/>
      <c r="WZC1" s="251" t="n"/>
      <c r="WZD1" s="251" t="n"/>
      <c r="WZE1" s="251" t="n"/>
      <c r="WZF1" s="251" t="n"/>
      <c r="WZG1" s="251" t="n"/>
      <c r="WZH1" s="251" t="n"/>
      <c r="WZI1" s="251" t="n"/>
      <c r="WZJ1" s="251" t="n"/>
      <c r="WZK1" s="251" t="n"/>
      <c r="WZL1" s="251" t="n"/>
      <c r="WZM1" s="251" t="n"/>
      <c r="WZN1" s="251" t="n"/>
      <c r="WZO1" s="251" t="n"/>
      <c r="WZP1" s="251" t="n"/>
      <c r="WZQ1" s="251" t="n"/>
      <c r="WZR1" s="251" t="n"/>
      <c r="WZS1" s="251" t="n"/>
      <c r="WZT1" s="251" t="n"/>
      <c r="WZU1" s="251" t="n"/>
      <c r="WZV1" s="251" t="n"/>
      <c r="WZW1" s="251" t="n"/>
      <c r="WZX1" s="251" t="n"/>
      <c r="WZY1" s="251" t="n"/>
      <c r="WZZ1" s="251" t="n"/>
      <c r="XAA1" s="251" t="n"/>
      <c r="XAB1" s="251" t="n"/>
      <c r="XAC1" s="251" t="n"/>
      <c r="XAD1" s="251" t="n"/>
      <c r="XAE1" s="251" t="n"/>
      <c r="XAF1" s="251" t="n"/>
      <c r="XAG1" s="251" t="n"/>
      <c r="XAH1" s="251" t="n"/>
      <c r="XAI1" s="251" t="n"/>
      <c r="XAJ1" s="251" t="n"/>
      <c r="XAK1" s="251" t="n"/>
      <c r="XAL1" s="251" t="n"/>
      <c r="XAM1" s="251" t="n"/>
      <c r="XAN1" s="251" t="n"/>
      <c r="XAO1" s="251" t="n"/>
      <c r="XAP1" s="251" t="n"/>
      <c r="XAQ1" s="251" t="n"/>
      <c r="XAR1" s="251" t="n"/>
      <c r="XAS1" s="251" t="n"/>
      <c r="XAT1" s="251" t="n"/>
      <c r="XAU1" s="251" t="n"/>
      <c r="XAV1" s="251" t="n"/>
      <c r="XAW1" s="251" t="n"/>
      <c r="XAX1" s="251" t="n"/>
      <c r="XAY1" s="251" t="n"/>
      <c r="XAZ1" s="251" t="n"/>
      <c r="XBA1" s="251" t="n"/>
      <c r="XBB1" s="251" t="n"/>
      <c r="XBC1" s="251" t="n"/>
      <c r="XBD1" s="251" t="n"/>
      <c r="XBE1" s="251" t="n"/>
      <c r="XBF1" s="251" t="n"/>
      <c r="XBG1" s="251" t="n"/>
      <c r="XBH1" s="251" t="n"/>
      <c r="XBI1" s="251" t="n"/>
      <c r="XBJ1" s="251" t="n"/>
      <c r="XBK1" s="251" t="n"/>
      <c r="XBL1" s="251" t="n"/>
      <c r="XBM1" s="251" t="n"/>
      <c r="XBN1" s="251" t="n"/>
      <c r="XBO1" s="251" t="n"/>
      <c r="XBP1" s="251" t="n"/>
      <c r="XBQ1" s="251" t="n"/>
      <c r="XBR1" s="251" t="n"/>
      <c r="XBS1" s="251" t="n"/>
      <c r="XBT1" s="251" t="n"/>
      <c r="XBU1" s="251" t="n"/>
      <c r="XBV1" s="251" t="n"/>
      <c r="XBW1" s="251" t="n"/>
      <c r="XBX1" s="251" t="n"/>
      <c r="XBY1" s="251" t="n"/>
      <c r="XBZ1" s="251" t="n"/>
      <c r="XCA1" s="251" t="n"/>
      <c r="XCB1" s="251" t="n"/>
      <c r="XCC1" s="251" t="n"/>
      <c r="XCD1" s="251" t="n"/>
      <c r="XCE1" s="251" t="n"/>
      <c r="XCF1" s="251" t="n"/>
      <c r="XCG1" s="251" t="n"/>
      <c r="XCH1" s="251" t="n"/>
      <c r="XCI1" s="251" t="n"/>
      <c r="XCJ1" s="251" t="n"/>
      <c r="XCK1" s="251" t="n"/>
      <c r="XCL1" s="251" t="n"/>
      <c r="XCM1" s="251" t="n"/>
      <c r="XCN1" s="251" t="n"/>
      <c r="XCO1" s="251" t="n"/>
      <c r="XCP1" s="251" t="n"/>
      <c r="XCQ1" s="251" t="n"/>
      <c r="XCR1" s="251" t="n"/>
      <c r="XCS1" s="251" t="n"/>
      <c r="XCT1" s="251" t="n"/>
      <c r="XCU1" s="251" t="n"/>
      <c r="XCV1" s="251" t="n"/>
      <c r="XCW1" s="251" t="n"/>
      <c r="XCX1" s="251" t="n"/>
      <c r="XCY1" s="251" t="n"/>
      <c r="XCZ1" s="251" t="n"/>
      <c r="XDA1" s="251" t="n"/>
      <c r="XDB1" s="251" t="n"/>
      <c r="XDC1" s="251" t="n"/>
      <c r="XDD1" s="251" t="n"/>
      <c r="XDE1" s="251" t="n"/>
      <c r="XDF1" s="251" t="n"/>
      <c r="XDG1" s="251" t="n"/>
      <c r="XDH1" s="251" t="n"/>
      <c r="XDI1" s="251" t="n"/>
      <c r="XDJ1" s="251" t="n"/>
      <c r="XDK1" s="251" t="n"/>
      <c r="XDL1" s="251" t="n"/>
      <c r="XDM1" s="251" t="n"/>
      <c r="XDN1" s="251" t="n"/>
      <c r="XDO1" s="251" t="n"/>
      <c r="XDP1" s="251" t="n"/>
      <c r="XDQ1" s="251" t="n"/>
      <c r="XDR1" s="251" t="n"/>
      <c r="XDS1" s="251" t="n"/>
      <c r="XDT1" s="13" t="n"/>
      <c r="XDU1" s="251" t="n"/>
      <c r="XDV1" s="251" t="n"/>
      <c r="XDW1" s="251" t="n"/>
      <c r="XDX1" s="251" t="n"/>
      <c r="XDY1" s="251" t="n"/>
      <c r="XDZ1" s="251" t="n"/>
      <c r="XEA1" s="251" t="n"/>
      <c r="XEB1" s="251" t="n"/>
      <c r="XEC1" s="251" t="n"/>
      <c r="XED1" s="251" t="n"/>
      <c r="XEE1" s="251" t="n"/>
      <c r="XEF1" s="251" t="n"/>
      <c r="XEG1" s="251" t="n"/>
    </row>
    <row r="2" customFormat="1" s="185">
      <c r="A2" s="200" t="inlineStr">
        <is>
          <t>序号</t>
        </is>
      </c>
      <c r="B2" s="203" t="inlineStr">
        <is>
          <t>分类代码</t>
        </is>
      </c>
      <c r="C2" s="202" t="inlineStr">
        <is>
          <t>器材名称</t>
        </is>
      </c>
      <c r="D2" s="203" t="inlineStr">
        <is>
          <t>规格、品名、教学性能要求</t>
        </is>
      </c>
      <c r="E2" s="203" t="inlineStr">
        <is>
          <t>数量</t>
        </is>
      </c>
      <c r="F2" s="203" t="inlineStr">
        <is>
          <t>单位</t>
        </is>
      </c>
      <c r="G2" s="203" t="inlineStr">
        <is>
          <t>产品图片</t>
        </is>
      </c>
      <c r="H2" s="154" t="inlineStr">
        <is>
          <t>备注</t>
        </is>
      </c>
      <c r="I2" s="23" t="inlineStr">
        <is>
          <t>中标</t>
        </is>
      </c>
      <c r="J2" s="342" t="n"/>
      <c r="K2" s="342" t="n"/>
      <c r="L2" s="343" t="n"/>
      <c r="M2" s="344" t="inlineStr">
        <is>
          <t>数量</t>
        </is>
      </c>
      <c r="N2" s="344" t="inlineStr">
        <is>
          <t>确认单价</t>
        </is>
      </c>
      <c r="O2" s="344" t="inlineStr">
        <is>
          <t>总价</t>
        </is>
      </c>
      <c r="P2" s="344" t="inlineStr">
        <is>
          <t>单位</t>
        </is>
      </c>
      <c r="Q2" s="344" t="inlineStr">
        <is>
          <t>品牌</t>
        </is>
      </c>
      <c r="R2" s="344" t="inlineStr">
        <is>
          <t>制造商</t>
        </is>
      </c>
      <c r="S2" s="344" t="inlineStr">
        <is>
          <t>型号</t>
        </is>
      </c>
      <c r="T2" s="344" t="inlineStr">
        <is>
          <t>参数</t>
        </is>
      </c>
      <c r="U2" s="344" t="inlineStr">
        <is>
          <t>报价2单价</t>
        </is>
      </c>
      <c r="V2" s="344" t="inlineStr">
        <is>
          <t>报价2制造商</t>
        </is>
      </c>
      <c r="W2" s="344" t="inlineStr">
        <is>
          <t>报价3单价</t>
        </is>
      </c>
      <c r="X2" s="344" t="inlineStr">
        <is>
          <t>报价3制造商</t>
        </is>
      </c>
      <c r="Y2" s="344" t="inlineStr">
        <is>
          <t>匹配状态</t>
        </is>
      </c>
      <c r="Z2" s="344" t="inlineStr">
        <is>
          <t>匹配分</t>
        </is>
      </c>
      <c r="AA2" s="344" t="inlineStr">
        <is>
          <t>风险提示</t>
        </is>
      </c>
      <c r="AB2" s="344" t="inlineStr">
        <is>
          <t>历史来源</t>
        </is>
      </c>
    </row>
    <row r="3" customFormat="1" s="190">
      <c r="A3" s="323" t="n">
        <v>1</v>
      </c>
      <c r="B3" s="26" t="n">
        <v>30802001301</v>
      </c>
      <c r="C3" s="104" t="inlineStr">
        <is>
          <t>灭火毯</t>
        </is>
      </c>
      <c r="D3" s="141" t="inlineStr">
        <is>
          <t>玻璃纤维材质，应有涂覆层，1200 mm×1800 mm</t>
        </is>
      </c>
      <c r="E3" s="31" t="n">
        <v>1</v>
      </c>
      <c r="F3" s="26" t="inlineStr">
        <is>
          <t>件</t>
        </is>
      </c>
      <c r="G3" s="31">
        <f>_xlfn.DISPIMG("ID_AE4F232587C24537A34D52137B82D4EF",1)</f>
        <v/>
      </c>
      <c r="H3" s="147" t="n"/>
      <c r="I3" s="26" t="n">
        <v>30802001301</v>
      </c>
      <c r="J3" s="33" t="inlineStr">
        <is>
          <t>玻璃纤维材质，应有涂覆层，1200 mm×1800 mm</t>
        </is>
      </c>
      <c r="K3" s="34" t="inlineStr">
        <is>
          <t>坦安</t>
        </is>
      </c>
      <c r="L3" s="34" t="inlineStr">
        <is>
          <t>济南坦安新材料科技有限公司</t>
        </is>
      </c>
      <c r="M3" s="345" t="n">
        <v>1</v>
      </c>
      <c r="N3" s="345" t="n">
        <v>48</v>
      </c>
      <c r="O3" s="345" t="n">
        <v>48</v>
      </c>
      <c r="P3" s="345" t="inlineStr">
        <is>
          <t>件</t>
        </is>
      </c>
      <c r="Q3" s="345" t="inlineStr"/>
      <c r="R3" s="345" t="inlineStr"/>
      <c r="S3" s="345" t="inlineStr"/>
      <c r="T3" s="345" t="inlineStr">
        <is>
          <t>玻璃纤维材质， 1200 mm×1800 mm</t>
        </is>
      </c>
      <c r="U3" s="345" t="inlineStr"/>
      <c r="V3" s="345" t="inlineStr"/>
      <c r="W3" s="345" t="inlineStr"/>
      <c r="X3" s="345" t="inlineStr"/>
      <c r="Y3" s="345" t="inlineStr">
        <is>
          <t>confirmed</t>
        </is>
      </c>
      <c r="Z3" s="345" t="n">
        <v>100</v>
      </c>
      <c r="AA3" s="345" t="inlineStr"/>
      <c r="AB3" s="345" t="inlineStr">
        <is>
          <t>赛特尔25年.xls｜初中新课标生物｜第6行</t>
        </is>
      </c>
    </row>
    <row r="4" customFormat="1" s="5">
      <c r="A4" s="323" t="n">
        <v>2</v>
      </c>
      <c r="B4" s="36" t="n">
        <v>30802000801</v>
      </c>
      <c r="C4" s="30" t="inlineStr">
        <is>
          <t>简易急救箱</t>
        </is>
      </c>
      <c r="D4" s="141" t="inlineStr">
        <is>
          <t>箱内至少包括：医用酒精、饱和碳酸氢钠溶液、饱和硼酸溶液、创可贴、灭菌结晶磺胺、碘伏、胶布、医用纱布、药棉、手术剪、镊子、止血带（长度≥30 cm）、烫伤膏、甘油等。箱体采用中号铝合金材质</t>
        </is>
      </c>
      <c r="E4" s="31" t="n">
        <v>1</v>
      </c>
      <c r="F4" s="26" t="inlineStr">
        <is>
          <t>个</t>
        </is>
      </c>
      <c r="G4" s="31">
        <f>_xlfn.DISPIMG("ID_71940C4C265A493CB273581E7F440631",1)</f>
        <v/>
      </c>
      <c r="H4" s="32" t="n"/>
      <c r="I4" s="36" t="n">
        <v>30802000801</v>
      </c>
      <c r="J4" s="33" t="inlineStr">
        <is>
          <t>箱内包括：烧伤药膏1瓶，医用酒精 50 mL，碘伏 50 mL，创可贴 10 条，胶布 1 卷，绷带5 卷，卫生棉签 1 包，剪刀 1 把，镊子 1 把，止血带 1 根（长度≥30 cm）等</t>
        </is>
      </c>
      <c r="K4" s="37" t="inlineStr">
        <is>
          <t>和美</t>
        </is>
      </c>
      <c r="L4" s="346" t="inlineStr">
        <is>
          <t>江苏和美电子科技有限公司</t>
        </is>
      </c>
      <c r="M4" s="345" t="n">
        <v>1</v>
      </c>
      <c r="N4" s="345" t="n">
        <v>80</v>
      </c>
      <c r="O4" s="345" t="n">
        <v>80</v>
      </c>
      <c r="P4" s="345" t="inlineStr">
        <is>
          <t>个</t>
        </is>
      </c>
      <c r="Q4" s="345" t="inlineStr"/>
      <c r="R4" s="345" t="inlineStr"/>
      <c r="S4" s="345" t="inlineStr"/>
      <c r="T4" s="345" t="inlineStr"/>
      <c r="U4" s="345" t="inlineStr"/>
      <c r="V4" s="345" t="inlineStr"/>
      <c r="W4" s="345" t="inlineStr"/>
      <c r="X4" s="345" t="inlineStr"/>
      <c r="Y4" s="345" t="inlineStr">
        <is>
          <t>confirmed</t>
        </is>
      </c>
      <c r="Z4" s="345" t="n">
        <v>0</v>
      </c>
      <c r="AA4" s="345" t="inlineStr">
        <is>
          <t>没有找到可靠候选</t>
        </is>
      </c>
      <c r="AB4" s="345" t="inlineStr">
        <is>
          <t>赛特尔25年.xls｜初中化学｜第278行</t>
        </is>
      </c>
    </row>
    <row r="5" customFormat="1" s="190">
      <c r="A5" s="323" t="n">
        <v>3</v>
      </c>
      <c r="B5" s="26" t="n">
        <v>30802000101</v>
      </c>
      <c r="C5" s="104" t="inlineStr">
        <is>
          <t>实验服</t>
        </is>
      </c>
      <c r="D5" s="141" t="inlineStr">
        <is>
          <t>分为大、中、小号，耐酸碱</t>
        </is>
      </c>
      <c r="E5" s="31" t="n">
        <v>49</v>
      </c>
      <c r="F5" s="26" t="inlineStr">
        <is>
          <t>件</t>
        </is>
      </c>
      <c r="G5" s="31">
        <f>_xlfn.DISPIMG("ID_4FA178131DA641D8B1943893E6C81AAC",1)</f>
        <v/>
      </c>
      <c r="H5" s="147" t="n"/>
      <c r="I5" s="26" t="n">
        <v>30802000101</v>
      </c>
      <c r="J5" s="33" t="inlineStr">
        <is>
          <t>分为大、中、小号，耐酸碱</t>
        </is>
      </c>
      <c r="K5" s="39" t="inlineStr">
        <is>
          <t>乐百仕</t>
        </is>
      </c>
      <c r="L5" s="39" t="inlineStr">
        <is>
          <t>江苏乐百仕教育科技有限公司</t>
        </is>
      </c>
      <c r="M5" s="345" t="n">
        <v>49</v>
      </c>
      <c r="N5" s="345" t="n">
        <v>29</v>
      </c>
      <c r="O5" s="345" t="n">
        <v>1421</v>
      </c>
      <c r="P5" s="345" t="inlineStr">
        <is>
          <t>件</t>
        </is>
      </c>
      <c r="Q5" s="345" t="inlineStr"/>
      <c r="R5" s="345" t="inlineStr"/>
      <c r="S5" s="345" t="inlineStr"/>
      <c r="T5" s="345" t="inlineStr">
        <is>
          <t>可分为大、 中、 小号</t>
        </is>
      </c>
      <c r="U5" s="345" t="inlineStr"/>
      <c r="V5" s="345" t="inlineStr"/>
      <c r="W5" s="345" t="inlineStr"/>
      <c r="X5" s="345" t="inlineStr"/>
      <c r="Y5" s="345" t="inlineStr">
        <is>
          <t>confirmed</t>
        </is>
      </c>
      <c r="Z5" s="345" t="n">
        <v>100</v>
      </c>
      <c r="AA5" s="345" t="inlineStr"/>
      <c r="AB5" s="345" t="inlineStr">
        <is>
          <t>赛特尔25年.xls｜初中新课标化学｜第9行</t>
        </is>
      </c>
    </row>
    <row r="6" customFormat="1" s="190">
      <c r="A6" s="323" t="n">
        <v>4</v>
      </c>
      <c r="B6" s="26" t="n">
        <v>30802000204</v>
      </c>
      <c r="C6" s="104" t="inlineStr">
        <is>
          <t>护目镜</t>
        </is>
      </c>
      <c r="D6" s="141" t="inlineStr">
        <is>
          <t>封闭型，耐酸碱，抗冲击，耐磨，便于清洗</t>
        </is>
      </c>
      <c r="E6" s="31" t="n">
        <v>49</v>
      </c>
      <c r="F6" s="26" t="inlineStr">
        <is>
          <t>个</t>
        </is>
      </c>
      <c r="G6" s="31">
        <f>_xlfn.DISPIMG("ID_03A38C459FCA42CE9A1AAFF41E015E41",1)</f>
        <v/>
      </c>
      <c r="H6" s="147" t="n"/>
      <c r="I6" s="26" t="n">
        <v>30802000204</v>
      </c>
      <c r="J6" s="33" t="inlineStr">
        <is>
          <t>封闭型，耐酸碱，抗冲击，耐磨，便于清洗</t>
        </is>
      </c>
      <c r="K6" s="39" t="inlineStr">
        <is>
          <t>乐百仕</t>
        </is>
      </c>
      <c r="L6" s="39" t="inlineStr">
        <is>
          <t>江苏乐百仕教育科技有限公司</t>
        </is>
      </c>
      <c r="M6" s="345" t="n">
        <v>49</v>
      </c>
      <c r="N6" s="345" t="n">
        <v>6</v>
      </c>
      <c r="O6" s="345" t="n">
        <v>294</v>
      </c>
      <c r="P6" s="345" t="inlineStr">
        <is>
          <t>个</t>
        </is>
      </c>
      <c r="Q6" s="345" t="inlineStr"/>
      <c r="R6" s="345" t="inlineStr"/>
      <c r="S6" s="345" t="inlineStr"/>
      <c r="T6" s="345" t="inlineStr"/>
      <c r="U6" s="345" t="n">
        <v>6</v>
      </c>
      <c r="V6" s="345" t="inlineStr"/>
      <c r="W6" s="345" t="n">
        <v>6.5</v>
      </c>
      <c r="X6" s="345" t="inlineStr"/>
      <c r="Y6" s="345" t="inlineStr">
        <is>
          <t>confirmed</t>
        </is>
      </c>
      <c r="Z6" s="345" t="n">
        <v>100</v>
      </c>
      <c r="AA6" s="345" t="inlineStr"/>
      <c r="AB6" s="345" t="inlineStr">
        <is>
          <t>高中理化生报价.xlsx｜凯迪｜第1342行</t>
        </is>
      </c>
    </row>
    <row r="7" customFormat="1" s="190">
      <c r="A7" s="323" t="n">
        <v>5</v>
      </c>
      <c r="B7" s="26" t="n">
        <v>30802000301</v>
      </c>
      <c r="C7" s="104" t="inlineStr">
        <is>
          <t>防护面罩</t>
        </is>
      </c>
      <c r="D7" s="141" t="inlineStr">
        <is>
          <t>防冲击面屏，聚碳酸酯材质，光洁，透明度高，耐高速粒子冲击，通过弹簧箍与安全帽相连，面屏可更换，起到头部与面部双重保护作用</t>
        </is>
      </c>
      <c r="E7" s="31" t="n">
        <v>1</v>
      </c>
      <c r="F7" s="26" t="inlineStr">
        <is>
          <t>个</t>
        </is>
      </c>
      <c r="G7" s="31">
        <f>_xlfn.DISPIMG("ID_77C4EBE055A14C32B75B48D9DEC449CF",1)</f>
        <v/>
      </c>
      <c r="H7" s="147" t="n"/>
      <c r="I7" s="26" t="n">
        <v>30802000301</v>
      </c>
      <c r="J7" s="33" t="inlineStr">
        <is>
          <t>防冲击面屏，聚碳酸酯材质，光洁，透明度高，耐高速粒子冲击，通过弹簧箍与安全帽相连，面屏可更换，起到头部与面部双重保护作用</t>
        </is>
      </c>
      <c r="K7" s="39" t="inlineStr">
        <is>
          <t>乐百仕</t>
        </is>
      </c>
      <c r="L7" s="39" t="inlineStr">
        <is>
          <t>江苏乐百仕教育科技有限公司</t>
        </is>
      </c>
      <c r="M7" s="345" t="n">
        <v>1</v>
      </c>
      <c r="N7" s="345" t="n">
        <v>24</v>
      </c>
      <c r="O7" s="345" t="n">
        <v>24</v>
      </c>
      <c r="P7" s="345" t="inlineStr">
        <is>
          <t>个</t>
        </is>
      </c>
      <c r="Q7" s="345" t="inlineStr"/>
      <c r="R7" s="345" t="inlineStr"/>
      <c r="S7" s="345" t="inlineStr"/>
      <c r="T7" s="345" t="inlineStr"/>
      <c r="U7" s="345" t="n">
        <v>24</v>
      </c>
      <c r="V7" s="345" t="inlineStr"/>
      <c r="W7" s="345" t="n">
        <v>26.4</v>
      </c>
      <c r="X7" s="345" t="inlineStr"/>
      <c r="Y7" s="345" t="inlineStr">
        <is>
          <t>confirmed</t>
        </is>
      </c>
      <c r="Z7" s="345" t="n">
        <v>100</v>
      </c>
      <c r="AA7" s="345" t="inlineStr"/>
      <c r="AB7" s="345" t="inlineStr">
        <is>
          <t>赛特尔25年.xls｜初中新课标生物｜第10行</t>
        </is>
      </c>
    </row>
    <row r="8" customFormat="1" s="5">
      <c r="A8" s="323" t="n">
        <v>6</v>
      </c>
      <c r="B8" s="36" t="n">
        <v>30802000401</v>
      </c>
      <c r="C8" s="30" t="inlineStr">
        <is>
          <t>防毒口罩</t>
        </is>
      </c>
      <c r="D8" s="141" t="inlineStr">
        <is>
          <t>E 型（标色：黄），防止吸入酸性气体或蒸气</t>
        </is>
      </c>
      <c r="E8" s="31" t="n">
        <v>1</v>
      </c>
      <c r="F8" s="26" t="inlineStr">
        <is>
          <t>个</t>
        </is>
      </c>
      <c r="G8" s="31">
        <f>_xlfn.DISPIMG("ID_F991FC7658194CBA9220902066032838",1)</f>
        <v/>
      </c>
      <c r="H8" s="32" t="n"/>
      <c r="I8" s="36" t="n">
        <v>30802000401</v>
      </c>
      <c r="J8" s="33" t="inlineStr">
        <is>
          <t>E 型（标色：黄），防止吸入酸性气体或蒸气</t>
        </is>
      </c>
      <c r="K8" s="39" t="inlineStr">
        <is>
          <t>乐百仕</t>
        </is>
      </c>
      <c r="L8" s="39" t="inlineStr">
        <is>
          <t>江苏乐百仕教育科技有限公司</t>
        </is>
      </c>
      <c r="M8" s="345" t="n">
        <v>1</v>
      </c>
      <c r="N8" s="345" t="n">
        <v>110</v>
      </c>
      <c r="O8" s="345" t="n">
        <v>110</v>
      </c>
      <c r="P8" s="345" t="inlineStr">
        <is>
          <t>个</t>
        </is>
      </c>
      <c r="Q8" s="345" t="inlineStr"/>
      <c r="R8" s="345" t="inlineStr"/>
      <c r="S8" s="345" t="inlineStr"/>
      <c r="T8" s="345" t="inlineStr"/>
      <c r="U8" s="345" t="inlineStr"/>
      <c r="V8" s="345" t="inlineStr"/>
      <c r="W8" s="345" t="inlineStr"/>
      <c r="X8" s="345" t="inlineStr"/>
      <c r="Y8" s="345" t="inlineStr">
        <is>
          <t>confirmed</t>
        </is>
      </c>
      <c r="Z8" s="345" t="n">
        <v>90</v>
      </c>
      <c r="AA8" s="345" t="inlineStr"/>
      <c r="AB8" s="345" t="inlineStr">
        <is>
          <t>赛特尔25年.xls｜初中新课标化学｜第12行</t>
        </is>
      </c>
    </row>
    <row r="9" customFormat="1" s="190">
      <c r="A9" s="323" t="n">
        <v>7</v>
      </c>
      <c r="B9" s="26" t="n">
        <v>30802000406</v>
      </c>
      <c r="C9" s="30" t="n"/>
      <c r="D9" s="141" t="inlineStr">
        <is>
          <t>CO型（标色：白），防止吸入一氧化碳</t>
        </is>
      </c>
      <c r="E9" s="31" t="n">
        <v>1</v>
      </c>
      <c r="F9" s="26" t="inlineStr">
        <is>
          <t>个</t>
        </is>
      </c>
      <c r="G9" s="147">
        <f>_xlfn.DISPIMG("ID_56C22C2C6BB14EA59949A21FFFAC1F20",1)</f>
        <v/>
      </c>
      <c r="H9" s="147" t="n"/>
      <c r="I9" s="26" t="n">
        <v>30802000406</v>
      </c>
      <c r="J9" s="33" t="inlineStr">
        <is>
          <t>CO型（标色：白），防止吸入一氧化碳</t>
        </is>
      </c>
      <c r="K9" s="39" t="inlineStr">
        <is>
          <t>乐百仕</t>
        </is>
      </c>
      <c r="L9" s="39" t="inlineStr">
        <is>
          <t>江苏乐百仕教育科技有限公司</t>
        </is>
      </c>
      <c r="M9" s="345" t="n">
        <v>1</v>
      </c>
      <c r="N9" s="345" t="n">
        <v>17.5</v>
      </c>
      <c r="O9" s="345" t="n">
        <v>17.5</v>
      </c>
      <c r="P9" s="345" t="inlineStr">
        <is>
          <t>个</t>
        </is>
      </c>
      <c r="Q9" s="345" t="inlineStr"/>
      <c r="R9" s="345" t="inlineStr"/>
      <c r="S9" s="345" t="inlineStr"/>
      <c r="T9" s="345" t="inlineStr"/>
      <c r="U9" s="345" t="inlineStr"/>
      <c r="V9" s="345" t="inlineStr"/>
      <c r="W9" s="345" t="inlineStr"/>
      <c r="X9" s="345" t="inlineStr"/>
      <c r="Y9" s="345" t="inlineStr">
        <is>
          <t>confirmed</t>
        </is>
      </c>
      <c r="Z9" s="345" t="n">
        <v>0</v>
      </c>
      <c r="AA9" s="345" t="inlineStr">
        <is>
          <t>匹配到商品档案但无历史价格记录</t>
        </is>
      </c>
      <c r="AB9" s="345" t="inlineStr">
        <is>
          <t>赛特尔25年.xls｜初中化学｜第275行</t>
        </is>
      </c>
    </row>
    <row r="10" customFormat="1" s="5">
      <c r="A10" s="323" t="n">
        <v>8</v>
      </c>
      <c r="B10" s="36" t="n">
        <v>30802000601</v>
      </c>
      <c r="C10" s="30" t="inlineStr">
        <is>
          <t>耐酸手套</t>
        </is>
      </c>
      <c r="D10" s="141" t="inlineStr">
        <is>
          <t>机械性能不低于 3 级，无破损，手套应有长度≥15cm 的套袖</t>
        </is>
      </c>
      <c r="E10" s="31" t="n">
        <v>1</v>
      </c>
      <c r="F10" s="26" t="inlineStr">
        <is>
          <t>副</t>
        </is>
      </c>
      <c r="G10" s="31">
        <f>_xlfn.DISPIMG("ID_D12AA657AB3B4E2DAF1767D595C5D828",1)</f>
        <v/>
      </c>
      <c r="H10" s="32" t="n"/>
      <c r="I10" s="36" t="n">
        <v>30802000601</v>
      </c>
      <c r="J10" s="33" t="inlineStr">
        <is>
          <t>机械性能不低于 3 级，无破损，手套应有长度≥15cm 的套袖</t>
        </is>
      </c>
      <c r="K10" s="39" t="inlineStr">
        <is>
          <t>乐百仕</t>
        </is>
      </c>
      <c r="L10" s="39" t="inlineStr">
        <is>
          <t>江苏乐百仕教育科技有限公司</t>
        </is>
      </c>
      <c r="M10" s="345" t="n">
        <v>1</v>
      </c>
      <c r="N10" s="345" t="n">
        <v>8</v>
      </c>
      <c r="O10" s="345" t="n">
        <v>8</v>
      </c>
      <c r="P10" s="345" t="inlineStr">
        <is>
          <t>副</t>
        </is>
      </c>
      <c r="Q10" s="345" t="inlineStr"/>
      <c r="R10" s="345" t="inlineStr"/>
      <c r="S10" s="345" t="inlineStr"/>
      <c r="T10" s="345" t="inlineStr"/>
      <c r="U10" s="345" t="inlineStr"/>
      <c r="V10" s="345" t="inlineStr"/>
      <c r="W10" s="345" t="inlineStr"/>
      <c r="X10" s="345" t="inlineStr"/>
      <c r="Y10" s="345" t="inlineStr">
        <is>
          <t>confirmed</t>
        </is>
      </c>
      <c r="Z10" s="345" t="n">
        <v>0</v>
      </c>
      <c r="AA10" s="345" t="inlineStr">
        <is>
          <t>没有找到可靠候选</t>
        </is>
      </c>
      <c r="AB10" s="345" t="inlineStr">
        <is>
          <t>赛特尔25年.xls｜初中新课标化学｜第14行</t>
        </is>
      </c>
    </row>
    <row r="11" customFormat="1" s="5">
      <c r="A11" s="323" t="n">
        <v>9</v>
      </c>
      <c r="B11" s="36" t="n">
        <v>30802000503</v>
      </c>
      <c r="C11" s="30" t="inlineStr">
        <is>
          <t>一次性乳胶手套</t>
        </is>
      </c>
      <c r="D11" s="141" t="inlineStr">
        <is>
          <t>一般性防护，不漏水</t>
        </is>
      </c>
      <c r="E11" s="31" t="n">
        <v>1</v>
      </c>
      <c r="F11" s="26" t="inlineStr">
        <is>
          <t>盒</t>
        </is>
      </c>
      <c r="G11" s="31">
        <f>_xlfn.DISPIMG("ID_B75DDA1F7B434E3181FB01778E82DB3E",1)</f>
        <v/>
      </c>
      <c r="H11" s="32" t="n"/>
      <c r="I11" s="36" t="n">
        <v>30802000503</v>
      </c>
      <c r="J11" s="33" t="inlineStr">
        <is>
          <t>一般性防护，不漏水</t>
        </is>
      </c>
      <c r="K11" s="39" t="inlineStr">
        <is>
          <t>乐百仕</t>
        </is>
      </c>
      <c r="L11" s="39" t="inlineStr">
        <is>
          <t>江苏乐百仕教育科技有限公司</t>
        </is>
      </c>
      <c r="M11" s="345" t="n">
        <v>1</v>
      </c>
      <c r="N11" s="345" t="n">
        <v>55</v>
      </c>
      <c r="O11" s="345" t="n">
        <v>55</v>
      </c>
      <c r="P11" s="345" t="inlineStr">
        <is>
          <t>盒</t>
        </is>
      </c>
      <c r="Q11" s="345" t="inlineStr"/>
      <c r="R11" s="345" t="inlineStr"/>
      <c r="S11" s="345" t="inlineStr"/>
      <c r="T11" s="345" t="inlineStr">
        <is>
          <t>耐酸碱</t>
        </is>
      </c>
      <c r="U11" s="345" t="inlineStr"/>
      <c r="V11" s="345" t="inlineStr"/>
      <c r="W11" s="345" t="inlineStr"/>
      <c r="X11" s="345" t="inlineStr"/>
      <c r="Y11" s="345" t="inlineStr">
        <is>
          <t>confirmed</t>
        </is>
      </c>
      <c r="Z11" s="345" t="n">
        <v>100</v>
      </c>
      <c r="AA11" s="345" t="inlineStr"/>
      <c r="AB11" s="345" t="inlineStr">
        <is>
          <t>赛特尔25年.xls｜初中新课标化学｜第15行</t>
        </is>
      </c>
    </row>
    <row r="12" customFormat="1" s="187">
      <c r="A12" s="323" t="n">
        <v>11</v>
      </c>
      <c r="B12" s="106" t="n">
        <v>30308001201</v>
      </c>
      <c r="C12" s="204" t="inlineStr">
        <is>
          <t>化学实验废水处理装置</t>
        </is>
      </c>
      <c r="D12" s="126" t="inlineStr">
        <is>
          <t>主体透明，能进行 pH 测试、酸碱废液中和、重金属凝聚和过滤，兼作教学使用，能处理中学常见无机化学废液，同时可以通过仪器内的活性炭吸附少量混入的有机物。应配备适量的凝聚剂和助凝剂，至少应配备更换用活性炭包 1 个。处理量≥6 L/次</t>
        </is>
      </c>
      <c r="E12" s="31" t="n">
        <v>1</v>
      </c>
      <c r="F12" s="127" t="inlineStr">
        <is>
          <t>套</t>
        </is>
      </c>
      <c r="G12" s="127">
        <f>_xlfn.DISPIMG("ID_A6F652CF36454C90A837EFEAEAAE2C1B",1)</f>
        <v/>
      </c>
      <c r="H12" s="32" t="n"/>
      <c r="I12" s="36" t="n">
        <v>30308001201</v>
      </c>
      <c r="J12" s="33" t="inlineStr">
        <is>
          <t>主体透明，能进行 pH 测试、酸碱废液中和、重金属凝聚和过滤，兼作教学使用，能处理中学常见无机化学废液，同时可以通过仪器内的活性炭吸附少量混入的有机物。应配备适量的凝聚剂和助凝剂，至少应配备更换用活性炭包 1 个。处理量≥6 L/次</t>
        </is>
      </c>
      <c r="K12" s="39" t="inlineStr">
        <is>
          <t>乐百仕</t>
        </is>
      </c>
      <c r="L12" s="39" t="inlineStr">
        <is>
          <t>江苏乐百仕教育科技有限公司</t>
        </is>
      </c>
      <c r="M12" s="345" t="n">
        <v>1</v>
      </c>
      <c r="N12" s="345" t="n">
        <v>80</v>
      </c>
      <c r="O12" s="345" t="n">
        <v>80</v>
      </c>
      <c r="P12" s="345" t="inlineStr">
        <is>
          <t>套</t>
        </is>
      </c>
      <c r="Q12" s="345" t="inlineStr"/>
      <c r="R12" s="345" t="inlineStr"/>
      <c r="S12" s="345" t="inlineStr"/>
      <c r="T12" s="345" t="inlineStr"/>
      <c r="U12" s="345" t="n">
        <v>450</v>
      </c>
      <c r="V12" s="345" t="inlineStr"/>
      <c r="W12" s="345" t="n">
        <v>550</v>
      </c>
      <c r="X12" s="345" t="inlineStr"/>
      <c r="Y12" s="345" t="inlineStr">
        <is>
          <t>confirmed</t>
        </is>
      </c>
      <c r="Z12" s="345" t="n">
        <v>60</v>
      </c>
      <c r="AA12" s="345" t="inlineStr">
        <is>
          <t>价格分歧&gt;30%：历史报价分歧较大，需人工核对；同分多价：最高分候选存在不同历史价格</t>
        </is>
      </c>
      <c r="AB12" s="345" t="inlineStr">
        <is>
          <t>赛特尔25年.xls｜初中化学｜第54行</t>
        </is>
      </c>
    </row>
    <row r="13" customFormat="1" s="187">
      <c r="A13" s="323" t="n">
        <v>12</v>
      </c>
      <c r="B13" s="106" t="n">
        <v>30802003103</v>
      </c>
      <c r="C13" s="204" t="inlineStr">
        <is>
          <t>废液分类回收桶</t>
        </is>
      </c>
      <c r="D13" s="126" t="inlineStr">
        <is>
          <t>塑料制，25 L，带底座或另配防漏托盘</t>
        </is>
      </c>
      <c r="E13" s="31" t="n">
        <v>2</v>
      </c>
      <c r="F13" s="127" t="inlineStr">
        <is>
          <t>个</t>
        </is>
      </c>
      <c r="G13" s="127">
        <f>_xlfn.DISPIMG("ID_E03CCF7231084237931DBCBF3C97BA6B",1)</f>
        <v/>
      </c>
      <c r="H13" s="32" t="n"/>
      <c r="I13" s="36" t="n">
        <v>30802003103</v>
      </c>
      <c r="J13" s="33" t="inlineStr">
        <is>
          <t>塑料制，25 L，带底座或另配防漏托盘</t>
        </is>
      </c>
      <c r="K13" s="39" t="inlineStr">
        <is>
          <t>乐百仕</t>
        </is>
      </c>
      <c r="L13" s="39" t="inlineStr">
        <is>
          <t>江苏乐百仕教育科技有限公司</t>
        </is>
      </c>
      <c r="M13" s="345" t="n">
        <v>2</v>
      </c>
      <c r="N13" s="345" t="n">
        <v>45</v>
      </c>
      <c r="O13" s="345" t="n">
        <v>90</v>
      </c>
      <c r="P13" s="345" t="inlineStr">
        <is>
          <t>个</t>
        </is>
      </c>
      <c r="Q13" s="345" t="inlineStr"/>
      <c r="R13" s="345" t="inlineStr"/>
      <c r="S13" s="345" t="inlineStr"/>
      <c r="T13" s="345" t="inlineStr">
        <is>
          <t>塑料制， 25 L</t>
        </is>
      </c>
      <c r="U13" s="345" t="inlineStr"/>
      <c r="V13" s="345" t="inlineStr"/>
      <c r="W13" s="345" t="inlineStr"/>
      <c r="X13" s="345" t="inlineStr"/>
      <c r="Y13" s="345" t="inlineStr">
        <is>
          <t>confirmed</t>
        </is>
      </c>
      <c r="Z13" s="345" t="n">
        <v>100</v>
      </c>
      <c r="AA13" s="345" t="inlineStr"/>
      <c r="AB13" s="345" t="inlineStr">
        <is>
          <t>赛特尔25年.xls｜初中新课标化学｜第17行</t>
        </is>
      </c>
    </row>
    <row r="14" customFormat="1" s="187">
      <c r="A14" s="323" t="n">
        <v>13</v>
      </c>
      <c r="B14" s="67" t="n">
        <v>30308002401</v>
      </c>
      <c r="C14" s="87" t="inlineStr">
        <is>
          <t>放电反应实验仪</t>
        </is>
      </c>
      <c r="D14" s="68" t="inlineStr">
        <is>
          <t>通电 2 min 之内即有氮气与氧气反应的现象，消耗功率不大于 30 W</t>
        </is>
      </c>
      <c r="E14" s="67" t="n">
        <v>13</v>
      </c>
      <c r="F14" s="67" t="inlineStr">
        <is>
          <t>套</t>
        </is>
      </c>
      <c r="G14" s="131">
        <f>_xlfn.DISPIMG("ID_DC99D3873A124E6A8AAEDB512DD1CD47",1)</f>
        <v/>
      </c>
      <c r="H14" s="32" t="n"/>
      <c r="I14" s="26" t="n">
        <v>30308002401</v>
      </c>
      <c r="J14" s="164" t="inlineStr">
        <is>
          <t>通电 2 min 之内即有氮气与氧气反应的现象，消耗功率不大于 30 W</t>
        </is>
      </c>
      <c r="K14" s="39" t="inlineStr">
        <is>
          <t>乐百仕</t>
        </is>
      </c>
      <c r="L14" s="39" t="inlineStr">
        <is>
          <t>江苏乐百仕教育科技有限公司</t>
        </is>
      </c>
      <c r="M14" s="345" t="n">
        <v>13</v>
      </c>
      <c r="N14" s="345" t="n">
        <v>150</v>
      </c>
      <c r="O14" s="345" t="n">
        <v>1950</v>
      </c>
      <c r="P14" s="345" t="inlineStr">
        <is>
          <t>套</t>
        </is>
      </c>
      <c r="Q14" s="345" t="inlineStr"/>
      <c r="R14" s="345" t="inlineStr"/>
      <c r="S14" s="345" t="inlineStr"/>
      <c r="T14" s="345" t="inlineStr">
        <is>
          <t>通电两分钟之内即有氮气与氧气反应的现象，消耗功率不大于30W</t>
        </is>
      </c>
      <c r="U14" s="345" t="inlineStr"/>
      <c r="V14" s="345" t="inlineStr"/>
      <c r="W14" s="345" t="inlineStr"/>
      <c r="X14" s="345" t="inlineStr"/>
      <c r="Y14" s="345" t="inlineStr">
        <is>
          <t>confirmed</t>
        </is>
      </c>
      <c r="Z14" s="345" t="n">
        <v>0</v>
      </c>
      <c r="AA14" s="345" t="inlineStr">
        <is>
          <t>匹配到商品档案但无历史价格记录</t>
        </is>
      </c>
      <c r="AB14" s="345" t="inlineStr">
        <is>
          <t>赛特尔25年.xls｜高中化学｜第91行</t>
        </is>
      </c>
    </row>
    <row r="15" customFormat="1" s="187">
      <c r="A15" s="323" t="n">
        <v>15</v>
      </c>
      <c r="B15" s="26" t="n">
        <v>30308001001</v>
      </c>
      <c r="C15" s="87" t="inlineStr">
        <is>
          <t>中和热测定仪</t>
        </is>
      </c>
      <c r="D15" s="141" t="inlineStr">
        <is>
          <t>又称简易量热计，包括反应容器、温度计、环形玻璃搅拌棒</t>
        </is>
      </c>
      <c r="E15" s="31" t="n">
        <v>25</v>
      </c>
      <c r="F15" s="26" t="inlineStr">
        <is>
          <t>套</t>
        </is>
      </c>
      <c r="G15" s="31">
        <f>_xlfn.DISPIMG("ID_ACDF80DFD1C34A44BB7DE1244D4F72BC",1)</f>
        <v/>
      </c>
      <c r="H15" s="32" t="n"/>
      <c r="I15" s="26" t="n">
        <v>30308001001</v>
      </c>
      <c r="J15" s="33" t="inlineStr">
        <is>
          <t>又称简易量热计，包括反应容器、温度计、环形玻璃搅拌棒</t>
        </is>
      </c>
      <c r="K15" s="39" t="inlineStr">
        <is>
          <t>乐百仕</t>
        </is>
      </c>
      <c r="L15" s="39" t="inlineStr">
        <is>
          <t>江苏乐百仕教育科技有限公司</t>
        </is>
      </c>
      <c r="M15" s="345" t="n">
        <v>25</v>
      </c>
      <c r="N15" s="345" t="n">
        <v>20</v>
      </c>
      <c r="O15" s="345" t="n">
        <v>500</v>
      </c>
      <c r="P15" s="345" t="inlineStr">
        <is>
          <t>套</t>
        </is>
      </c>
      <c r="Q15" s="345" t="inlineStr">
        <is>
          <t>群信</t>
        </is>
      </c>
      <c r="R15" s="345" t="inlineStr"/>
      <c r="S15" s="345" t="inlineStr"/>
      <c r="T15" s="345" t="inlineStr">
        <is>
          <t>26013</t>
        </is>
      </c>
      <c r="U15" s="345" t="inlineStr"/>
      <c r="V15" s="345" t="inlineStr"/>
      <c r="W15" s="345" t="inlineStr"/>
      <c r="X15" s="345" t="inlineStr"/>
      <c r="Y15" s="345" t="inlineStr">
        <is>
          <t>confirmed</t>
        </is>
      </c>
      <c r="Z15" s="345" t="n">
        <v>100</v>
      </c>
      <c r="AA15" s="345" t="inlineStr"/>
      <c r="AB15" s="345" t="inlineStr">
        <is>
          <t>高中理化生报价.xlsx｜凯迪｜第914行</t>
        </is>
      </c>
    </row>
    <row r="16" customFormat="1" s="187">
      <c r="A16" s="323" t="n">
        <v>16</v>
      </c>
      <c r="B16" s="31" t="n">
        <v>30308000301</v>
      </c>
      <c r="C16" s="137" t="inlineStr">
        <is>
          <t>原电池实验器</t>
        </is>
      </c>
      <c r="D16" s="141" t="inlineStr">
        <is>
          <t>包括缸体、带固定和可移动接线柱的缸体盖板、铜电极板、锌电极板、铁电极板、铝电极板、碳棒、导线等</t>
        </is>
      </c>
      <c r="E16" s="31" t="n">
        <v>25</v>
      </c>
      <c r="F16" s="31" t="inlineStr">
        <is>
          <t>台</t>
        </is>
      </c>
      <c r="G16" s="31">
        <f>_xlfn.DISPIMG("ID_00C2A0F6A0DE4B4B81C1F430A043EB74",1)</f>
        <v/>
      </c>
      <c r="H16" s="32" t="n"/>
      <c r="I16" s="31" t="n">
        <v>30308000301</v>
      </c>
      <c r="J16" s="33" t="inlineStr">
        <is>
          <t>包括缸体、带固定和可移动接线柱的缸体盖板、铜电极板、锌电极板、铁电极板、铝电极板、碳棒、导线等</t>
        </is>
      </c>
      <c r="K16" s="39" t="inlineStr">
        <is>
          <t>乐百仕</t>
        </is>
      </c>
      <c r="L16" s="39" t="inlineStr">
        <is>
          <t>江苏乐百仕教育科技有限公司</t>
        </is>
      </c>
      <c r="M16" s="345" t="n">
        <v>25</v>
      </c>
      <c r="N16" s="345" t="n">
        <v>13</v>
      </c>
      <c r="O16" s="345" t="n">
        <v>325</v>
      </c>
      <c r="P16" s="345" t="inlineStr">
        <is>
          <t>台</t>
        </is>
      </c>
      <c r="Q16" s="345" t="inlineStr"/>
      <c r="R16" s="345" t="inlineStr"/>
      <c r="S16" s="345" t="inlineStr"/>
      <c r="T16" s="345" t="inlineStr"/>
      <c r="U16" s="345" t="n">
        <v>13</v>
      </c>
      <c r="V16" s="345" t="inlineStr"/>
      <c r="W16" s="345" t="n">
        <v>14.3</v>
      </c>
      <c r="X16" s="345" t="inlineStr"/>
      <c r="Y16" s="345" t="inlineStr">
        <is>
          <t>confirmed</t>
        </is>
      </c>
      <c r="Z16" s="345" t="n">
        <v>66.7</v>
      </c>
      <c r="AA16" s="345" t="inlineStr"/>
      <c r="AB16" s="345" t="inlineStr">
        <is>
          <t>赛特尔25年.xls｜初中物理｜第198行</t>
        </is>
      </c>
    </row>
    <row r="17" customFormat="1" s="187">
      <c r="A17" s="323" t="n">
        <v>17</v>
      </c>
      <c r="B17" s="26" t="n">
        <v>30308001601</v>
      </c>
      <c r="C17" s="87" t="inlineStr">
        <is>
          <t>氢燃料电池实验器</t>
        </is>
      </c>
      <c r="D17" s="141" t="inlineStr">
        <is>
          <t>含一个质子交换膜电极，膜电极不小于 15mm×15 mm</t>
        </is>
      </c>
      <c r="E17" s="31" t="n">
        <v>25</v>
      </c>
      <c r="F17" s="26" t="inlineStr">
        <is>
          <t>套</t>
        </is>
      </c>
      <c r="G17" s="31">
        <f>_xlfn.DISPIMG("ID_2F3705A7EDE34AA4BD42D8BC10291324",1)</f>
        <v/>
      </c>
      <c r="H17" s="32" t="n"/>
      <c r="I17" s="26" t="n">
        <v>30308001601</v>
      </c>
      <c r="J17" s="33" t="inlineStr">
        <is>
          <t>含一个质子交换膜电极，膜电极不小于 15mm×15 mm</t>
        </is>
      </c>
      <c r="K17" s="39" t="inlineStr">
        <is>
          <t>乐百仕</t>
        </is>
      </c>
      <c r="L17" s="39" t="inlineStr">
        <is>
          <t>江苏乐百仕教育科技有限公司</t>
        </is>
      </c>
      <c r="M17" s="345" t="n">
        <v>25</v>
      </c>
      <c r="N17" s="345" t="n">
        <v>220</v>
      </c>
      <c r="O17" s="345" t="n">
        <v>5500</v>
      </c>
      <c r="P17" s="345" t="inlineStr">
        <is>
          <t>套</t>
        </is>
      </c>
      <c r="Q17" s="345" t="inlineStr">
        <is>
          <t>群信</t>
        </is>
      </c>
      <c r="R17" s="345" t="inlineStr"/>
      <c r="S17" s="345" t="inlineStr"/>
      <c r="T17" s="345" t="inlineStr">
        <is>
          <t>26020</t>
        </is>
      </c>
      <c r="U17" s="345" t="inlineStr"/>
      <c r="V17" s="345" t="inlineStr"/>
      <c r="W17" s="345" t="inlineStr"/>
      <c r="X17" s="345" t="inlineStr"/>
      <c r="Y17" s="345" t="inlineStr">
        <is>
          <t>confirmed</t>
        </is>
      </c>
      <c r="Z17" s="345" t="n">
        <v>75</v>
      </c>
      <c r="AA17" s="345" t="inlineStr"/>
      <c r="AB17" s="345" t="inlineStr">
        <is>
          <t>高中理化生报价.xlsx｜凯迪｜第917行</t>
        </is>
      </c>
    </row>
    <row r="18" customFormat="1" s="187">
      <c r="A18" s="323" t="n">
        <v>19</v>
      </c>
      <c r="B18" s="26" t="n">
        <v>30308002201</v>
      </c>
      <c r="C18" s="87" t="inlineStr">
        <is>
          <t>二氧化氮球</t>
        </is>
      </c>
      <c r="D18" s="141" t="inlineStr">
        <is>
          <t xml:space="preserve"> 双球，内封二氧化氮和四氧化二氮混合气体，常温下球内气体为黄棕色</t>
        </is>
      </c>
      <c r="E18" s="31" t="n">
        <v>25</v>
      </c>
      <c r="F18" s="26" t="inlineStr">
        <is>
          <t>个</t>
        </is>
      </c>
      <c r="G18" s="31">
        <f>_xlfn.DISPIMG("ID_A6EED914312B4761ADE3C5B5BF07A93F",1)</f>
        <v/>
      </c>
      <c r="H18" s="32" t="n"/>
      <c r="I18" s="26" t="n">
        <v>30308002201</v>
      </c>
      <c r="J18" s="33" t="inlineStr">
        <is>
          <t xml:space="preserve"> 双球，内封二氧化氮和四氧化二氮混合气体，常温下球内气体为黄棕色</t>
        </is>
      </c>
      <c r="K18" s="39" t="inlineStr">
        <is>
          <t>乐百仕</t>
        </is>
      </c>
      <c r="L18" s="39" t="inlineStr">
        <is>
          <t>江苏乐百仕教育科技有限公司</t>
        </is>
      </c>
      <c r="M18" s="345" t="n">
        <v>25</v>
      </c>
      <c r="N18" s="345" t="n">
        <v>12</v>
      </c>
      <c r="O18" s="345" t="n">
        <v>300</v>
      </c>
      <c r="P18" s="345" t="inlineStr">
        <is>
          <t>个</t>
        </is>
      </c>
      <c r="Q18" s="345" t="inlineStr">
        <is>
          <t>群信</t>
        </is>
      </c>
      <c r="R18" s="345" t="inlineStr"/>
      <c r="S18" s="345" t="inlineStr"/>
      <c r="T18" s="345" t="inlineStr">
        <is>
          <t>26031</t>
        </is>
      </c>
      <c r="U18" s="345" t="inlineStr"/>
      <c r="V18" s="345" t="inlineStr"/>
      <c r="W18" s="345" t="inlineStr"/>
      <c r="X18" s="345" t="inlineStr"/>
      <c r="Y18" s="345" t="inlineStr">
        <is>
          <t>confirmed</t>
        </is>
      </c>
      <c r="Z18" s="345" t="n">
        <v>0</v>
      </c>
      <c r="AA18" s="345" t="inlineStr">
        <is>
          <t>没有找到可靠候选</t>
        </is>
      </c>
      <c r="AB18" s="345" t="inlineStr">
        <is>
          <t>高中理化生报价.xlsx｜凯迪｜第923行</t>
        </is>
      </c>
    </row>
    <row r="19" customFormat="1" s="187">
      <c r="A19" s="41" t="n">
        <v>20</v>
      </c>
      <c r="B19" s="50" t="n">
        <v>30308000803</v>
      </c>
      <c r="C19" s="51" t="inlineStr">
        <is>
          <t>溶液导电演示器</t>
        </is>
      </c>
      <c r="D19" s="52" t="inlineStr">
        <is>
          <t>电表式，干电池电源，首先校准到电表指示满量程，用电流法相对比较 5 种溶液的导电能力</t>
        </is>
      </c>
      <c r="E19" s="53" t="n">
        <v>1</v>
      </c>
      <c r="F19" s="50" t="inlineStr">
        <is>
          <t>台</t>
        </is>
      </c>
      <c r="G19" s="53">
        <f>_xlfn.DISPIMG("ID_D6E8123F3BBF4C9E95BC04A208BD476B",1)</f>
        <v/>
      </c>
      <c r="H19" s="76" t="n"/>
      <c r="I19" s="50" t="n">
        <v>30308000803</v>
      </c>
      <c r="J19" s="54" t="inlineStr">
        <is>
          <t>电表式，干电池电源，首先校准到电表指示满量程，用电流法相对比较 5 种溶液的导电能力</t>
        </is>
      </c>
      <c r="K19" s="48" t="inlineStr">
        <is>
          <t>乐百仕</t>
        </is>
      </c>
      <c r="L19" s="48" t="inlineStr">
        <is>
          <t>江苏乐百仕教育科技有限公司</t>
        </is>
      </c>
      <c r="M19" s="345" t="n">
        <v>1</v>
      </c>
      <c r="N19" s="345" t="n">
        <v>75</v>
      </c>
      <c r="O19" s="345" t="n">
        <v>75</v>
      </c>
      <c r="P19" s="345" t="inlineStr">
        <is>
          <t>台</t>
        </is>
      </c>
      <c r="Q19" s="345" t="inlineStr"/>
      <c r="R19" s="345" t="inlineStr"/>
      <c r="S19" s="345" t="inlineStr"/>
      <c r="T19" s="345" t="inlineStr"/>
      <c r="U19" s="345" t="n">
        <v>75</v>
      </c>
      <c r="V19" s="345" t="inlineStr"/>
      <c r="W19" s="345" t="n">
        <v>165</v>
      </c>
      <c r="X19" s="345" t="inlineStr"/>
      <c r="Y19" s="345" t="inlineStr">
        <is>
          <t>confirmed</t>
        </is>
      </c>
      <c r="Z19" s="345" t="n">
        <v>100</v>
      </c>
      <c r="AA19" s="345" t="inlineStr">
        <is>
          <t>价格分歧&gt;30%：历史报价分歧较大，需人工核对</t>
        </is>
      </c>
      <c r="AB19" s="345" t="inlineStr">
        <is>
          <t>赛特尔25年.xls｜初中化学｜第52行</t>
        </is>
      </c>
    </row>
    <row r="20" customFormat="1" s="187">
      <c r="A20" s="323" t="n">
        <v>21</v>
      </c>
      <c r="B20" s="67" t="n">
        <v>30308002501</v>
      </c>
      <c r="C20" s="87" t="inlineStr">
        <is>
          <t>光化学实验演示器</t>
        </is>
      </c>
      <c r="D20" s="68" t="inlineStr">
        <is>
          <t>能演示甲烷与氯气的反应</t>
        </is>
      </c>
      <c r="E20" s="103" t="n">
        <v>1</v>
      </c>
      <c r="F20" s="26" t="inlineStr">
        <is>
          <t>台</t>
        </is>
      </c>
      <c r="G20" s="103">
        <f>_xlfn.DISPIMG("ID_D0688211438B4BD6B40E459E0704B0ED",1)</f>
        <v/>
      </c>
      <c r="H20" s="32" t="n"/>
      <c r="I20" s="26" t="n">
        <v>30308002501</v>
      </c>
      <c r="J20" s="164" t="inlineStr">
        <is>
          <t>能演示甲烷与氯气的反应</t>
        </is>
      </c>
      <c r="K20" s="39" t="inlineStr">
        <is>
          <t>乐百仕</t>
        </is>
      </c>
      <c r="L20" s="39" t="inlineStr">
        <is>
          <t>江苏乐百仕教育科技有限公司</t>
        </is>
      </c>
      <c r="M20" s="345" t="n">
        <v>1</v>
      </c>
      <c r="N20" s="345" t="n">
        <v>200</v>
      </c>
      <c r="O20" s="345" t="n">
        <v>200</v>
      </c>
      <c r="P20" s="345" t="inlineStr">
        <is>
          <t>台</t>
        </is>
      </c>
      <c r="Q20" s="345" t="inlineStr">
        <is>
          <t>群信</t>
        </is>
      </c>
      <c r="R20" s="345" t="inlineStr"/>
      <c r="S20" s="345" t="inlineStr">
        <is>
          <t>24060</t>
        </is>
      </c>
      <c r="T20" s="345" t="inlineStr">
        <is>
          <t>24060</t>
        </is>
      </c>
      <c r="U20" s="345" t="n">
        <v>400</v>
      </c>
      <c r="V20" s="345" t="inlineStr"/>
      <c r="W20" s="345" t="inlineStr"/>
      <c r="X20" s="345" t="inlineStr"/>
      <c r="Y20" s="345" t="inlineStr">
        <is>
          <t>confirmed</t>
        </is>
      </c>
      <c r="Z20" s="345" t="n">
        <v>66.7</v>
      </c>
      <c r="AA20" s="345" t="inlineStr">
        <is>
          <t>价格分歧&gt;30%：历史报价分歧较大，需人工核对；同分多价：最高分候选存在不同历史价格</t>
        </is>
      </c>
      <c r="AB20" s="345" t="inlineStr">
        <is>
          <t>赛特尔25年.xls｜初中新课标物理｜第371行</t>
        </is>
      </c>
    </row>
    <row r="21" customFormat="1" s="187">
      <c r="A21" s="323" t="n">
        <v>22</v>
      </c>
      <c r="B21" s="26" t="n">
        <v>50508001611</v>
      </c>
      <c r="C21" s="87" t="inlineStr">
        <is>
          <t>元素周期表</t>
        </is>
      </c>
      <c r="D21" s="141" t="inlineStr">
        <is>
          <t>有价层电子排布，≥150 cm×110 cm，字迹信息清晰，正确，易于观看</t>
        </is>
      </c>
      <c r="E21" s="31" t="n">
        <v>1</v>
      </c>
      <c r="F21" s="26" t="inlineStr">
        <is>
          <t>件</t>
        </is>
      </c>
      <c r="G21" s="31">
        <f>_xlfn.DISPIMG("ID_3EFD8B9AFD4E4D5091CCAE7B2718F935",1)</f>
        <v/>
      </c>
      <c r="H21" s="32" t="n"/>
      <c r="I21" s="26" t="n">
        <v>50508001611</v>
      </c>
      <c r="J21" s="33" t="inlineStr">
        <is>
          <t>有价层电子排布，≥150 cm×110 cm，字迹信息清晰，正确，易于观看</t>
        </is>
      </c>
      <c r="K21" s="39" t="inlineStr">
        <is>
          <t>乐百仕</t>
        </is>
      </c>
      <c r="L21" s="39" t="inlineStr">
        <is>
          <t>江苏乐百仕教育科技有限公司</t>
        </is>
      </c>
      <c r="M21" s="345" t="n">
        <v>1</v>
      </c>
      <c r="N21" s="345" t="n">
        <v>40</v>
      </c>
      <c r="O21" s="345" t="n">
        <v>40</v>
      </c>
      <c r="P21" s="345" t="inlineStr">
        <is>
          <t>件</t>
        </is>
      </c>
      <c r="Q21" s="345" t="inlineStr"/>
      <c r="R21" s="345" t="inlineStr"/>
      <c r="S21" s="345" t="inlineStr"/>
      <c r="T21" s="345" t="inlineStr"/>
      <c r="U21" s="345" t="n">
        <v>44</v>
      </c>
      <c r="V21" s="345" t="inlineStr"/>
      <c r="W21" s="345" t="inlineStr"/>
      <c r="X21" s="345" t="inlineStr"/>
      <c r="Y21" s="345" t="inlineStr">
        <is>
          <t>confirmed</t>
        </is>
      </c>
      <c r="Z21" s="345" t="n">
        <v>100</v>
      </c>
      <c r="AA21" s="345" t="inlineStr">
        <is>
          <t>同分多价：最高分候选存在不同历史价格</t>
        </is>
      </c>
      <c r="AB21" s="345" t="inlineStr">
        <is>
          <t>赛特尔25年.xls｜初中新课标化学｜第302行</t>
        </is>
      </c>
    </row>
    <row r="22" customFormat="1" s="6">
      <c r="A22" s="41" t="n">
        <v>23</v>
      </c>
      <c r="B22" s="84" t="inlineStr">
        <is>
          <t>化学实验操作与实验室安全、物质结构基础与化学反应规律</t>
        </is>
      </c>
      <c r="C22" s="78" t="inlineStr">
        <is>
          <t>JXC-201</t>
        </is>
      </c>
      <c r="D22" s="205" t="inlineStr">
        <is>
          <t>箱体规格：450×320×170mm(±10mm)。
材质：PC材料箱盖，增强型ZQ-ABS树脂材料箱体，增强型PP材质活动卡扣；结构：整体采用加厚增强型扣盖卡扣式设计，箱体为上下面耦合卡槽定位，内置活动式上下双层内衬，嵌入式专槽定位，方便器材取用保管；叠加方式：既可叠加组合摆放，也可放置于仪器柜或货架。
主要配置及特征参数：
玻璃量筒（高硼硅3.3，50mL，195mm×25.7mm×2mm）1个、玻璃量筒（高硼硅3.3，10mL，142mm×16mm×1.8mm）1个、红水温度计（-10～110℃）1支、实验室安全防护装置的使用与突发事件处理1张、实验室常见废弃物的处理1张、镁条（L=500mm）1包、白色反应板（白色陶瓷，6孔，82mm×54mm×12mm）1件、短胶头滴管（高硼硅3.3，细嘴，D=10mm，L=90mm）1支、长胶头滴管（高硼硅3.3，细嘴 D=10mm，L=200mm）1支、电子秒表计时器（PVC）1个、玻璃烧杯（高硼硅3.3，250mL，99mm×70mm）2个、玻璃烧杯（高硼硅3.3，100mL，72mm×54mm）2个、玻璃烧杯（高硼硅3.3，50mL，62mm×42mm）1个、容量瓶（100mL，配玻璃塞）2个、试管（高硼硅3.3 φ20mm×195mm）4支、小试管（高硼硅3.3 φ15mm×150mm）7支、研钵（陶瓷，60mL，附研杵）1套、木片（50mm×50mm×3mm）1片、方玻璃片（50mm×50mm×2mm）1块等。
核心产品技术指标：
玻璃量筒：
规格：外形尺寸：①、10mL：142×16×1.8mm，壁厚1.8mm；②、25mL：168×21×1.8mm，壁厚1.8mm；③、50mL：195×25.7×2mm，壁厚2mm；④、100mL：243×31.9×2mm，壁厚2.0mm；材质：优质高硼硅BORO3.3；工艺：精工烧结，依据实验和设计要求定制，无毛刺锐角，丝印红色品牌LOGO；功能描述：管体具有低膨胀率、耐高温、高强度、高硬度、高透光率和高化学稳定性的优良特性，用来定量量取液体。
玻璃烧杯：
规格：外形尺寸：①、50mL：62×42mm（±5mm），壁厚2.0mm；②、100mL：72×54mm（±5mm），壁厚2.0mm；③、250mL：99×70mm（±5mm），壁厚2.5mm；材质：优质高硼硅BORO3.3；工艺：精工烧结，依据实验和设计要求定制，无毛刺锐角，丝印白色品牌LOGO；功能描述：管体具有低膨胀率、耐高温、高强度、高硬度、高透光率和高化学稳定性的优良特性，用作配制溶液和作为较大量的试剂化学反应容器。
试管φ20mm×195mm：
规格：外形尺寸195×20mm（±5mm），壁厚2mm；材质：优质高硼硅BORO3.3；工艺：精工烧结，依据实验和设计要求定制，无毛刺锐角；功能描述：管体具有低膨胀率、耐高温、高强度、高硬度、高透光率和高化学稳定性的优良特性，既可用作少量试剂的化学反应容器，也可在常温或加热时使用。
▲可完成的基本实验活动：（需提供第三方检测机构出具的检测报告予以证明可完成以下实验内容）
1.配制一定物质的量浓度的溶液；
2.实验室安全防护装置的使用与突发事件处理；
3.实验室常见废弃物的处理；
17.探究同周期、同主族元素性质的递变规律；
18.探究化学反应的限度；
19.探究化学反应速率的影响因素；
20.研究化学能转化成热能；
21.研究化学能转化成电能。</t>
        </is>
      </c>
      <c r="E22" s="206" t="n">
        <v>1</v>
      </c>
      <c r="F22" s="84" t="inlineStr">
        <is>
          <t>箱</t>
        </is>
      </c>
      <c r="G22" s="81">
        <f>_xlfn.DISPIMG("ID_38573403E26F4788BA04115C9FBABB61",1)</f>
        <v/>
      </c>
      <c r="H22" s="207" t="n"/>
      <c r="I22" s="84" t="inlineStr">
        <is>
          <t>JXC-201</t>
        </is>
      </c>
      <c r="J22" s="208" t="inlineStr">
        <is>
          <t>箱体大小：450×320×170mm(±20mm)。
材质：PC材料箱盖，增强型ZQ-ABS树脂材料箱体，增强型PP材质活动卡扣；结构：整体采用加厚增强型扣盖卡扣式设计，箱体为上下面耦合卡槽定位，内置活动式上下双层内衬，嵌入式专槽定位，方便器材取用保管；叠加方式：既可叠加组合摆放，也可放置于仪器柜或货架。
主要配置及特征参数：
玻璃量筒（高硼硅3.3，50mL，195mm×25.7mm×2mm）1个、玻璃量筒（高硼硅3.3，10mL，142mm×16mm×1.8mm）1个、红水温度计（-10～110℃）1支、实验室安全防护装置的使用与突发事件处理1张、实验室常见废弃物的处理1张、镁条（L=500mm）1包、白色反应板（白色陶瓷，6孔，82mm×54mm×12mm）1件、短胶头滴管（高硼硅3.3，细嘴，D=10mm，L=90mm）1支、长胶头滴管（高硼硅3.3，细嘴 D=10mm，L=200mm）1支、电子秒表计时器（PVC）1个、玻璃烧杯（高硼硅3.3，250mL，99mm×70mm）2个、玻璃烧杯（高硼硅3.3，100mL，72mm×54mm）2个、玻璃烧杯（高硼硅3.3，50mL，62mm×42mm）1个、容量瓶（100mL，配玻璃塞）2个、试管（高硼硅3.3 φ20mm×195mm）4支、小试管（高硼硅3.3 φ15mm×150mm）7支、研钵（陶瓷，60mL，附研杵）1套、木片（50mm×50mm×3mm）1片、方玻璃片（50mm×50mm×2mm）1块等。
核心产品技术指标：
玻璃量筒：
规格：外形尺寸：①、10mL：142×16×1.8mm，壁厚1.8mm；②、25mL：168×21×1.8mm，壁厚1.8mm；③、50mL：195×25.7×2mm，壁厚2mm；④、100mL：243×31.9×2mm，壁厚2.0mm；材质：优质高硼硅BORO3.3；工艺：精工烧结，依据实验和设计要求定制，无毛刺锐角，丝印红色品牌LOGO；功能描述：管体具有低膨胀率、耐高温、高强度、高硬度、高透光率和高化学稳定性的优良特性，用来定量量取液体。
玻璃烧杯：
规格：外形尺寸：①、50mL：62×42mm（±5mm），壁厚2.0mm；②、100mL：72×54mm（±5mm），壁厚2.0mm；③、250mL：99×70mm（±5mm），壁厚2.5mm；材质：优质高硼硅BORO3.3；工艺：精工烧结，依据实验和设计要求定制，无毛刺锐角，丝印白色品牌LOGO；功能描述：管体具有低膨胀率、耐高温、高强度、高硬度、高透光率和高化学稳定性的优良特性，用作配制溶液和作为较大量的试剂化学反应容器。
试管φ20mm×195mm：
规格：外形尺寸195×20mm（±5mm），壁厚2mm；材质：优质高硼硅BORO3.3；工艺：精工烧结，依据实验和设计要求定制，无毛刺锐角；功能描述：管体具有低膨胀率、耐高温、高强度、高硬度、高透光率和高化学稳定性的优良特性，既可用作少量试剂的化学反应容器，也可在常温或加热时使用。
▲可完成的基本实验活动：（需提供第三方检测机构出具的检测报告予以证明可完成以下实验内容）
1.配制一定物质的量浓度的溶液；
2.实验室安全防护装置的使用与突发事件处理；
3.实验室常见废弃物的处理；
17.探究同周期、同主族元素性质的递变规律；
18.探究化学反应的限度；
19.探究化学反应速率的影响因素；
20.研究化学能转化成热能；
21.研究化学能转化成电能。</t>
        </is>
      </c>
      <c r="K22" s="48" t="inlineStr">
        <is>
          <t>乐百仕</t>
        </is>
      </c>
      <c r="L22" s="48" t="inlineStr">
        <is>
          <t>江苏乐百仕教育科技有限公司</t>
        </is>
      </c>
      <c r="M22" s="356" t="n">
        <v>1</v>
      </c>
      <c r="N22" s="356" t="inlineStr">
        <is>
          <t>未找到合适匹配，请人工填写</t>
        </is>
      </c>
      <c r="O22" s="356" t="inlineStr"/>
      <c r="P22" s="356" t="inlineStr"/>
      <c r="Q22" s="356" t="inlineStr"/>
      <c r="R22" s="356" t="inlineStr"/>
      <c r="S22" s="356" t="inlineStr"/>
      <c r="T22" s="356" t="inlineStr"/>
      <c r="U22" s="356" t="inlineStr"/>
      <c r="V22" s="356" t="inlineStr"/>
      <c r="W22" s="356" t="inlineStr"/>
      <c r="X22" s="356" t="inlineStr"/>
      <c r="Y22" s="356" t="inlineStr">
        <is>
          <t>unmatched</t>
        </is>
      </c>
      <c r="Z22" s="356" t="n">
        <v>0</v>
      </c>
      <c r="AA22" s="356" t="inlineStr">
        <is>
          <t>没有找到可靠候选</t>
        </is>
      </c>
      <c r="AB22" s="356" t="inlineStr"/>
    </row>
    <row r="23" customFormat="1" s="6">
      <c r="A23" s="41" t="n">
        <v>24</v>
      </c>
      <c r="B23" s="84" t="inlineStr">
        <is>
          <t>常见的无机物及其应用一</t>
        </is>
      </c>
      <c r="C23" s="78" t="inlineStr">
        <is>
          <t>JXC-202</t>
        </is>
      </c>
      <c r="D23" s="205" t="inlineStr">
        <is>
          <t>箱体规格：450×320×170mm(±10mm)。
材质：PC材料箱盖，增强型ZQ-ABS树脂材料箱体，增强型PP材质活动卡扣；结构：整体采用加厚增强型扣盖卡扣式设计，箱体为上下面耦合卡槽定位，内置活动式上下双层内衬，嵌入式专槽定位，方便器材取用保管；叠加方式：既可叠加组合摆放，也可放置于仪器柜或货架。
主要配置及特征参数：
玻璃烧杯（高硼硅3.3，250mL，99mm×70mm）3个、玻璃烧杯（高硼硅3.3，100mL，72mm×54mm）2个、玻璃烧杯（高硼硅3.3，50mL，62mm×42mm）1个、红水温度计（-10～110℃）1支、玻璃量筒（高硼硅3.3，50mL，195mm×25.7mm×2mm）1个、玻璃量筒（高硼硅3.3，10mL，142mm×16mm×1.8mm）1个、直玻璃导管（D=8mm，L=80mm）2支、90°玻璃弯管（高硼硅3.3，D=8mm，L=60mm+190mm）2支、大试管（高硼硅3.3 30mm×200mm）2支、试管（高硼硅3.3 φ20mm×195mm）2支、小试管（高硼硅3.3 φ15mm×150mm）8支、30号红色单孔硅胶塞（30mm/22mm/30mm，孔径Φ7mm）2个、毛玻璃片（50mmx50mmx3mm）1片、反应板（白色陶瓷，6孔，82mm×54mm×12mm）1个、坩埚（陶瓷，带盖子）1套、短胶头滴管（高硼硅3.3，细嘴，D=10mm，L=90mm）2支、PH广泛试纸（1～14）1本、硅胶管（φ7mm×φ10mm，L=80mm）2根、激光笔（红色）1支、红色石蕊试纸1盒、锌片（1×1cm）10片、铜片（1×1cm）10片、铁丝（L=30cm）2根、蓝色钴玻璃1个、铂丝棒（镍铬合金材料，含手柄）1个等。
核心产品技术指标：
玻璃烧杯：
规格：外形尺寸：①、50mL：62×42mm（±5mm），壁厚2.0mm；②、100mL：72×54mm（±5mm），壁厚2.0mm；③、250mL：99×70mm（±5mm），壁厚2.5mm；材质：优质高硼硅BORO3.3；工艺：精工烧结，依据实验和设计要求定制，无毛刺锐角，丝印白色品牌LOGO；功能描述：管体具有低膨胀率、耐高温、高强度、高硬度、高透光率和高化学稳定性的优良特性，用作配制溶液和作为较大量的试剂化学反应容器。
玻璃量筒：
规格：外形尺寸：①、10mL：142×16×1.8mm，壁厚1.8mm；②、25mL：168×21×1.8mm，壁厚1.8mm；③、50mL：195×25.7×2mm，壁厚2mm；④、100mL：243×31.9×2mm，壁厚2.0mm；材质：优质高硼硅BORO3.3；工艺：精工烧结，依据实验和设计要求定制，无毛刺锐角，丝印红色品牌LOGO；功能描述：管体具有低膨胀率、耐高温、高强度、高硬度、高透光率和高化学稳定性的优良特性，用来定量量取液体。
大试管φ30mm×200mm：
规格：外形尺寸200×30×26mm（±5mm），管口内外径30×26mmm，壁厚2mm；材质：优质高硼硅BORO3.3；工艺：精工烧结，依据实验和设计要求定制，无毛刺锐角；功能描述：管体具有低膨胀率、耐高温、高强度、高硬度、高透光率和高化学稳定性的优良特性，既可用作少量试剂的化学反应容器，也可在常温或加热时使用。
红色硅胶塞：
规格：根据实验需要分为无孔、单孔和双孔；横截面尺寸：①、23号胶塞：20.9×16×27mm（±5mm）；②、30号胶塞：30×22×30mm（±5mm）；③、37号胶塞：37×29×30mm（±5mm）；材质：优质红色硅胶；工艺：采用先进精密硅胶注塑技术一次成型无毛边、无合缝线，硬度适中、易插拔不阻涩；功能描述：用于实验中玻璃仪器的密封或与玻璃导管、温度计等配合使用，满足多种不同实验的密封及导气需求。耐高温、耐酸碱。
▲可完成的基本实验活动：（需提供第三方检测机构出具的检测报告予以证明可完成以下实验内容）
4.观察胶体的丁达尔效应；
5.氧化还原反应本质的探究；
6.探究电解质的电离；
7.探究溶液中离子反应的实质及发生条件；
8.溶液中常见离子的检验；
9.探究金属钠的性质；
10.探究铁及其化合物的性质；
11.碳酸钠与碳酸氢钠性质的比较；
焰色试验。</t>
        </is>
      </c>
      <c r="E23" s="206" t="n">
        <v>1</v>
      </c>
      <c r="F23" s="84" t="inlineStr">
        <is>
          <t>箱</t>
        </is>
      </c>
      <c r="G23" s="81">
        <f>_xlfn.DISPIMG("ID_DDFB34C8890141E486DB75EE7894C2BF",1)</f>
        <v/>
      </c>
      <c r="H23" s="207" t="n"/>
      <c r="I23" s="84" t="inlineStr">
        <is>
          <t>JXC-202</t>
        </is>
      </c>
      <c r="J23" s="208" t="inlineStr">
        <is>
          <t>箱体大小：450×320×170mm(±20mm)。
材质：PC材料箱盖，增强型ZQ-ABS树脂材料箱体，增强型PP材质活动卡扣；结构：整体采用加厚增强型扣盖卡扣式设计，箱体为上下面耦合卡槽定位，内置活动式上下双层内衬，嵌入式专槽定位，方便器材取用保管；叠加方式：既可叠加组合摆放，也可放置于仪器柜或货架。
主要配置及特征参数：
玻璃烧杯（高硼硅3.3，250mL，99mm×70mm）3个、玻璃烧杯（高硼硅3.3，100mL，72mm×54mm）2个、玻璃烧杯（高硼硅3.3，50mL，62mm×42mm）1个、红水温度计（-10～110℃）1支、玻璃量筒（高硼硅3.3，50mL，195mm×25.7mm×2mm）1个、玻璃量筒（高硼硅3.3，10mL，142mm×16mm×1.8mm）1个、直玻璃导管（D=8mm，L=80mm）2支、90°玻璃弯管（高硼硅3.3，D=8mm，L=60mm+190mm）2支、大试管（高硼硅3.3 30mm×200mm）2支、试管（高硼硅3.3 φ20mm×195mm）2支、小试管（高硼硅3.3 φ15mm×150mm）8支、30号红色单孔硅胶塞（30mm/22mm/30mm，孔径Φ7mm）2个、毛玻璃片（50mmx50mmx3mm）1片、反应板（白色陶瓷，6孔，82mm×54mm×12mm）1个、坩埚（陶瓷，带盖子）1套、短胶头滴管（高硼硅3.3，细嘴，D=10mm，L=90mm）2支、PH广泛试纸（1～14）1本、硅胶管（φ7mm×φ10mm，L=80mm）2根、激光笔（红色）1支、红色石蕊试纸1盒、锌片（1×1cm）10片、铜片（1×1cm）10片、铁丝（L=30cm）2根、蓝色钴玻璃1个、铂丝棒（镍铬合金材料，含手柄）1个等。
核心产品技术指标：
玻璃烧杯：
规格：外形尺寸：①、50mL：62×42mm（±5mm），壁厚2.0mm；②、100mL：72×54mm（±5mm），壁厚2.0mm；③、250mL：99×70mm（±5mm），壁厚2.5mm；材质：优质高硼硅BORO3.3；工艺：精工烧结，依据实验和设计要求定制，无毛刺锐角，丝印白色品牌LOGO；功能描述：管体具有低膨胀率、耐高温、高强度、高硬度、高透光率和高化学稳定性的优良特性，用作配制溶液和作为较大量的试剂化学反应容器。
玻璃量筒：
规格：外形尺寸：①、10mL：142×16×1.8mm，壁厚1.8mm；②、25mL：168×21×1.8mm，壁厚1.8mm；③、50mL：195×25.7×2mm，壁厚2mm；④、100mL：243×31.9×2mm，壁厚2.0mm；材质：优质高硼硅BORO3.3；工艺：精工烧结，依据实验和设计要求定制，无毛刺锐角，丝印红色品牌LOGO；功能描述：管体具有低膨胀率、耐高温、高强度、高硬度、高透光率和高化学稳定性的优良特性，用来定量量取液体。
大试管φ30mm×200mm：
规格：外形尺寸200×30×26mm（±5mm），管口内外径30×26mmm，壁厚2mm；材质：优质高硼硅BORO3.3；工艺：精工烧结，依据实验和设计要求定制，无毛刺锐角；功能描述：管体具有低膨胀率、耐高温、高强度、高硬度、高透光率和高化学稳定性的优良特性，既可用作少量试剂的化学反应容器，也可在常温或加热时使用。
红色硅胶塞：
规格：根据实验需要分为无孔、单孔和双孔；横截面尺寸：①、23号胶塞：20.9×16×27mm（±5mm）；②、30号胶塞：30×22×30mm（±5mm）；③、37号胶塞：37×29×30mm（±5mm）；材质：优质红色硅胶；工艺：采用先进精密硅胶注塑技术一次成型无毛边、无合缝线，硬度适中、易插拔不阻涩；功能描述：用于实验中玻璃仪器的密封或与玻璃导管、温度计等配合使用，满足多种不同实验的密封及导气需求。耐高温、耐酸碱。
▲可完成的基本实验活动：（需提供第三方检测机构出具的检测报告予以证明可完成以下实验内容）
4.观察胶体的丁达尔效应；
5.氧化还原反应本质的探究；
6.探究电解质的电离；
7.探究溶液中离子反应的实质及发生条件；
8.溶液中常见离子的检验；
9.探究金属钠的性质；
10.探究铁及其化合物的性质；
11.碳酸钠与碳酸氢钠性质的比较；
焰色试验。</t>
        </is>
      </c>
      <c r="K23" s="48" t="inlineStr">
        <is>
          <t>乐百仕</t>
        </is>
      </c>
      <c r="L23" s="48" t="inlineStr">
        <is>
          <t>江苏乐百仕教育科技有限公司</t>
        </is>
      </c>
      <c r="M23" s="356" t="n">
        <v>1</v>
      </c>
      <c r="N23" s="356" t="inlineStr">
        <is>
          <t>未找到合适匹配，请人工填写</t>
        </is>
      </c>
      <c r="O23" s="356" t="inlineStr"/>
      <c r="P23" s="356" t="inlineStr"/>
      <c r="Q23" s="356" t="inlineStr"/>
      <c r="R23" s="356" t="inlineStr"/>
      <c r="S23" s="356" t="inlineStr"/>
      <c r="T23" s="356" t="inlineStr"/>
      <c r="U23" s="356" t="inlineStr"/>
      <c r="V23" s="356" t="inlineStr"/>
      <c r="W23" s="356" t="inlineStr"/>
      <c r="X23" s="356" t="inlineStr"/>
      <c r="Y23" s="356" t="inlineStr">
        <is>
          <t>unmatched</t>
        </is>
      </c>
      <c r="Z23" s="356" t="n">
        <v>0</v>
      </c>
      <c r="AA23" s="356" t="inlineStr">
        <is>
          <t>没有找到可靠候选</t>
        </is>
      </c>
      <c r="AB23" s="356" t="inlineStr"/>
    </row>
    <row r="24" customFormat="1" s="6">
      <c r="A24" s="41" t="n">
        <v>25</v>
      </c>
      <c r="B24" s="84" t="inlineStr">
        <is>
          <t>常见的无机物及其应用二</t>
        </is>
      </c>
      <c r="C24" s="78" t="inlineStr">
        <is>
          <t>JXC-203</t>
        </is>
      </c>
      <c r="D24" s="205" t="inlineStr">
        <is>
          <t>箱体规格：450×320×170mm(±10mm)。
材质：PC材料箱盖，增强型ZQ-ABS树脂材料箱体，增强型PP材质活动卡扣；结构：整体采用加厚增强型扣盖卡扣式设计，箱体为上下面耦合卡槽定位，内置活动式上下双层内衬，嵌入式专槽定位，方便器材取用保管；叠加方式：既可叠加组合摆放，也可放置于仪器柜或货架。
主要配置及特征参数：
90°玻璃弯管（高硼硅3.3，D=8mm，L=85mm+55mm）2支、90°玻璃弯管（高硼硅3.3，D=8mm，L=60mm+190mm）2支、直玻璃导管（D=8mm，L=80mm）2支、尖嘴直玻璃导管（D=8mm，L=200mm）1支、硅胶管（φ7mm×φ10mm，L=80mm）3根、集气瓶（玻璃，125mL，平磨口）2个、毛玻璃片（50mmx50mmx3mm）2片、长颈圆底烧瓶（高硼硅3.3，250mL，磨口24/29 ，170mm×86mm）1个、球形分液漏斗（高硼硅3.3，长颈60mL四氟阀，磨口24/29，下口径8mm）1个、磨口玻璃塞（高硼硅3.3，磨口24/29）1个、具支试管（高硼硅3.3 20mm×200mm）2支、试管（高硼硅3.3 φ20mm×195mm）4支、小试管（高硼硅3.3 φ15mm×150mm）2支、23号红色无孔硅胶塞（16mm/20.9mm/27mm）2个、23号红色单孔硅胶塞（16mm/20.9mm/27mm，孔径Φ7mm）1个、30号红色双孔硅胶塞（30mm/22mm/30mm，孔径Φ7mm）2个、37号红色双孔硅胶塞（37mm/29mm/30mm，孔径Φ7mm）1个、短胶头滴管（高硼硅3.3，细嘴，D=10mm，L=90mm）2支、PH广泛试纸（1～14）1本、红色石蕊试纸1盒、蓝色石蕊试纸1盒、蒸发皿（陶瓷，75mL）1个、玻璃注射器（50mL，口外径7mm）1支、铜片（1×1cm）10片、铜丝（30cm）2根、铁粉1瓶、医用脱脂棉（5g）1包、玻璃漏斗（高硼硅3.3，短颈平口，d=60mm，h=110mm）1个等。
核心产品技术指标：
长颈圆底烧瓶250mL：
规格：250mL；总长170mm（±5mm）壁厚2mm统一标准内磨口24/29；材质：优质高硼硅BORO3.3；工艺：精工烧结打磨，依据实验和设计要求定制，无毛刺锐角,丝印红色品牌LOGO；功能描述：管体具有低膨胀率、耐高温、高强度、高硬度、高透光率和高化学稳定性的优良特性，统一标准外磨口便于安装及拆卸实验仪器，密闭性好，用于液体的蒸馏、分馏，以及物质的制取等。
球形分液漏斗60mL：
规格：60mL，总长224mm（±5mm）壁厚2mm，统一标准磨口24/29；材质：优质高硼硅BORO3.3；工艺：精工烧结打磨，依据实验和设计要求定制，无毛刺锐角,丝印红色品牌LOGO；功能描述：管体具有低膨胀率、耐高温、高强度、高硬度、高透光率和高化学稳定性的优良特性，统一标准内外磨口便于安装及拆卸实验仪器，密闭性好，配套使用优质聚四氟阀门，能够满足多种不同实验计量加液、以及萃取分液的实验需求。
红色硅胶塞：
规格：根据实验需要分为无孔、单孔和双孔；横截面尺寸：①、23号胶塞：20.9×16×27mm（±5mm）；②、30号胶塞：30×22×30mm（±5mm）；③、37号胶塞：37×29×30mm（±5mm）；材质：优质红色硅胶；工艺：采用先进精密硅胶注塑技术一次成型无毛边、无合缝线，硬度适中、易插拔不阻涩；功能描述：用于实验中玻璃仪器的密封或与玻璃导管、温度计等配合使用，满足多种不同实验的密封及导气需求。耐高温、耐酸碱。
▲可完成的基本实验活动：（需提供第三方检测机构出具的检测报告予以证明可完成以下实验内容）
12.氯气的制备及性质研究；           
13.氯水的性质及成分探究；
14.不同价态含硫物质的转化；    
15.常见含氮物质的性质与转化；           
16.用化学沉淀法去除粗盐中的杂质离子。</t>
        </is>
      </c>
      <c r="E24" s="206" t="n">
        <v>1</v>
      </c>
      <c r="F24" s="84" t="inlineStr">
        <is>
          <t>箱</t>
        </is>
      </c>
      <c r="G24" s="81">
        <f>_xlfn.DISPIMG("ID_4AE28E124BAF4F90A275F3C69FDE8E84",1)</f>
        <v/>
      </c>
      <c r="H24" s="207" t="n"/>
      <c r="I24" s="84" t="inlineStr">
        <is>
          <t>JXC-203</t>
        </is>
      </c>
      <c r="J24" s="208" t="inlineStr">
        <is>
          <t>箱体大小：450×320×170mm(±20mm)。
材质：PC材料箱盖，增强型ZQ-ABS树脂材料箱体，增强型PP材质活动卡扣；结构：整体采用加厚增强型扣盖卡扣式设计，箱体为上下面耦合卡槽定位，内置活动式上下双层内衬，嵌入式专槽定位，方便器材取用保管；叠加方式：既可叠加组合摆放，也可放置于仪器柜或货架。
主要配置及特征参数：
90°玻璃弯管（高硼硅3.3，D=8mm，L=85mm+55mm）2支、90°玻璃弯管（高硼硅3.3，D=8mm，L=60mm+190mm）2支、直玻璃导管（D=8mm，L=80mm）2支、尖嘴直玻璃导管（D=8mm，L=200mm）1支、硅胶管（φ7mm×φ10mm，L=80mm）3根、集气瓶（玻璃，125mL，平磨口）2个、毛玻璃片（50mmx50mmx3mm）2片、长颈圆底烧瓶（高硼硅3.3，250mL，磨口24/29 ，170mm×86mm）1个、球形分液漏斗（高硼硅3.3，长颈60mL四氟阀，磨口24/29，下口径8mm）1个、磨口玻璃塞（高硼硅3.3，磨口24/29）1个、具支试管（高硼硅3.3 20mm×200mm）2支、试管（高硼硅3.3 φ20mm×195mm）4支、小试管（高硼硅3.3 φ15mm×150mm）2支、23号红色无孔硅胶塞（16mm/20.9mm/27mm）2个、23号红色单孔硅胶塞（16mm/20.9mm/27mm，孔径Φ7mm）1个、30号红色双孔硅胶塞（30mm/22mm/30mm，孔径Φ7mm）2个、37号红色双孔硅胶塞（37mm/29mm/30mm，孔径Φ7mm）1个、短胶头滴管（高硼硅3.3，细嘴，D=10mm，L=90mm）2支、PH广泛试纸（1～14）1本、红色石蕊试纸1盒、蓝色石蕊试纸1盒、蒸发皿（陶瓷，75mL）1个、玻璃注射器（50mL，口外径7mm）1支、铜片（1×1cm）10片、铜丝（30cm）2根、铁粉1瓶、医用脱脂棉（5g）1包、玻璃漏斗（高硼硅3.3，短颈平口，d=60mm，h=110mm）1个等。
核心产品技术指标：
长颈圆底烧瓶250mL：
规格：250mL；总长170mm（±5mm）壁厚2mm统一标准内磨口24/29；材质：优质高硼硅BORO3.3；工艺：精工烧结打磨，依据实验和设计要求定制，无毛刺锐角,丝印红色品牌LOGO；功能描述：管体具有低膨胀率、耐高温、高强度、高硬度、高透光率和高化学稳定性的优良特性，统一标准外磨口便于安装及拆卸实验仪器，密闭性好，用于液体的蒸馏、分馏，以及物质的制取等。
球形分液漏斗60mL：
规格：60mL，总长224mm（±5mm）壁厚2mm，统一标准磨口24/29；材质：优质高硼硅BORO3.3；工艺：精工烧结打磨，依据实验和设计要求定制，无毛刺锐角,丝印红色品牌LOGO；功能描述：管体具有低膨胀率、耐高温、高强度、高硬度、高透光率和高化学稳定性的优良特性，统一标准内外磨口便于安装及拆卸实验仪器，密闭性好，配套使用优质聚四氟阀门，能够满足多种不同实验计量加液、以及萃取分液的实验需求。
红色硅胶塞：
规格：根据实验需要分为无孔、单孔和双孔；横截面尺寸：①、23号胶塞：20.9×16×27mm（±5mm）；②、30号胶塞：30×22×30mm（±5mm）；③、37号胶塞：37×29×30mm（±5mm）；材质：优质红色硅胶；工艺：采用先进精密硅胶注塑技术一次成型无毛边、无合缝线，硬度适中、易插拔不阻涩；功能描述：用于实验中玻璃仪器的密封或与玻璃导管、温度计等配合使用，满足多种不同实验的密封及导气需求。耐高温、耐酸碱。
▲可完成的基本实验活动：（需提供第三方检测机构出具的检测报告予以证明可完成以下实验内容）
12.氯气的制备及性质研究；           
13.氯水的性质及成分探究；
14.不同价态含硫物质的转化；    
15.常见含氮物质的性质与转化；           
16.用化学沉淀法去除粗盐中的杂质离子。</t>
        </is>
      </c>
      <c r="K24" s="48" t="inlineStr">
        <is>
          <t>乐百仕</t>
        </is>
      </c>
      <c r="L24" s="48" t="inlineStr">
        <is>
          <t>江苏乐百仕教育科技有限公司</t>
        </is>
      </c>
      <c r="M24" s="356" t="n">
        <v>1</v>
      </c>
      <c r="N24" s="356" t="inlineStr">
        <is>
          <t>未找到合适匹配，请人工填写</t>
        </is>
      </c>
      <c r="O24" s="356" t="inlineStr"/>
      <c r="P24" s="356" t="inlineStr"/>
      <c r="Q24" s="356" t="inlineStr"/>
      <c r="R24" s="356" t="inlineStr"/>
      <c r="S24" s="356" t="inlineStr"/>
      <c r="T24" s="356" t="inlineStr"/>
      <c r="U24" s="356" t="inlineStr"/>
      <c r="V24" s="356" t="inlineStr"/>
      <c r="W24" s="356" t="inlineStr"/>
      <c r="X24" s="356" t="inlineStr"/>
      <c r="Y24" s="356" t="inlineStr">
        <is>
          <t>unmatched</t>
        </is>
      </c>
      <c r="Z24" s="356" t="n">
        <v>0</v>
      </c>
      <c r="AA24" s="356" t="inlineStr">
        <is>
          <t>没有找到可靠候选</t>
        </is>
      </c>
      <c r="AB24" s="356" t="inlineStr"/>
    </row>
    <row r="25" customFormat="1" s="6">
      <c r="A25" s="41" t="n">
        <v>26</v>
      </c>
      <c r="B25" s="84" t="inlineStr">
        <is>
          <t>简单的有机化合物及其应用、化学与社会发展</t>
        </is>
      </c>
      <c r="C25" s="78" t="inlineStr">
        <is>
          <t>JXC-204</t>
        </is>
      </c>
      <c r="D25" s="205" t="inlineStr">
        <is>
          <t>箱体规格：450×320×170mm(±10mm)。
材质：PC材料箱盖，增强型ZQ-ABS树脂材料箱体，增强型PP材质活动卡扣；结构：整体采用加厚增强型扣盖卡扣式设计，箱体为上下面耦合卡槽定位，内置活动式上下双层内衬，嵌入式专槽定位，方便器材取用保管；叠加方式：既可叠加组合摆放，也可放置于仪器柜或货架。
主要配置及特征参数：
90°玻璃弯管（高硼硅3.3，D=8mm，L=85mm+55mm）3支、90°玻璃弯管（高硼硅3.3，D=8mm，L=60mm+190mm）3支、直玻璃导管（D=8mm，L=80mm）1支、直玻璃导管（D=8mm，L=200mm）1支、玻璃烧杯（高硼硅3.3，100mL，72mm×54mm）2个、红水温度计（-10～110℃）1支、玻璃量筒（高硼硅3.3，10mL，142mm×16mm×1.8mm）1个、试管（高硼硅3.3 φ20mm×195mm）4支、23号红色单孔硅胶塞（16mm/20.9mm/27mm，孔径Φ7mm）1个、方玻璃片（50mm×50mm×2mm）1片、玻璃锥形瓶（高硼硅3.3，100mL，105mm×64mm）1个、长颈圆底烧瓶（高硼硅3.3，250mL，磨口24/29，170mm×86mm）1个、球形分液漏斗（高硼硅3.3，长颈60mL四氟阀，磨口24/29，下口径8mm）1个、磨口玻璃塞（高硼硅3.3，磨口24/29）1个、具支试管（高硼硅3.3 20mm×200mm）2支、30号红色双孔硅胶塞（30mm/22mm/30mm，孔径Φ7mm）1个、集气瓶（玻璃，125mL，平磨口）2个、37号红色双孔硅胶塞（37mm/29mm/30mm，孔径Φ7mm）2个、红色四氟阀酸式滴定管（高硼硅3.3，25mL）1支、短胶头滴管（高硼硅3.3，细嘴，D=10mm，L=90mm）2支、蒸发皿（陶瓷，75mL）1个、胶头刻度滴管（3mL）1支、铜丝（30cm）2根、PH广泛试纸（1～14）1本、研钵（陶瓷，60mL，附研杵）、细棉纱布1包、硅胶管（φ7mm×φ10mm，L=80mm）6根、玻璃漏斗（高硼硅3.3，短颈平口，d=60mm，h=110mm）等。
核心产品技术指标：
玻璃烧杯：
规格：外形尺寸：①、50mL：62×42mm（±5mm），壁厚2.0mm；②、100mL：72×54mm（±5mm），壁厚2.0mm；③、250mL：99×70mm（±5mm），壁厚2.5mm；材质：优质高硼硅BORO3.3；工艺：精工烧结，依据实验和设计要求定制，无毛刺锐角，丝印白色品牌LOGO；功能描述：管体具有低膨胀率、耐高温、高强度、高硬度、高透光率和高化学稳定性的优良特性，用作配制溶液和作为较大量的试剂化学反应容器。
玻璃量筒：
规格：外形尺寸：①、10mL：142×16×1.8mm，壁厚1.8mm；②、25mL：168×21×1.8mm，壁厚1.8mm；③、50mL：195×25.7×2mm，壁厚2mm；④、100mL：243×31.9×2mm，壁厚2.0mm；材质：优质高硼硅BORO3.3；工艺：精工烧结，依据实验和设计要求定制，无毛刺锐角，丝印红色品牌LOGO；功能描述：管体具有低膨胀率、耐高温、高强度、高硬度、高透光率和高化学稳定性的优良特性，用来定量量取液体。
红色硅胶塞：
规格：根据实验需要分为无孔、单孔和双孔；横截面尺寸：①、23号胶塞：20.9×16×27mm（±5mm）；②、30号胶塞：30×22×30mm（±5mm）；③、37号胶塞：37×29×30mm（±5mm）；材质：优质红色硅胶；工艺：采用先进精密硅胶注塑技术一次成型无毛边、无合缝线，硬度适中、易插拔不阻涩；功能描述：用于实验中玻璃仪器的密封或与玻璃导管、温度计等配合使用，满足多种不同实验的密封及导气需求。耐高温、耐酸碱。
长颈圆底烧瓶250mL：
规格：250mL；总长170mm（±5mm）壁厚2mm统一标准内磨口24/29；材质：优质高硼硅BORO3.3；工艺：精工烧结打磨，依据实验和设计要求定制，无毛刺锐角,丝印红色品牌LOGO；功能描述：管体具有低膨胀率、耐高温、高强度、高硬度、高透光率和高化学稳定性的优良特性，统一标准外磨口便于安装及拆卸实验仪器，密闭性好，用于液体的蒸馏、分馏，以及物质的制取等。
球形分液漏斗60mL：
规格：60mL，总长224mm（±5mm）壁厚2mm，统一标准磨口24/29；材质：优质高硼硅BORO3.3；工艺：精工烧结打磨，依据实验和设计要求定制，无毛刺锐角,丝印红色品牌LOGO；功能描述：管体具有低膨胀率、耐高温、高强度、高硬度、高透光率和高化学稳定性的优良特性，统一标准内外磨口便于安装及拆卸实验仪器，密闭性好，配套使用优质聚四氟阀门，能够满足多种不同实验计量加液、以及萃取分液的实验需求。
▲可完成的基本实验活动：（需提供第三方检测机构出具的检测报告予以证明可完成以下实验内容）
22.搭建球棍模型认识有机化合物分子结构的特点；
23.探究乙烯的化学性质；
24.探究乙醇、乙酸的主要性质；
25.补铁剂、抗酸性胃药中有效成分的检验；
26.不同水果中维生素C含量的比较；
27.实验室模拟海水提溴、提镁。</t>
        </is>
      </c>
      <c r="E25" s="206" t="n">
        <v>1</v>
      </c>
      <c r="F25" s="84" t="inlineStr">
        <is>
          <t>箱</t>
        </is>
      </c>
      <c r="G25" s="81">
        <f>_xlfn.DISPIMG("ID_B09367643AD547A7A42C074326C70060",1)</f>
        <v/>
      </c>
      <c r="H25" s="207" t="n"/>
      <c r="I25" s="84" t="inlineStr">
        <is>
          <t>JXC-204</t>
        </is>
      </c>
      <c r="J25" s="208" t="inlineStr">
        <is>
          <t>箱体大小：450×320×170mm(±20mm)。
材质：PC材料箱盖，增强型ZQ-ABS树脂材料箱体，增强型PP材质活动卡扣；结构：整体采用加厚增强型扣盖卡扣式设计，箱体为上下面耦合卡槽定位，内置活动式上下双层内衬，嵌入式专槽定位，方便器材取用保管；叠加方式：既可叠加组合摆放，也可放置于仪器柜或货架。
主要配置及特征参数：
90°玻璃弯管（高硼硅3.3，D=8mm，L=85mm+55mm）3支、90°玻璃弯管（高硼硅3.3，D=8mm，L=60mm+190mm）3支、直玻璃导管（D=8mm，L=80mm）1支、直玻璃导管（D=8mm，L=200mm）1支、玻璃烧杯（高硼硅3.3，100mL，72mm×54mm）2个、红水温度计（-10～110℃）1支、玻璃量筒（高硼硅3.3，10mL，142mm×16mm×1.8mm）1个、试管（高硼硅3.3 φ20mm×195mm）4支、23号红色单孔硅胶塞（16mm/20.9mm/27mm，孔径Φ7mm）1个、方玻璃片（50mm×50mm×2mm）1片、玻璃锥形瓶（高硼硅3.3，100mL，105mm×64mm）1个、长颈圆底烧瓶（高硼硅3.3，250mL，磨口24/29，170mm×86mm）1个、球形分液漏斗（高硼硅3.3，长颈60mL四氟阀，磨口24/29，下口径8mm）1个、磨口玻璃塞（高硼硅3.3，磨口24/29）1个、具支试管（高硼硅3.3 20mm×200mm）2支、30号红色双孔硅胶塞（30mm/22mm/30mm，孔径Φ7mm）1个、集气瓶（玻璃，125mL，平磨口）2个、37号红色双孔硅胶塞（37mm/29mm/30mm，孔径Φ7mm）2个、红色四氟阀酸式滴定管（高硼硅3.3，25mL）1支、短胶头滴管（高硼硅3.3，细嘴，D=10mm，L=90mm）2支、蒸发皿（陶瓷，75mL）1个、胶头刻度滴管（3mL）1支、铜丝（30cm）2根、PH广泛试纸（1～14）1本、研钵（陶瓷，60mL，附研杵）、细棉纱布1包、硅胶管（φ7mm×φ10mm，L=80mm）6根、玻璃漏斗（高硼硅3.3，短颈平口，d=60mm，h=110mm）等。
核心产品技术指标：
玻璃烧杯：
规格：外形尺寸：①、50mL：62×42mm（±5mm），壁厚2.0mm；②、100mL：72×54mm（±5mm），壁厚2.0mm；③、250mL：99×70mm（±5mm），壁厚2.5mm；材质：优质高硼硅BORO3.3；工艺：精工烧结，依据实验和设计要求定制，无毛刺锐角，丝印白色品牌LOGO；功能描述：管体具有低膨胀率、耐高温、高强度、高硬度、高透光率和高化学稳定性的优良特性，用作配制溶液和作为较大量的试剂化学反应容器。
玻璃量筒：
规格：外形尺寸：①、10mL：142×16×1.8mm，壁厚1.8mm；②、25mL：168×21×1.8mm，壁厚1.8mm；③、50mL：195×25.7×2mm，壁厚2mm；④、100mL：243×31.9×2mm，壁厚2.0mm；材质：优质高硼硅BORO3.3；工艺：精工烧结，依据实验和设计要求定制，无毛刺锐角，丝印红色品牌LOGO；功能描述：管体具有低膨胀率、耐高温、高强度、高硬度、高透光率和高化学稳定性的优良特性，用来定量量取液体。
红色硅胶塞：
规格：根据实验需要分为无孔、单孔和双孔；横截面尺寸：①、23号胶塞：20.9×16×27mm（±5mm）；②、30号胶塞：30×22×30mm（±5mm）；③、37号胶塞：37×29×30mm（±5mm）；材质：优质红色硅胶；工艺：采用先进精密硅胶注塑技术一次成型无毛边、无合缝线，硬度适中、易插拔不阻涩；功能描述：用于实验中玻璃仪器的密封或与玻璃导管、温度计等配合使用，满足多种不同实验的密封及导气需求。耐高温、耐酸碱。
长颈圆底烧瓶250mL：
规格：250mL；总长170mm（±5mm）壁厚2mm统一标准内磨口24/29；材质：优质高硼硅BORO3.3；工艺：精工烧结打磨，依据实验和设计要求定制，无毛刺锐角,丝印红色品牌LOGO；功能描述：管体具有低膨胀率、耐高温、高强度、高硬度、高透光率和高化学稳定性的优良特性，统一标准外磨口便于安装及拆卸实验仪器，密闭性好，用于液体的蒸馏、分馏，以及物质的制取等。
球形分液漏斗60mL：
规格：60mL，总长224mm（±5mm）壁厚2mm，统一标准磨口24/29；材质：优质高硼硅BORO3.3；工艺：精工烧结打磨，依据实验和设计要求定制，无毛刺锐角,丝印红色品牌LOGO；功能描述：管体具有低膨胀率、耐高温、高强度、高硬度、高透光率和高化学稳定性的优良特性，统一标准内外磨口便于安装及拆卸实验仪器，密闭性好，配套使用优质聚四氟阀门，能够满足多种不同实验计量加液、以及萃取分液的实验需求。
▲可完成的基本实验活动：（需提供第三方检测机构出具的检测报告予以证明可完成以下实验内容）
22.搭建球棍模型认识有机化合物分子结构的特点；
23.探究乙烯的化学性质；
24.探究乙醇、乙酸的主要性质；
25.补铁剂、抗酸性胃药中有效成分的检验；
26.不同水果中维生素C含量的比较；
27.实验室模拟海水提溴、提镁。</t>
        </is>
      </c>
      <c r="K25" s="48" t="inlineStr">
        <is>
          <t>乐百仕</t>
        </is>
      </c>
      <c r="L25" s="48" t="inlineStr">
        <is>
          <t>江苏乐百仕教育科技有限公司</t>
        </is>
      </c>
      <c r="M25" s="356" t="n">
        <v>1</v>
      </c>
      <c r="N25" s="356" t="inlineStr">
        <is>
          <t>未找到合适匹配，请人工填写</t>
        </is>
      </c>
      <c r="O25" s="356" t="inlineStr"/>
      <c r="P25" s="356" t="inlineStr"/>
      <c r="Q25" s="356" t="inlineStr"/>
      <c r="R25" s="356" t="inlineStr"/>
      <c r="S25" s="356" t="inlineStr"/>
      <c r="T25" s="356" t="inlineStr"/>
      <c r="U25" s="356" t="inlineStr"/>
      <c r="V25" s="356" t="inlineStr"/>
      <c r="W25" s="356" t="inlineStr"/>
      <c r="X25" s="356" t="inlineStr"/>
      <c r="Y25" s="356" t="inlineStr">
        <is>
          <t>unmatched</t>
        </is>
      </c>
      <c r="Z25" s="356" t="n">
        <v>0</v>
      </c>
      <c r="AA25" s="356" t="inlineStr">
        <is>
          <t>没有找到可靠候选</t>
        </is>
      </c>
      <c r="AB25" s="356" t="inlineStr"/>
    </row>
    <row r="26" customFormat="1" s="6">
      <c r="A26" s="41" t="n">
        <v>27</v>
      </c>
      <c r="B26" s="84" t="inlineStr">
        <is>
          <t>化学反应与能量</t>
        </is>
      </c>
      <c r="C26" s="78" t="inlineStr">
        <is>
          <t>JXC-205</t>
        </is>
      </c>
      <c r="D26" s="205" t="inlineStr">
        <is>
          <t>箱体规格：450×320×170mm(±10mm)。
材质：炭黑色优质PC材料箱盖，橙色增强型ABS树脂材料箱体，紫色增强型PP材质活动卡扣；结构：整体采用加厚增强型扣盖卡扣式设计，箱体为上下面耦合卡槽定位，内置活动式上下双层内衬，嵌入式专槽定位，方便器材取用保管；叠加方式：既可叠加组合摆放，也可放置于仪器柜或货架。
主要配置及特征参数：
玻璃烧杯（高硼硅3.3，250mL，99mm×70mm）1个、玻璃烧杯（高硼硅3.3，100mL，72mm×54mm）2个、U型干燥管（高硼硅3.3，磨口24/29，L=160mm）1支、30号红色单孔硅胶塞（30mm/22mm/30mm，孔径Φ7mm）2个、上具支U形干燥管（高硼硅3.3，磨口24/29，两侧具支口d=9.3mm，L=160mm）1支、大试管（高硼硅3.3 30mm×200mm）2支、试管（高硼硅3.3 φ20mm×195mm）2支、具支试管（高硼硅3.3 20mm×200mm）1支、23号红色无孔硅胶塞（16mm/20.9mm/27mm）1个、90°玻璃弯管60mm+190mm（高硼硅3.3，D=8mm，L=60mm+190mm）2支、玻璃量筒（高硼硅3.3，10mL，142mm×16mm×1.8mm）1个、短胶头滴管（高硼硅3.3，细嘴，D=10mm，L=90mm）1支、盐桥 1个、碘化钾淀粉试纸1盒、硅胶管（φ7mm×φ10mm，L=80mm）2根、铁钉（L=40mm）1盒、玻璃棒（高硼硅3.3，D=6mm，L=300mm）1支等。
核心产品技术指标：
玻璃烧杯：
规格：外形尺寸：①、50mL：62×42mm（±5mm），壁厚2.0mm；②、100mL：72×54mm（±5mm），壁厚2.0mm；③、250mL：99×70mm（±5mm），壁厚2.5mm；材质：优质高硼硅BORO3.3；工艺：精工烧结，依据实验和设计要求定制，无毛刺锐角，丝印白色品牌LOGO；功能描述：管体具有低膨胀率、耐高温、高强度、高硬度、高透光率和高化学稳定性的优良特性，用作配制溶液和作为较大量的试剂化学反应容器。
U型干燥管：
规格：外形尺寸160×101×28mm，管口内外径28×24mm，壁厚2mm ，统一标准内磨口24/29；材质：优质高硼硅BORO3.3；工艺：精工烧结打磨，依据实验和设计要求定制，无毛刺锐角,丝印红色品牌LOGO；功能描述：管体具有低膨胀率、耐高温、高强度、高硬度、高透光率和高化学稳定性的优良特性，统一标准内磨口便于安装及拆卸实验仪器，密闭性好,满足多种不同实验的干燥气体或去除气体杂质需求。
玻璃量筒：
规格：外形尺寸：①、10mL：142×16×1.8mm，壁厚1.8mm；②、25mL：168×21×1.8mm，壁厚1.8mm；③、50mL：195×25.7×2mm，壁厚2mm；④、100mL：243×31.9×2mm，壁厚2.0mm；材质：优质高硼硅BORO3.3；工艺：精工烧结，依据实验和设计要求定制，无毛刺锐角，丝印红色品牌LOGO；功能描述：管体具有低膨胀率、耐高温、高强度、高硬度、高透光率和高化学稳定性的优良特性，用来定量量取液体。
红色硅胶塞：
规格：根据实验需要分为无孔、单孔和双孔；横截面尺寸：①、23号胶塞：20.9×16×27mm（±5mm）；②、30号胶塞：30×22×30mm（±5mm）；③、37号胶塞：37×29×30mm（±5mm）；材质：优质红色硅胶；工艺：采用先进精密硅胶注塑技术一次成型无毛边、无合缝线，硬度适中、易插拔不阻涩；功能描述：用于实验中玻璃仪器的密封或与玻璃导管、温度计等配合使用，满足多种不同实验的密封及导气需求。耐高温、耐酸碱。
可完成的基本实验活动：
28.探究双液电池的构成及其工作原理；
29.制作简单的燃料电池；
30.电解氯化铜溶液；
31.电解饱和食盐水；
32.简单的电镀实验；
33.吸氧腐蚀。</t>
        </is>
      </c>
      <c r="E26" s="206" t="n">
        <v>1</v>
      </c>
      <c r="F26" s="84" t="inlineStr">
        <is>
          <t>箱</t>
        </is>
      </c>
      <c r="G26" s="81">
        <f>_xlfn.DISPIMG("ID_BF6B724835E34271AD1001456125F99E",1)</f>
        <v/>
      </c>
      <c r="H26" s="207" t="n"/>
      <c r="I26" s="84" t="inlineStr">
        <is>
          <t>JXC-205</t>
        </is>
      </c>
      <c r="J26" s="208" t="inlineStr">
        <is>
          <t>箱体大小：450×320×170mm(±20mm)。
材质：炭黑色优质PC材料箱盖，橙色增强型ABS树脂材料箱体，紫色增强型PP材质活动卡扣；结构：整体采用加厚增强型扣盖卡扣式设计，箱体为上下面耦合卡槽定位，内置活动式上下双层内衬，嵌入式专槽定位，方便器材取用保管；叠加方式：既可叠加组合摆放，也可放置于仪器柜或货架。
主要配置及特征参数：
玻璃烧杯（高硼硅3.3，250mL，99mm×70mm）1个、玻璃烧杯（高硼硅3.3，100mL，72mm×54mm）2个、U型干燥管（高硼硅3.3，磨口24/29，L=160mm）1支、30号红色单孔硅胶塞（30mm/22mm/30mm，孔径Φ7mm）2个、上具支U形干燥管（高硼硅3.3，磨口24/29，两侧具支口d=9.3mm，L=160mm）1支、大试管（高硼硅3.3 30mm×200mm）2支、试管（高硼硅3.3 φ20mm×195mm）2支、具支试管（高硼硅3.3 20mm×200mm）1支、23号红色无孔硅胶塞（16mm/20.9mm/27mm）1个、90°玻璃弯管60mm+190mm（高硼硅3.3，D=8mm，L=60mm+190mm）2支、玻璃量筒（高硼硅3.3，10mL，142mm×16mm×1.8mm）1个、短胶头滴管（高硼硅3.3，细嘴，D=10mm，L=90mm）1支、盐桥 1个、碘化钾淀粉试纸1盒、硅胶管（φ7mm×φ10mm，L=80mm）2根、铁钉（L=40mm）1盒、玻璃棒（高硼硅3.3，D=6mm，L=300mm）1支等。
核心产品技术指标：
玻璃烧杯：
规格：外形尺寸：①、50mL：62×42mm（±5mm），壁厚2.0mm；②、100mL：72×54mm（±5mm），壁厚2.0mm；③、250mL：99×70mm（±5mm），壁厚2.5mm；材质：优质高硼硅BORO3.3；工艺：精工烧结，依据实验和设计要求定制，无毛刺锐角，丝印白色品牌LOGO；功能描述：管体具有低膨胀率、耐高温、高强度、高硬度、高透光率和高化学稳定性的优良特性，用作配制溶液和作为较大量的试剂化学反应容器。
U型干燥管：
规格：外形尺寸160×101×28mm，管口内外径28×24mm，壁厚2mm ，统一标准内磨口24/29；材质：优质高硼硅BORO3.3；工艺：精工烧结打磨，依据实验和设计要求定制，无毛刺锐角,丝印红色品牌LOGO；功能描述：管体具有低膨胀率、耐高温、高强度、高硬度、高透光率和高化学稳定性的优良特性，统一标准内磨口便于安装及拆卸实验仪器，密闭性好,满足多种不同实验的干燥气体或去除气体杂质需求。
玻璃量筒：
规格：外形尺寸：①、10mL：142×16×1.8mm，壁厚1.8mm；②、25mL：168×21×1.8mm，壁厚1.8mm；③、50mL：195×25.7×2mm，壁厚2mm；④、100mL：243×31.9×2mm，壁厚2.0mm；材质：优质高硼硅BORO3.3；工艺：精工烧结，依据实验和设计要求定制，无毛刺锐角，丝印红色品牌LOGO；功能描述：管体具有低膨胀率、耐高温、高强度、高硬度、高透光率和高化学稳定性的优良特性，用来定量量取液体。
红色硅胶塞：
规格：根据实验需要分为无孔、单孔和双孔；横截面尺寸：①、23号胶塞：20.9×16×27mm（±5mm）；②、30号胶塞：30×22×30mm（±5mm）；③、37号胶塞：37×29×30mm（±5mm）；材质：优质红色硅胶；工艺：采用先进精密硅胶注塑技术一次成型无毛边、无合缝线，硬度适中、易插拔不阻涩；功能描述：用于实验中玻璃仪器的密封或与玻璃导管、温度计等配合使用，满足多种不同实验的密封及导气需求。耐高温、耐酸碱。
可完成的基本实验活动：
28.探究双液电池的构成及其工作原理；
29.制作简单的燃料电池；
30.电解氯化铜溶液；
31.电解饱和食盐水；
32.简单的电镀实验；
33.吸氧腐蚀。</t>
        </is>
      </c>
      <c r="K26" s="48" t="inlineStr">
        <is>
          <t>乐百仕</t>
        </is>
      </c>
      <c r="L26" s="48" t="inlineStr">
        <is>
          <t>江苏乐百仕教育科技有限公司</t>
        </is>
      </c>
      <c r="M26" s="356" t="n">
        <v>1</v>
      </c>
      <c r="N26" s="356" t="inlineStr">
        <is>
          <t>未找到合适匹配，请人工填写</t>
        </is>
      </c>
      <c r="O26" s="356" t="inlineStr"/>
      <c r="P26" s="356" t="inlineStr"/>
      <c r="Q26" s="356" t="inlineStr"/>
      <c r="R26" s="356" t="inlineStr"/>
      <c r="S26" s="356" t="inlineStr"/>
      <c r="T26" s="356" t="inlineStr"/>
      <c r="U26" s="356" t="inlineStr"/>
      <c r="V26" s="356" t="inlineStr"/>
      <c r="W26" s="356" t="inlineStr"/>
      <c r="X26" s="356" t="inlineStr"/>
      <c r="Y26" s="356" t="inlineStr">
        <is>
          <t>unmatched</t>
        </is>
      </c>
      <c r="Z26" s="356" t="n">
        <v>0</v>
      </c>
      <c r="AA26" s="356" t="inlineStr">
        <is>
          <t>没有找到可靠候选</t>
        </is>
      </c>
      <c r="AB26" s="356" t="inlineStr"/>
    </row>
    <row r="27" customFormat="1" s="6">
      <c r="A27" s="41" t="n">
        <v>28</v>
      </c>
      <c r="B27" s="84" t="inlineStr">
        <is>
          <t>化学反应的方向、限度和速率</t>
        </is>
      </c>
      <c r="C27" s="78" t="inlineStr">
        <is>
          <t>JXC-206</t>
        </is>
      </c>
      <c r="D27" s="205" t="inlineStr">
        <is>
          <t>箱体规格：450×320×170mm(±10mm)。
材质：炭黑色优质PC材料箱盖，橙色增强型ABS树脂材料箱体，紫色增强型PP材质活动卡扣；结构：整体采用加厚增强型扣盖卡扣式设计，箱体为上下面耦合卡槽定位，内置活动式上下双层内衬，嵌入式专槽定位，方便器材取用保管；叠加方式：既可叠加组合摆放，也可放置于仪器柜或货架。
主要配置及特征参数：
玻璃烧杯（高硼硅3.3，250mL，99mm×70mm）2个、玻璃烧杯（高硼硅3.3，50mL，62mm×42mm）1个、红水温度计（-10～110℃）1支、电子温度计1个、玻璃量筒（高硼硅3.3，50mL，195mm×25.7mm×2mm）1个、玻璃量筒（高硼硅3.3，10mL，142mm×16mm×1.8mm）1个、试管（高硼硅3.3 φ20mm×195mm）7支、二氧化氮NO2平衡球1个、30号红色双孔硅胶塞（30mm/22mm/30mm，孔径Φ7mm）1个、90°玻璃弯管（高硼硅3.3，D=8mm，L=85mm+55mm）1支、玻璃锥形瓶（高硼硅3.3，100mL，105mm×64mm）1个、球形分液漏斗（高硼硅3.3，长颈60mL四氟阀，磨口24/29，下口径8mm）1个、磨口玻璃塞（高硼硅3.3，磨口24/29）1个、短胶头滴管（高硼硅3.3，细嘴，D=10mm，L=90mm）4支、电子秒表计时器（PVC）1个、玻璃注射器（50mL，口外径7mm，带硅胶塞）1支、硅胶管（φ7mm×φ10mm，L=80mm）2根等。
核心产品技术指标：
玻璃烧杯：
规格：外形尺寸：①、50mL：62×42mm（±5mm），壁厚2.0mm；②、100mL：72×54mm（±5mm），壁厚2.0mm；③、250mL：99×70mm（±5mm），壁厚2.5mm；材质：优质高硼硅BORO3.3；工艺：精工烧结，依据实验和设计要求定制，无毛刺锐角，丝印白色品牌LOGO；功能描述：管体具有低膨胀率、耐高温、高强度、高硬度、高透光率和高化学稳定性的优良特性，用作配制溶液和作为较大量的试剂化学反应容器。
玻璃量筒：
规格：外形尺寸：①、10mL：142×16×1.8mm，壁厚1.8mm；②、25mL：168×21×1.8mm，壁厚1.8mm；③、50mL：195×25.7×2mm，壁厚2mm；④、100mL：243×31.9×2mm，壁厚2.0mm；材质：优质高硼硅BORO3.3；工艺：精工烧结，依据实验和设计要求定制，无毛刺锐角，丝印红色品牌LOGO；功能描述：管体具有低膨胀率、耐高温、高强度、高硬度、高透光率和高化学稳定性的优良特性，用来定量量取液体。
试管φ20mm×195mm：
规格：外形尺寸195×20mm（±5mm），壁厚2mm；材质：优质高硼硅BORO3.3；工艺：精工烧结，依据实验和设计要求定制，无毛刺锐角；功能描述：管体具有低膨胀率、耐高温、高强度、高硬度、高透光率和高化学稳定性的优良特性，既可用作少量试剂的化学反应容器，也可在常温或加热时使用。
红色硅胶塞：
规格：根据实验需要分为无孔、单孔和双孔；横截面尺寸：①、23号胶塞：20.9×16×27mm（±5mm）；②、30号胶塞：30×22×30mm（±5mm）；③、37号胶塞：37×29×30mm（±5mm）；材质：优质红色硅胶；工艺：采用先进精密硅胶注塑技术一次成型无毛边、无合缝线，硬度适中、易插拔不阻涩；功能描述：用于实验中玻璃仪器的密封或与玻璃导管、温度计等配合使用，满足多种不同实验的密封及导气需求。耐高温、耐酸碱。
球形分液漏斗60mL：
规格：60mL，总长224mm（±5mm）壁厚2mm，统一标准磨口24/29；材质：优质高硼硅BORO3.3；工艺：精工烧结打磨，依据实验和设计要求定制，无毛刺锐角,丝印红色品牌LOGO；功能描述：管体具有低膨胀率、耐高温、高强度、高硬度、高透光率和高化学稳定性的优良特性，统一标准内外磨口便于安装及拆卸实验仪器，密闭性好，配套使用优质聚四氟阀门，能够满足多种不同实验计量加液、以及萃取分液的实验需求。
可完成的基本实验活动：
34.探究影响化学平衡移动的因素；
35.探究影响反应速率的因素。</t>
        </is>
      </c>
      <c r="E27" s="206" t="n">
        <v>1</v>
      </c>
      <c r="F27" s="84" t="inlineStr">
        <is>
          <t>箱</t>
        </is>
      </c>
      <c r="G27" s="81">
        <f>_xlfn.DISPIMG("ID_CE06FC19A0A04AC0B73C6592D02FD26A",1)</f>
        <v/>
      </c>
      <c r="H27" s="207" t="n"/>
      <c r="I27" s="84" t="inlineStr">
        <is>
          <t>JXC-206</t>
        </is>
      </c>
      <c r="J27" s="208" t="inlineStr">
        <is>
          <t>箱体大小：450×320×170mm(±20mm)。
材质：炭黑色优质PC材料箱盖，橙色增强型ABS树脂材料箱体，紫色增强型PP材质活动卡扣；结构：整体采用加厚增强型扣盖卡扣式设计，箱体为上下面耦合卡槽定位，内置活动式上下双层内衬，嵌入式专槽定位，方便器材取用保管；叠加方式：既可叠加组合摆放，也可放置于仪器柜或货架。
主要配置及特征参数：
玻璃烧杯（高硼硅3.3，250mL，99mm×70mm）2个、玻璃烧杯（高硼硅3.3，50mL，62mm×42mm）1个、红水温度计（-10～110℃）1支、电子温度计1个、玻璃量筒（高硼硅3.3，50mL，195mm×25.7mm×2mm）1个、玻璃量筒（高硼硅3.3，10mL，142mm×16mm×1.8mm）1个、试管（高硼硅3.3 φ20mm×195mm）7支、二氧化氮NO2平衡球1个、30号红色双孔硅胶塞（30mm/22mm/30mm，孔径Φ7mm）1个、90°玻璃弯管（高硼硅3.3，D=8mm，L=85mm+55mm）1支、玻璃锥形瓶（高硼硅3.3，100mL，105mm×64mm）1个、球形分液漏斗（高硼硅3.3，长颈60mL四氟阀，磨口24/29，下口径8mm）1个、磨口玻璃塞（高硼硅3.3，磨口24/29）1个、短胶头滴管（高硼硅3.3，细嘴，D=10mm，L=90mm）4支、电子秒表计时器（PVC）1个、玻璃注射器（50mL，口外径7mm，带硅胶塞）1支、硅胶管（φ7mm×φ10mm，L=80mm）2根等。
核心产品技术指标：
玻璃烧杯：
规格：外形尺寸：①、50mL：62×42mm（±5mm），壁厚2.0mm；②、100mL：72×54mm（±5mm），壁厚2.0mm；③、250mL：99×70mm（±5mm），壁厚2.5mm；材质：优质高硼硅BORO3.3；工艺：精工烧结，依据实验和设计要求定制，无毛刺锐角，丝印白色品牌LOGO；功能描述：管体具有低膨胀率、耐高温、高强度、高硬度、高透光率和高化学稳定性的优良特性，用作配制溶液和作为较大量的试剂化学反应容器。
玻璃量筒：
规格：外形尺寸：①、10mL：142×16×1.8mm，壁厚1.8mm；②、25mL：168×21×1.8mm，壁厚1.8mm；③、50mL：195×25.7×2mm，壁厚2mm；④、100mL：243×31.9×2mm，壁厚2.0mm；材质：优质高硼硅BORO3.3；工艺：精工烧结，依据实验和设计要求定制，无毛刺锐角，丝印红色品牌LOGO；功能描述：管体具有低膨胀率、耐高温、高强度、高硬度、高透光率和高化学稳定性的优良特性，用来定量量取液体。
试管φ20mm×195mm：
规格：外形尺寸195×20mm（±5mm），壁厚2mm；材质：优质高硼硅BORO3.3；工艺：精工烧结，依据实验和设计要求定制，无毛刺锐角；功能描述：管体具有低膨胀率、耐高温、高强度、高硬度、高透光率和高化学稳定性的优良特性，既可用作少量试剂的化学反应容器，也可在常温或加热时使用。
红色硅胶塞：
规格：根据实验需要分为无孔、单孔和双孔；横截面尺寸：①、23号胶塞：20.9×16×27mm（±5mm）；②、30号胶塞：30×22×30mm（±5mm）；③、37号胶塞：37×29×30mm（±5mm）；材质：优质红色硅胶；工艺：采用先进精密硅胶注塑技术一次成型无毛边、无合缝线，硬度适中、易插拔不阻涩；功能描述：用于实验中玻璃仪器的密封或与玻璃导管、温度计等配合使用，满足多种不同实验的密封及导气需求。耐高温、耐酸碱。
球形分液漏斗60mL：
规格：60mL，总长224mm（±5mm）壁厚2mm，统一标准磨口24/29；材质：优质高硼硅BORO3.3；工艺：精工烧结打磨，依据实验和设计要求定制，无毛刺锐角,丝印红色品牌LOGO；功能描述：管体具有低膨胀率、耐高温、高强度、高硬度、高透光率和高化学稳定性的优良特性，统一标准内外磨口便于安装及拆卸实验仪器，密闭性好，配套使用优质聚四氟阀门，能够满足多种不同实验计量加液、以及萃取分液的实验需求。
可完成的基本实验活动：
34.探究影响化学平衡移动的因素；
35.探究影响反应速率的因素。</t>
        </is>
      </c>
      <c r="K27" s="48" t="inlineStr">
        <is>
          <t>乐百仕</t>
        </is>
      </c>
      <c r="L27" s="48" t="inlineStr">
        <is>
          <t>江苏乐百仕教育科技有限公司</t>
        </is>
      </c>
      <c r="M27" s="356" t="n">
        <v>1</v>
      </c>
      <c r="N27" s="356" t="inlineStr">
        <is>
          <t>未找到合适匹配，请人工填写</t>
        </is>
      </c>
      <c r="O27" s="356" t="inlineStr"/>
      <c r="P27" s="356" t="inlineStr"/>
      <c r="Q27" s="356" t="inlineStr"/>
      <c r="R27" s="356" t="inlineStr"/>
      <c r="S27" s="356" t="inlineStr"/>
      <c r="T27" s="356" t="inlineStr"/>
      <c r="U27" s="356" t="inlineStr"/>
      <c r="V27" s="356" t="inlineStr"/>
      <c r="W27" s="356" t="inlineStr"/>
      <c r="X27" s="356" t="inlineStr"/>
      <c r="Y27" s="356" t="inlineStr">
        <is>
          <t>unmatched</t>
        </is>
      </c>
      <c r="Z27" s="356" t="n">
        <v>0</v>
      </c>
      <c r="AA27" s="356" t="inlineStr">
        <is>
          <t>没有找到可靠候选</t>
        </is>
      </c>
      <c r="AB27" s="356" t="inlineStr"/>
    </row>
    <row r="28" customFormat="1" s="6">
      <c r="A28" s="41" t="n">
        <v>29</v>
      </c>
      <c r="B28" s="84" t="inlineStr">
        <is>
          <t>水溶液中的离子反应与平衡</t>
        </is>
      </c>
      <c r="C28" s="78" t="inlineStr">
        <is>
          <t>JXC-207</t>
        </is>
      </c>
      <c r="D28" s="205" t="inlineStr">
        <is>
          <t>箱体规格：450×320×170mm(±10mm)。
材质：炭黑色优质PC材料箱盖，橙色增强型ABS树脂材料箱体，紫色增强型PP材质活动卡扣；结构：整体采用加厚增强型扣盖卡扣式设计，箱体为上下面耦合卡槽定位，内置活动式上下双层内衬，嵌入式专槽定位，方便器材取用保管；叠加方式：既可叠加组合摆放，也可放置于仪器柜或货架。
主要配置及特征参数：
玻璃烧杯（高硼硅3.3，250mL，99mm×70mm）2个、玻璃烧杯（高硼硅3.3，100mL，72mm×54mm）2个、红水温度计（-10～110℃）1支、玻璃量筒（高硼硅3.3，50mL，195mm×25.7mm×2mm）1支、玻璃量筒（高硼硅3.3，10mL，142mm×16mm×1.8mm）1支、试管（高硼硅3.3 φ20mm×195mm）6支、小试管（高硼硅3.3 φ15mm×150mm）2支、玻璃锥形瓶（高硼硅3.3，100mL，105mm×64mm）1个、PH计（酸度计）1件、短胶头滴管（高硼硅3.3，细嘴，D=10mm，L=90mm）1支、蓝色四氟阀碱式滴定管（高硼硅3.3，25mL）1支、红色四氟阀酸式滴定管（高硼硅3.3，25mL）1支、集气瓶（玻璃，125mL，平磨口）1个、37号红色双孔硅胶塞（37mm/29mm/30mm，孔径Φ7mm）1个、90°玻璃弯管（高硼硅3.3，D=8mm，L=60mm+190mm）2支、90°玻璃弯管（高硼硅3.3，D=8mm，L=85mm+55mm）3支、PH广泛试纸（1～14）1本、球形分液漏斗（高硼硅3.3，长颈60mL四氟阀，磨口24/29，下口径8mm）1个、磨口玻璃塞（高硼硅3.3，磨口24/29）1个、30号红色双孔硅胶塞（30mm/22mm/30mm，孔径Φ7mm）1个、蒸发皿（陶瓷，75mL）1个、硅胶管（φ7mm×φ10mm，L=80mm）3根等。
核心产品技术指标：
玻璃烧杯：
规格：外形尺寸：①、50mL：62×42mm（±5mm），壁厚2.0mm；②、100mL：72×54mm（±5mm），壁厚2.0mm；③、250mL：99×70mm（±5mm），壁厚2.5mm；材质：优质高硼硅BORO3.3；工艺：精工烧结，依据实验和设计要求定制，无毛刺锐角，丝印白色品牌LOGO；功能描述：管体具有低膨胀率、耐高温、高强度、高硬度、高透光率和高化学稳定性的优良特性，用作配制溶液和作为较大量的试剂化学反应容器。
玻璃量筒：
规格：外形尺寸：①、10mL：142×16×1.8mm，壁厚1.8mm；②、25mL：168×21×1.8mm，壁厚1.8mm；③、50mL：195×25.7×2mm，壁厚2mm；④、100mL：243×31.9×2mm，壁厚2.0mm；材质：优质高硼硅BORO3.3；工艺：精工烧结，依据实验和设计要求定制，无毛刺锐角，丝印红色品牌LOGO；功能描述：管体具有低膨胀率、耐高温、高强度、高硬度、高透光率和高化学稳定性的优良特性，用来定量量取液体。
试管φ20mm×195mm：
规格：外形尺寸195×20mm（±5mm），壁厚2mm；材质：优质高硼硅BORO3.3；工艺：精工烧结，依据实验和设计要求定制，无毛刺锐角；功能描述：管体具有低膨胀率、耐高温、高强度、高硬度、高透光率和高化学稳定性的优良特性，既可用作少量试剂的化学反应容器，也可在常温或加热时使用。
红色四氟阀酸式滴定管：
规格：φ14×380mm；材质：优质高硼硅BORO3.3；工艺：精工烧结，依据实验和设计要求定制，无毛刺锐角；功能描述：管体具有低膨胀率、耐高温、高强度、高硬度、高透光率和高化学稳定性的优良特性，专用四氟阀耐强酸强碱的性能，主要用于酸碱中和滴定，以及定量液体的精确取样。
蓝色四氟阀碱式滴定管：
规格：φ14×380mm；材质：优质高硼硅BORO3.3；工艺：精工烧结，依据实验和设计要求定制，无毛刺锐角；功能描述：管体具有低膨胀率、耐高温、高强度、高硬度、高透光率和高化学稳定性的优良特性，专用四氟阀耐强酸强碱的性能，主要用于酸碱中和滴定中碱液的存取，优于传统的硅胶玻璃球结构。
球形分液漏斗60mL：
规格：60mL，总长224mm（±5mm）壁厚2mm，统一标准磨口24/29；材质：优质高硼硅BORO3.3；工艺：精工烧结打磨，依据实验和设计要求定制，无毛刺锐角,丝印红色品牌LOGO；功能描述：管体具有低膨胀率、耐高温、高强度、高硬度、高透光率和高化学稳定性的优良特性，统一标准内外磨口便于安装及拆卸实验仪器，密闭性好，配套使用优质聚四氟阀门，能够满足多种不同实验计量加液、以及萃取分液的实验需求。
可完成的基本实验活动：
36.探究电离平衡及其移动；
37.强酸与强碱的中和滴定；
38.探究水解平衡及其移动；
39.盐类水解的应用；
40.探究沉淀溶解平衡及其移动；
41.模拟侯氏制碱法。</t>
        </is>
      </c>
      <c r="E28" s="206" t="n">
        <v>1</v>
      </c>
      <c r="F28" s="84" t="inlineStr">
        <is>
          <t>箱</t>
        </is>
      </c>
      <c r="G28" s="81">
        <f>_xlfn.DISPIMG("ID_A8F39B108AD94A88B90DBA39AD9AB0E2",1)</f>
        <v/>
      </c>
      <c r="H28" s="207" t="n"/>
      <c r="I28" s="84" t="inlineStr">
        <is>
          <t>JXC-207</t>
        </is>
      </c>
      <c r="J28" s="208" t="inlineStr">
        <is>
          <t>箱体大小：450×320×170mm(±20mm)。
材质：炭黑色优质PC材料箱盖，橙色增强型ABS树脂材料箱体，紫色增强型PP材质活动卡扣；结构：整体采用加厚增强型扣盖卡扣式设计，箱体为上下面耦合卡槽定位，内置活动式上下双层内衬，嵌入式专槽定位，方便器材取用保管；叠加方式：既可叠加组合摆放，也可放置于仪器柜或货架。
主要配置及特征参数：
玻璃烧杯（高硼硅3.3，250mL，99mm×70mm）2个、玻璃烧杯（高硼硅3.3，100mL，72mm×54mm）2个、红水温度计（-10～110℃）1支、玻璃量筒（高硼硅3.3，50mL，195mm×25.7mm×2mm）1支、玻璃量筒（高硼硅3.3，10mL，142mm×16mm×1.8mm）1支、试管（高硼硅3.3 φ20mm×195mm）6支、小试管（高硼硅3.3 φ15mm×150mm）2支、玻璃锥形瓶（高硼硅3.3，100mL，105mm×64mm）1个、PH计（酸度计）1件、短胶头滴管（高硼硅3.3，细嘴，D=10mm，L=90mm）1支、蓝色四氟阀碱式滴定管（高硼硅3.3，25mL）1支、红色四氟阀酸式滴定管（高硼硅3.3，25mL）1支、集气瓶（玻璃，125mL，平磨口）1个、37号红色双孔硅胶塞（37mm/29mm/30mm，孔径Φ7mm）1个、90°玻璃弯管（高硼硅3.3，D=8mm，L=60mm+190mm）2支、90°玻璃弯管（高硼硅3.3，D=8mm，L=85mm+55mm）3支、PH广泛试纸（1～14）1本、球形分液漏斗（高硼硅3.3，长颈60mL四氟阀，磨口24/29，下口径8mm）1个、磨口玻璃塞（高硼硅3.3，磨口24/29）1个、30号红色双孔硅胶塞（30mm/22mm/30mm，孔径Φ7mm）1个、蒸发皿（陶瓷，75mL）1个、硅胶管（φ7mm×φ10mm，L=80mm）3根等。
核心产品技术指标：
玻璃烧杯：
规格：外形尺寸：①、50mL：62×42mm（±5mm），壁厚2.0mm；②、100mL：72×54mm（±5mm），壁厚2.0mm；③、250mL：99×70mm（±5mm），壁厚2.5mm；材质：优质高硼硅BORO3.3；工艺：精工烧结，依据实验和设计要求定制，无毛刺锐角，丝印白色品牌LOGO；功能描述：管体具有低膨胀率、耐高温、高强度、高硬度、高透光率和高化学稳定性的优良特性，用作配制溶液和作为较大量的试剂化学反应容器。
玻璃量筒：
规格：外形尺寸：①、10mL：142×16×1.8mm，壁厚1.8mm；②、25mL：168×21×1.8mm，壁厚1.8mm；③、50mL：195×25.7×2mm，壁厚2mm；④、100mL：243×31.9×2mm，壁厚2.0mm；材质：优质高硼硅BORO3.3；工艺：精工烧结，依据实验和设计要求定制，无毛刺锐角，丝印红色品牌LOGO；功能描述：管体具有低膨胀率、耐高温、高强度、高硬度、高透光率和高化学稳定性的优良特性，用来定量量取液体。
试管φ20mm×195mm：
规格：外形尺寸195×20mm（±5mm），壁厚2mm；材质：优质高硼硅BORO3.3；工艺：精工烧结，依据实验和设计要求定制，无毛刺锐角；功能描述：管体具有低膨胀率、耐高温、高强度、高硬度、高透光率和高化学稳定性的优良特性，既可用作少量试剂的化学反应容器，也可在常温或加热时使用。
红色四氟阀酸式滴定管：
规格：φ14×380mm；材质：优质高硼硅BORO3.3；工艺：精工烧结，依据实验和设计要求定制，无毛刺锐角；功能描述：管体具有低膨胀率、耐高温、高强度、高硬度、高透光率和高化学稳定性的优良特性，专用四氟阀耐强酸强碱的性能，主要用于酸碱中和滴定，以及定量液体的精确取样。
蓝色四氟阀碱式滴定管：
规格：φ14×380mm；材质：优质高硼硅BORO3.3；工艺：精工烧结，依据实验和设计要求定制，无毛刺锐角；功能描述：管体具有低膨胀率、耐高温、高强度、高硬度、高透光率和高化学稳定性的优良特性，专用四氟阀耐强酸强碱的性能，主要用于酸碱中和滴定中碱液的存取，优于传统的硅胶玻璃球结构。
球形分液漏斗60mL：
规格：60mL，总长224mm（±5mm）壁厚2mm，统一标准磨口24/29；材质：优质高硼硅BORO3.3；工艺：精工烧结打磨，依据实验和设计要求定制，无毛刺锐角,丝印红色品牌LOGO；功能描述：管体具有低膨胀率、耐高温、高强度、高硬度、高透光率和高化学稳定性的优良特性，统一标准内外磨口便于安装及拆卸实验仪器，密闭性好，配套使用优质聚四氟阀门，能够满足多种不同实验计量加液、以及萃取分液的实验需求。
可完成的基本实验活动：
36.探究电离平衡及其移动；
37.强酸与强碱的中和滴定；
38.探究水解平衡及其移动；
39.盐类水解的应用；
40.探究沉淀溶解平衡及其移动；
41.模拟侯氏制碱法。</t>
        </is>
      </c>
      <c r="K28" s="48" t="inlineStr">
        <is>
          <t>乐百仕</t>
        </is>
      </c>
      <c r="L28" s="48" t="inlineStr">
        <is>
          <t>江苏乐百仕教育科技有限公司</t>
        </is>
      </c>
      <c r="M28" s="356" t="n">
        <v>1</v>
      </c>
      <c r="N28" s="356" t="inlineStr">
        <is>
          <t>未找到合适匹配，请人工填写</t>
        </is>
      </c>
      <c r="O28" s="356" t="inlineStr"/>
      <c r="P28" s="356" t="inlineStr"/>
      <c r="Q28" s="356" t="inlineStr"/>
      <c r="R28" s="356" t="inlineStr"/>
      <c r="S28" s="356" t="inlineStr"/>
      <c r="T28" s="356" t="inlineStr"/>
      <c r="U28" s="356" t="inlineStr"/>
      <c r="V28" s="356" t="inlineStr"/>
      <c r="W28" s="356" t="inlineStr"/>
      <c r="X28" s="356" t="inlineStr"/>
      <c r="Y28" s="356" t="inlineStr">
        <is>
          <t>unmatched</t>
        </is>
      </c>
      <c r="Z28" s="356" t="n">
        <v>0</v>
      </c>
      <c r="AA28" s="356" t="inlineStr">
        <is>
          <t>没有找到可靠候选</t>
        </is>
      </c>
      <c r="AB28" s="356" t="inlineStr"/>
    </row>
    <row r="29" customFormat="1" s="6">
      <c r="A29" s="41" t="n">
        <v>30</v>
      </c>
      <c r="B29" s="84" t="inlineStr">
        <is>
          <t>物质结构与性质、有机化学基础</t>
        </is>
      </c>
      <c r="C29" s="78" t="inlineStr">
        <is>
          <t>JXC-208</t>
        </is>
      </c>
      <c r="D29" s="205" t="inlineStr">
        <is>
          <t>箱体规格：450×320×170mm(±10mm)。
材质：炭黑色优质PC材料箱盖，橙色增强型ABS树脂材料箱体，紫色增强型PP材质活动卡扣；结构：整体采用加厚增强型扣盖卡扣式设计，箱体为上下面耦合卡槽定位，内置活动式上下双层内衬，嵌入式专槽定位，方便器材取用保管；叠加方式：既可叠加组合摆放，也可放置于仪器柜或货架。
主要配置及特征参数：
有机化合物中的官能团与物质性质的关系1张、元素周期表1张、玻璃烧杯（高硼硅3.3，250mL，99mm×70mm）1个、玻璃烧杯（高硼硅3.3，100mL，72mm×54mm）1个、红水温度计（0～200℃）1支、红水温度计（-10～110℃）1支、玻璃量筒（高硼硅3.3，25mL，168mm×21mm×1.8mm）1个、玻璃量筒（高硼硅3.3，10mL，142mm×16mm×1.8mm）1个、90°玻璃弯管（高硼硅3.3，D=8mm，L=85mm+55mm）2支、90°玻璃弯管（高硼硅3.3，D=8mm，L=60mm+190mm）2支、直玻璃导管（D=8mm，L=80mm）1支、尖嘴直玻璃导管（D=8mm，L=200mm）1支、斜角尖嘴玻璃导管（90/30度弯管，D=8mm L=60+100+30）1支、长颈圆底烧瓶（高硼硅3.3，250mL，磨口24/29 ，170mm×86mm）1个、球形分液漏斗（高硼硅3.3，长颈60mL四氟阀，磨口24/29，下口径8mm）1个、磨口玻璃塞（高硼硅3.3，磨口24/29）1个、具支试管（高硼硅3.3 20mm×200mm）1支、试管（高硼硅3.3 φ20mm×195mm）6支、小试管（高硼硅3.3 φ15mm×150mm）11支、23号红色单孔硅胶塞（16mm/20.9mm/27mm，孔径Φ7mm）1个、30号红色双孔硅胶塞（30mm/22mm/30mm，孔径Φ5mm+Φ7.5mm）1个、30号红色单孔硅胶塞（30mm/22mm/30mm，孔径Φ7mm）1个、30号红色双孔硅胶塞（30mm/22mm/30mm，孔径Φ7mm）1个、37号红色双孔硅胶塞（37mm/29mm/30mm，孔径Φ7mm）2个、集气瓶（玻璃，125mL，平磨口）2个、胶头刻度滴管（3mL）1支、研钵（陶瓷，60mL，附研杵）1套、短胶头滴管（高硼硅3.3，细嘴，D=10mm，L=90mm）2支、PH广泛试纸（1～14）1本、硅胶管（φ7mm×φ10mm，L=80mm）3根等。
核心产品技术指标：
玻璃烧杯：
规格：外形尺寸：①、50mL：62×42mm（±5mm），壁厚2.0mm；②、100mL：72×54mm（±5mm），壁厚2.0mm；③、250mL：99×70mm（±5mm），壁厚2.5mm；材质：优质高硼硅BORO3.3；工艺：精工烧结，依据实验和设计要求定制，无毛刺锐角，丝印白色品牌LOGO；功能描述：管体具有低膨胀率、耐高温、高强度、高硬度、高透光率和高化学稳定性的优良特性，用作配制溶液和作为较大量的试剂化学反应容器。
长颈圆底烧瓶250mL：
规格：250mL；总长170mm（±5mm）壁厚2mm统一标准内磨口24/29；材质：优质高硼硅BORO3.3；工艺：精工烧结打磨，依据实验和设计要求定制，无毛刺锐角,丝印红色品牌LOGO；功能描述：管体具有低膨胀率、耐高温、高强度、高硬度、高透光率和高化学稳定性的优良特性，统一标准外磨口便于安装及拆卸实验仪器，密闭性好，用于液体的蒸馏、分馏，以及物质的制取等。
球形分液漏斗60mL：
规格：60mL，总长224mm（±5mm）壁厚2mm，统一标准磨口24/29；材质：优质高硼硅BORO3.3；工艺：精工烧结打磨，依据实验和设计要求定制，无毛刺锐角,丝印红色品牌LOGO；功能描述：管体具有低膨胀率、耐高温、高强度、高硬度、高透光率和高化学稳定性的优良特性，统一标准内外磨口便于安装及拆卸实验仪器，密闭性好，配套使用优质聚四氟阀门，能够满足多种不同实验计量加液、以及萃取分液的实验需求。
试管φ20mm×195mm：
规格：外形尺寸195×20mm（±5mm），壁厚2mm；材质：优质高硼硅BORO3.3；工艺：精工烧结，依据实验和设计要求定制，无毛刺锐角；功能描述：管体具有低膨胀率、耐高温、高强度、高硬度、高透光率和高化学稳定性的优良特性，既可用作少量试剂的化学反应容器，也可在常温或加热时使用。
红色硅胶塞：
规格：根据实验需要分为无孔、单孔和双孔；横截面尺寸：①、23号胶塞：20.9×16×27mm（±5mm）；②、30号胶塞：30×22×30mm（±5mm）；③、37号胶塞：37×29×30mm（±5mm）；材质：优质红色硅胶；工艺：采用先进精密硅胶注塑技术一次成型无毛边、无合缝线，硬度适中、易插拔不阻涩；功能描述：用于实验中玻璃仪器的密封或与玻璃导管、温度计等配合使用，满足多种不同实验的密封及导气需求。耐高温、耐酸碱。
可完成的基本实验活动：
42.利用计算机作图分析元素性质相关参数；
43.根据原子结构和元素性质的变化规律自主设计、绘制元素周期表；
44.简单配合物的制备；
45.探究氢键及其对物质性质的影响；
46.常见分子极性的比较；
47.搭建球棍模型认识典型分子的空间结构；
49.模拟利用 X 射线衍射研究物质微观结构的方法；
50.用球棍模型搭建常见有机化合物的分子；
51.探究有机化合物中的官能团与物质性质的关系；
52.探究烯烃与炔烃的性质；
53.探究芳香烃的性质；
54.探究卤代烃的性质；
55.探究醇、酚的性质；
56.探究醛、酮的性质；
57.探究羧酸的性质；
58.乙酸乙酯的制备与性质；
59.有机化合物中常见官能团的检验；
60.酚醛树脂的合成；
61.探究糖类的性质；
62.探究蛋白质的性质；
63.常见塑料的性质与区分。</t>
        </is>
      </c>
      <c r="E29" s="206" t="n">
        <v>1</v>
      </c>
      <c r="F29" s="84" t="inlineStr">
        <is>
          <t>箱</t>
        </is>
      </c>
      <c r="G29" s="81">
        <f>_xlfn.DISPIMG("ID_41BD67840AA145D2A09386B85F8304EF",1)</f>
        <v/>
      </c>
      <c r="H29" s="207" t="n"/>
      <c r="I29" s="84" t="inlineStr">
        <is>
          <t>JXC-208</t>
        </is>
      </c>
      <c r="J29" s="208" t="inlineStr">
        <is>
          <t>箱体大小：450×320×170mm(±20mm)。
材质：炭黑色优质PC材料箱盖，橙色增强型ABS树脂材料箱体，紫色增强型PP材质活动卡扣；结构：整体采用加厚增强型扣盖卡扣式设计，箱体为上下面耦合卡槽定位，内置活动式上下双层内衬，嵌入式专槽定位，方便器材取用保管；叠加方式：既可叠加组合摆放，也可放置于仪器柜或货架。
主要配置及特征参数：
有机化合物中的官能团与物质性质的关系1张、元素周期表1张、玻璃烧杯（高硼硅3.3，250mL，99mm×70mm）1个、玻璃烧杯（高硼硅3.3，100mL，72mm×54mm）1个、红水温度计（0～200℃）1支、红水温度计（-10～110℃）1支、玻璃量筒（高硼硅3.3，25mL，168mm×21mm×1.8mm）1个、玻璃量筒（高硼硅3.3，10mL，142mm×16mm×1.8mm）1个、90°玻璃弯管（高硼硅3.3，D=8mm，L=85mm+55mm）2支、90°玻璃弯管（高硼硅3.3，D=8mm，L=60mm+190mm）2支、直玻璃导管（D=8mm，L=80mm）1支、尖嘴直玻璃导管（D=8mm，L=200mm）1支、斜角尖嘴玻璃导管（90/30度弯管，D=8mm L=60+100+30）1支、长颈圆底烧瓶（高硼硅3.3，250mL，磨口24/29 ，170mm×86mm）1个、球形分液漏斗（高硼硅3.3，长颈60mL四氟阀，磨口24/29，下口径8mm）1个、磨口玻璃塞（高硼硅3.3，磨口24/29）1个、具支试管（高硼硅3.3 20mm×200mm）1支、试管（高硼硅3.3 φ20mm×195mm）6支、小试管（高硼硅3.3 φ15mm×150mm）11支、23号红色单孔硅胶塞（16mm/20.9mm/27mm，孔径Φ7mm）1个、30号红色双孔硅胶塞（30mm/22mm/30mm，孔径Φ5mm+Φ7.5mm）1个、30号红色单孔硅胶塞（30mm/22mm/30mm，孔径Φ7mm）1个、30号红色双孔硅胶塞（30mm/22mm/30mm，孔径Φ7mm）1个、37号红色双孔硅胶塞（37mm/29mm/30mm，孔径Φ7mm）2个、集气瓶（玻璃，125mL，平磨口）2个、胶头刻度滴管（3mL）1支、研钵（陶瓷，60mL，附研杵）1套、短胶头滴管（高硼硅3.3，细嘴，D=10mm，L=90mm）2支、PH广泛试纸（1～14）1本、硅胶管（φ7mm×φ10mm，L=80mm）3根等。
核心产品技术指标：
玻璃烧杯：
规格：外形尺寸：①、50mL：62×42mm（±5mm），壁厚2.0mm；②、100mL：72×54mm（±5mm），壁厚2.0mm；③、250mL：99×70mm（±5mm），壁厚2.5mm；材质：优质高硼硅BORO3.3；工艺：精工烧结，依据实验和设计要求定制，无毛刺锐角，丝印白色品牌LOGO；功能描述：管体具有低膨胀率、耐高温、高强度、高硬度、高透光率和高化学稳定性的优良特性，用作配制溶液和作为较大量的试剂化学反应容器。
长颈圆底烧瓶250mL：
规格：250mL；总长170mm（±5mm）壁厚2mm统一标准内磨口24/29；材质：优质高硼硅BORO3.3；工艺：精工烧结打磨，依据实验和设计要求定制，无毛刺锐角,丝印红色品牌LOGO；功能描述：管体具有低膨胀率、耐高温、高强度、高硬度、高透光率和高化学稳定性的优良特性，统一标准外磨口便于安装及拆卸实验仪器，密闭性好，用于液体的蒸馏、分馏，以及物质的制取等。
球形分液漏斗60mL：
规格：60mL，总长224mm（±5mm）壁厚2mm，统一标准磨口24/29；材质：优质高硼硅BORO3.3；工艺：精工烧结打磨，依据实验和设计要求定制，无毛刺锐角,丝印红色品牌LOGO；功能描述：管体具有低膨胀率、耐高温、高强度、高硬度、高透光率和高化学稳定性的优良特性，统一标准内外磨口便于安装及拆卸实验仪器，密闭性好，配套使用优质聚四氟阀门，能够满足多种不同实验计量加液、以及萃取分液的实验需求。
试管φ20mm×195mm：
规格：外形尺寸195×20mm（±5mm），壁厚2mm；材质：优质高硼硅BORO3.3；工艺：精工烧结，依据实验和设计要求定制，无毛刺锐角；功能描述：管体具有低膨胀率、耐高温、高强度、高硬度、高透光率和高化学稳定性的优良特性，既可用作少量试剂的化学反应容器，也可在常温或加热时使用。
红色硅胶塞：
规格：根据实验需要分为无孔、单孔和双孔；横截面尺寸：①、23号胶塞：20.9×16×27mm（±5mm）；②、30号胶塞：30×22×30mm（±5mm）；③、37号胶塞：37×29×30mm（±5mm）；材质：优质红色硅胶；工艺：采用先进精密硅胶注塑技术一次成型无毛边、无合缝线，硬度适中、易插拔不阻涩；功能描述：用于实验中玻璃仪器的密封或与玻璃导管、温度计等配合使用，满足多种不同实验的密封及导气需求。耐高温、耐酸碱。
可完成的基本实验活动：
42.利用计算机作图分析元素性质相关参数；
43.根据原子结构和元素性质的变化规律自主设计、绘制元素周期表；
44.简单配合物的制备；
45.探究氢键及其对物质性质的影响；
46.常见分子极性的比较；
47.搭建球棍模型认识典型分子的空间结构；
49.模拟利用 X 射线衍射研究物质微观结构的方法；
50.用球棍模型搭建常见有机化合物的分子；
51.探究有机化合物中的官能团与物质性质的关系；
52.探究烯烃与炔烃的性质；
53.探究芳香烃的性质；
54.探究卤代烃的性质；
55.探究醇、酚的性质；
56.探究醛、酮的性质；
57.探究羧酸的性质；
58.乙酸乙酯的制备与性质；
59.有机化合物中常见官能团的检验；
60.酚醛树脂的合成；
61.探究糖类的性质；
62.探究蛋白质的性质；
63.常见塑料的性质与区分。</t>
        </is>
      </c>
      <c r="K29" s="48" t="inlineStr">
        <is>
          <t>乐百仕</t>
        </is>
      </c>
      <c r="L29" s="48" t="inlineStr">
        <is>
          <t>江苏乐百仕教育科技有限公司</t>
        </is>
      </c>
      <c r="M29" s="356" t="n">
        <v>1</v>
      </c>
      <c r="N29" s="356" t="inlineStr">
        <is>
          <t>未找到合适匹配，请人工填写</t>
        </is>
      </c>
      <c r="O29" s="356" t="inlineStr"/>
      <c r="P29" s="356" t="inlineStr"/>
      <c r="Q29" s="356" t="inlineStr"/>
      <c r="R29" s="356" t="inlineStr"/>
      <c r="S29" s="356" t="inlineStr"/>
      <c r="T29" s="356" t="inlineStr"/>
      <c r="U29" s="356" t="inlineStr"/>
      <c r="V29" s="356" t="inlineStr"/>
      <c r="W29" s="356" t="inlineStr"/>
      <c r="X29" s="356" t="inlineStr"/>
      <c r="Y29" s="356" t="inlineStr">
        <is>
          <t>unmatched</t>
        </is>
      </c>
      <c r="Z29" s="356" t="n">
        <v>0</v>
      </c>
      <c r="AA29" s="356" t="inlineStr">
        <is>
          <t>没有找到可靠候选</t>
        </is>
      </c>
      <c r="AB29" s="356" t="inlineStr"/>
    </row>
    <row r="30" customFormat="1" s="6">
      <c r="A30" s="41" t="n">
        <v>31</v>
      </c>
      <c r="B30" s="84" t="inlineStr">
        <is>
          <t>高中化学配套实验仪器一</t>
        </is>
      </c>
      <c r="C30" s="78" t="inlineStr">
        <is>
          <t>JXC-209</t>
        </is>
      </c>
      <c r="D30" s="205" t="inlineStr">
        <is>
          <t>箱体规格：450×320×170mm(±10mm)。
材质：炭黑色优质PC材料箱盖，橙色增强型ABS树脂材料箱体，紫色增强型PP材质活动卡扣；结构：整体采用加厚增强型扣盖卡扣式设计，箱体为上下面耦合卡槽定位，内置活动式上下双层内衬，嵌入式专槽定位，方便器材取用保管；叠加方式：既可叠加组合摆放，也可放置于仪器柜或货架。
主要配置及特征参数：
X型支座（黑色增强尼龙、镀锌圆钢，φ10mm凹凸式双轨插孔）2套、600mm支撑杆-母杆（不锈钢，D=10mm，L=300mm）2件、600mm支撑杆-公杆（不锈钢，D=10mm，L=310mm）2件、剪刀1把、美工刀1把、泥三角1个、三脚架（铁制可拆卸，环内径75 mm，h=150 mm）1套、钢尺（15cm刻度尺）1把、升降台（金属，100mm×100mm）1个、陶土网（150mmx150mm）2个、坩埚钳1把、塑料洗瓶（250mL）1个、电子点火器（230mm×45mm）1把、止水夹（不锈钢）2个、滴定管夹（白色，铁质）1个、塑料水槽（270mm×200mm×100mm）1个、硅胶管（φ7mm×φ10mm，L=1500mm）1条、护目镜1副、万用夹具（金属，黑色）2个、铁三环（金属，黑色，配紫色M6螺丝，大中小各1个）1套、双向转接头（铝合金，配紫色M6螺丝2个）2套、酒精灯（150mL）1个、滤纸（中速，D=110mm）1盒等。
核心产品技术指标：
X型支座：
材质：黑色增强尼龙、镀锌圆钢，确保强度且耐酸耐碱；工艺：塑料注塑成型、表面镀锌处理；产品结构：90度角双臂，半轴长165.5mm，底座高度24mm，顶部带φ10扩展孔，匍氏耦合对接挂钩、φ10凹凸式双轨插孔，自锁紧双下压扣，多功能杆插孔、斜顶式M6螺丝锁紧孔,底部配重盖采用超声波焊接技术；功能描述：Half-Half对偶插接式构造能够进行多种结构拓展：①、两件对插呈X型可作为常规铁架台底座；②、可对接不同长度的支撑杆组成不同种类的支撑座；③、可作为光学实验导轨；④、拓展为其他产品的轨道座；⑤、级联底座作为配重等。
双向转接头：
规格：30×30×65mm；材质：铝合金；工艺：精密压铸、电泳发黑；功能描述：①、两端固定口90°正交垂直，中间穿孔可以轴向固定；②、附带2个M6×25mm的防滑手紧螺丝，可以固定所有用到与支撑杆有关的实验设备。</t>
        </is>
      </c>
      <c r="E30" s="206" t="n">
        <v>1</v>
      </c>
      <c r="F30" s="84" t="inlineStr">
        <is>
          <t>箱</t>
        </is>
      </c>
      <c r="G30" s="81">
        <f>_xlfn.DISPIMG("ID_A486E635DE1D4B8AB9748909EA508196",1)</f>
        <v/>
      </c>
      <c r="H30" s="207" t="n"/>
      <c r="I30" s="84" t="inlineStr">
        <is>
          <t>JXC-209</t>
        </is>
      </c>
      <c r="J30" s="208" t="inlineStr">
        <is>
          <t>箱体大小：450×320×170mm(±20mm)。
材质：炭黑色优质PC材料箱盖，橙色增强型ABS树脂材料箱体，紫色增强型PP材质活动卡扣；结构：整体采用加厚增强型扣盖卡扣式设计，箱体为上下面耦合卡槽定位，内置活动式上下双层内衬，嵌入式专槽定位，方便器材取用保管；叠加方式：既可叠加组合摆放，也可放置于仪器柜或货架。
主要配置及特征参数：
X型支座（黑色增强尼龙、镀锌圆钢，φ10mm凹凸式双轨插孔）2套、600mm支撑杆-母杆（不锈钢，D=10mm，L=300mm）2件、600mm支撑杆-公杆（不锈钢，D=10mm，L=310mm）2件、剪刀1把、美工刀1把、泥三角1个、三脚架（铁制可拆卸，环内径75 mm，h=150 mm）1套、钢尺（15cm刻度尺）1把、升降台（金属，100mm×100mm）1个、陶土网（150mmx150mm）2个、坩埚钳1把、塑料洗瓶（250mL）1个、电子点火器（230mm×45mm）1把、止水夹（不锈钢）2个、滴定管夹（白色，铁质）1个、塑料水槽（270mm×200mm×100mm）1个、硅胶管（φ7mm×φ10mm，L=1500mm）1条、护目镜1副、万用夹具（金属，黑色）2个、铁三环（金属，黑色，配紫色M6螺丝，大中小各1个）1套、双向转接头（铝合金，配紫色M6螺丝2个）2套、酒精灯（150mL）1个、滤纸（中速，D=110mm）1盒等。
核心产品技术指标：
X型支座：
材质：黑色增强尼龙、镀锌圆钢，确保强度且耐酸耐碱；工艺：塑料注塑成型、表面镀锌处理；产品结构：90度角双臂，半轴长165.5mm，底座高度24mm，顶部带φ10扩展孔，匍氏耦合对接挂钩、φ10凹凸式双轨插孔，自锁紧双下压扣，多功能杆插孔、斜顶式M6螺丝锁紧孔,底部配重盖采用超声波焊接技术；功能描述：Half-Half对偶插接式构造能够进行多种结构拓展：①、两件对插呈X型可作为常规铁架台底座；②、可对接不同长度的支撑杆组成不同种类的支撑座；③、可作为光学实验导轨；④、拓展为其他产品的轨道座；⑤、级联底座作为配重等。
双向转接头：
规格：30×30×65mm；材质：铝合金；工艺：精密压铸、电泳发黑；功能描述：①、两端固定口90°正交垂直，中间穿孔可以轴向固定；②、附带2个M6×25mm的防滑手紧螺丝，可以固定所有用到与支撑杆有关的实验设备。</t>
        </is>
      </c>
      <c r="K30" s="48" t="inlineStr">
        <is>
          <t>乐百仕</t>
        </is>
      </c>
      <c r="L30" s="48" t="inlineStr">
        <is>
          <t>江苏乐百仕教育科技有限公司</t>
        </is>
      </c>
      <c r="M30" s="356" t="n">
        <v>1</v>
      </c>
      <c r="N30" s="356" t="inlineStr">
        <is>
          <t>未找到合适匹配，请人工填写</t>
        </is>
      </c>
      <c r="O30" s="356" t="inlineStr"/>
      <c r="P30" s="356" t="inlineStr"/>
      <c r="Q30" s="356" t="inlineStr"/>
      <c r="R30" s="356" t="inlineStr"/>
      <c r="S30" s="356" t="inlineStr"/>
      <c r="T30" s="356" t="inlineStr"/>
      <c r="U30" s="356" t="inlineStr"/>
      <c r="V30" s="356" t="inlineStr"/>
      <c r="W30" s="356" t="inlineStr"/>
      <c r="X30" s="356" t="inlineStr"/>
      <c r="Y30" s="356" t="inlineStr">
        <is>
          <t>unmatched</t>
        </is>
      </c>
      <c r="Z30" s="356" t="n">
        <v>0</v>
      </c>
      <c r="AA30" s="356" t="inlineStr">
        <is>
          <t>没有找到可靠候选</t>
        </is>
      </c>
      <c r="AB30" s="356" t="inlineStr"/>
    </row>
    <row r="31" customFormat="1" s="6">
      <c r="A31" s="41" t="n">
        <v>32</v>
      </c>
      <c r="B31" s="84" t="inlineStr">
        <is>
          <t>高中化学配套实验仪器二</t>
        </is>
      </c>
      <c r="C31" s="78" t="inlineStr">
        <is>
          <t>JXC-210</t>
        </is>
      </c>
      <c r="D31" s="205" t="inlineStr">
        <is>
          <t>箱体规格：450×320×170mm(±10mm)。
材质：炭黑色优质PC材料箱盖，橙色增强型ABS树脂材料箱体，紫色增强型PP材质活动卡扣；结构：整体采用加厚增强型扣盖卡扣式设计，箱体为上下面耦合卡槽定位，内置活动式内衬，嵌入式专槽定位，方便器材取用保管；叠加方式：既可叠加组合摆放，也可放置于仪器柜或货架。
主要配置及特征参数：
托盘天平（200g，带砝码套盒）1台、电子天平（500g，0.01g）1台、试管架（塑料，8孔8立柱，孔径22mm）1个、木质试管夹（L=180mm）2个、小号试管刷（L=180mm，毛粗20mm）1把、大号试管刷（L=230mm，毛粗35mm）1把、中号烧瓶刷（L=300mm，毛最粗处70mm）1把、分子结构模型（学生用）1套、称量纸（100mm×100mm）1盒、直头镊子（不锈钢，L=125mm）1把、短柄药匙（塑料，红黄绿三色各1个）1套、长柄药匙（塑料，L=195mm）1个、玻璃棒（高硼硅3.3，D=6mm，L=300mm）2支等。</t>
        </is>
      </c>
      <c r="E31" s="206" t="n">
        <v>1</v>
      </c>
      <c r="F31" s="84" t="inlineStr">
        <is>
          <t>箱</t>
        </is>
      </c>
      <c r="G31" s="81">
        <f>_xlfn.DISPIMG("ID_F4A951495E464EB9B24D0F74B79D3DC7",1)</f>
        <v/>
      </c>
      <c r="H31" s="207" t="n"/>
      <c r="I31" s="84" t="inlineStr">
        <is>
          <t>JXC-210</t>
        </is>
      </c>
      <c r="J31" s="208" t="inlineStr">
        <is>
          <t>箱体大小：450×320×170mm(±20mm)。
材质：炭黑色优质PC材料箱盖，橙色增强型ABS树脂材料箱体，紫色增强型PP材质活动卡扣；结构：整体采用加厚增强型扣盖卡扣式设计，箱体为上下面耦合卡槽定位，内置活动式内衬，嵌入式专槽定位，方便器材取用保管；叠加方式：既可叠加组合摆放，也可放置于仪器柜或货架。
主要配置及特征参数：
托盘天平（200g，带砝码套盒）1台、电子天平（500g，0.01g）1台、试管架（塑料，8孔8立柱，孔径22mm）1个、木质试管夹（L=180mm）2个、小号试管刷（L=180mm，毛粗20mm）1把、大号试管刷（L=230mm，毛粗35mm）1把、中号烧瓶刷（L=300mm，毛最粗处70mm）1把、分子结构模型（学生用）1套、称量纸（100mm×100mm）1盒、直头镊子（不锈钢，L=125mm）1把、短柄药匙（塑料，红黄绿三色各1个）1套、长柄药匙（塑料，L=195mm）1个、玻璃棒（高硼硅3.3，D=6mm，L=300mm）2支等。</t>
        </is>
      </c>
      <c r="K31" s="48" t="inlineStr">
        <is>
          <t>乐百仕</t>
        </is>
      </c>
      <c r="L31" s="48" t="inlineStr">
        <is>
          <t>江苏乐百仕教育科技有限公司</t>
        </is>
      </c>
      <c r="M31" s="356" t="n">
        <v>1</v>
      </c>
      <c r="N31" s="356" t="inlineStr">
        <is>
          <t>未找到合适匹配，请人工填写</t>
        </is>
      </c>
      <c r="O31" s="356" t="inlineStr"/>
      <c r="P31" s="356" t="inlineStr"/>
      <c r="Q31" s="356" t="inlineStr"/>
      <c r="R31" s="356" t="inlineStr"/>
      <c r="S31" s="356" t="inlineStr"/>
      <c r="T31" s="356" t="inlineStr"/>
      <c r="U31" s="356" t="inlineStr"/>
      <c r="V31" s="356" t="inlineStr"/>
      <c r="W31" s="356" t="inlineStr"/>
      <c r="X31" s="356" t="inlineStr"/>
      <c r="Y31" s="356" t="inlineStr">
        <is>
          <t>unmatched</t>
        </is>
      </c>
      <c r="Z31" s="356" t="n">
        <v>0</v>
      </c>
      <c r="AA31" s="356" t="inlineStr">
        <is>
          <t>没有找到可靠候选</t>
        </is>
      </c>
      <c r="AB31" s="356" t="inlineStr"/>
    </row>
    <row r="32" customFormat="1" s="6">
      <c r="A32" s="41" t="n">
        <v>33</v>
      </c>
      <c r="B32" s="84" t="inlineStr">
        <is>
          <t>高中化学配套实验仪器三</t>
        </is>
      </c>
      <c r="C32" s="78" t="inlineStr">
        <is>
          <t>JXC-211</t>
        </is>
      </c>
      <c r="D32" s="205" t="inlineStr">
        <is>
          <t>箱体规格：450×320×170mm(±10mm)。
材质：炭黑色优质PC材料箱盖，橙色增强型ABS树脂材料箱体，紫色增强型PP材质活动卡扣；结构：整体采用加厚增强型扣盖卡扣式设计，箱体为上下面耦合卡槽定位，内置活动式内衬，嵌入式专槽定位，方便器材取用保管；叠加方式：既可叠加组合摆放，也可放置于仪器柜或货架。
主要配置及特征参数：
电流表（紫色ABS，双量程0～0.6A和0～3A，4mm香蕉插头接线柱）1个、灵敏电流表（紫色ABS，-300μA～300μA，4mm香蕉插头接线柱）1个、1号电池盒（紫色ABS，磁吸式，4mm香蕉插头接线柱）2个、1号电池2节、4mm红色香蕉插头线（主体材质纯铜，红色，插头直径4mm，L=500mm）4根、4mm黑色香蕉插头线（主体材质纯铜，黑色，插头直径4mm，L=500mm）4根、鳄鱼夹（尾部4mm圆孔）4个、小灯泡1.5v（5个）1袋、灯座（紫色ABS，磁吸式，4mm香蕉插头接线柱）1个、单刀单掷开关（紫色ABS，磁吸式，4mm香蕉插头接线柱）2个、石墨棒（φ8mmx150mm）2根、盒装铁片（10x100x0.5mm/片×5片，透明包装）1盒、盒装锌片（10x100x0.5mm/片×5片，透明包装）1盒、盒装紫铜片（10x100x0.5mm/片×5片，透明包装）1盒、双缝（孔）塑料板（透明，3mmx60mmx120mm，缝隙：1mmx12mm，孔径φ10mm）3个、砂纸（A4）1张等。
核心产品技术指标：
电流表：
规格：三接口4mm香蕉插座、外置手动调零、双量程0～0.6A和0～3A；精度：电磁类仪表2.5级；误差≤5%；材质：增强ABS塑料+墨色透明PC、壁厚≥2.5mm；工艺：塑料注塑成型，外表面高光，下底面内磨砂工艺处理；功能描述：防摔壳体设计能够有效保护表盘罩壳，可以满足课程设计相关实验对直流电流检测的实验需求。
灵敏电流表：
规格：三接口4mm香蕉插座、外置手动调零、测量范围：-300μA～300μA；精度：电磁类仪表2.5级；误差≤5%；材质：增强ABS塑料+墨色透明PC、壁厚≥2.5mm；工艺：塑料注塑成型，外表面高光，下底面内磨砂工艺处理；功能描述：防摔壳体设计能够有效保护表盘罩壳，可以满足课程设计相关实验对电流计改表的实验需求。
1号电池盒（磁吸）：
产品组成：由壳体、弹簧、弹片、香蕉插头接线柱等组成；壳体尺寸规格：132.7×56.7×33mm（±5mm）；壳体材质工艺：ABS塑料精密注塑成型；功能描述：有串联接插口，配合1号电池及其他相关器材进行电学实验、电磁学实验及其他需要提供直流电源的实验。内嵌磁铁，也可以吸附在磁性黑板或其他磁性材料上进行相关实验。
灯座（磁吸）：
产品组成：由绝缘底座、灯座、香蕉插头接线柱等组成；规格：双接口4mm香蕉插座，底座尺寸：110*50*31mm（±5mm）；绝缘底座尺寸：110×50×31mm（±5mm），材质工艺：ABS塑料精密注塑成型；功能描述：磁吸式，配合小灯泡作为用电器与其他相关器材进行电学、电磁学及其它需要灯泡的实验，也可吸附在磁性黑板或其他磁性材料上进行演示操作。
单刀单掷开关（磁吸）：
产品组成：由绝缘底座、开关闸刀、香蕉插头接线柱等组成。规格：双接口4mm香蕉插座，底座尺寸：110*50*31mm（±5mm）；绝缘底座尺寸：110*50*31mm（±5mm），材质工艺：ABS塑料精密注塑成型；功能描述：作为控制电路的开关与其他相关器材进行电学实验、电磁学实验及其他需要控制电路通断的实验，也可吸附在磁性黑板或其他磁性材料上进行演示操作。</t>
        </is>
      </c>
      <c r="E32" s="206" t="n">
        <v>1</v>
      </c>
      <c r="F32" s="84" t="inlineStr">
        <is>
          <t>箱</t>
        </is>
      </c>
      <c r="G32" s="81">
        <f>_xlfn.DISPIMG("ID_36CC741A22A2428D83C066F04129043F",1)</f>
        <v/>
      </c>
      <c r="H32" s="207" t="n"/>
      <c r="I32" s="84" t="inlineStr">
        <is>
          <t>JXC-211</t>
        </is>
      </c>
      <c r="J32" s="208" t="inlineStr">
        <is>
          <t>箱体大小：450×320×170mm(±20mm)。
材质：炭黑色优质PC材料箱盖，橙色增强型ABS树脂材料箱体，紫色增强型PP材质活动卡扣；结构：整体采用加厚增强型扣盖卡扣式设计，箱体为上下面耦合卡槽定位，内置活动式内衬，嵌入式专槽定位，方便器材取用保管；叠加方式：既可叠加组合摆放，也可放置于仪器柜或货架。
主要配置及特征参数：
电流表（紫色ABS，双量程0～0.6A和0～3A，4mm香蕉插头接线柱）1个、灵敏电流表（紫色ABS，-300μA～300μA，4mm香蕉插头接线柱）1个、1号电池盒（紫色ABS，磁吸式，4mm香蕉插头接线柱）2个、1号电池2节、4mm红色香蕉插头线（主体材质纯铜，红色，插头直径4mm，L=500mm）4根、4mm黑色香蕉插头线（主体材质纯铜，黑色，插头直径4mm，L=500mm）4根、鳄鱼夹（尾部4mm圆孔）4个、小灯泡1.5v（5个）1袋、灯座（紫色ABS，磁吸式，4mm香蕉插头接线柱）1个、单刀单掷开关（紫色ABS，磁吸式，4mm香蕉插头接线柱）2个、石墨棒（φ8mmx150mm）2根、盒装铁片（10x100x0.5mm/片×5片，透明包装）1盒、盒装锌片（10x100x0.5mm/片×5片，透明包装）1盒、盒装紫铜片（10x100x0.5mm/片×5片，透明包装）1盒、双缝（孔）塑料板（透明，3mmx60mmx120mm，缝隙：1mmx12mm，孔径φ10mm）3个、砂纸（A4）1张等。
核心产品技术指标：
电流表：
规格：三接口4mm香蕉插座、外置手动调零、双量程0～0.6A和0～3A；精度：电磁类仪表2.5级；误差≤5%；材质：增强ABS塑料+墨色透明PC、壁厚≥2.5mm；工艺：塑料注塑成型，外表面高光，下底面内磨砂工艺处理；功能描述：防摔壳体设计能够有效保护表盘罩壳，可以满足课程设计相关实验对直流电流检测的实验需求。
灵敏电流表：
规格：三接口4mm香蕉插座、外置手动调零、测量范围：：-300μA～300μA；精度：电磁类仪表2.5级；误差≤5%；材质：增强ABS塑料+墨色透明PC、壁厚≥2.5mm；工艺：塑料注塑成型，外表面高光，下底面内磨砂工艺处理；功能描述：防摔壳体设计能够有效保护表盘罩壳，可以满足课程设计相关实验对电流计改表的实验需求。
1号电池盒（磁吸）：
产品组成：由壳体、弹簧、弹片、香蕉插头接线柱等组成；壳体尺寸规格：132.7×56.7×33mm（±5mm）；壳体材质工艺：ABS塑料精密注塑成型；功能描述：有串联接插口，配合1号电池及其他相关器材进行电学实验、电磁学实验及其他需要提供直流电源的实验。内嵌磁铁，也可以吸附在磁性黑板或其他磁性材料上进行相关实验。
灯座（磁吸）：
产品组成：由绝缘底座、灯座、香蕉插头接线柱等组成；规格：双接口4mm香蕉插座，底座尺寸：110*50*31mm（±5mm）；绝缘底座尺寸：110×50×31mm（±5mm），材质工艺：ABS塑料精密注塑成型；功能描述：磁吸式，配合小灯泡作为用电器与其他相关器材进行电学、电磁学及其它需要灯泡的实验，也可吸附在磁性黑板或其他磁性材料上进行演示操作。
单刀单掷开关（磁吸）：
产品组成：由绝缘底座、开关闸刀、香蕉插头接线柱等组成。规格：双接口4mm香蕉插座，底座尺寸：110*50*31mm（±5mm）；绝缘底座尺寸：110*50*31mm（±5mm），材质工艺：ABS塑料精密注塑成型；功能描述：作为控制电路的开关与其他相关器材进行电学实验、电磁学实验及其他需要控制电路通断的实验，也可吸附在磁性黑板或其他磁性材料上进行演示操作。</t>
        </is>
      </c>
      <c r="K32" s="48" t="inlineStr">
        <is>
          <t>乐百仕</t>
        </is>
      </c>
      <c r="L32" s="48" t="inlineStr">
        <is>
          <t>江苏乐百仕教育科技有限公司</t>
        </is>
      </c>
      <c r="M32" s="356" t="n">
        <v>1</v>
      </c>
      <c r="N32" s="356" t="inlineStr">
        <is>
          <t>未找到合适匹配，请人工填写</t>
        </is>
      </c>
      <c r="O32" s="356" t="inlineStr"/>
      <c r="P32" s="356" t="inlineStr"/>
      <c r="Q32" s="356" t="inlineStr"/>
      <c r="R32" s="356" t="inlineStr"/>
      <c r="S32" s="356" t="inlineStr"/>
      <c r="T32" s="356" t="inlineStr"/>
      <c r="U32" s="356" t="inlineStr"/>
      <c r="V32" s="356" t="inlineStr"/>
      <c r="W32" s="356" t="inlineStr"/>
      <c r="X32" s="356" t="inlineStr"/>
      <c r="Y32" s="356" t="inlineStr">
        <is>
          <t>unmatched</t>
        </is>
      </c>
      <c r="Z32" s="356" t="n">
        <v>0</v>
      </c>
      <c r="AA32" s="356" t="inlineStr">
        <is>
          <t>没有找到可靠候选</t>
        </is>
      </c>
      <c r="AB32" s="356" t="inlineStr"/>
    </row>
    <row r="33" customFormat="1" s="6">
      <c r="A33" s="41" t="n">
        <v>34</v>
      </c>
      <c r="B33" s="84" t="inlineStr">
        <is>
          <t>电化学组合</t>
        </is>
      </c>
      <c r="C33" s="84" t="inlineStr">
        <is>
          <t>JC-207</t>
        </is>
      </c>
      <c r="D33" s="209" t="inlineStr">
        <is>
          <t>箱体规格：450×320×170mm(±10mm)。
材质：炭黑色优质PC材料箱盖，橙色增强型ABS树脂材料箱体，紫色增强型尼龙材料活动卡扣；结构：整体采用加厚增强型扣盖卡扣式设计，箱体为上下面耦合卡槽定位，内置活动式上下双层内衬，嵌入式专槽定位，方便器材取用保管；叠加方式：既可叠加组合摆放，也可放置于仪器柜或货架。
主要配置及特征参数：
电解水装置（主要材质PmmA，包含电解水装置主体、气体检验头2个、鲁尔接头注射器60mL等）1套、原电池装置（主要材质PmmA，包含原电池装置主体、石墨棒电极、黄铜棒电极、铝棒电极、锌棒电极、鲁尔接头注射器60mL等）1套、氢氧火箭装置（包含氢氧火箭连接板、氢氧火箭底座、塑料试管等）1套、电镀装置（配有4mm红色香蕉插头线阴极钩）1套、4mm红色香蕉插头线（主体材质纯铜，红色，插头直径4mm，L=500mm）2根、4mm黑色香蕉插头线（主体材质纯铜，黑色，插头直径4mm，L=500mm）2根、电子秒表计时器（PVC）1个、红色LED模块1个、双向两档开关模块1个、单端插座模块2个、鳄鱼夹若干等。
核心产品技术指标：
电解水装置主体：
规格：外形尺寸254.7×140×90mm（±5mm），底座尺寸140×90×30.5mm（±5mm），壁厚3mm ；材质：优质PMMA；工艺：采用先进精密PMMA注塑技术一次成型无毛边、无合缝线，外表面光亮；功能描述：底座带鲁尔座，顶部亚克力管封安装有阀门气咀，用于电解水制取氢气和氧气以及观察二者体积比。
氢氧火箭装置：
产品组成：氢氧火箭连接板、氢氧火箭底座、塑料试管等。
规格：157×86×101mm（±5mm）；材质：PMMA、铝合金；工艺：精加工；功能描述：用于模拟氢作为火箭燃料的演示实验。
氢氧火箭连接板：
规格：外形尺寸157×86×30mm（±5mm）；材质：优质PMMA；工艺：采用先进精密机械加工工艺，无锐角毛刺；功能描述：内含氢氧火箭的点火装置，角度可调，观察点火后塑料试管从不同角度飞出的现象。
氢氧火箭底座：
规格：外形尺寸150×25.4×80mm（±5mm）；材质：高标号硬质铝合金；工艺：采用先进精密铝膜拉伸技术一次成型无毛刺，电泳发黑表面处理工艺，哑光色泽不褪色，耐磨无划痕，两端搭配优质ABS端盖；功能描述：用作氢氧火箭的底座。
电镀装置：
规格：外形尺寸160×105×48.4mm（±5mm），通用壳体尺寸160×105×34.2mm（±5mm）；材质： 增强ABS塑料、墨色半透明PC和优质PMMA,壁厚≥2.5mm；工艺：塑料注塑成型，外表面高光，下底面内磨砂工艺处理；功能描述：用于进行电镀实验，学习不同金属盐电镀液给金属表面进行电镀处理的实验，并且通过调节电流了解金属表面电镀的情况。
电学模块组件：
规格：尺寸64×64×32mm；主要材质：ABS工程塑料、PC；工艺：塑料注塑成型；功能描述：①、结构特点：镀金触点连接，拼图式插接方式，上盖四边凹凸式对插接口，下盖四边滑槽，底部一个磁钢卡槽，可扩展为磁吸式电学模块；②、可用多种电子元件组成功能模块，经过拼插组合可以组合成多种电学功能电路，也可以在电学模块上插接拓展功能组件，形成特定功能产品，用以完成对应的实验。
可完成的基本实验活动：
6.探究电解质的电离；
29.制作简单的燃料电池；
30.电解氯化铜溶液；
31.电解饱和食盐水；  
32.简单的电镀实验。</t>
        </is>
      </c>
      <c r="E33" s="81" t="n">
        <v>1</v>
      </c>
      <c r="F33" s="84" t="inlineStr">
        <is>
          <t>箱</t>
        </is>
      </c>
      <c r="G33" s="81">
        <f>_xlfn.DISPIMG("ID_4482EAD776FE4C02A57B59285D0DB31E",1)</f>
        <v/>
      </c>
      <c r="H33" s="207" t="n"/>
      <c r="I33" s="84" t="inlineStr">
        <is>
          <t>JC-207</t>
        </is>
      </c>
      <c r="J33" s="210" t="inlineStr">
        <is>
          <t>箱体大小：450×320×170mm(±20mm)。
材质：炭黑色优质PC材料箱盖，橙色增强型ABS树脂材料箱体，紫色增强型尼龙材料活动卡扣；结构：整体采用加厚增强型扣盖卡扣式设计，箱体为上下面耦合卡槽定位，内置活动式上下双层内衬，嵌入式专槽定位，方便器材取用保管；叠加方式：既可叠加组合摆放，也可放置于仪器柜或货架。
主要配置及特征参数：
电解水装置（主要材质PmmA，包含电解水装置主体、气体检验头2个、鲁尔接头注射器60mL等）1套、原电池装置（主要材质PmmA，包含原电池装置主体、石墨棒电极、黄铜棒电极、铝棒电极、锌棒电极、鲁尔接头注射器60mL等）1套、氢氧火箭装置（包含氢氧火箭连接板、氢氧火箭底座、塑料试管等）1套、电镀装置（配有4mm红色香蕉插头线阴极钩）1套、4mm红色香蕉插头线（主体材质纯铜，红色，插头直径4mm，L=500mm）2根、4mm黑色香蕉插头线（主体材质纯铜，黑色，插头直径4mm，L=500mm）2根、电子秒表计时器（PVC）1个、红色LED模块1个、双向两档开关模块1个、单端插座模块2个、鳄鱼夹若干等。
核心产品技术指标：
电解水装置主体：
规格：外形尺寸254.7×140×90mm（±5mm），底座尺寸140×90×30.5mm（±5mm），壁厚3mm ；材质：优质PMMA；工艺：采用先进精密PMMA注塑技术一次成型无毛边、无合缝线，外表面光亮；功能描述：底座带鲁尔座，顶部亚克力管封安装有阀门气咀，用于电解水制取氢气和氧气以及观察二者体积比。
氢氧火箭装置：
产品组成：氢氧火箭连接板、氢氧火箭底座、塑料试管等。
规格：157×86×101mm（±5mm）；材质：PMMA、铝合金；工艺：精加工；功能描述：用于模拟氢作为火箭燃料的演示实验。
氢氧火箭连接板：
规格：外形尺寸157×86×30mm（±5mm）；材质：优质PMMA；工艺：采用先进精密机械加工工艺，无锐角毛刺；功能描述：内含氢氧火箭的点火装置，角度可调，观察点火后塑料试管从不同角度飞出的现象。
氢氧火箭底座：
规格：外形尺寸150×25.4×80mm（±5mm）；材质：高标号硬质铝合金；工艺：采用先进精密铝膜拉伸技术一次成型无毛刺，电泳发黑表面处理工艺，哑光色泽不褪色，耐磨无划痕，两端搭配优质ABS端盖；功能描述：用作氢氧火箭的底座。
电镀装置：
规格：外形尺寸160×105×48.4mm（±5mm），通用壳体尺寸160×105×34.2mm（±5mm）；材质： 增强ABS塑料、墨色半透明PC和优质PMMA,壁厚≥2.5mm；工艺：塑料注塑成型，外表面高光，下底面内磨砂工艺处理；功能描述：用于进行电镀实验，学习不同金属盐电镀液给金属表面进行电镀处理的实验，并且通过调节电流了解金属表面电镀的情况。
电学模块组件：
规格：尺寸64×64×32mm；主要材质：ABS工程塑料、PC；工艺：塑料注塑成型；功能描述：①、结构特点：镀金触点连接，拼图式插接方式，上盖四边凹凸式对插接口，下盖四边滑槽，底部一个磁钢卡槽，可扩展为磁吸式电学模块；②、可用多种电子元件组成功能模块，经过拼插组合可以组合成多种电学功能电路，也可以在电学模块上插接拓展功能组件，形成特定功能产品，用以完成对应的实验。
可完成的基本实验活动：
6.探究电解质的电离；
29.制作简单的燃料电池；
30.电解氯化铜溶液；
31.电解饱和食盐水；  
32.简单的电镀实验。</t>
        </is>
      </c>
      <c r="K33" s="48" t="inlineStr">
        <is>
          <t>乐百仕</t>
        </is>
      </c>
      <c r="L33" s="48" t="inlineStr">
        <is>
          <t>江苏乐百仕教育科技有限公司</t>
        </is>
      </c>
      <c r="M33" s="356" t="n">
        <v>1</v>
      </c>
      <c r="N33" s="356" t="inlineStr">
        <is>
          <t>未找到合适匹配，请人工填写</t>
        </is>
      </c>
      <c r="O33" s="356" t="inlineStr"/>
      <c r="P33" s="356" t="inlineStr"/>
      <c r="Q33" s="356" t="inlineStr"/>
      <c r="R33" s="356" t="inlineStr"/>
      <c r="S33" s="356" t="inlineStr"/>
      <c r="T33" s="356" t="inlineStr"/>
      <c r="U33" s="356" t="inlineStr"/>
      <c r="V33" s="356" t="inlineStr"/>
      <c r="W33" s="356" t="inlineStr"/>
      <c r="X33" s="356" t="inlineStr"/>
      <c r="Y33" s="356" t="inlineStr">
        <is>
          <t>unmatched</t>
        </is>
      </c>
      <c r="Z33" s="356" t="n">
        <v>0</v>
      </c>
      <c r="AA33" s="356" t="inlineStr">
        <is>
          <t>没有找到可靠候选</t>
        </is>
      </c>
      <c r="AB33" s="356" t="inlineStr"/>
    </row>
    <row r="34" customFormat="1" s="13">
      <c r="A34" s="323" t="n">
        <v>42</v>
      </c>
      <c r="B34" s="67" t="n">
        <v>30408005101</v>
      </c>
      <c r="C34" s="87" t="inlineStr">
        <is>
          <t>教师用分子结构模型</t>
        </is>
      </c>
      <c r="D34" s="68" t="inlineStr">
        <is>
          <t>球棍式，氢原子球直径不小于 30 mm，其他原子球直径不小于 40 mm</t>
        </is>
      </c>
      <c r="E34" s="103" t="n">
        <v>1</v>
      </c>
      <c r="F34" s="26" t="inlineStr">
        <is>
          <t>套</t>
        </is>
      </c>
      <c r="G34" s="103">
        <f>_xlfn.DISPIMG("ID_936D8934C3BA4397AACF2E9DC09D7F12",1)</f>
        <v/>
      </c>
      <c r="H34" s="211" t="n"/>
      <c r="I34" s="26" t="n">
        <v>30408005101</v>
      </c>
      <c r="J34" s="164" t="inlineStr">
        <is>
          <t>球棍式，氢原子球直径不小于 30 mm，其他原子球直径不小于 40 mm</t>
        </is>
      </c>
      <c r="K34" s="39" t="inlineStr">
        <is>
          <t>乐百仕</t>
        </is>
      </c>
      <c r="L34" s="39" t="inlineStr">
        <is>
          <t>江苏乐百仕教育科技有限公司</t>
        </is>
      </c>
      <c r="M34" s="345" t="n">
        <v>1</v>
      </c>
      <c r="N34" s="345" t="n">
        <v>35</v>
      </c>
      <c r="O34" s="345" t="n">
        <v>35</v>
      </c>
      <c r="P34" s="345" t="inlineStr">
        <is>
          <t>套</t>
        </is>
      </c>
      <c r="Q34" s="345" t="inlineStr"/>
      <c r="R34" s="345" t="inlineStr"/>
      <c r="S34" s="345" t="inlineStr">
        <is>
          <t>3</t>
        </is>
      </c>
      <c r="T34" s="345" t="inlineStr"/>
      <c r="U34" s="345" t="inlineStr"/>
      <c r="V34" s="345" t="inlineStr"/>
      <c r="W34" s="345" t="inlineStr"/>
      <c r="X34" s="345" t="inlineStr"/>
      <c r="Y34" s="345" t="inlineStr">
        <is>
          <t>confirmed</t>
        </is>
      </c>
      <c r="Z34" s="345" t="n">
        <v>0</v>
      </c>
      <c r="AA34" s="345" t="inlineStr">
        <is>
          <t>匹配到商品档案但无历史价格记录</t>
        </is>
      </c>
      <c r="AB34" s="345" t="inlineStr">
        <is>
          <t>赛特尔25年.xls｜初中物理｜第328行</t>
        </is>
      </c>
    </row>
    <row r="35" customFormat="1" s="13">
      <c r="A35" s="323" t="n">
        <v>43</v>
      </c>
      <c r="B35" s="67" t="n">
        <v>30408005102</v>
      </c>
      <c r="C35" s="87" t="inlineStr">
        <is>
          <t>教师用分子结构模型</t>
        </is>
      </c>
      <c r="D35" s="68" t="inlineStr">
        <is>
          <t>空间充填式</t>
        </is>
      </c>
      <c r="E35" s="103" t="n">
        <v>1</v>
      </c>
      <c r="F35" s="26" t="inlineStr">
        <is>
          <t>套</t>
        </is>
      </c>
      <c r="G35" s="67">
        <f>_xlfn.DISPIMG("ID_D78CD74D4A754E538FC66C4065BF54C1",1)</f>
        <v/>
      </c>
      <c r="H35" s="211" t="n"/>
      <c r="I35" s="26" t="n">
        <v>30408005102</v>
      </c>
      <c r="J35" s="164" t="inlineStr">
        <is>
          <t>空间充填式</t>
        </is>
      </c>
      <c r="K35" s="39" t="inlineStr">
        <is>
          <t>乐百仕</t>
        </is>
      </c>
      <c r="L35" s="39" t="inlineStr">
        <is>
          <t>江苏乐百仕教育科技有限公司</t>
        </is>
      </c>
      <c r="M35" s="345" t="n">
        <v>1</v>
      </c>
      <c r="N35" s="345" t="n">
        <v>35</v>
      </c>
      <c r="O35" s="345" t="n">
        <v>35</v>
      </c>
      <c r="P35" s="345" t="inlineStr">
        <is>
          <t>套</t>
        </is>
      </c>
      <c r="Q35" s="345" t="inlineStr"/>
      <c r="R35" s="345" t="inlineStr"/>
      <c r="S35" s="345" t="inlineStr">
        <is>
          <t>3</t>
        </is>
      </c>
      <c r="T35" s="345" t="inlineStr"/>
      <c r="U35" s="345" t="inlineStr"/>
      <c r="V35" s="345" t="inlineStr"/>
      <c r="W35" s="345" t="inlineStr"/>
      <c r="X35" s="345" t="inlineStr"/>
      <c r="Y35" s="345" t="inlineStr">
        <is>
          <t>confirmed</t>
        </is>
      </c>
      <c r="Z35" s="345" t="n">
        <v>0</v>
      </c>
      <c r="AA35" s="345" t="inlineStr">
        <is>
          <t>匹配到商品档案但无历史价格记录</t>
        </is>
      </c>
      <c r="AB35" s="345" t="inlineStr">
        <is>
          <t>赛特尔25年.xls｜初中物理｜第328行</t>
        </is>
      </c>
    </row>
    <row r="36" customFormat="1" s="13">
      <c r="A36" s="323" t="n">
        <v>44</v>
      </c>
      <c r="B36" s="67" t="n">
        <v>30408005111</v>
      </c>
      <c r="C36" s="87" t="inlineStr">
        <is>
          <t>学生用分子结构模型</t>
        </is>
      </c>
      <c r="D36" s="68" t="inlineStr">
        <is>
          <t>球棍式，氢原子球直径不小于 17 mm，其他原子球直径不小于 23 mm</t>
        </is>
      </c>
      <c r="E36" s="103" t="n">
        <v>13</v>
      </c>
      <c r="F36" s="26" t="inlineStr">
        <is>
          <t>套</t>
        </is>
      </c>
      <c r="G36" s="103">
        <f>_xlfn.DISPIMG("ID_A2FBD589FCB54A98A919452FB8C1D290",1)</f>
        <v/>
      </c>
      <c r="H36" s="211" t="n"/>
      <c r="I36" s="26" t="n">
        <v>30408005111</v>
      </c>
      <c r="J36" s="164" t="inlineStr">
        <is>
          <t>球棍式，氢原子球直径不小于 17 mm，其他原子球直径不小于 23 mm</t>
        </is>
      </c>
      <c r="K36" s="39" t="inlineStr">
        <is>
          <t>乐百仕</t>
        </is>
      </c>
      <c r="L36" s="39" t="inlineStr">
        <is>
          <t>江苏乐百仕教育科技有限公司</t>
        </is>
      </c>
      <c r="M36" s="345" t="n">
        <v>13</v>
      </c>
      <c r="N36" s="345" t="n">
        <v>35</v>
      </c>
      <c r="O36" s="345" t="n">
        <v>455</v>
      </c>
      <c r="P36" s="345" t="inlineStr">
        <is>
          <t>套</t>
        </is>
      </c>
      <c r="Q36" s="345" t="inlineStr"/>
      <c r="R36" s="345" t="inlineStr"/>
      <c r="S36" s="345" t="inlineStr">
        <is>
          <t>3</t>
        </is>
      </c>
      <c r="T36" s="345" t="inlineStr"/>
      <c r="U36" s="345" t="inlineStr"/>
      <c r="V36" s="345" t="inlineStr"/>
      <c r="W36" s="345" t="inlineStr"/>
      <c r="X36" s="345" t="inlineStr"/>
      <c r="Y36" s="345" t="inlineStr">
        <is>
          <t>confirmed</t>
        </is>
      </c>
      <c r="Z36" s="345" t="n">
        <v>0</v>
      </c>
      <c r="AA36" s="345" t="inlineStr">
        <is>
          <t>匹配到商品档案但无历史价格记录</t>
        </is>
      </c>
      <c r="AB36" s="345" t="inlineStr">
        <is>
          <t>赛特尔25年.xls｜初中物理｜第328行</t>
        </is>
      </c>
    </row>
    <row r="37" customFormat="1" s="187">
      <c r="A37" s="323" t="n">
        <v>45</v>
      </c>
      <c r="B37" s="348" t="n">
        <v>30408002101</v>
      </c>
      <c r="C37" s="212" t="inlineStr">
        <is>
          <t>原子轨道模型</t>
        </is>
      </c>
      <c r="D37" s="213" t="inlineStr">
        <is>
          <t>s、px、py、pz、dx2-y2、dz2、dxy、dyz、dzx</t>
        </is>
      </c>
      <c r="E37" s="67" t="n">
        <v>1</v>
      </c>
      <c r="F37" s="26" t="inlineStr">
        <is>
          <t>套</t>
        </is>
      </c>
      <c r="G37" s="26">
        <f>_xlfn.DISPIMG("ID_0255B77CD8C54E5AA2F80804369C5703",1)</f>
        <v/>
      </c>
      <c r="H37" s="32" t="n"/>
      <c r="I37" s="348" t="n">
        <v>30408002101</v>
      </c>
      <c r="J37" s="40" t="inlineStr">
        <is>
          <t>s、px、py、pz、dx2-y2、dz2、dxy、dyz、dzx</t>
        </is>
      </c>
      <c r="K37" s="39" t="inlineStr">
        <is>
          <t>乐百仕</t>
        </is>
      </c>
      <c r="L37" s="39" t="inlineStr">
        <is>
          <t>江苏乐百仕教育科技有限公司</t>
        </is>
      </c>
      <c r="M37" s="345" t="n">
        <v>1</v>
      </c>
      <c r="N37" s="345" t="n">
        <v>35</v>
      </c>
      <c r="O37" s="345" t="n">
        <v>35</v>
      </c>
      <c r="P37" s="345" t="inlineStr">
        <is>
          <t>套</t>
        </is>
      </c>
      <c r="Q37" s="345" t="inlineStr"/>
      <c r="R37" s="345" t="inlineStr"/>
      <c r="S37" s="345" t="inlineStr">
        <is>
          <t>3</t>
        </is>
      </c>
      <c r="T37" s="345" t="inlineStr"/>
      <c r="U37" s="345" t="inlineStr"/>
      <c r="V37" s="345" t="inlineStr"/>
      <c r="W37" s="345" t="inlineStr"/>
      <c r="X37" s="345" t="inlineStr"/>
      <c r="Y37" s="345" t="inlineStr">
        <is>
          <t>confirmed</t>
        </is>
      </c>
      <c r="Z37" s="345" t="n">
        <v>0</v>
      </c>
      <c r="AA37" s="345" t="inlineStr">
        <is>
          <t>匹配到商品档案但无历史价格记录</t>
        </is>
      </c>
      <c r="AB37" s="345" t="inlineStr">
        <is>
          <t>赛特尔25年.xls｜初中物理｜第328行</t>
        </is>
      </c>
    </row>
    <row r="38" customFormat="1" s="187">
      <c r="A38" s="323" t="n">
        <v>46</v>
      </c>
      <c r="B38" s="348" t="n">
        <v>30408002201</v>
      </c>
      <c r="C38" s="212" t="inlineStr">
        <is>
          <t>轨道重叠方式模型</t>
        </is>
      </c>
      <c r="D38" s="213" t="inlineStr">
        <is>
          <t>σ键模型（s-s、s-p、p-p）、π键模型（简单的 p-p π键、N2分子的两个π键）</t>
        </is>
      </c>
      <c r="E38" s="67" t="n">
        <v>1</v>
      </c>
      <c r="F38" s="26" t="inlineStr">
        <is>
          <t>套</t>
        </is>
      </c>
      <c r="G38" s="26">
        <f>_xlfn.DISPIMG("ID_427D42FBD831415287CA43F7D9F6A4CA",1)</f>
        <v/>
      </c>
      <c r="H38" s="32" t="n"/>
      <c r="I38" s="348" t="n">
        <v>30408002201</v>
      </c>
      <c r="J38" s="40" t="inlineStr">
        <is>
          <t>σ键模型（s-s、s-p、p-p）、π键模型（简单的 p-p π键、N2分子的两个π键）</t>
        </is>
      </c>
      <c r="K38" s="39" t="inlineStr">
        <is>
          <t>乐百仕</t>
        </is>
      </c>
      <c r="L38" s="39" t="inlineStr">
        <is>
          <t>江苏乐百仕教育科技有限公司</t>
        </is>
      </c>
      <c r="M38" s="345" t="n">
        <v>1</v>
      </c>
      <c r="N38" s="345" t="n">
        <v>35</v>
      </c>
      <c r="O38" s="345" t="n">
        <v>35</v>
      </c>
      <c r="P38" s="345" t="inlineStr">
        <is>
          <t>套</t>
        </is>
      </c>
      <c r="Q38" s="345" t="inlineStr"/>
      <c r="R38" s="345" t="inlineStr"/>
      <c r="S38" s="345" t="inlineStr">
        <is>
          <t>3</t>
        </is>
      </c>
      <c r="T38" s="345" t="inlineStr"/>
      <c r="U38" s="345" t="inlineStr"/>
      <c r="V38" s="345" t="inlineStr"/>
      <c r="W38" s="345" t="inlineStr"/>
      <c r="X38" s="345" t="inlineStr"/>
      <c r="Y38" s="345" t="inlineStr">
        <is>
          <t>confirmed</t>
        </is>
      </c>
      <c r="Z38" s="345" t="n">
        <v>0</v>
      </c>
      <c r="AA38" s="345" t="inlineStr">
        <is>
          <t>匹配到商品档案但无历史价格记录</t>
        </is>
      </c>
      <c r="AB38" s="345" t="inlineStr">
        <is>
          <t>赛特尔25年.xls｜初中物理｜第328行</t>
        </is>
      </c>
    </row>
    <row r="39" customFormat="1" s="187">
      <c r="A39" s="323" t="n">
        <v>47</v>
      </c>
      <c r="B39" s="348" t="n">
        <v>30408002301</v>
      </c>
      <c r="C39" s="212" t="inlineStr">
        <is>
          <t>分子空间结构模型</t>
        </is>
      </c>
      <c r="D39" s="213" t="inlineStr">
        <is>
          <t>球棍式，包括 CO2、H2O、HCHO、NH3、CH4、P4、P4O6、P4O10、C60、船式 C6H12、椅式 C6H12、S8、SF6</t>
        </is>
      </c>
      <c r="E39" s="67" t="n">
        <v>1</v>
      </c>
      <c r="F39" s="26" t="inlineStr">
        <is>
          <t>套</t>
        </is>
      </c>
      <c r="G39" s="26">
        <f>_xlfn.DISPIMG("ID_805839D60C5248C788BAE96BB115D4F7",1)</f>
        <v/>
      </c>
      <c r="H39" s="32" t="n"/>
      <c r="I39" s="348" t="n">
        <v>30408002301</v>
      </c>
      <c r="J39" s="40" t="inlineStr">
        <is>
          <t>球棍式，包括 CO2、H2O、HCHO、NH3、CH4、P4、P4O6、P4O10、C60、船式 C6H12、椅式 C6H12、S8、SF6</t>
        </is>
      </c>
      <c r="K39" s="39" t="inlineStr">
        <is>
          <t>乐百仕</t>
        </is>
      </c>
      <c r="L39" s="39" t="inlineStr">
        <is>
          <t>江苏乐百仕教育科技有限公司</t>
        </is>
      </c>
      <c r="M39" s="345" t="n">
        <v>1</v>
      </c>
      <c r="N39" s="345" t="n">
        <v>35</v>
      </c>
      <c r="O39" s="345" t="n">
        <v>35</v>
      </c>
      <c r="P39" s="345" t="inlineStr">
        <is>
          <t>套</t>
        </is>
      </c>
      <c r="Q39" s="345" t="inlineStr"/>
      <c r="R39" s="345" t="inlineStr"/>
      <c r="S39" s="345" t="inlineStr">
        <is>
          <t>3</t>
        </is>
      </c>
      <c r="T39" s="345" t="inlineStr"/>
      <c r="U39" s="345" t="inlineStr"/>
      <c r="V39" s="345" t="inlineStr"/>
      <c r="W39" s="345" t="inlineStr"/>
      <c r="X39" s="345" t="inlineStr"/>
      <c r="Y39" s="345" t="inlineStr">
        <is>
          <t>confirmed</t>
        </is>
      </c>
      <c r="Z39" s="345" t="n">
        <v>0</v>
      </c>
      <c r="AA39" s="345" t="inlineStr">
        <is>
          <t>没有找到可靠候选</t>
        </is>
      </c>
      <c r="AB39" s="345" t="inlineStr">
        <is>
          <t>赛特尔25年.xls｜初中物理｜第328行</t>
        </is>
      </c>
    </row>
    <row r="40" customFormat="1" s="187">
      <c r="A40" s="323" t="n">
        <v>48</v>
      </c>
      <c r="B40" s="348" t="n">
        <v>30408002401</v>
      </c>
      <c r="C40" s="212" t="inlineStr">
        <is>
          <t>原子杂化轨道模型</t>
        </is>
      </c>
      <c r="D40" s="213" t="inlineStr">
        <is>
          <t>sp、sp2、sp3</t>
        </is>
      </c>
      <c r="E40" s="67" t="n">
        <v>1</v>
      </c>
      <c r="F40" s="26" t="inlineStr">
        <is>
          <t>套</t>
        </is>
      </c>
      <c r="G40" s="26">
        <f>_xlfn.DISPIMG("ID_615E8815F4E2410D9314FB607EE80F16",1)</f>
        <v/>
      </c>
      <c r="H40" s="32" t="n"/>
      <c r="I40" s="348" t="n">
        <v>30408002401</v>
      </c>
      <c r="J40" s="40" t="inlineStr">
        <is>
          <t>sp、sp2、sp3</t>
        </is>
      </c>
      <c r="K40" s="39" t="inlineStr">
        <is>
          <t>乐百仕</t>
        </is>
      </c>
      <c r="L40" s="39" t="inlineStr">
        <is>
          <t>江苏乐百仕教育科技有限公司</t>
        </is>
      </c>
      <c r="M40" s="345" t="n">
        <v>1</v>
      </c>
      <c r="N40" s="345" t="n">
        <v>35</v>
      </c>
      <c r="O40" s="345" t="n">
        <v>35</v>
      </c>
      <c r="P40" s="345" t="inlineStr">
        <is>
          <t>套</t>
        </is>
      </c>
      <c r="Q40" s="345" t="inlineStr"/>
      <c r="R40" s="345" t="inlineStr"/>
      <c r="S40" s="345" t="inlineStr">
        <is>
          <t>3</t>
        </is>
      </c>
      <c r="T40" s="345" t="inlineStr"/>
      <c r="U40" s="345" t="inlineStr"/>
      <c r="V40" s="345" t="inlineStr"/>
      <c r="W40" s="345" t="inlineStr"/>
      <c r="X40" s="345" t="inlineStr"/>
      <c r="Y40" s="345" t="inlineStr">
        <is>
          <t>confirmed</t>
        </is>
      </c>
      <c r="Z40" s="345" t="n">
        <v>0</v>
      </c>
      <c r="AA40" s="345" t="inlineStr">
        <is>
          <t>匹配到商品档案但无历史价格记录</t>
        </is>
      </c>
      <c r="AB40" s="345" t="inlineStr">
        <is>
          <t>赛特尔25年.xls｜初中物理｜第328行</t>
        </is>
      </c>
    </row>
    <row r="41" customFormat="1" s="187">
      <c r="A41" s="323" t="n">
        <v>49</v>
      </c>
      <c r="B41" s="103" t="n">
        <v>30408002501</v>
      </c>
      <c r="C41" s="87" t="inlineStr">
        <is>
          <t>价层电子对互斥模型</t>
        </is>
      </c>
      <c r="D41" s="68" t="inlineStr">
        <is>
          <t>CO2  、SO2  、CO32- 、H2O、SO3  、NH3  、CH4</t>
        </is>
      </c>
      <c r="E41" s="103" t="n">
        <v>1</v>
      </c>
      <c r="F41" s="26" t="inlineStr">
        <is>
          <t>套</t>
        </is>
      </c>
      <c r="G41" s="103">
        <f>_xlfn.DISPIMG("ID_553116E25EE84DA5883DDC19D31603B2",1)</f>
        <v/>
      </c>
      <c r="H41" s="32" t="n"/>
      <c r="I41" s="108" t="n">
        <v>30408002501</v>
      </c>
      <c r="J41" s="164" t="inlineStr">
        <is>
          <t>CO2  、SO2  、CO32- 、H2O、SO3  、NH3  、CH4</t>
        </is>
      </c>
      <c r="K41" s="39" t="inlineStr">
        <is>
          <t>乐百仕</t>
        </is>
      </c>
      <c r="L41" s="39" t="inlineStr">
        <is>
          <t>江苏乐百仕教育科技有限公司</t>
        </is>
      </c>
      <c r="M41" s="345" t="n">
        <v>1</v>
      </c>
      <c r="N41" s="345" t="n">
        <v>4</v>
      </c>
      <c r="O41" s="345" t="n">
        <v>4</v>
      </c>
      <c r="P41" s="345" t="inlineStr">
        <is>
          <t>套</t>
        </is>
      </c>
      <c r="Q41" s="345" t="inlineStr"/>
      <c r="R41" s="345" t="inlineStr"/>
      <c r="S41" s="345" t="inlineStr">
        <is>
          <t>3</t>
        </is>
      </c>
      <c r="T41" s="345" t="inlineStr"/>
      <c r="U41" s="345" t="n">
        <v>35</v>
      </c>
      <c r="V41" s="345" t="inlineStr"/>
      <c r="W41" s="345" t="n">
        <v>760</v>
      </c>
      <c r="X41" s="345" t="inlineStr"/>
      <c r="Y41" s="345" t="inlineStr">
        <is>
          <t>confirmed</t>
        </is>
      </c>
      <c r="Z41" s="345" t="n">
        <v>90</v>
      </c>
      <c r="AA41" s="345" t="inlineStr">
        <is>
          <t>价格分歧&gt;30%：历史报价分歧较大，需人工核对；同分多价：最高分候选存在不同历史价格</t>
        </is>
      </c>
      <c r="AB41" s="345" t="inlineStr">
        <is>
          <t>赛特尔25年.xls｜小学新课标科学｜第130行</t>
        </is>
      </c>
    </row>
    <row r="42" customFormat="1" s="187">
      <c r="A42" s="323" t="n">
        <v>50</v>
      </c>
      <c r="B42" s="103" t="n">
        <v>30408001001</v>
      </c>
      <c r="C42" s="87" t="inlineStr">
        <is>
          <t>金属晶体结构模型</t>
        </is>
      </c>
      <c r="D42" s="68" t="inlineStr">
        <is>
          <t>包括但不局限于 Cu、Na、Zn 等，球直径不小于 30 mm</t>
        </is>
      </c>
      <c r="E42" s="103" t="n">
        <v>1</v>
      </c>
      <c r="F42" s="26" t="inlineStr">
        <is>
          <t>套</t>
        </is>
      </c>
      <c r="G42" s="103">
        <f>_xlfn.DISPIMG("ID_81F36C9CFD6C41AC93B078C9F389508D",1)</f>
        <v/>
      </c>
      <c r="H42" s="32" t="n"/>
      <c r="I42" s="108" t="n">
        <v>30408001001</v>
      </c>
      <c r="J42" s="164" t="inlineStr">
        <is>
          <t>包括但不局限于 Cu、Na、Zn 等，球直径不小于 30 mm</t>
        </is>
      </c>
      <c r="K42" s="39" t="inlineStr">
        <is>
          <t>乐百仕</t>
        </is>
      </c>
      <c r="L42" s="39" t="inlineStr">
        <is>
          <t>江苏乐百仕教育科技有限公司</t>
        </is>
      </c>
      <c r="M42" s="345" t="n">
        <v>1</v>
      </c>
      <c r="N42" s="345" t="n">
        <v>70</v>
      </c>
      <c r="O42" s="345" t="n">
        <v>70</v>
      </c>
      <c r="P42" s="345" t="inlineStr">
        <is>
          <t>套</t>
        </is>
      </c>
      <c r="Q42" s="345" t="inlineStr"/>
      <c r="R42" s="345" t="inlineStr"/>
      <c r="S42" s="345" t="inlineStr"/>
      <c r="T42" s="345" t="inlineStr"/>
      <c r="U42" s="345" t="n">
        <v>75</v>
      </c>
      <c r="V42" s="345" t="inlineStr"/>
      <c r="W42" s="345" t="n">
        <v>75</v>
      </c>
      <c r="X42" s="345" t="inlineStr"/>
      <c r="Y42" s="345" t="inlineStr">
        <is>
          <t>confirmed</t>
        </is>
      </c>
      <c r="Z42" s="345" t="n">
        <v>70.59999999999999</v>
      </c>
      <c r="AA42" s="345" t="inlineStr">
        <is>
          <t>同分多价：最高分候选存在不同历史价格</t>
        </is>
      </c>
      <c r="AB42" s="345" t="inlineStr">
        <is>
          <t>赛特尔25年.xls｜初中新课标化学｜第301行</t>
        </is>
      </c>
    </row>
    <row r="43" customFormat="1" s="187">
      <c r="A43" s="323" t="n">
        <v>51</v>
      </c>
      <c r="B43" s="103" t="n">
        <v>30408001401</v>
      </c>
      <c r="C43" s="87" t="inlineStr">
        <is>
          <t>离子晶体结构模型</t>
        </is>
      </c>
      <c r="D43" s="68" t="inlineStr">
        <is>
          <t>包括但不局限于氯化钠、氯化铯等，球直径不小于 30 mm</t>
        </is>
      </c>
      <c r="E43" s="103" t="n">
        <v>1</v>
      </c>
      <c r="F43" s="26" t="inlineStr">
        <is>
          <t>套</t>
        </is>
      </c>
      <c r="G43" s="103">
        <f>_xlfn.DISPIMG("ID_5A84DFC1F66B4E368E79CA3A0734DD80",1)</f>
        <v/>
      </c>
      <c r="H43" s="32" t="n"/>
      <c r="I43" s="108" t="n">
        <v>30408001401</v>
      </c>
      <c r="J43" s="164" t="inlineStr">
        <is>
          <t>包括但不局限于氯化钠、氯化铯等，球直径不小于 30 mm</t>
        </is>
      </c>
      <c r="K43" s="39" t="inlineStr">
        <is>
          <t>乐百仕</t>
        </is>
      </c>
      <c r="L43" s="39" t="inlineStr">
        <is>
          <t>江苏乐百仕教育科技有限公司</t>
        </is>
      </c>
      <c r="M43" s="345" t="n">
        <v>1</v>
      </c>
      <c r="N43" s="345" t="n">
        <v>70</v>
      </c>
      <c r="O43" s="345" t="n">
        <v>70</v>
      </c>
      <c r="P43" s="345" t="inlineStr">
        <is>
          <t>套</t>
        </is>
      </c>
      <c r="Q43" s="345" t="inlineStr"/>
      <c r="R43" s="345" t="inlineStr"/>
      <c r="S43" s="345" t="inlineStr"/>
      <c r="T43" s="345" t="inlineStr"/>
      <c r="U43" s="345" t="n">
        <v>75</v>
      </c>
      <c r="V43" s="345" t="inlineStr"/>
      <c r="W43" s="345" t="n">
        <v>75</v>
      </c>
      <c r="X43" s="345" t="inlineStr"/>
      <c r="Y43" s="345" t="inlineStr">
        <is>
          <t>confirmed</t>
        </is>
      </c>
      <c r="Z43" s="345" t="n">
        <v>70.59999999999999</v>
      </c>
      <c r="AA43" s="345" t="inlineStr">
        <is>
          <t>同分多价：最高分候选存在不同历史价格</t>
        </is>
      </c>
      <c r="AB43" s="345" t="inlineStr">
        <is>
          <t>赛特尔25年.xls｜初中新课标化学｜第301行</t>
        </is>
      </c>
    </row>
    <row r="44" customFormat="1" s="187">
      <c r="A44" s="323" t="n">
        <v>52</v>
      </c>
      <c r="B44" s="67" t="n">
        <v>30408001501</v>
      </c>
      <c r="C44" s="87" t="inlineStr">
        <is>
          <t>共价晶体结构模型</t>
        </is>
      </c>
      <c r="D44" s="68" t="inlineStr">
        <is>
          <t>包括但不局限于金刚石、二氧化硅等，球直径不小于 30 mm</t>
        </is>
      </c>
      <c r="E44" s="103" t="n">
        <v>1</v>
      </c>
      <c r="F44" s="26" t="inlineStr">
        <is>
          <t>套</t>
        </is>
      </c>
      <c r="G44" s="103">
        <f>_xlfn.DISPIMG("ID_3FB4788ADE434B2B95F72E39DB7E2554",1)</f>
        <v/>
      </c>
      <c r="H44" s="32" t="n"/>
      <c r="I44" s="26" t="n">
        <v>30408001501</v>
      </c>
      <c r="J44" s="164" t="inlineStr">
        <is>
          <t>包括但不局限于金刚石、二氧化硅等，球直径不小于 30 mm</t>
        </is>
      </c>
      <c r="K44" s="39" t="inlineStr">
        <is>
          <t>乐百仕</t>
        </is>
      </c>
      <c r="L44" s="39" t="inlineStr">
        <is>
          <t>江苏乐百仕教育科技有限公司</t>
        </is>
      </c>
      <c r="M44" s="345" t="n">
        <v>1</v>
      </c>
      <c r="N44" s="345" t="n">
        <v>70</v>
      </c>
      <c r="O44" s="345" t="n">
        <v>70</v>
      </c>
      <c r="P44" s="345" t="inlineStr">
        <is>
          <t>套</t>
        </is>
      </c>
      <c r="Q44" s="345" t="inlineStr"/>
      <c r="R44" s="345" t="inlineStr"/>
      <c r="S44" s="345" t="inlineStr"/>
      <c r="T44" s="345" t="inlineStr"/>
      <c r="U44" s="345" t="n">
        <v>75</v>
      </c>
      <c r="V44" s="345" t="inlineStr"/>
      <c r="W44" s="345" t="n">
        <v>75</v>
      </c>
      <c r="X44" s="345" t="inlineStr"/>
      <c r="Y44" s="345" t="inlineStr">
        <is>
          <t>confirmed</t>
        </is>
      </c>
      <c r="Z44" s="345" t="n">
        <v>70.59999999999999</v>
      </c>
      <c r="AA44" s="345" t="inlineStr">
        <is>
          <t>同分多价：最高分候选存在不同历史价格</t>
        </is>
      </c>
      <c r="AB44" s="345" t="inlineStr">
        <is>
          <t>赛特尔25年.xls｜初中新课标化学｜第301行</t>
        </is>
      </c>
    </row>
    <row r="45" customFormat="1" s="187">
      <c r="A45" s="323" t="n">
        <v>53</v>
      </c>
      <c r="B45" s="103" t="n">
        <v>30408001601</v>
      </c>
      <c r="C45" s="87" t="inlineStr">
        <is>
          <t>分子晶体结构模型</t>
        </is>
      </c>
      <c r="D45" s="68" t="inlineStr">
        <is>
          <t>包括但不局限于 C60、冰、干冰、碘、天然气水合物等，球直径不小于 30 mm</t>
        </is>
      </c>
      <c r="E45" s="103" t="n">
        <v>1</v>
      </c>
      <c r="F45" s="26" t="inlineStr">
        <is>
          <t>套</t>
        </is>
      </c>
      <c r="G45" s="103">
        <f>_xlfn.DISPIMG("ID_DFD1673ED191413199194406AAEE11FC",1)</f>
        <v/>
      </c>
      <c r="H45" s="32" t="n"/>
      <c r="I45" s="108" t="n">
        <v>30408001601</v>
      </c>
      <c r="J45" s="164" t="inlineStr">
        <is>
          <t>包括但不局限于 C60、冰、干冰、碘、天然气水合物等，球直径不小于 30 mm</t>
        </is>
      </c>
      <c r="K45" s="39" t="inlineStr">
        <is>
          <t>乐百仕</t>
        </is>
      </c>
      <c r="L45" s="39" t="inlineStr">
        <is>
          <t>江苏乐百仕教育科技有限公司</t>
        </is>
      </c>
      <c r="M45" s="345" t="n">
        <v>1</v>
      </c>
      <c r="N45" s="345" t="n">
        <v>70</v>
      </c>
      <c r="O45" s="345" t="n">
        <v>70</v>
      </c>
      <c r="P45" s="345" t="inlineStr">
        <is>
          <t>套</t>
        </is>
      </c>
      <c r="Q45" s="345" t="inlineStr"/>
      <c r="R45" s="345" t="inlineStr"/>
      <c r="S45" s="345" t="inlineStr"/>
      <c r="T45" s="345" t="inlineStr"/>
      <c r="U45" s="345" t="n">
        <v>75</v>
      </c>
      <c r="V45" s="345" t="inlineStr"/>
      <c r="W45" s="345" t="n">
        <v>75</v>
      </c>
      <c r="X45" s="345" t="inlineStr"/>
      <c r="Y45" s="345" t="inlineStr">
        <is>
          <t>confirmed</t>
        </is>
      </c>
      <c r="Z45" s="345" t="n">
        <v>70.59999999999999</v>
      </c>
      <c r="AA45" s="345" t="inlineStr">
        <is>
          <t>同分多价：最高分候选存在不同历史价格</t>
        </is>
      </c>
      <c r="AB45" s="345" t="inlineStr">
        <is>
          <t>赛特尔25年.xls｜初中新课标化学｜第301行</t>
        </is>
      </c>
    </row>
    <row r="46" customFormat="1" s="187">
      <c r="A46" s="323" t="n">
        <v>54</v>
      </c>
      <c r="B46" s="103" t="n">
        <v>30408001701</v>
      </c>
      <c r="C46" s="87" t="inlineStr">
        <is>
          <t>混合型晶体结构模型</t>
        </is>
      </c>
      <c r="D46" s="68" t="inlineStr">
        <is>
          <t>石墨，球直径不小于 30 mm</t>
        </is>
      </c>
      <c r="E46" s="103" t="n">
        <v>1</v>
      </c>
      <c r="F46" s="26" t="inlineStr">
        <is>
          <t>套</t>
        </is>
      </c>
      <c r="G46" s="103">
        <f>_xlfn.DISPIMG("ID_1B695229B84244C68B86CC6C9D780898",1)</f>
        <v/>
      </c>
      <c r="H46" s="32" t="n"/>
      <c r="I46" s="108" t="n">
        <v>30408001701</v>
      </c>
      <c r="J46" s="164" t="inlineStr">
        <is>
          <t>石墨，球直径不小于 30 mm</t>
        </is>
      </c>
      <c r="K46" s="39" t="inlineStr">
        <is>
          <t>乐百仕</t>
        </is>
      </c>
      <c r="L46" s="39" t="inlineStr">
        <is>
          <t>江苏乐百仕教育科技有限公司</t>
        </is>
      </c>
      <c r="M46" s="345" t="n">
        <v>1</v>
      </c>
      <c r="N46" s="345" t="n">
        <v>4</v>
      </c>
      <c r="O46" s="345" t="n">
        <v>4</v>
      </c>
      <c r="P46" s="345" t="inlineStr">
        <is>
          <t>套</t>
        </is>
      </c>
      <c r="Q46" s="345" t="inlineStr"/>
      <c r="R46" s="345" t="inlineStr"/>
      <c r="S46" s="345" t="inlineStr">
        <is>
          <t>3</t>
        </is>
      </c>
      <c r="T46" s="345" t="inlineStr"/>
      <c r="U46" s="345" t="n">
        <v>35</v>
      </c>
      <c r="V46" s="345" t="inlineStr"/>
      <c r="W46" s="345" t="n">
        <v>75</v>
      </c>
      <c r="X46" s="345" t="inlineStr"/>
      <c r="Y46" s="345" t="inlineStr">
        <is>
          <t>confirmed</t>
        </is>
      </c>
      <c r="Z46" s="345" t="n">
        <v>90</v>
      </c>
      <c r="AA46" s="345" t="inlineStr">
        <is>
          <t>价格分歧&gt;30%：历史报价分歧较大，需人工核对；同分多价：最高分候选存在不同历史价格</t>
        </is>
      </c>
      <c r="AB46" s="345" t="inlineStr">
        <is>
          <t>赛特尔25年.xls｜小学新课标科学｜第130行</t>
        </is>
      </c>
    </row>
    <row r="47" customFormat="1" s="13">
      <c r="A47" s="323" t="n">
        <v>55</v>
      </c>
      <c r="B47" s="103" t="n">
        <v>30408003201</v>
      </c>
      <c r="C47" s="87" t="inlineStr">
        <is>
          <t>沸腾焙烧炉模型</t>
        </is>
      </c>
      <c r="D47" s="68" t="inlineStr">
        <is>
          <t>模型高度≥500 mm，直径≥120 mm，主要结构应用标签注明，标注应准确、清晰、牢固。各部件位置正确、连接牢固，不得因正常震动、碰触而开裂、松脱</t>
        </is>
      </c>
      <c r="E47" s="103" t="n">
        <v>1</v>
      </c>
      <c r="F47" s="26" t="inlineStr">
        <is>
          <t>套</t>
        </is>
      </c>
      <c r="G47" s="108">
        <f>_xlfn.DISPIMG("ID_46879BA9241243DD980845014AEF5B52",1)</f>
        <v/>
      </c>
      <c r="H47" s="211" t="n"/>
      <c r="I47" s="108" t="n">
        <v>30408003201</v>
      </c>
      <c r="J47" s="164" t="inlineStr">
        <is>
          <t>模型高度≥500 mm，直径≥120 mm，主要结构应用标签注明，标注应准确、清晰、牢固。各部件位置正确、连接牢固，不得因正常震动、碰触而开裂、松脱</t>
        </is>
      </c>
      <c r="K47" s="39" t="inlineStr">
        <is>
          <t>乐百仕</t>
        </is>
      </c>
      <c r="L47" s="39" t="inlineStr">
        <is>
          <t>江苏乐百仕教育科技有限公司</t>
        </is>
      </c>
      <c r="M47" s="345" t="n">
        <v>1</v>
      </c>
      <c r="N47" s="345" t="n">
        <v>35</v>
      </c>
      <c r="O47" s="345" t="n">
        <v>35</v>
      </c>
      <c r="P47" s="345" t="inlineStr">
        <is>
          <t>套</t>
        </is>
      </c>
      <c r="Q47" s="345" t="inlineStr"/>
      <c r="R47" s="345" t="inlineStr"/>
      <c r="S47" s="345" t="inlineStr">
        <is>
          <t>3</t>
        </is>
      </c>
      <c r="T47" s="345" t="inlineStr"/>
      <c r="U47" s="345" t="inlineStr"/>
      <c r="V47" s="345" t="inlineStr"/>
      <c r="W47" s="345" t="inlineStr"/>
      <c r="X47" s="345" t="inlineStr"/>
      <c r="Y47" s="345" t="inlineStr">
        <is>
          <t>confirmed</t>
        </is>
      </c>
      <c r="Z47" s="345" t="n">
        <v>0</v>
      </c>
      <c r="AA47" s="345" t="inlineStr">
        <is>
          <t>没有找到可靠候选</t>
        </is>
      </c>
      <c r="AB47" s="345" t="inlineStr">
        <is>
          <t>赛特尔25年.xls｜初中物理｜第328行</t>
        </is>
      </c>
    </row>
    <row r="48" customFormat="1" s="13">
      <c r="A48" s="323" t="n">
        <v>56</v>
      </c>
      <c r="B48" s="103" t="n">
        <v>30408003301</v>
      </c>
      <c r="C48" s="87" t="inlineStr">
        <is>
          <t>硫酸接触室模型</t>
        </is>
      </c>
      <c r="D48" s="68" t="inlineStr">
        <is>
          <t>模型高度≥500 mm，直径≥200 mm，主要结构应用标签注明，标注应准确、清晰、牢固。各部件位置正确、连接牢固，不得因正常震动、碰触而开裂、松脱</t>
        </is>
      </c>
      <c r="E48" s="103" t="n">
        <v>1</v>
      </c>
      <c r="F48" s="26" t="inlineStr">
        <is>
          <t>套</t>
        </is>
      </c>
      <c r="G48" s="108">
        <f>_xlfn.DISPIMG("ID_AA7D75C0D5214622806BE3EE2F5231E1",1)</f>
        <v/>
      </c>
      <c r="H48" s="211" t="n"/>
      <c r="I48" s="108" t="n">
        <v>30408003301</v>
      </c>
      <c r="J48" s="164" t="inlineStr">
        <is>
          <t>模型高度≥500 mm，直径≥200 mm，主要结构应用标签注明，标注应准确、清晰、牢固。各部件位置正确、连接牢固，不得因正常震动、碰触而开裂、松脱</t>
        </is>
      </c>
      <c r="K48" s="39" t="inlineStr">
        <is>
          <t>乐百仕</t>
        </is>
      </c>
      <c r="L48" s="39" t="inlineStr">
        <is>
          <t>江苏乐百仕教育科技有限公司</t>
        </is>
      </c>
      <c r="M48" s="345" t="n">
        <v>1</v>
      </c>
      <c r="N48" s="345" t="n">
        <v>0.03</v>
      </c>
      <c r="O48" s="345" t="n">
        <v>0.03</v>
      </c>
      <c r="P48" s="345" t="inlineStr">
        <is>
          <t>套</t>
        </is>
      </c>
      <c r="Q48" s="345" t="inlineStr"/>
      <c r="R48" s="345" t="inlineStr"/>
      <c r="S48" s="345" t="inlineStr"/>
      <c r="T48" s="345" t="inlineStr">
        <is>
          <t>工业</t>
        </is>
      </c>
      <c r="U48" s="345" t="inlineStr"/>
      <c r="V48" s="345" t="inlineStr"/>
      <c r="W48" s="345" t="inlineStr"/>
      <c r="X48" s="345" t="inlineStr"/>
      <c r="Y48" s="345" t="inlineStr">
        <is>
          <t>confirmed</t>
        </is>
      </c>
      <c r="Z48" s="345" t="n">
        <v>0</v>
      </c>
      <c r="AA48" s="345" t="inlineStr">
        <is>
          <t>没有找到可靠候选</t>
        </is>
      </c>
      <c r="AB48" s="345" t="inlineStr">
        <is>
          <t>赛特尔25年.xls｜初中化学｜第256行</t>
        </is>
      </c>
    </row>
    <row r="49" customFormat="1" s="13">
      <c r="A49" s="323" t="n">
        <v>57</v>
      </c>
      <c r="B49" s="103" t="n">
        <v>30408003401</v>
      </c>
      <c r="C49" s="87" t="inlineStr">
        <is>
          <t>氨合成塔模型</t>
        </is>
      </c>
      <c r="D49" s="68" t="inlineStr">
        <is>
          <t>模型高度≥800 mm，直径≥120 mm，主要结构应用标签注明，标注应准确、清晰、牢固。各部件位置正确、连接牢固，不得因正常震动、碰触而开裂、松脱</t>
        </is>
      </c>
      <c r="E49" s="103" t="n">
        <v>1</v>
      </c>
      <c r="F49" s="26" t="inlineStr">
        <is>
          <t>套</t>
        </is>
      </c>
      <c r="G49" s="108">
        <f>_xlfn.DISPIMG("ID_8738B1299B88436D903B363384B83AB5",1)</f>
        <v/>
      </c>
      <c r="H49" s="211" t="n"/>
      <c r="I49" s="108" t="n">
        <v>30408003401</v>
      </c>
      <c r="J49" s="164" t="inlineStr">
        <is>
          <t>模型高度≥800 mm，直径≥120 mm，主要结构应用标签注明，标注应准确、清晰、牢固。各部件位置正确、连接牢固，不得因正常震动、碰触而开裂、松脱</t>
        </is>
      </c>
      <c r="K49" s="39" t="inlineStr">
        <is>
          <t>乐百仕</t>
        </is>
      </c>
      <c r="L49" s="39" t="inlineStr">
        <is>
          <t>江苏乐百仕教育科技有限公司</t>
        </is>
      </c>
      <c r="M49" s="345" t="n">
        <v>1</v>
      </c>
      <c r="N49" s="345" t="n">
        <v>35</v>
      </c>
      <c r="O49" s="345" t="n">
        <v>35</v>
      </c>
      <c r="P49" s="345" t="inlineStr">
        <is>
          <t>套</t>
        </is>
      </c>
      <c r="Q49" s="345" t="inlineStr"/>
      <c r="R49" s="345" t="inlineStr"/>
      <c r="S49" s="345" t="inlineStr">
        <is>
          <t>3</t>
        </is>
      </c>
      <c r="T49" s="345" t="inlineStr"/>
      <c r="U49" s="345" t="inlineStr"/>
      <c r="V49" s="345" t="inlineStr"/>
      <c r="W49" s="345" t="inlineStr"/>
      <c r="X49" s="345" t="inlineStr"/>
      <c r="Y49" s="345" t="inlineStr">
        <is>
          <t>confirmed</t>
        </is>
      </c>
      <c r="Z49" s="345" t="n">
        <v>0</v>
      </c>
      <c r="AA49" s="345" t="inlineStr">
        <is>
          <t>没有找到可靠候选</t>
        </is>
      </c>
      <c r="AB49" s="345" t="inlineStr">
        <is>
          <t>赛特尔25年.xls｜初中物理｜第328行</t>
        </is>
      </c>
    </row>
    <row r="50" customFormat="1" s="13">
      <c r="A50" s="323" t="n">
        <v>58</v>
      </c>
      <c r="B50" s="103" t="n">
        <v>30408003601</v>
      </c>
      <c r="C50" s="87" t="inlineStr">
        <is>
          <t>炼铁高炉模型</t>
        </is>
      </c>
      <c r="D50" s="68" t="inlineStr">
        <is>
          <t>模型高度≥650 mm，主要结构应用标签注明，标注应准确、清晰、牢固。各部件位置正确、连接牢固，不得因正常震动、碰触而开裂、松脱</t>
        </is>
      </c>
      <c r="E50" s="103" t="n">
        <v>1</v>
      </c>
      <c r="F50" s="26" t="inlineStr">
        <is>
          <t>套</t>
        </is>
      </c>
      <c r="G50" s="108">
        <f>_xlfn.DISPIMG("ID_ED259856E1E04B45B6C4A040F54A71B1",1)</f>
        <v/>
      </c>
      <c r="H50" s="211" t="n"/>
      <c r="I50" s="108" t="n">
        <v>30408003601</v>
      </c>
      <c r="J50" s="164" t="inlineStr">
        <is>
          <t>模型高度≥650 mm，主要结构应用标签注明，标注应准确、清晰、牢固。各部件位置正确、连接牢固，不得因正常震动、碰触而开裂、松脱</t>
        </is>
      </c>
      <c r="K50" s="39" t="inlineStr">
        <is>
          <t>乐百仕</t>
        </is>
      </c>
      <c r="L50" s="39" t="inlineStr">
        <is>
          <t>江苏乐百仕教育科技有限公司</t>
        </is>
      </c>
      <c r="M50" s="345" t="n">
        <v>1</v>
      </c>
      <c r="N50" s="345" t="n">
        <v>0.11</v>
      </c>
      <c r="O50" s="345" t="n">
        <v>0.11</v>
      </c>
      <c r="P50" s="345" t="inlineStr">
        <is>
          <t>套</t>
        </is>
      </c>
      <c r="Q50" s="345" t="inlineStr"/>
      <c r="R50" s="345" t="inlineStr"/>
      <c r="S50" s="345" t="inlineStr"/>
      <c r="T50" s="345" t="inlineStr">
        <is>
          <t>试剂</t>
        </is>
      </c>
      <c r="U50" s="345" t="inlineStr"/>
      <c r="V50" s="345" t="inlineStr"/>
      <c r="W50" s="345" t="inlineStr"/>
      <c r="X50" s="345" t="inlineStr"/>
      <c r="Y50" s="345" t="inlineStr">
        <is>
          <t>confirmed</t>
        </is>
      </c>
      <c r="Z50" s="345" t="n">
        <v>0</v>
      </c>
      <c r="AA50" s="345" t="inlineStr">
        <is>
          <t>没有找到可靠候选</t>
        </is>
      </c>
      <c r="AB50" s="345" t="inlineStr">
        <is>
          <t>赛特尔25年.xls｜高中化学｜第312行</t>
        </is>
      </c>
    </row>
    <row r="51" customFormat="1" s="13">
      <c r="A51" s="323" t="n">
        <v>59</v>
      </c>
      <c r="B51" s="67" t="n">
        <v>30508001601</v>
      </c>
      <c r="C51" s="87" t="inlineStr">
        <is>
          <t>晶体标本</t>
        </is>
      </c>
      <c r="D51" s="68" t="inlineStr">
        <is>
          <t>包括但不局限于氯化钠、硫磺、碘、高锰酸钾、胆矾等</t>
        </is>
      </c>
      <c r="E51" s="103" t="n">
        <v>1</v>
      </c>
      <c r="F51" s="26" t="inlineStr">
        <is>
          <t>盒</t>
        </is>
      </c>
      <c r="G51" s="108">
        <f>_xlfn.DISPIMG("ID_AD92A3551398456DA6C2A1438408FC35",1)</f>
        <v/>
      </c>
      <c r="H51" s="211" t="n"/>
      <c r="I51" s="26" t="n">
        <v>30508001601</v>
      </c>
      <c r="J51" s="164" t="inlineStr">
        <is>
          <t>包括但不局限于氯化钠、硫磺、碘、高锰酸钾、胆矾等</t>
        </is>
      </c>
      <c r="K51" s="39" t="inlineStr">
        <is>
          <t>乐百仕</t>
        </is>
      </c>
      <c r="L51" s="39" t="inlineStr">
        <is>
          <t>江苏乐百仕教育科技有限公司</t>
        </is>
      </c>
      <c r="M51" s="345" t="n">
        <v>1</v>
      </c>
      <c r="N51" s="345" t="n">
        <v>50</v>
      </c>
      <c r="O51" s="345" t="n">
        <v>50</v>
      </c>
      <c r="P51" s="345" t="inlineStr">
        <is>
          <t>盒</t>
        </is>
      </c>
      <c r="Q51" s="345" t="inlineStr">
        <is>
          <t>群信</t>
        </is>
      </c>
      <c r="R51" s="345" t="inlineStr"/>
      <c r="S51" s="345" t="inlineStr"/>
      <c r="T51" s="345" t="inlineStr">
        <is>
          <t>43120</t>
        </is>
      </c>
      <c r="U51" s="345" t="inlineStr"/>
      <c r="V51" s="345" t="inlineStr"/>
      <c r="W51" s="345" t="inlineStr"/>
      <c r="X51" s="345" t="inlineStr"/>
      <c r="Y51" s="345" t="inlineStr">
        <is>
          <t>confirmed</t>
        </is>
      </c>
      <c r="Z51" s="345" t="n">
        <v>57.1</v>
      </c>
      <c r="AA51" s="345" t="inlineStr"/>
      <c r="AB51" s="345" t="inlineStr">
        <is>
          <t>高中理化生报价.xlsx｜凯迪｜第1715行</t>
        </is>
      </c>
    </row>
    <row r="52" customFormat="1" s="13">
      <c r="A52" s="323" t="n">
        <v>60</v>
      </c>
      <c r="B52" s="67" t="n">
        <v>30508001701</v>
      </c>
      <c r="C52" s="87" t="inlineStr">
        <is>
          <t>非晶体标本</t>
        </is>
      </c>
      <c r="D52" s="68" t="inlineStr">
        <is>
          <t>包括但不局限于玻璃、炭黑等</t>
        </is>
      </c>
      <c r="E52" s="103" t="n">
        <v>1</v>
      </c>
      <c r="F52" s="26" t="inlineStr">
        <is>
          <t>盒</t>
        </is>
      </c>
      <c r="G52" s="108">
        <f>_xlfn.DISPIMG("ID_629599E01C9640B596A4EACA3D94C5D5",1)</f>
        <v/>
      </c>
      <c r="H52" s="211" t="n"/>
      <c r="I52" s="26" t="n">
        <v>30508001701</v>
      </c>
      <c r="J52" s="164" t="inlineStr">
        <is>
          <t>包括但不局限于玻璃、炭黑等</t>
        </is>
      </c>
      <c r="K52" s="39" t="inlineStr">
        <is>
          <t>乐百仕</t>
        </is>
      </c>
      <c r="L52" s="39" t="inlineStr">
        <is>
          <t>江苏乐百仕教育科技有限公司</t>
        </is>
      </c>
      <c r="M52" s="345" t="n">
        <v>1</v>
      </c>
      <c r="N52" s="345" t="n">
        <v>50</v>
      </c>
      <c r="O52" s="345" t="n">
        <v>50</v>
      </c>
      <c r="P52" s="345" t="inlineStr">
        <is>
          <t>盒</t>
        </is>
      </c>
      <c r="Q52" s="345" t="inlineStr">
        <is>
          <t>群信</t>
        </is>
      </c>
      <c r="R52" s="345" t="inlineStr"/>
      <c r="S52" s="345" t="inlineStr"/>
      <c r="T52" s="345" t="inlineStr">
        <is>
          <t>43120</t>
        </is>
      </c>
      <c r="U52" s="345" t="inlineStr"/>
      <c r="V52" s="345" t="inlineStr"/>
      <c r="W52" s="345" t="inlineStr"/>
      <c r="X52" s="345" t="inlineStr"/>
      <c r="Y52" s="345" t="inlineStr">
        <is>
          <t>confirmed</t>
        </is>
      </c>
      <c r="Z52" s="345" t="n">
        <v>0</v>
      </c>
      <c r="AA52" s="345" t="inlineStr">
        <is>
          <t>匹配到商品档案但无历史价格记录</t>
        </is>
      </c>
      <c r="AB52" s="345" t="inlineStr">
        <is>
          <t>高中理化生报价.xlsx｜凯迪｜第1715行</t>
        </is>
      </c>
    </row>
    <row r="53" customFormat="1" s="13">
      <c r="A53" s="323" t="n">
        <v>61</v>
      </c>
      <c r="B53" s="67" t="n">
        <v>30508001801</v>
      </c>
      <c r="C53" s="87" t="inlineStr">
        <is>
          <t>金属矿物标本</t>
        </is>
      </c>
      <c r="D53" s="68" t="inlineStr">
        <is>
          <t>包括但不局限于蓝宝石、红宝石、萤石、刚玉、黄玉、正长石、磷灰石、方解石、石膏（生、熟）、滑石、孔雀石、云母等</t>
        </is>
      </c>
      <c r="E53" s="103" t="n">
        <v>1</v>
      </c>
      <c r="F53" s="26" t="inlineStr">
        <is>
          <t>盒</t>
        </is>
      </c>
      <c r="G53" s="108">
        <f>_xlfn.DISPIMG("ID_3527027E87FC45C896E61D68DFDF8224",1)</f>
        <v/>
      </c>
      <c r="H53" s="211" t="n"/>
      <c r="I53" s="26" t="n">
        <v>30508001801</v>
      </c>
      <c r="J53" s="164" t="inlineStr">
        <is>
          <t>包括但不局限于蓝宝石、红宝石、萤石、刚玉、黄玉、正长石、磷灰石、方解石、石膏（生、熟）、滑石、孔雀石、云母等</t>
        </is>
      </c>
      <c r="K53" s="39" t="inlineStr">
        <is>
          <t>乐百仕</t>
        </is>
      </c>
      <c r="L53" s="39" t="inlineStr">
        <is>
          <t>江苏乐百仕教育科技有限公司</t>
        </is>
      </c>
      <c r="M53" s="345" t="n">
        <v>1</v>
      </c>
      <c r="N53" s="345" t="n">
        <v>24</v>
      </c>
      <c r="O53" s="345" t="n">
        <v>24</v>
      </c>
      <c r="P53" s="345" t="inlineStr">
        <is>
          <t>盒</t>
        </is>
      </c>
      <c r="Q53" s="345" t="inlineStr"/>
      <c r="R53" s="345" t="inlineStr"/>
      <c r="S53" s="345" t="inlineStr"/>
      <c r="T53" s="345" t="inlineStr"/>
      <c r="U53" s="345" t="inlineStr"/>
      <c r="V53" s="345" t="inlineStr"/>
      <c r="W53" s="345" t="inlineStr"/>
      <c r="X53" s="345" t="inlineStr"/>
      <c r="Y53" s="345" t="inlineStr">
        <is>
          <t>confirmed</t>
        </is>
      </c>
      <c r="Z53" s="345" t="n">
        <v>0</v>
      </c>
      <c r="AA53" s="345" t="inlineStr">
        <is>
          <t>没有找到可靠候选</t>
        </is>
      </c>
      <c r="AB53" s="345" t="inlineStr">
        <is>
          <t>赛特尔25年.xls｜初中新课标化学｜第280行</t>
        </is>
      </c>
    </row>
    <row r="54" customFormat="1" s="13">
      <c r="A54" s="323" t="n">
        <v>62</v>
      </c>
      <c r="B54" s="348" t="n">
        <v>30508001901</v>
      </c>
      <c r="C54" s="118" t="inlineStr">
        <is>
          <t>非金属矿物标本</t>
        </is>
      </c>
      <c r="D54" s="115" t="inlineStr">
        <is>
          <t>包括但不局限于玛瑙、水晶、金刚石、金刚砂等</t>
        </is>
      </c>
      <c r="E54" s="103" t="n">
        <v>1</v>
      </c>
      <c r="F54" s="117" t="inlineStr">
        <is>
          <t>盒</t>
        </is>
      </c>
      <c r="G54" s="108">
        <f>_xlfn.DISPIMG("ID_A51BCE3ED2BB4C12BA9B23444964B94E",1)</f>
        <v/>
      </c>
      <c r="H54" s="211" t="n"/>
      <c r="I54" s="348" t="n">
        <v>30508001901</v>
      </c>
      <c r="J54" s="40" t="inlineStr">
        <is>
          <t>包括但不局限于玛瑙、水晶、金刚石、金刚砂等</t>
        </is>
      </c>
      <c r="K54" s="39" t="inlineStr">
        <is>
          <t>乐百仕</t>
        </is>
      </c>
      <c r="L54" s="39" t="inlineStr">
        <is>
          <t>江苏乐百仕教育科技有限公司</t>
        </is>
      </c>
      <c r="M54" s="345" t="n">
        <v>1</v>
      </c>
      <c r="N54" s="345" t="n">
        <v>24</v>
      </c>
      <c r="O54" s="345" t="n">
        <v>24</v>
      </c>
      <c r="P54" s="345" t="inlineStr">
        <is>
          <t>盒</t>
        </is>
      </c>
      <c r="Q54" s="345" t="inlineStr"/>
      <c r="R54" s="345" t="inlineStr"/>
      <c r="S54" s="345" t="inlineStr"/>
      <c r="T54" s="345" t="inlineStr"/>
      <c r="U54" s="345" t="n">
        <v>25</v>
      </c>
      <c r="V54" s="345" t="inlineStr"/>
      <c r="W54" s="345" t="n">
        <v>26.4</v>
      </c>
      <c r="X54" s="345" t="inlineStr"/>
      <c r="Y54" s="345" t="inlineStr">
        <is>
          <t>confirmed</t>
        </is>
      </c>
      <c r="Z54" s="345" t="n">
        <v>63.2</v>
      </c>
      <c r="AA54" s="345" t="inlineStr">
        <is>
          <t>同分多价：最高分候选存在不同历史价格</t>
        </is>
      </c>
      <c r="AB54" s="345" t="inlineStr">
        <is>
          <t>赛特尔25年.xls｜初中新课标化学｜第280行</t>
        </is>
      </c>
    </row>
    <row r="55" customFormat="1" s="5">
      <c r="A55" s="323" t="n">
        <v>65</v>
      </c>
      <c r="B55" s="67" t="n">
        <v>30508002301</v>
      </c>
      <c r="C55" s="118" t="inlineStr">
        <is>
          <t>有机高分子材料标本</t>
        </is>
      </c>
      <c r="D55" s="68" t="inlineStr">
        <is>
          <t>本文件已配，包括但不局限于聚乙烯、聚氯乙烯、聚苯乙烯、聚四氟乙烯、聚甲基丙烯酸甲酯、酚醛树脂、涤纶、尼龙、芳纶、顺丁橡胶、离子交换膜、可降解材料等</t>
        </is>
      </c>
      <c r="E55" s="67" t="n">
        <v>1</v>
      </c>
      <c r="F55" s="117" t="inlineStr">
        <is>
          <t>套</t>
        </is>
      </c>
      <c r="G55" s="67">
        <f>_xlfn.DISPIMG("ID_63B34F9EFE7447D6B852E5C9E48F23D0",1)</f>
        <v/>
      </c>
      <c r="H55" s="32" t="n"/>
      <c r="I55" s="26" t="n">
        <v>30508002301</v>
      </c>
      <c r="J55" s="164" t="inlineStr">
        <is>
          <t>本文件已配，包括但不局限于聚乙烯、聚氯乙烯、聚苯乙烯、聚四氟乙烯、聚甲基丙烯酸甲酯、酚醛树脂、涤纶、尼龙、芳纶、顺丁橡胶、离子交换膜、可降解材料等</t>
        </is>
      </c>
      <c r="K55" s="39" t="inlineStr">
        <is>
          <t>乐百仕</t>
        </is>
      </c>
      <c r="L55" s="39" t="inlineStr">
        <is>
          <t>江苏乐百仕教育科技有限公司</t>
        </is>
      </c>
      <c r="M55" s="345" t="n">
        <v>1</v>
      </c>
      <c r="N55" s="345" t="n">
        <v>24</v>
      </c>
      <c r="O55" s="345" t="n">
        <v>24</v>
      </c>
      <c r="P55" s="345" t="inlineStr">
        <is>
          <t>套</t>
        </is>
      </c>
      <c r="Q55" s="345" t="inlineStr"/>
      <c r="R55" s="345" t="inlineStr"/>
      <c r="S55" s="345" t="inlineStr"/>
      <c r="T55" s="345" t="inlineStr"/>
      <c r="U55" s="345" t="inlineStr"/>
      <c r="V55" s="345" t="inlineStr"/>
      <c r="W55" s="345" t="inlineStr"/>
      <c r="X55" s="345" t="inlineStr"/>
      <c r="Y55" s="345" t="inlineStr">
        <is>
          <t>confirmed</t>
        </is>
      </c>
      <c r="Z55" s="345" t="n">
        <v>0</v>
      </c>
      <c r="AA55" s="345" t="inlineStr">
        <is>
          <t>匹配到商品档案但无历史价格记录</t>
        </is>
      </c>
      <c r="AB55" s="345" t="inlineStr">
        <is>
          <t>赛特尔25年.xls｜初中新课标化学｜第310行</t>
        </is>
      </c>
    </row>
    <row r="56" customFormat="1" s="188">
      <c r="A56" s="323" t="n">
        <v>68</v>
      </c>
      <c r="B56" s="214" t="n">
        <v>30199006901</v>
      </c>
      <c r="C56" s="215" t="inlineStr">
        <is>
          <t>电加热器</t>
        </is>
      </c>
      <c r="D56" s="126" t="inlineStr">
        <is>
          <t>密封式，功率≥500 W</t>
        </is>
      </c>
      <c r="E56" s="31" t="n">
        <v>1</v>
      </c>
      <c r="F56" s="127" t="inlineStr">
        <is>
          <t>个</t>
        </is>
      </c>
      <c r="G56" s="127">
        <f>_xlfn.DISPIMG("ID_CE7A731C1F3244EC8727D6CC3C5788AA",1)</f>
        <v/>
      </c>
      <c r="H56" s="216" t="n"/>
      <c r="I56" s="26" t="n">
        <v>30199006901</v>
      </c>
      <c r="J56" s="33" t="inlineStr">
        <is>
          <t>密封式，功率≥500 W</t>
        </is>
      </c>
      <c r="K56" s="39" t="inlineStr">
        <is>
          <t>乐百仕</t>
        </is>
      </c>
      <c r="L56" s="39" t="inlineStr">
        <is>
          <t>江苏乐百仕教育科技有限公司</t>
        </is>
      </c>
      <c r="M56" s="345" t="n">
        <v>1</v>
      </c>
      <c r="N56" s="345" t="n">
        <v>16</v>
      </c>
      <c r="O56" s="345" t="n">
        <v>16</v>
      </c>
      <c r="P56" s="345" t="inlineStr">
        <is>
          <t>个</t>
        </is>
      </c>
      <c r="Q56" s="345" t="inlineStr"/>
      <c r="R56" s="345" t="inlineStr"/>
      <c r="S56" s="345" t="inlineStr"/>
      <c r="T56" s="345" t="inlineStr"/>
      <c r="U56" s="345" t="inlineStr"/>
      <c r="V56" s="345" t="inlineStr"/>
      <c r="W56" s="345" t="inlineStr"/>
      <c r="X56" s="345" t="inlineStr"/>
      <c r="Y56" s="345" t="inlineStr">
        <is>
          <t>confirmed</t>
        </is>
      </c>
      <c r="Z56" s="345" t="n">
        <v>0</v>
      </c>
      <c r="AA56" s="345" t="inlineStr">
        <is>
          <t>没有找到可靠候选</t>
        </is>
      </c>
      <c r="AB56" s="345" t="inlineStr">
        <is>
          <t>赛特尔25年.xls｜初中新课标物理｜第93行</t>
        </is>
      </c>
    </row>
    <row r="57" customFormat="1" s="190">
      <c r="A57" s="323" t="n">
        <v>70</v>
      </c>
      <c r="B57" s="67" t="n">
        <v>30199007301</v>
      </c>
      <c r="C57" s="104" t="inlineStr">
        <is>
          <t>列管式烘干器</t>
        </is>
      </c>
      <c r="D57" s="68" t="inlineStr">
        <is>
          <t>由外壳、不少于 13 支通风管、电源线、发热器、风扇等组成。通风管用外径 12 mm的金属管制作，管壁厚≥2 mm，长度 185 mm，每支通风管上均布 10 个直径 5 mm 的通气孔。功率≥250 W，绝缘电阻大于 100 MΩ</t>
        </is>
      </c>
      <c r="E57" s="67" t="n">
        <v>1</v>
      </c>
      <c r="F57" s="106" t="inlineStr">
        <is>
          <t>台</t>
        </is>
      </c>
      <c r="G57" s="217">
        <f>_xlfn.DISPIMG("ID_90E177034D5148F1AA4BEE0D0B07FD74",1)</f>
        <v/>
      </c>
      <c r="H57" s="32" t="n"/>
      <c r="I57" s="26" t="n">
        <v>30199007301</v>
      </c>
      <c r="J57" s="164" t="inlineStr">
        <is>
          <t>由外壳、不少于 13 支通风管、电源线、发热器、风扇等组成。通风管用外径 12 mm的金属管制作，管壁厚≥2 mm，长度 185 mm，每支通风管上均布 10 个直径 5 mm 的通气孔。功率≥250 W，绝缘电阻大于 100 MΩ</t>
        </is>
      </c>
      <c r="K57" s="39" t="inlineStr">
        <is>
          <t>乐百仕</t>
        </is>
      </c>
      <c r="L57" s="39" t="inlineStr">
        <is>
          <t>江苏乐百仕教育科技有限公司</t>
        </is>
      </c>
      <c r="M57" s="345" t="n">
        <v>1</v>
      </c>
      <c r="N57" s="345" t="n">
        <v>200</v>
      </c>
      <c r="O57" s="345" t="n">
        <v>200</v>
      </c>
      <c r="P57" s="345" t="inlineStr">
        <is>
          <t>台</t>
        </is>
      </c>
      <c r="Q57" s="345" t="inlineStr"/>
      <c r="R57" s="345" t="inlineStr"/>
      <c r="S57" s="345" t="inlineStr"/>
      <c r="T57" s="345" t="inlineStr"/>
      <c r="U57" s="345" t="n">
        <v>200</v>
      </c>
      <c r="V57" s="345" t="inlineStr"/>
      <c r="W57" s="345" t="n">
        <v>220</v>
      </c>
      <c r="X57" s="345" t="inlineStr"/>
      <c r="Y57" s="345" t="inlineStr">
        <is>
          <t>confirmed</t>
        </is>
      </c>
      <c r="Z57" s="345" t="n">
        <v>100</v>
      </c>
      <c r="AA57" s="345" t="inlineStr"/>
      <c r="AB57" s="345" t="inlineStr">
        <is>
          <t>赛特尔25年.xls｜初中新课标化学｜第21行</t>
        </is>
      </c>
    </row>
    <row r="58" customFormat="1" s="5">
      <c r="A58" s="323" t="n">
        <v>71</v>
      </c>
      <c r="B58" s="36" t="n">
        <v>30199007501</v>
      </c>
      <c r="C58" s="218" t="inlineStr">
        <is>
          <t>烘干箱</t>
        </is>
      </c>
      <c r="D58" s="68" t="inlineStr">
        <is>
          <t>电热鼓风型，最高工作温度为 250 ℃，温度波动度限值为±1.5 ℃，箱体内有隔板，内部容积≥350 mm×350 mm×350 mm</t>
        </is>
      </c>
      <c r="E58" s="67" t="n">
        <v>1</v>
      </c>
      <c r="F58" s="103" t="inlineStr">
        <is>
          <t>台</t>
        </is>
      </c>
      <c r="G58" s="217">
        <f>_xlfn.DISPIMG("ID_8C1682AFE6794B8195943EB03AE3F4DC",1)</f>
        <v/>
      </c>
      <c r="H58" s="32" t="n"/>
      <c r="I58" s="36" t="n">
        <v>30199007501</v>
      </c>
      <c r="J58" s="164" t="inlineStr">
        <is>
          <t>电热鼓风型，最高工作温度为 250 ℃，温度波动度限值为±1.5 ℃，箱体内有隔板，内部容积≥350 mm×350 mm×350 mm</t>
        </is>
      </c>
      <c r="K58" s="39" t="inlineStr">
        <is>
          <t>乐百仕</t>
        </is>
      </c>
      <c r="L58" s="39" t="inlineStr">
        <is>
          <t>江苏乐百仕教育科技有限公司</t>
        </is>
      </c>
      <c r="M58" s="345" t="n">
        <v>1</v>
      </c>
      <c r="N58" s="345" t="n">
        <v>750</v>
      </c>
      <c r="O58" s="345" t="n">
        <v>750</v>
      </c>
      <c r="P58" s="345" t="inlineStr">
        <is>
          <t>台</t>
        </is>
      </c>
      <c r="Q58" s="345" t="inlineStr"/>
      <c r="R58" s="345" t="inlineStr"/>
      <c r="S58" s="345" t="inlineStr"/>
      <c r="T58" s="345" t="inlineStr"/>
      <c r="U58" s="345" t="n">
        <v>750</v>
      </c>
      <c r="V58" s="345" t="inlineStr"/>
      <c r="W58" s="345" t="n">
        <v>825</v>
      </c>
      <c r="X58" s="345" t="inlineStr"/>
      <c r="Y58" s="345" t="inlineStr">
        <is>
          <t>confirmed</t>
        </is>
      </c>
      <c r="Z58" s="345" t="n">
        <v>100</v>
      </c>
      <c r="AA58" s="345" t="inlineStr"/>
      <c r="AB58" s="345" t="inlineStr">
        <is>
          <t>赛特尔25年.xls｜初中新课标生物｜第21行</t>
        </is>
      </c>
    </row>
    <row r="59" customFormat="1" s="185">
      <c r="A59" s="323" t="n">
        <v>73</v>
      </c>
      <c r="B59" s="31" t="n">
        <v>30102000312</v>
      </c>
      <c r="C59" s="137" t="inlineStr">
        <is>
          <t>教学电源</t>
        </is>
      </c>
      <c r="D59" s="141" t="inlineStr">
        <is>
          <t>直流 2 V～6 V，12 A；8 V～12 V，4 A；14 V～24 V，3 A；短时 40 A，定时 8 s</t>
        </is>
      </c>
      <c r="E59" s="31" t="n">
        <v>1</v>
      </c>
      <c r="F59" s="31" t="inlineStr">
        <is>
          <t>台</t>
        </is>
      </c>
      <c r="G59" s="154">
        <f>_xlfn.DISPIMG("ID_4EE3E97565F844BE98D4465497AC5859",1)</f>
        <v/>
      </c>
      <c r="H59" s="154" t="n"/>
      <c r="I59" s="31" t="n">
        <v>30102000312</v>
      </c>
      <c r="J59" s="33" t="inlineStr">
        <is>
          <t>直流 2 V～6 V，12 A；8 V～12 V，4 A；14 V～24 V，3 A；短时 40 A，定时 8 s</t>
        </is>
      </c>
      <c r="K59" s="39" t="inlineStr">
        <is>
          <t>乐百仕</t>
        </is>
      </c>
      <c r="L59" s="39" t="inlineStr">
        <is>
          <t>江苏乐百仕教育科技有限公司</t>
        </is>
      </c>
      <c r="M59" s="345" t="n">
        <v>1</v>
      </c>
      <c r="N59" s="345" t="n">
        <v>145</v>
      </c>
      <c r="O59" s="345" t="n">
        <v>145</v>
      </c>
      <c r="P59" s="345" t="inlineStr">
        <is>
          <t>台</t>
        </is>
      </c>
      <c r="Q59" s="345" t="inlineStr">
        <is>
          <t>群信</t>
        </is>
      </c>
      <c r="R59" s="345" t="inlineStr"/>
      <c r="S59" s="345" t="inlineStr"/>
      <c r="T59" s="345" t="inlineStr">
        <is>
          <t>04004</t>
        </is>
      </c>
      <c r="U59" s="345" t="n">
        <v>160</v>
      </c>
      <c r="V59" s="345" t="inlineStr"/>
      <c r="W59" s="345" t="n">
        <v>180</v>
      </c>
      <c r="X59" s="345" t="inlineStr"/>
      <c r="Y59" s="345" t="inlineStr">
        <is>
          <t>confirmed</t>
        </is>
      </c>
      <c r="Z59" s="345" t="n">
        <v>100</v>
      </c>
      <c r="AA59" s="345" t="inlineStr">
        <is>
          <t>同分多价：最高分候选存在不同历史价格</t>
        </is>
      </c>
      <c r="AB59" s="345" t="inlineStr">
        <is>
          <t>赛特尔25年.xls｜初中化学｜第34行</t>
        </is>
      </c>
    </row>
    <row r="60" customFormat="1" s="257">
      <c r="A60" s="323" t="n">
        <v>76</v>
      </c>
      <c r="B60" s="31" t="n">
        <v>30199002001</v>
      </c>
      <c r="C60" s="137" t="inlineStr">
        <is>
          <t>仪器车</t>
        </is>
      </c>
      <c r="D60" s="141" t="inlineStr">
        <is>
          <t>600 mm×400 mm×800 mm，不锈钢材质，至少两层，各层带可拆卸护栏，总载重≥60 kg</t>
        </is>
      </c>
      <c r="E60" s="31" t="n">
        <v>2</v>
      </c>
      <c r="F60" s="31" t="inlineStr">
        <is>
          <t>辆</t>
        </is>
      </c>
      <c r="G60" s="31">
        <f>_xlfn.DISPIMG("ID_9BA35214F20B45A8A1569F09B1F0E0FE",1)</f>
        <v/>
      </c>
      <c r="H60" s="330" t="n"/>
      <c r="I60" s="31" t="n">
        <v>30199002001</v>
      </c>
      <c r="J60" s="33" t="inlineStr">
        <is>
          <t>600 mm×400 mm×800 mm，不锈钢材质，至少两层，各层带可拆卸护栏，总载重≥60 kg</t>
        </is>
      </c>
      <c r="K60" s="39" t="inlineStr">
        <is>
          <t>乐百仕</t>
        </is>
      </c>
      <c r="L60" s="39" t="inlineStr">
        <is>
          <t>江苏乐百仕教育科技有限公司</t>
        </is>
      </c>
      <c r="M60" s="345" t="n">
        <v>2</v>
      </c>
      <c r="N60" s="345" t="n">
        <v>0</v>
      </c>
      <c r="O60" s="345" t="n">
        <v>0</v>
      </c>
      <c r="P60" s="345" t="inlineStr">
        <is>
          <t>辆</t>
        </is>
      </c>
      <c r="Q60" s="345" t="inlineStr"/>
      <c r="R60" s="345" t="inlineStr"/>
      <c r="S60" s="345" t="inlineStr"/>
      <c r="T60" s="345" t="inlineStr"/>
      <c r="U60" s="345" t="n">
        <v>175</v>
      </c>
      <c r="V60" s="345" t="inlineStr"/>
      <c r="W60" s="345" t="n">
        <v>260</v>
      </c>
      <c r="X60" s="345" t="inlineStr"/>
      <c r="Y60" s="345" t="inlineStr">
        <is>
          <t>confirmed</t>
        </is>
      </c>
      <c r="Z60" s="345" t="n">
        <v>100</v>
      </c>
      <c r="AA60" s="345" t="inlineStr">
        <is>
          <t>同分多价：最高分候选存在不同历史价格</t>
        </is>
      </c>
      <c r="AB60" s="345" t="inlineStr">
        <is>
          <t>高中理化生报价.xlsx｜凯迪｜第1605行</t>
        </is>
      </c>
    </row>
    <row r="61" customFormat="1" s="195">
      <c r="A61" s="323" t="n">
        <v>77</v>
      </c>
      <c r="B61" s="26" t="n">
        <v>30199009114</v>
      </c>
      <c r="C61" s="87" t="inlineStr">
        <is>
          <t>试剂瓶托盘</t>
        </is>
      </c>
      <c r="D61" s="141" t="inlineStr">
        <is>
          <t>耐腐蚀材质，内沿≥400 mm×290 mm×50 mm</t>
        </is>
      </c>
      <c r="E61" s="31" t="n">
        <v>25</v>
      </c>
      <c r="F61" s="26" t="inlineStr">
        <is>
          <t>个</t>
        </is>
      </c>
      <c r="G61" s="31">
        <f>_xlfn.DISPIMG("ID_B1BE31BB52FF48E89889D708AF29656B",1)</f>
        <v/>
      </c>
      <c r="H61" s="220" t="n"/>
      <c r="I61" s="26" t="n">
        <v>30199009114</v>
      </c>
      <c r="J61" s="33" t="inlineStr">
        <is>
          <t>耐腐蚀材质，内沿≥400 mm×290 mm×50 mm</t>
        </is>
      </c>
      <c r="K61" s="39" t="inlineStr">
        <is>
          <t>乐百仕</t>
        </is>
      </c>
      <c r="L61" s="39" t="inlineStr">
        <is>
          <t>江苏乐百仕教育科技有限公司</t>
        </is>
      </c>
      <c r="M61" s="345" t="n">
        <v>25</v>
      </c>
      <c r="N61" s="345" t="n">
        <v>14</v>
      </c>
      <c r="O61" s="345" t="n">
        <v>350</v>
      </c>
      <c r="P61" s="345" t="inlineStr">
        <is>
          <t>个</t>
        </is>
      </c>
      <c r="Q61" s="345" t="inlineStr"/>
      <c r="R61" s="345" t="inlineStr"/>
      <c r="S61" s="345" t="inlineStr"/>
      <c r="T61" s="345" t="inlineStr"/>
      <c r="U61" s="345" t="n">
        <v>14</v>
      </c>
      <c r="V61" s="345" t="inlineStr"/>
      <c r="W61" s="345" t="n">
        <v>45</v>
      </c>
      <c r="X61" s="345" t="inlineStr"/>
      <c r="Y61" s="345" t="inlineStr">
        <is>
          <t>confirmed</t>
        </is>
      </c>
      <c r="Z61" s="345" t="n">
        <v>100</v>
      </c>
      <c r="AA61" s="345" t="inlineStr">
        <is>
          <t>价格分歧&gt;30%：历史报价分歧较大，需人工核对</t>
        </is>
      </c>
      <c r="AB61" s="345" t="inlineStr">
        <is>
          <t>赛特尔25年.xls｜初中化学｜第20行</t>
        </is>
      </c>
    </row>
    <row r="62" customFormat="1" s="195">
      <c r="A62" s="323" t="n">
        <v>78</v>
      </c>
      <c r="B62" s="26" t="n">
        <v>30199009201</v>
      </c>
      <c r="C62" s="87" t="inlineStr">
        <is>
          <t>实验用品提篮</t>
        </is>
      </c>
      <c r="D62" s="141" t="inlineStr">
        <is>
          <t>环保材质，耐腐蚀，配有提手，不小于 490
mm×360 mm×290 mm，承重不小于 10 kg</t>
        </is>
      </c>
      <c r="E62" s="31" t="n">
        <v>2</v>
      </c>
      <c r="F62" s="26" t="inlineStr">
        <is>
          <t>个</t>
        </is>
      </c>
      <c r="G62" s="31">
        <f>_xlfn.DISPIMG("ID_0272E839B625419AB41903BCA1B892B7",1)</f>
        <v/>
      </c>
      <c r="H62" s="220" t="n"/>
      <c r="I62" s="26" t="n">
        <v>30199009201</v>
      </c>
      <c r="J62" s="33" t="inlineStr">
        <is>
          <t>环保材质，耐腐蚀，配有提手，不小于 490
mm×360 mm×290 mm，承重不小于 10 kg</t>
        </is>
      </c>
      <c r="K62" s="39" t="inlineStr">
        <is>
          <t>乐百仕</t>
        </is>
      </c>
      <c r="L62" s="39" t="inlineStr">
        <is>
          <t>江苏乐百仕教育科技有限公司</t>
        </is>
      </c>
      <c r="M62" s="345" t="n">
        <v>2</v>
      </c>
      <c r="N62" s="345" t="n">
        <v>45</v>
      </c>
      <c r="O62" s="345" t="n">
        <v>90</v>
      </c>
      <c r="P62" s="345" t="inlineStr">
        <is>
          <t>个</t>
        </is>
      </c>
      <c r="Q62" s="345" t="inlineStr"/>
      <c r="R62" s="345" t="inlineStr"/>
      <c r="S62" s="345" t="inlineStr"/>
      <c r="T62" s="345" t="inlineStr"/>
      <c r="U62" s="345" t="n">
        <v>45</v>
      </c>
      <c r="V62" s="345" t="inlineStr"/>
      <c r="W62" s="345" t="n">
        <v>99</v>
      </c>
      <c r="X62" s="345" t="inlineStr"/>
      <c r="Y62" s="345" t="inlineStr">
        <is>
          <t>confirmed</t>
        </is>
      </c>
      <c r="Z62" s="345" t="n">
        <v>100</v>
      </c>
      <c r="AA62" s="345" t="inlineStr">
        <is>
          <t>价格分歧&gt;30%：历史报价分歧较大，需人工核对</t>
        </is>
      </c>
      <c r="AB62" s="345" t="inlineStr">
        <is>
          <t>赛特尔25年.xls｜初中新课标生物｜第37行</t>
        </is>
      </c>
    </row>
    <row r="63" customFormat="1" s="195">
      <c r="A63" s="323" t="n">
        <v>79</v>
      </c>
      <c r="B63" s="26" t="n">
        <v>30801000213</v>
      </c>
      <c r="C63" s="87" t="inlineStr">
        <is>
          <t>一字螺丝刀</t>
        </is>
      </c>
      <c r="D63" s="141" t="inlineStr">
        <is>
          <t>Ф 6 mm，长 150 mm，工作端带磁性</t>
        </is>
      </c>
      <c r="E63" s="31" t="n">
        <v>1</v>
      </c>
      <c r="F63" s="26" t="inlineStr">
        <is>
          <t>支</t>
        </is>
      </c>
      <c r="G63" s="31">
        <f>_xlfn.DISPIMG("ID_BB599368537A4E12835D81328C29AE9B",1)</f>
        <v/>
      </c>
      <c r="H63" s="220" t="n"/>
      <c r="I63" s="26" t="n">
        <v>30801000213</v>
      </c>
      <c r="J63" s="33" t="inlineStr">
        <is>
          <t>Ф 6 mm，长 150 mm，工作端带磁性</t>
        </is>
      </c>
      <c r="K63" s="39" t="inlineStr">
        <is>
          <t>乐百仕</t>
        </is>
      </c>
      <c r="L63" s="39" t="inlineStr">
        <is>
          <t>江苏乐百仕教育科技有限公司</t>
        </is>
      </c>
      <c r="M63" s="345" t="n">
        <v>1</v>
      </c>
      <c r="N63" s="345" t="n">
        <v>4</v>
      </c>
      <c r="O63" s="345" t="n">
        <v>4</v>
      </c>
      <c r="P63" s="345" t="inlineStr">
        <is>
          <t>支</t>
        </is>
      </c>
      <c r="Q63" s="345" t="inlineStr"/>
      <c r="R63" s="345" t="inlineStr"/>
      <c r="S63" s="345" t="inlineStr"/>
      <c r="T63" s="345" t="inlineStr"/>
      <c r="U63" s="345" t="n">
        <v>4</v>
      </c>
      <c r="V63" s="345" t="inlineStr"/>
      <c r="W63" s="345" t="inlineStr"/>
      <c r="X63" s="345" t="inlineStr"/>
      <c r="Y63" s="345" t="inlineStr">
        <is>
          <t>confirmed</t>
        </is>
      </c>
      <c r="Z63" s="345" t="n">
        <v>100</v>
      </c>
      <c r="AA63" s="345" t="inlineStr"/>
      <c r="AB63" s="345" t="inlineStr">
        <is>
          <t>赛特尔25年.xls｜初中新课标化学｜第28行</t>
        </is>
      </c>
    </row>
    <row r="64" customFormat="1" s="195">
      <c r="A64" s="323" t="n">
        <v>80</v>
      </c>
      <c r="B64" s="31" t="n">
        <v>30801000313</v>
      </c>
      <c r="C64" s="137" t="inlineStr">
        <is>
          <t>十字螺丝刀</t>
        </is>
      </c>
      <c r="D64" s="141" t="inlineStr">
        <is>
          <t>Ф 6 mm，长 150 mm，工作端带磁性</t>
        </is>
      </c>
      <c r="E64" s="31" t="n">
        <v>1</v>
      </c>
      <c r="F64" s="26" t="inlineStr">
        <is>
          <t>支</t>
        </is>
      </c>
      <c r="G64" s="31">
        <f>_xlfn.DISPIMG("ID_C5A710B74FFB467F97D042386511C269",1)</f>
        <v/>
      </c>
      <c r="H64" s="220" t="n"/>
      <c r="I64" s="31" t="n">
        <v>30801000313</v>
      </c>
      <c r="J64" s="33" t="inlineStr">
        <is>
          <t>Ф 6 mm，长 150 mm，工作端带磁性</t>
        </is>
      </c>
      <c r="K64" s="39" t="inlineStr">
        <is>
          <t>乐百仕</t>
        </is>
      </c>
      <c r="L64" s="39" t="inlineStr">
        <is>
          <t>江苏乐百仕教育科技有限公司</t>
        </is>
      </c>
      <c r="M64" s="345" t="n">
        <v>1</v>
      </c>
      <c r="N64" s="345" t="n">
        <v>4</v>
      </c>
      <c r="O64" s="345" t="n">
        <v>4</v>
      </c>
      <c r="P64" s="345" t="inlineStr">
        <is>
          <t>支</t>
        </is>
      </c>
      <c r="Q64" s="345" t="inlineStr"/>
      <c r="R64" s="345" t="inlineStr"/>
      <c r="S64" s="345" t="inlineStr"/>
      <c r="T64" s="345" t="inlineStr"/>
      <c r="U64" s="345" t="n">
        <v>4</v>
      </c>
      <c r="V64" s="345" t="inlineStr"/>
      <c r="W64" s="345" t="inlineStr"/>
      <c r="X64" s="345" t="inlineStr"/>
      <c r="Y64" s="345" t="inlineStr">
        <is>
          <t>confirmed</t>
        </is>
      </c>
      <c r="Z64" s="345" t="n">
        <v>100</v>
      </c>
      <c r="AA64" s="345" t="inlineStr"/>
      <c r="AB64" s="345" t="inlineStr">
        <is>
          <t>赛特尔25年.xls｜初中新课标化学｜第29行</t>
        </is>
      </c>
    </row>
    <row r="65" customFormat="1" s="195">
      <c r="A65" s="323" t="n">
        <v>81</v>
      </c>
      <c r="B65" s="31" t="n">
        <v>30801001411</v>
      </c>
      <c r="C65" s="137" t="inlineStr">
        <is>
          <t>钢丝钳</t>
        </is>
      </c>
      <c r="D65" s="141" t="inlineStr">
        <is>
          <t>160 mm，抗弯强度 1120 N，扭力矩 15 N•m，15°；剪切性能Φ1.6 mm 钢丝，580 N；夹持面硬度不低于 44 HRC；PVC 环保手柄，在不大于 18 N 的力作用下撑开角度不小于22°</t>
        </is>
      </c>
      <c r="E65" s="31" t="n">
        <v>1</v>
      </c>
      <c r="F65" s="26" t="inlineStr">
        <is>
          <t>把</t>
        </is>
      </c>
      <c r="G65" s="31">
        <f>_xlfn.DISPIMG("ID_7BA901785E3140789A9C4F01D5803467",1)</f>
        <v/>
      </c>
      <c r="H65" s="220" t="n"/>
      <c r="I65" s="31" t="n">
        <v>30801001411</v>
      </c>
      <c r="J65" s="33" t="inlineStr">
        <is>
          <t>160 mm，抗弯强度 1120 N，扭力矩 15 N•m，15°；剪切性能Φ1.6 mm 钢丝，580 N；夹持面硬度不低于 44 HRC；PVC 环保手柄，在不大于 18 N 的力作用下撑开角度不小于22°</t>
        </is>
      </c>
      <c r="K65" s="39" t="inlineStr">
        <is>
          <t>乐百仕</t>
        </is>
      </c>
      <c r="L65" s="39" t="inlineStr">
        <is>
          <t>江苏乐百仕教育科技有限公司</t>
        </is>
      </c>
      <c r="M65" s="345" t="n">
        <v>1</v>
      </c>
      <c r="N65" s="345" t="n">
        <v>12</v>
      </c>
      <c r="O65" s="345" t="n">
        <v>12</v>
      </c>
      <c r="P65" s="345" t="inlineStr">
        <is>
          <t>把</t>
        </is>
      </c>
      <c r="Q65" s="345" t="inlineStr"/>
      <c r="R65" s="345" t="inlineStr"/>
      <c r="S65" s="345" t="inlineStr"/>
      <c r="T65" s="345" t="inlineStr"/>
      <c r="U65" s="345" t="n">
        <v>13.2</v>
      </c>
      <c r="V65" s="345" t="inlineStr"/>
      <c r="W65" s="345" t="n">
        <v>22</v>
      </c>
      <c r="X65" s="345" t="inlineStr"/>
      <c r="Y65" s="345" t="inlineStr">
        <is>
          <t>confirmed</t>
        </is>
      </c>
      <c r="Z65" s="345" t="n">
        <v>100</v>
      </c>
      <c r="AA65" s="345" t="inlineStr">
        <is>
          <t>价格分歧&gt;30%：历史报价分歧较大，需人工核对；同分多价：最高分候选存在不同历史价格</t>
        </is>
      </c>
      <c r="AB65" s="345" t="inlineStr">
        <is>
          <t>赛特尔25年.xls｜初中新课标生物｜第47行</t>
        </is>
      </c>
    </row>
    <row r="66" customFormat="1" s="195">
      <c r="A66" s="323" t="n">
        <v>82</v>
      </c>
      <c r="B66" s="31" t="n">
        <v>30801007301</v>
      </c>
      <c r="C66" s="137" t="inlineStr">
        <is>
          <t>羊角锤</t>
        </is>
      </c>
      <c r="D66" s="141" t="inlineStr">
        <is>
          <t>0.25kg</t>
        </is>
      </c>
      <c r="E66" s="31" t="n">
        <v>1</v>
      </c>
      <c r="F66" s="26" t="inlineStr">
        <is>
          <t>把</t>
        </is>
      </c>
      <c r="G66" s="31">
        <f>_xlfn.DISPIMG("ID_AAF53F5E8F8C44B1BFCD8803821173D4",1)</f>
        <v/>
      </c>
      <c r="H66" s="220" t="n"/>
      <c r="I66" s="31" t="n">
        <v>30801007301</v>
      </c>
      <c r="J66" s="33" t="inlineStr">
        <is>
          <t>0.25kg</t>
        </is>
      </c>
      <c r="K66" s="39" t="inlineStr">
        <is>
          <t>乐百仕</t>
        </is>
      </c>
      <c r="L66" s="39" t="inlineStr">
        <is>
          <t>江苏乐百仕教育科技有限公司</t>
        </is>
      </c>
      <c r="M66" s="345" t="n">
        <v>1</v>
      </c>
      <c r="N66" s="345" t="n">
        <v>11</v>
      </c>
      <c r="O66" s="345" t="n">
        <v>11</v>
      </c>
      <c r="P66" s="345" t="inlineStr">
        <is>
          <t>把</t>
        </is>
      </c>
      <c r="Q66" s="345" t="inlineStr"/>
      <c r="R66" s="345" t="inlineStr"/>
      <c r="S66" s="345" t="inlineStr"/>
      <c r="T66" s="345" t="inlineStr">
        <is>
          <t>250mm</t>
        </is>
      </c>
      <c r="U66" s="345" t="inlineStr"/>
      <c r="V66" s="345" t="inlineStr"/>
      <c r="W66" s="345" t="inlineStr"/>
      <c r="X66" s="345" t="inlineStr"/>
      <c r="Y66" s="345" t="inlineStr">
        <is>
          <t>confirmed</t>
        </is>
      </c>
      <c r="Z66" s="345" t="n">
        <v>0</v>
      </c>
      <c r="AA66" s="345" t="inlineStr">
        <is>
          <t>匹配到商品档案但无历史价格记录</t>
        </is>
      </c>
      <c r="AB66" s="345" t="inlineStr">
        <is>
          <t>赛特尔25年.xls｜高中通用技术｜第140行</t>
        </is>
      </c>
    </row>
    <row r="67" customFormat="1" s="195">
      <c r="A67" s="323" t="n">
        <v>83</v>
      </c>
      <c r="B67" s="31" t="n">
        <v>30801001801</v>
      </c>
      <c r="C67" s="137" t="inlineStr">
        <is>
          <t>三角锉</t>
        </is>
      </c>
      <c r="D67" s="141" t="inlineStr">
        <is>
          <t>250mm，带柄</t>
        </is>
      </c>
      <c r="E67" s="31" t="n">
        <v>1</v>
      </c>
      <c r="F67" s="26" t="inlineStr">
        <is>
          <t>把</t>
        </is>
      </c>
      <c r="G67" s="31">
        <f>_xlfn.DISPIMG("ID_CC6BBC24569540FDB4CB22672BFB121F",1)</f>
        <v/>
      </c>
      <c r="H67" s="220" t="n"/>
      <c r="I67" s="31" t="n">
        <v>30801001801</v>
      </c>
      <c r="J67" s="33" t="inlineStr">
        <is>
          <t>250mm，带柄</t>
        </is>
      </c>
      <c r="K67" s="39" t="inlineStr">
        <is>
          <t>乐百仕</t>
        </is>
      </c>
      <c r="L67" s="39" t="inlineStr">
        <is>
          <t>江苏乐百仕教育科技有限公司</t>
        </is>
      </c>
      <c r="M67" s="345" t="n">
        <v>1</v>
      </c>
      <c r="N67" s="345" t="n">
        <v>5</v>
      </c>
      <c r="O67" s="345" t="n">
        <v>5</v>
      </c>
      <c r="P67" s="345" t="inlineStr">
        <is>
          <t>把</t>
        </is>
      </c>
      <c r="Q67" s="345" t="inlineStr"/>
      <c r="R67" s="345" t="inlineStr"/>
      <c r="S67" s="345" t="inlineStr"/>
      <c r="T67" s="345" t="inlineStr"/>
      <c r="U67" s="345" t="inlineStr"/>
      <c r="V67" s="345" t="inlineStr"/>
      <c r="W67" s="345" t="inlineStr"/>
      <c r="X67" s="345" t="inlineStr"/>
      <c r="Y67" s="345" t="inlineStr">
        <is>
          <t>confirmed</t>
        </is>
      </c>
      <c r="Z67" s="345" t="n">
        <v>0</v>
      </c>
      <c r="AA67" s="345" t="inlineStr">
        <is>
          <t>匹配到商品档案但无历史价格记录</t>
        </is>
      </c>
      <c r="AB67" s="345" t="inlineStr">
        <is>
          <t>高中理化生报价.xlsx｜凯迪｜第1444行</t>
        </is>
      </c>
    </row>
    <row r="68" customFormat="1" s="195">
      <c r="A68" s="323" t="n">
        <v>84</v>
      </c>
      <c r="B68" s="31" t="n">
        <v>30801010603</v>
      </c>
      <c r="C68" s="137" t="inlineStr">
        <is>
          <t>民用剪刀</t>
        </is>
      </c>
      <c r="D68" s="141" t="inlineStr">
        <is>
          <t>3 号，150mm，A型</t>
        </is>
      </c>
      <c r="E68" s="31" t="n">
        <v>1</v>
      </c>
      <c r="F68" s="26" t="inlineStr">
        <is>
          <t>把</t>
        </is>
      </c>
      <c r="G68" s="31">
        <f>_xlfn.DISPIMG("ID_343E278CF63547B89DADBE7455982B56",1)</f>
        <v/>
      </c>
      <c r="H68" s="220" t="n"/>
      <c r="I68" s="31" t="n">
        <v>30801010603</v>
      </c>
      <c r="J68" s="33" t="inlineStr">
        <is>
          <t>3 号，150mm，A型</t>
        </is>
      </c>
      <c r="K68" s="39" t="inlineStr">
        <is>
          <t>乐百仕</t>
        </is>
      </c>
      <c r="L68" s="39" t="inlineStr">
        <is>
          <t>江苏乐百仕教育科技有限公司</t>
        </is>
      </c>
      <c r="M68" s="345" t="n">
        <v>1</v>
      </c>
      <c r="N68" s="345" t="n">
        <v>7</v>
      </c>
      <c r="O68" s="345" t="n">
        <v>7</v>
      </c>
      <c r="P68" s="345" t="inlineStr">
        <is>
          <t>把</t>
        </is>
      </c>
      <c r="Q68" s="345" t="inlineStr">
        <is>
          <t>群信</t>
        </is>
      </c>
      <c r="R68" s="345" t="inlineStr"/>
      <c r="S68" s="345" t="inlineStr"/>
      <c r="T68" s="345" t="inlineStr">
        <is>
          <t>81032</t>
        </is>
      </c>
      <c r="U68" s="345" t="inlineStr"/>
      <c r="V68" s="345" t="inlineStr"/>
      <c r="W68" s="345" t="inlineStr"/>
      <c r="X68" s="345" t="inlineStr"/>
      <c r="Y68" s="345" t="inlineStr">
        <is>
          <t>confirmed</t>
        </is>
      </c>
      <c r="Z68" s="345" t="n">
        <v>0</v>
      </c>
      <c r="AA68" s="345" t="inlineStr">
        <is>
          <t>没有找到可靠候选</t>
        </is>
      </c>
      <c r="AB68" s="345" t="inlineStr">
        <is>
          <t>赛特尔25年.xls｜初中新课标物理｜第47行</t>
        </is>
      </c>
    </row>
    <row r="69" customFormat="1" s="257">
      <c r="A69" s="323" t="n">
        <v>87</v>
      </c>
      <c r="B69" s="26" t="n">
        <v>30199000402</v>
      </c>
      <c r="C69" s="87" t="inlineStr">
        <is>
          <t>打孔器</t>
        </is>
      </c>
      <c r="D69" s="141" t="inlineStr">
        <is>
          <t>齿口式，材质为不锈钢管、钢管或黄铜管，每组不少于 4 支，外径分别为 5.0 mm、6.5mm、8.0 mm、9.5 mm，并配一支带柄金属通扦</t>
        </is>
      </c>
      <c r="E69" s="31" t="n">
        <v>1</v>
      </c>
      <c r="F69" s="26" t="inlineStr">
        <is>
          <t>套</t>
        </is>
      </c>
      <c r="G69" s="31">
        <f>_xlfn.DISPIMG("ID_C39F8A71E6CA43838DF160ECDD321D6B",1)</f>
        <v/>
      </c>
      <c r="H69" s="330" t="n"/>
      <c r="I69" s="26" t="n">
        <v>30199000402</v>
      </c>
      <c r="J69" s="33" t="inlineStr">
        <is>
          <t>齿口式，材质为不锈钢管、钢管或黄铜管，每组不少于 4 支，外径分别为 5.0 mm、6.5mm、8.0 mm、9.5 mm，并配一支带柄金属通扦</t>
        </is>
      </c>
      <c r="K69" s="39" t="inlineStr">
        <is>
          <t>乐百仕</t>
        </is>
      </c>
      <c r="L69" s="39" t="inlineStr">
        <is>
          <t>江苏乐百仕教育科技有限公司</t>
        </is>
      </c>
      <c r="M69" s="345" t="n">
        <v>1</v>
      </c>
      <c r="N69" s="345" t="n">
        <v>6</v>
      </c>
      <c r="O69" s="345" t="n">
        <v>6</v>
      </c>
      <c r="P69" s="345" t="inlineStr">
        <is>
          <t>套</t>
        </is>
      </c>
      <c r="Q69" s="345" t="inlineStr"/>
      <c r="R69" s="345" t="inlineStr"/>
      <c r="S69" s="345" t="inlineStr"/>
      <c r="T69" s="345" t="inlineStr"/>
      <c r="U69" s="345" t="inlineStr"/>
      <c r="V69" s="345" t="inlineStr"/>
      <c r="W69" s="345" t="inlineStr"/>
      <c r="X69" s="345" t="inlineStr"/>
      <c r="Y69" s="345" t="inlineStr">
        <is>
          <t>confirmed</t>
        </is>
      </c>
      <c r="Z69" s="345" t="n">
        <v>0</v>
      </c>
      <c r="AA69" s="345" t="inlineStr">
        <is>
          <t>没有找到可靠候选</t>
        </is>
      </c>
      <c r="AB69" s="345" t="inlineStr">
        <is>
          <t>赛特尔25年.xls｜初中新课标生物｜第38行</t>
        </is>
      </c>
    </row>
    <row r="70" customFormat="1" s="257">
      <c r="A70" s="323" t="n">
        <v>88</v>
      </c>
      <c r="B70" s="26" t="n">
        <v>30199000502</v>
      </c>
      <c r="C70" s="87" t="inlineStr">
        <is>
          <t>打孔夹板</t>
        </is>
      </c>
      <c r="D70" s="141" t="inlineStr">
        <is>
          <t>硬木或硬塑料制，有大小不同的锥形孔</t>
        </is>
      </c>
      <c r="E70" s="31" t="n">
        <v>1</v>
      </c>
      <c r="F70" s="26" t="inlineStr">
        <is>
          <t>个</t>
        </is>
      </c>
      <c r="G70" s="31">
        <f>_xlfn.DISPIMG("ID_4A312E9E440D4D14A66393437E3A1255",1)</f>
        <v/>
      </c>
      <c r="H70" s="330" t="n"/>
      <c r="I70" s="26" t="n">
        <v>30199000502</v>
      </c>
      <c r="J70" s="33" t="inlineStr">
        <is>
          <t>硬木或硬塑料制，有大小不同的锥形孔</t>
        </is>
      </c>
      <c r="K70" s="39" t="inlineStr">
        <is>
          <t>乐百仕</t>
        </is>
      </c>
      <c r="L70" s="39" t="inlineStr">
        <is>
          <t>江苏乐百仕教育科技有限公司</t>
        </is>
      </c>
      <c r="M70" s="345" t="n">
        <v>1</v>
      </c>
      <c r="N70" s="345" t="n">
        <v>6</v>
      </c>
      <c r="O70" s="345" t="n">
        <v>6</v>
      </c>
      <c r="P70" s="345" t="inlineStr">
        <is>
          <t>个</t>
        </is>
      </c>
      <c r="Q70" s="345" t="inlineStr"/>
      <c r="R70" s="345" t="inlineStr"/>
      <c r="S70" s="345" t="inlineStr"/>
      <c r="T70" s="345" t="inlineStr"/>
      <c r="U70" s="345" t="inlineStr"/>
      <c r="V70" s="345" t="inlineStr"/>
      <c r="W70" s="345" t="inlineStr"/>
      <c r="X70" s="345" t="inlineStr"/>
      <c r="Y70" s="345" t="inlineStr">
        <is>
          <t>confirmed</t>
        </is>
      </c>
      <c r="Z70" s="345" t="n">
        <v>100</v>
      </c>
      <c r="AA70" s="345" t="inlineStr"/>
      <c r="AB70" s="345" t="inlineStr">
        <is>
          <t>赛特尔25年.xls｜初中新课标生物｜第39行</t>
        </is>
      </c>
    </row>
    <row r="71" customFormat="1" s="5">
      <c r="A71" s="323" t="n">
        <v>89</v>
      </c>
      <c r="B71" s="67" t="n">
        <v>30199000802</v>
      </c>
      <c r="C71" s="104" t="inlineStr">
        <is>
          <t>电动钻孔器</t>
        </is>
      </c>
      <c r="D71" s="68" t="inlineStr">
        <is>
          <t>钻头可拆卸，应配有 3 个以上不同孔径的钻头，外径分别为 7 mm、6 mm、5 mm</t>
        </is>
      </c>
      <c r="E71" s="67" t="n">
        <v>1</v>
      </c>
      <c r="F71" s="106" t="inlineStr">
        <is>
          <t>台</t>
        </is>
      </c>
      <c r="G71" s="217">
        <f>_xlfn.DISPIMG("ID_8B403A704A7D4643AEA1311FBFAC7960",1)</f>
        <v/>
      </c>
      <c r="H71" s="32" t="n"/>
      <c r="I71" s="26" t="n">
        <v>30199000802</v>
      </c>
      <c r="J71" s="164" t="inlineStr">
        <is>
          <t>钻头可拆卸，应配有 3 个以上不同孔径的钻头，外径分别为 7 mm、6 mm、5 mm</t>
        </is>
      </c>
      <c r="K71" s="39" t="inlineStr">
        <is>
          <t>乐百仕</t>
        </is>
      </c>
      <c r="L71" s="39" t="inlineStr">
        <is>
          <t>江苏乐百仕教育科技有限公司</t>
        </is>
      </c>
      <c r="M71" s="345" t="n">
        <v>1</v>
      </c>
      <c r="N71" s="345" t="n">
        <v>75</v>
      </c>
      <c r="O71" s="345" t="n">
        <v>75</v>
      </c>
      <c r="P71" s="345" t="inlineStr">
        <is>
          <t>台</t>
        </is>
      </c>
      <c r="Q71" s="345" t="inlineStr">
        <is>
          <t>欣欣</t>
        </is>
      </c>
      <c r="R71" s="345" t="inlineStr"/>
      <c r="S71" s="345" t="inlineStr"/>
      <c r="T71" s="345" t="inlineStr">
        <is>
          <t>02006</t>
        </is>
      </c>
      <c r="U71" s="345" t="n">
        <v>160</v>
      </c>
      <c r="V71" s="345" t="inlineStr"/>
      <c r="W71" s="345" t="n">
        <v>360</v>
      </c>
      <c r="X71" s="345" t="inlineStr"/>
      <c r="Y71" s="345" t="inlineStr">
        <is>
          <t>confirmed</t>
        </is>
      </c>
      <c r="Z71" s="345" t="n">
        <v>100</v>
      </c>
      <c r="AA71" s="345" t="inlineStr">
        <is>
          <t>价格分歧&gt;30%：历史报价分歧较大，需人工核对；同分多价：最高分候选存在不同历史价格</t>
        </is>
      </c>
      <c r="AB71" s="345" t="inlineStr">
        <is>
          <t>赛特尔25年.xls｜初中化学｜第7行</t>
        </is>
      </c>
    </row>
    <row r="72" customFormat="1" s="195">
      <c r="A72" s="323" t="n">
        <v>90</v>
      </c>
      <c r="B72" s="31" t="n">
        <v>30202000304</v>
      </c>
      <c r="C72" s="137" t="inlineStr">
        <is>
          <t>托盘天平</t>
        </is>
      </c>
      <c r="D72" s="141" t="inlineStr">
        <is>
          <t>测量范围0g～100g，分度值0.1g</t>
        </is>
      </c>
      <c r="E72" s="31" t="n">
        <v>13</v>
      </c>
      <c r="F72" s="31" t="inlineStr">
        <is>
          <t>台</t>
        </is>
      </c>
      <c r="G72" s="31">
        <f>_xlfn.DISPIMG("ID_8733CF3CD1EF49F4A5D9037558F7DBC5",1)</f>
        <v/>
      </c>
      <c r="H72" s="220" t="n"/>
      <c r="I72" s="31" t="n">
        <v>30202000304</v>
      </c>
      <c r="J72" s="33" t="inlineStr">
        <is>
          <t>测量范围：0g～100g，分度值0.1g</t>
        </is>
      </c>
      <c r="K72" s="31" t="inlineStr">
        <is>
          <t>佳衡</t>
        </is>
      </c>
      <c r="L72" s="31" t="inlineStr">
        <is>
          <t>常熟市佳衡天平仪器有限公司</t>
        </is>
      </c>
      <c r="M72" s="345" t="n">
        <v>13</v>
      </c>
      <c r="N72" s="345" t="n">
        <v>30</v>
      </c>
      <c r="O72" s="345" t="n">
        <v>390</v>
      </c>
      <c r="P72" s="345" t="inlineStr">
        <is>
          <t>台</t>
        </is>
      </c>
      <c r="Q72" s="345" t="inlineStr">
        <is>
          <t>群信</t>
        </is>
      </c>
      <c r="R72" s="345" t="inlineStr"/>
      <c r="S72" s="345" t="inlineStr">
        <is>
          <t>11003</t>
        </is>
      </c>
      <c r="T72" s="345" t="inlineStr">
        <is>
          <t>11004</t>
        </is>
      </c>
      <c r="U72" s="345" t="n">
        <v>55</v>
      </c>
      <c r="V72" s="345" t="inlineStr"/>
      <c r="W72" s="345" t="inlineStr"/>
      <c r="X72" s="345" t="inlineStr"/>
      <c r="Y72" s="345" t="inlineStr">
        <is>
          <t>confirmed</t>
        </is>
      </c>
      <c r="Z72" s="345" t="n">
        <v>100</v>
      </c>
      <c r="AA72" s="345" t="inlineStr">
        <is>
          <t>价格分歧&gt;30%：历史报价分歧较大，需人工核对；同分多价：最高分候选存在不同历史价格</t>
        </is>
      </c>
      <c r="AB72" s="345" t="inlineStr">
        <is>
          <t>赛特尔25年.xls｜初中新课标生物｜第54行</t>
        </is>
      </c>
    </row>
    <row r="73" customFormat="1" s="195">
      <c r="A73" s="323" t="n">
        <v>91</v>
      </c>
      <c r="B73" s="26" t="n">
        <v>30202000322</v>
      </c>
      <c r="C73" s="137" t="inlineStr">
        <is>
          <t>托盘天平</t>
        </is>
      </c>
      <c r="D73" s="141" t="inlineStr">
        <is>
          <t>测量范围0g～500g，分度值0.5g</t>
        </is>
      </c>
      <c r="E73" s="31" t="n">
        <v>1</v>
      </c>
      <c r="F73" s="26" t="inlineStr">
        <is>
          <t>台</t>
        </is>
      </c>
      <c r="G73" s="31">
        <f>_xlfn.DISPIMG("ID_52815A0B94B84D6BB8521F923513D0A6",1)</f>
        <v/>
      </c>
      <c r="H73" s="220" t="n"/>
      <c r="I73" s="26" t="n">
        <v>30202000322</v>
      </c>
      <c r="J73" s="33" t="inlineStr">
        <is>
          <t>测量范围：0g～500g，分度值0.5g</t>
        </is>
      </c>
      <c r="K73" s="31" t="inlineStr">
        <is>
          <t>佳衡</t>
        </is>
      </c>
      <c r="L73" s="31" t="inlineStr">
        <is>
          <t>常熟市佳衡天平仪器有限公司</t>
        </is>
      </c>
      <c r="M73" s="345" t="n">
        <v>1</v>
      </c>
      <c r="N73" s="345" t="n">
        <v>30</v>
      </c>
      <c r="O73" s="345" t="n">
        <v>30</v>
      </c>
      <c r="P73" s="345" t="inlineStr">
        <is>
          <t>台</t>
        </is>
      </c>
      <c r="Q73" s="345" t="inlineStr">
        <is>
          <t>群信</t>
        </is>
      </c>
      <c r="R73" s="345" t="inlineStr"/>
      <c r="S73" s="345" t="inlineStr">
        <is>
          <t>11003</t>
        </is>
      </c>
      <c r="T73" s="345" t="inlineStr">
        <is>
          <t>11004</t>
        </is>
      </c>
      <c r="U73" s="345" t="n">
        <v>55</v>
      </c>
      <c r="V73" s="345" t="inlineStr"/>
      <c r="W73" s="345" t="inlineStr"/>
      <c r="X73" s="345" t="inlineStr"/>
      <c r="Y73" s="345" t="inlineStr">
        <is>
          <t>confirmed</t>
        </is>
      </c>
      <c r="Z73" s="345" t="n">
        <v>100</v>
      </c>
      <c r="AA73" s="345" t="inlineStr">
        <is>
          <t>价格分歧&gt;30%：历史报价分歧较大，需人工核对；同分多价：最高分候选存在不同历史价格</t>
        </is>
      </c>
      <c r="AB73" s="345" t="inlineStr">
        <is>
          <t>赛特尔25年.xls｜初中新课标生物｜第54行</t>
        </is>
      </c>
    </row>
    <row r="74" customFormat="1" s="195">
      <c r="A74" s="323" t="n">
        <v>94</v>
      </c>
      <c r="B74" s="26" t="n">
        <v>30202000551</v>
      </c>
      <c r="C74" s="30" t="inlineStr">
        <is>
          <t>电子天平</t>
        </is>
      </c>
      <c r="D74" s="141" t="inlineStr">
        <is>
          <t>测量范围 0 g～1000 g，分度值 0.1 g</t>
        </is>
      </c>
      <c r="E74" s="31" t="n">
        <v>1</v>
      </c>
      <c r="F74" s="26" t="inlineStr">
        <is>
          <t>台</t>
        </is>
      </c>
      <c r="G74" s="31">
        <f>_xlfn.DISPIMG("ID_6DC93ECB98FE45349021DC99C24E6781",1)</f>
        <v/>
      </c>
      <c r="H74" s="220" t="n"/>
      <c r="I74" s="26" t="n">
        <v>30202000551</v>
      </c>
      <c r="J74" s="33" t="inlineStr">
        <is>
          <t>测量范围： 0 g～1000 g，分度值 0.1 g</t>
        </is>
      </c>
      <c r="K74" s="39" t="inlineStr">
        <is>
          <t>群安</t>
        </is>
      </c>
      <c r="L74" s="123" t="inlineStr">
        <is>
          <t>群安科学仪器(浙江)有限公司</t>
        </is>
      </c>
      <c r="M74" s="345" t="n">
        <v>1</v>
      </c>
      <c r="N74" s="345" t="n">
        <v>185</v>
      </c>
      <c r="O74" s="345" t="n">
        <v>185</v>
      </c>
      <c r="P74" s="345" t="inlineStr">
        <is>
          <t>台</t>
        </is>
      </c>
      <c r="Q74" s="345" t="inlineStr">
        <is>
          <t>华驰</t>
        </is>
      </c>
      <c r="R74" s="345" t="inlineStr"/>
      <c r="S74" s="345" t="inlineStr">
        <is>
          <t>11010</t>
        </is>
      </c>
      <c r="T74" s="345" t="inlineStr">
        <is>
          <t>11010</t>
        </is>
      </c>
      <c r="U74" s="345" t="n">
        <v>220</v>
      </c>
      <c r="V74" s="345" t="inlineStr"/>
      <c r="W74" s="345" t="n">
        <v>280</v>
      </c>
      <c r="X74" s="345" t="inlineStr"/>
      <c r="Y74" s="345" t="inlineStr">
        <is>
          <t>confirmed</t>
        </is>
      </c>
      <c r="Z74" s="345" t="n">
        <v>100</v>
      </c>
      <c r="AA74" s="345" t="inlineStr">
        <is>
          <t>价格分歧&gt;30%：历史报价分歧较大，需人工核对；同分多价：最高分候选存在不同历史价格</t>
        </is>
      </c>
      <c r="AB74" s="345" t="inlineStr">
        <is>
          <t>赛特尔25年.xls｜初中新课标生物｜第55行</t>
        </is>
      </c>
    </row>
    <row r="75" customFormat="1" s="195">
      <c r="A75" s="323" t="n">
        <v>95</v>
      </c>
      <c r="B75" s="31" t="n">
        <v>30204000201</v>
      </c>
      <c r="C75" s="137" t="inlineStr">
        <is>
          <t>红液温度计</t>
        </is>
      </c>
      <c r="D75" s="141" t="inlineStr">
        <is>
          <t>0 ℃～100 ℃，分度值 1 ℃，示值误差＜1.5 ℃</t>
        </is>
      </c>
      <c r="E75" s="31" t="n">
        <v>25</v>
      </c>
      <c r="F75" s="31" t="inlineStr">
        <is>
          <t>支</t>
        </is>
      </c>
      <c r="G75" s="31">
        <f>_xlfn.DISPIMG("ID_E9E62FBDE06F473EB4045F98E88794E7",1)</f>
        <v/>
      </c>
      <c r="H75" s="220" t="n"/>
      <c r="I75" s="31" t="n">
        <v>30204000201</v>
      </c>
      <c r="J75" s="33" t="inlineStr">
        <is>
          <t>0 ℃～100 ℃，分度值 1 ℃，示值误差＜1.5 ℃</t>
        </is>
      </c>
      <c r="K75" s="39" t="inlineStr">
        <is>
          <t>乐百仕</t>
        </is>
      </c>
      <c r="L75" s="39" t="inlineStr">
        <is>
          <t>江苏乐百仕教育科技有限公司</t>
        </is>
      </c>
      <c r="M75" s="345" t="n">
        <v>25</v>
      </c>
      <c r="N75" s="345" t="n">
        <v>2</v>
      </c>
      <c r="O75" s="345" t="n">
        <v>50</v>
      </c>
      <c r="P75" s="345" t="inlineStr">
        <is>
          <t>支</t>
        </is>
      </c>
      <c r="Q75" s="345" t="inlineStr"/>
      <c r="R75" s="345" t="inlineStr"/>
      <c r="S75" s="345" t="inlineStr"/>
      <c r="T75" s="345" t="inlineStr"/>
      <c r="U75" s="345" t="n">
        <v>3</v>
      </c>
      <c r="V75" s="345" t="inlineStr"/>
      <c r="W75" s="345" t="n">
        <v>180</v>
      </c>
      <c r="X75" s="345" t="inlineStr"/>
      <c r="Y75" s="345" t="inlineStr">
        <is>
          <t>confirmed</t>
        </is>
      </c>
      <c r="Z75" s="345" t="n">
        <v>100</v>
      </c>
      <c r="AA75" s="345" t="inlineStr">
        <is>
          <t>价格分歧&gt;30%：历史报价分歧较大，需人工核对；同分多价：最高分候选存在不同历史价格</t>
        </is>
      </c>
      <c r="AB75" s="345" t="inlineStr">
        <is>
          <t>赛特尔25年.xls｜初中新课标生物｜第59行</t>
        </is>
      </c>
    </row>
    <row r="76" customFormat="1" s="257">
      <c r="A76" s="323" t="n">
        <v>97</v>
      </c>
      <c r="B76" s="31" t="n">
        <v>30203000201</v>
      </c>
      <c r="C76" s="137" t="inlineStr">
        <is>
          <t>电子秒表</t>
        </is>
      </c>
      <c r="D76" s="141" t="inlineStr">
        <is>
          <t>精度 0.01 s</t>
        </is>
      </c>
      <c r="E76" s="31" t="n">
        <v>25</v>
      </c>
      <c r="F76" s="31" t="inlineStr">
        <is>
          <t>个</t>
        </is>
      </c>
      <c r="G76" s="31">
        <f>_xlfn.DISPIMG("ID_C7C64938B4C149958EB5381E3D9F1C6D",1)</f>
        <v/>
      </c>
      <c r="H76" s="330" t="n"/>
      <c r="I76" s="31" t="n">
        <v>30203000201</v>
      </c>
      <c r="J76" s="33" t="inlineStr">
        <is>
          <t>精度 0.01 s</t>
        </is>
      </c>
      <c r="K76" s="39" t="inlineStr">
        <is>
          <t>乐百仕</t>
        </is>
      </c>
      <c r="L76" s="39" t="inlineStr">
        <is>
          <t>江苏乐百仕教育科技有限公司</t>
        </is>
      </c>
      <c r="M76" s="345" t="n">
        <v>25</v>
      </c>
      <c r="N76" s="345" t="n">
        <v>14</v>
      </c>
      <c r="O76" s="345" t="n">
        <v>350</v>
      </c>
      <c r="P76" s="345" t="inlineStr">
        <is>
          <t>个</t>
        </is>
      </c>
      <c r="Q76" s="345" t="inlineStr"/>
      <c r="R76" s="345" t="inlineStr"/>
      <c r="S76" s="345" t="inlineStr"/>
      <c r="T76" s="345" t="inlineStr">
        <is>
          <t>专用型，全时段分辨力 0.01 s；有防震、防水功能，电池更换周期≥1.5 年</t>
        </is>
      </c>
      <c r="U76" s="345" t="inlineStr"/>
      <c r="V76" s="345" t="inlineStr"/>
      <c r="W76" s="345" t="inlineStr"/>
      <c r="X76" s="345" t="inlineStr"/>
      <c r="Y76" s="345" t="inlineStr">
        <is>
          <t>confirmed</t>
        </is>
      </c>
      <c r="Z76" s="345" t="n">
        <v>100</v>
      </c>
      <c r="AA76" s="345" t="inlineStr"/>
      <c r="AB76" s="345" t="inlineStr">
        <is>
          <t>赛特尔25年.xls｜初中新课标生物｜第58行</t>
        </is>
      </c>
    </row>
    <row r="77" customFormat="1" s="257">
      <c r="A77" s="323" t="n">
        <v>98</v>
      </c>
      <c r="B77" s="31" t="n">
        <v>30206001101</v>
      </c>
      <c r="C77" s="30" t="inlineStr">
        <is>
          <t>多用电表</t>
        </is>
      </c>
      <c r="D77" s="141" t="inlineStr">
        <is>
          <t>直流电流、电压、电阻 2.5 级，交流电压5级</t>
        </is>
      </c>
      <c r="E77" s="154" t="n">
        <v>1</v>
      </c>
      <c r="F77" s="26" t="inlineStr">
        <is>
          <t>只</t>
        </is>
      </c>
      <c r="G77" s="147">
        <f>_xlfn.DISPIMG("ID_088DE955EAB747D6A8F225DFF0C47E03",1)</f>
        <v/>
      </c>
      <c r="H77" s="330" t="n"/>
      <c r="I77" s="31" t="n">
        <v>30206001101</v>
      </c>
      <c r="J77" s="33" t="inlineStr">
        <is>
          <t>直流电流、电压、电阻 2.5 级，交流电压5级</t>
        </is>
      </c>
      <c r="K77" s="39" t="inlineStr">
        <is>
          <t>乐百仕</t>
        </is>
      </c>
      <c r="L77" s="39" t="inlineStr">
        <is>
          <t>江苏乐百仕教育科技有限公司</t>
        </is>
      </c>
      <c r="M77" s="345" t="n">
        <v>1</v>
      </c>
      <c r="N77" s="345" t="n">
        <v>65</v>
      </c>
      <c r="O77" s="345" t="n">
        <v>65</v>
      </c>
      <c r="P77" s="345" t="inlineStr">
        <is>
          <t>只</t>
        </is>
      </c>
      <c r="Q77" s="345" t="inlineStr"/>
      <c r="R77" s="345" t="inlineStr"/>
      <c r="S77" s="345" t="inlineStr"/>
      <c r="T77" s="345" t="inlineStr"/>
      <c r="U77" s="345" t="inlineStr"/>
      <c r="V77" s="345" t="inlineStr"/>
      <c r="W77" s="345" t="inlineStr"/>
      <c r="X77" s="345" t="inlineStr"/>
      <c r="Y77" s="345" t="inlineStr">
        <is>
          <t>confirmed</t>
        </is>
      </c>
      <c r="Z77" s="345" t="n">
        <v>0</v>
      </c>
      <c r="AA77" s="345" t="inlineStr">
        <is>
          <t>没有找到可靠候选</t>
        </is>
      </c>
      <c r="AB77" s="345" t="inlineStr">
        <is>
          <t>高中理化生报价.xlsx｜凯迪｜第95行</t>
        </is>
      </c>
    </row>
    <row r="78" customFormat="1" s="257">
      <c r="A78" s="41" t="n">
        <v>99</v>
      </c>
      <c r="B78" s="53" t="n">
        <v>30206000603</v>
      </c>
      <c r="C78" s="221" t="inlineStr">
        <is>
          <t>直流电流表</t>
        </is>
      </c>
      <c r="D78" s="52" t="inlineStr">
        <is>
          <t>2.5 级，0.6 A，3 A</t>
        </is>
      </c>
      <c r="E78" s="222" t="n">
        <v>25</v>
      </c>
      <c r="F78" s="50" t="inlineStr">
        <is>
          <t>只</t>
        </is>
      </c>
      <c r="G78" s="223">
        <f>_xlfn.DISPIMG("ID_5B7DED1F8D664DAEABCEDC2D081E3C5F",1)</f>
        <v/>
      </c>
      <c r="H78" s="224" t="n"/>
      <c r="I78" s="53" t="n">
        <v>30206000603</v>
      </c>
      <c r="J78" s="54" t="inlineStr">
        <is>
          <t>2.5 级，0.6 A，3 A</t>
        </is>
      </c>
      <c r="K78" s="48" t="inlineStr">
        <is>
          <t>乐百仕</t>
        </is>
      </c>
      <c r="L78" s="48" t="inlineStr">
        <is>
          <t>江苏乐百仕教育科技有限公司</t>
        </is>
      </c>
      <c r="M78" s="345" t="n">
        <v>25</v>
      </c>
      <c r="N78" s="345" t="n">
        <v>17</v>
      </c>
      <c r="O78" s="345" t="n">
        <v>425</v>
      </c>
      <c r="P78" s="345" t="inlineStr">
        <is>
          <t>只</t>
        </is>
      </c>
      <c r="Q78" s="345" t="inlineStr"/>
      <c r="R78" s="345" t="inlineStr"/>
      <c r="S78" s="345" t="inlineStr"/>
      <c r="T78" s="345" t="inlineStr"/>
      <c r="U78" s="345" t="inlineStr"/>
      <c r="V78" s="345" t="inlineStr"/>
      <c r="W78" s="345" t="inlineStr"/>
      <c r="X78" s="345" t="inlineStr"/>
      <c r="Y78" s="345" t="inlineStr">
        <is>
          <t>confirmed</t>
        </is>
      </c>
      <c r="Z78" s="345" t="n">
        <v>0</v>
      </c>
      <c r="AA78" s="345" t="inlineStr">
        <is>
          <t>没有找到可靠候选</t>
        </is>
      </c>
      <c r="AB78" s="345" t="inlineStr">
        <is>
          <t>赛特尔25年.xls｜初中物理｜第91行</t>
        </is>
      </c>
    </row>
    <row r="79" customFormat="1" s="257">
      <c r="A79" s="41" t="n">
        <v>100</v>
      </c>
      <c r="B79" s="53" t="n">
        <v>30206001001</v>
      </c>
      <c r="C79" s="221" t="inlineStr">
        <is>
          <t>灵敏电流计</t>
        </is>
      </c>
      <c r="D79" s="52" t="inlineStr">
        <is>
          <t>±300 μA</t>
        </is>
      </c>
      <c r="E79" s="222" t="n">
        <v>25</v>
      </c>
      <c r="F79" s="50" t="inlineStr">
        <is>
          <t>只</t>
        </is>
      </c>
      <c r="G79" s="223">
        <f>_xlfn.DISPIMG("ID_3D04C95330124F7184FA19E63705C1DB",1)</f>
        <v/>
      </c>
      <c r="H79" s="224" t="n"/>
      <c r="I79" s="53" t="n">
        <v>30206001001</v>
      </c>
      <c r="J79" s="54" t="inlineStr">
        <is>
          <t>±300 μA</t>
        </is>
      </c>
      <c r="K79" s="48" t="inlineStr">
        <is>
          <t>乐百仕</t>
        </is>
      </c>
      <c r="L79" s="48" t="inlineStr">
        <is>
          <t>江苏乐百仕教育科技有限公司</t>
        </is>
      </c>
      <c r="M79" s="345" t="n">
        <v>25</v>
      </c>
      <c r="N79" s="345" t="n">
        <v>17</v>
      </c>
      <c r="O79" s="345" t="n">
        <v>425</v>
      </c>
      <c r="P79" s="345" t="inlineStr">
        <is>
          <t>只</t>
        </is>
      </c>
      <c r="Q79" s="345" t="inlineStr"/>
      <c r="R79" s="345" t="inlineStr"/>
      <c r="S79" s="345" t="inlineStr"/>
      <c r="T79" s="345" t="inlineStr"/>
      <c r="U79" s="345" t="n">
        <v>17</v>
      </c>
      <c r="V79" s="345" t="inlineStr"/>
      <c r="W79" s="345" t="n">
        <v>18.7</v>
      </c>
      <c r="X79" s="345" t="inlineStr"/>
      <c r="Y79" s="345" t="inlineStr">
        <is>
          <t>confirmed</t>
        </is>
      </c>
      <c r="Z79" s="345" t="n">
        <v>100</v>
      </c>
      <c r="AA79" s="345" t="inlineStr"/>
      <c r="AB79" s="345" t="inlineStr">
        <is>
          <t>赛特尔25年.xls｜初中新课标物理｜第394行</t>
        </is>
      </c>
    </row>
    <row r="80" customFormat="1" s="190">
      <c r="A80" s="41" t="n">
        <v>101</v>
      </c>
      <c r="B80" s="71" t="n">
        <v>30206002101</v>
      </c>
      <c r="C80" s="75" t="inlineStr">
        <is>
          <t>演示电流电压表（可磁吸）</t>
        </is>
      </c>
      <c r="D80" s="73" t="inlineStr">
        <is>
          <t>2.5 级</t>
        </is>
      </c>
      <c r="E80" s="225" t="n">
        <v>2</v>
      </c>
      <c r="F80" s="50" t="inlineStr">
        <is>
          <t>只</t>
        </is>
      </c>
      <c r="G80" s="50">
        <f>_xlfn.DISPIMG("ID_25253AC1C436483DA2C6E9A6A5334B0E",1)</f>
        <v/>
      </c>
      <c r="H80" s="226" t="n"/>
      <c r="I80" s="50" t="n">
        <v>30206002101</v>
      </c>
      <c r="J80" s="77" t="inlineStr">
        <is>
          <t>2.5 级</t>
        </is>
      </c>
      <c r="K80" s="48" t="inlineStr">
        <is>
          <t>乐百仕</t>
        </is>
      </c>
      <c r="L80" s="48" t="inlineStr">
        <is>
          <t>江苏乐百仕教育科技有限公司</t>
        </is>
      </c>
      <c r="M80" s="345" t="n">
        <v>2</v>
      </c>
      <c r="N80" s="345" t="n">
        <v>200</v>
      </c>
      <c r="O80" s="345" t="n">
        <v>400</v>
      </c>
      <c r="P80" s="345" t="inlineStr">
        <is>
          <t>只</t>
        </is>
      </c>
      <c r="Q80" s="345" t="inlineStr">
        <is>
          <t>三磊</t>
        </is>
      </c>
      <c r="R80" s="345" t="inlineStr"/>
      <c r="S80" s="345" t="inlineStr">
        <is>
          <t>15016</t>
        </is>
      </c>
      <c r="T80" s="345" t="inlineStr">
        <is>
          <t>15016</t>
        </is>
      </c>
      <c r="U80" s="345" t="inlineStr"/>
      <c r="V80" s="345" t="inlineStr"/>
      <c r="W80" s="345" t="inlineStr"/>
      <c r="X80" s="345" t="inlineStr"/>
      <c r="Y80" s="345" t="inlineStr">
        <is>
          <t>confirmed</t>
        </is>
      </c>
      <c r="Z80" s="345" t="n">
        <v>0</v>
      </c>
      <c r="AA80" s="345" t="inlineStr">
        <is>
          <t>匹配到商品档案但无历史价格记录</t>
        </is>
      </c>
      <c r="AB80" s="345" t="inlineStr">
        <is>
          <t>高中理化生报价.xlsx｜凯迪｜第99行</t>
        </is>
      </c>
    </row>
    <row r="81" customFormat="1" s="257">
      <c r="A81" s="323" t="n">
        <v>102</v>
      </c>
      <c r="B81" s="26" t="n">
        <v>30299000601</v>
      </c>
      <c r="C81" s="87" t="inlineStr">
        <is>
          <t>pH计</t>
        </is>
      </c>
      <c r="D81" s="141" t="inlineStr">
        <is>
          <t>笔式，pH 测量范围 0～14，分辨力 0.1，读数清晰，有自动关机节电模式，配校准试剂</t>
        </is>
      </c>
      <c r="E81" s="31" t="n">
        <v>25</v>
      </c>
      <c r="F81" s="26" t="inlineStr">
        <is>
          <t>台</t>
        </is>
      </c>
      <c r="G81" s="31">
        <f>_xlfn.DISPIMG("ID_0750635AA62F482FBC03EF221A8543DA",1)</f>
        <v/>
      </c>
      <c r="H81" s="330" t="n"/>
      <c r="I81" s="26" t="n">
        <v>30299000601</v>
      </c>
      <c r="J81" s="33" t="inlineStr">
        <is>
          <t>笔式，pH 测量范围： 0～14，分辨力 0.1，读数清晰，有自动关机节电模式，配校准试剂</t>
        </is>
      </c>
      <c r="K81" s="39" t="inlineStr">
        <is>
          <t>乐百仕</t>
        </is>
      </c>
      <c r="L81" s="39" t="inlineStr">
        <is>
          <t>江苏乐百仕教育科技有限公司</t>
        </is>
      </c>
      <c r="M81" s="345" t="n">
        <v>25</v>
      </c>
      <c r="N81" s="345" t="n">
        <v>280</v>
      </c>
      <c r="O81" s="345" t="n">
        <v>7000</v>
      </c>
      <c r="P81" s="345" t="inlineStr">
        <is>
          <t>台</t>
        </is>
      </c>
      <c r="Q81" s="345" t="inlineStr"/>
      <c r="R81" s="345" t="inlineStr"/>
      <c r="S81" s="345" t="inlineStr"/>
      <c r="T81" s="345" t="inlineStr">
        <is>
          <t>量程 0～14；分辨力 0.01；误差±0.2</t>
        </is>
      </c>
      <c r="U81" s="345" t="inlineStr"/>
      <c r="V81" s="345" t="inlineStr"/>
      <c r="W81" s="345" t="inlineStr"/>
      <c r="X81" s="345" t="inlineStr"/>
      <c r="Y81" s="345" t="inlineStr">
        <is>
          <t>confirmed</t>
        </is>
      </c>
      <c r="Z81" s="345" t="n">
        <v>0</v>
      </c>
      <c r="AA81" s="345" t="inlineStr">
        <is>
          <t>匹配到商品档案但无历史价格记录</t>
        </is>
      </c>
      <c r="AB81" s="345" t="inlineStr">
        <is>
          <t>赛特尔25年.xls｜初中新课标生物｜第203行</t>
        </is>
      </c>
    </row>
    <row r="82" customFormat="1" s="257">
      <c r="A82" s="323" t="n">
        <v>103</v>
      </c>
      <c r="B82" s="31" t="n">
        <v>30101000201</v>
      </c>
      <c r="C82" s="137" t="inlineStr">
        <is>
          <t>方座支架</t>
        </is>
      </c>
      <c r="D82" s="141" t="inlineStr">
        <is>
          <t>包括方形座，立杆，平行夹，垂直夹两个，烧瓶夹，大铁环，小铁环，吊杆。重心稳定不晃动，烧瓶夹内侧应有缓压层</t>
        </is>
      </c>
      <c r="E82" s="31" t="n">
        <v>25</v>
      </c>
      <c r="F82" s="31" t="inlineStr">
        <is>
          <t>套</t>
        </is>
      </c>
      <c r="G82" s="31">
        <f>_xlfn.DISPIMG("ID_AC6F3022AB784C9DB438379DD001700F",1)</f>
        <v/>
      </c>
      <c r="H82" s="330" t="n"/>
      <c r="I82" s="31" t="n">
        <v>30101000201</v>
      </c>
      <c r="J82" s="33" t="inlineStr">
        <is>
          <t>包括方形座，立杆，平行夹，垂直夹两个，烧瓶夹，大铁环，小铁环，吊杆。重心稳定不晃动，烧瓶夹内侧应有缓压层</t>
        </is>
      </c>
      <c r="K82" s="39" t="inlineStr">
        <is>
          <t>乐百仕</t>
        </is>
      </c>
      <c r="L82" s="39" t="inlineStr">
        <is>
          <t>江苏乐百仕教育科技有限公司</t>
        </is>
      </c>
      <c r="M82" s="345" t="n">
        <v>25</v>
      </c>
      <c r="N82" s="345" t="n">
        <v>36</v>
      </c>
      <c r="O82" s="345" t="n">
        <v>900</v>
      </c>
      <c r="P82" s="345" t="inlineStr">
        <is>
          <t>套</t>
        </is>
      </c>
      <c r="Q82" s="345" t="inlineStr"/>
      <c r="R82" s="345" t="inlineStr"/>
      <c r="S82" s="345" t="inlineStr"/>
      <c r="T82" s="345" t="inlineStr"/>
      <c r="U82" s="345" t="n">
        <v>36</v>
      </c>
      <c r="V82" s="345" t="inlineStr"/>
      <c r="W82" s="345" t="inlineStr"/>
      <c r="X82" s="345" t="inlineStr"/>
      <c r="Y82" s="345" t="inlineStr">
        <is>
          <t>confirmed</t>
        </is>
      </c>
      <c r="Z82" s="345" t="n">
        <v>100</v>
      </c>
      <c r="AA82" s="345" t="inlineStr"/>
      <c r="AB82" s="345" t="inlineStr">
        <is>
          <t>赛特尔25年.xls｜初中新课标物理｜第108行</t>
        </is>
      </c>
    </row>
    <row r="83" customFormat="1" s="257">
      <c r="A83" s="323" t="n">
        <v>104</v>
      </c>
      <c r="B83" s="26" t="n">
        <v>30101000602</v>
      </c>
      <c r="C83" s="87" t="inlineStr">
        <is>
          <t>三脚架</t>
        </is>
      </c>
      <c r="D83" s="141" t="inlineStr">
        <is>
          <t>铁制（可拆卸），环内径 75 mm，高 150 mm</t>
        </is>
      </c>
      <c r="E83" s="31" t="n">
        <v>25</v>
      </c>
      <c r="F83" s="31" t="inlineStr">
        <is>
          <t>个</t>
        </is>
      </c>
      <c r="G83" s="31">
        <f>_xlfn.DISPIMG("ID_3181230DEE7A4BEB80968C49A1311546",1)</f>
        <v/>
      </c>
      <c r="H83" s="330" t="n"/>
      <c r="I83" s="26" t="n">
        <v>30101000602</v>
      </c>
      <c r="J83" s="33" t="inlineStr">
        <is>
          <t>铁制（可拆卸），环内径 75 mm，高 150 mm</t>
        </is>
      </c>
      <c r="K83" s="39" t="inlineStr">
        <is>
          <t>乐百仕</t>
        </is>
      </c>
      <c r="L83" s="39" t="inlineStr">
        <is>
          <t>江苏乐百仕教育科技有限公司</t>
        </is>
      </c>
      <c r="M83" s="345" t="n">
        <v>25</v>
      </c>
      <c r="N83" s="345" t="n">
        <v>5</v>
      </c>
      <c r="O83" s="345" t="n">
        <v>125</v>
      </c>
      <c r="P83" s="345" t="inlineStr">
        <is>
          <t>个</t>
        </is>
      </c>
      <c r="Q83" s="345" t="inlineStr"/>
      <c r="R83" s="345" t="inlineStr"/>
      <c r="S83" s="345" t="inlineStr"/>
      <c r="T83" s="345" t="inlineStr"/>
      <c r="U83" s="345" t="n">
        <v>5</v>
      </c>
      <c r="V83" s="345" t="inlineStr"/>
      <c r="W83" s="345" t="n">
        <v>5.5</v>
      </c>
      <c r="X83" s="345" t="inlineStr"/>
      <c r="Y83" s="345" t="inlineStr">
        <is>
          <t>confirmed</t>
        </is>
      </c>
      <c r="Z83" s="345" t="n">
        <v>100</v>
      </c>
      <c r="AA83" s="345" t="inlineStr"/>
      <c r="AB83" s="345" t="inlineStr">
        <is>
          <t>赛特尔25年.xls｜初中新课标生物｜第78行</t>
        </is>
      </c>
    </row>
    <row r="84" customFormat="1" s="190">
      <c r="A84" s="323" t="n">
        <v>105</v>
      </c>
      <c r="B84" s="67" t="n">
        <v>30101000701</v>
      </c>
      <c r="C84" s="104" t="inlineStr">
        <is>
          <t>泥三角</t>
        </is>
      </c>
      <c r="D84" s="68" t="inlineStr">
        <is>
          <t>陶制或者瓷制，内径应保证稳定支撑 30 mm坩埚</t>
        </is>
      </c>
      <c r="E84" s="31" t="n">
        <v>25</v>
      </c>
      <c r="F84" s="106" t="inlineStr">
        <is>
          <t>个</t>
        </is>
      </c>
      <c r="G84" s="31">
        <f>_xlfn.DISPIMG("ID_7D8777A06B6B4A168F0ECC0707DEA8C2",1)</f>
        <v/>
      </c>
      <c r="H84" s="147" t="n"/>
      <c r="I84" s="26" t="n">
        <v>30101000701</v>
      </c>
      <c r="J84" s="164" t="inlineStr">
        <is>
          <t>陶制，内径应保证稳定支撑 30 mm坩埚</t>
        </is>
      </c>
      <c r="K84" s="39" t="inlineStr">
        <is>
          <t>乐百仕</t>
        </is>
      </c>
      <c r="L84" s="39" t="inlineStr">
        <is>
          <t>江苏乐百仕教育科技有限公司</t>
        </is>
      </c>
      <c r="M84" s="345" t="n">
        <v>25</v>
      </c>
      <c r="N84" s="345" t="n">
        <v>2</v>
      </c>
      <c r="O84" s="345" t="n">
        <v>50</v>
      </c>
      <c r="P84" s="345" t="inlineStr">
        <is>
          <t>个</t>
        </is>
      </c>
      <c r="Q84" s="345" t="inlineStr"/>
      <c r="R84" s="345" t="inlineStr"/>
      <c r="S84" s="345" t="inlineStr"/>
      <c r="T84" s="345" t="inlineStr"/>
      <c r="U84" s="345" t="n">
        <v>2</v>
      </c>
      <c r="V84" s="345" t="inlineStr"/>
      <c r="W84" s="345" t="n">
        <v>2.5</v>
      </c>
      <c r="X84" s="345" t="inlineStr"/>
      <c r="Y84" s="345" t="inlineStr">
        <is>
          <t>confirmed</t>
        </is>
      </c>
      <c r="Z84" s="345" t="n">
        <v>100</v>
      </c>
      <c r="AA84" s="345" t="inlineStr">
        <is>
          <t>价格分歧&gt;30%：历史报价分歧较大，需人工核对</t>
        </is>
      </c>
      <c r="AB84" s="345" t="inlineStr">
        <is>
          <t>赛特尔25年.xls｜初中新课标化学｜第52行</t>
        </is>
      </c>
    </row>
    <row r="85" customFormat="1" s="257">
      <c r="A85" s="323" t="n">
        <v>106</v>
      </c>
      <c r="B85" s="26" t="n">
        <v>30101000803</v>
      </c>
      <c r="C85" s="30" t="inlineStr">
        <is>
          <t>试管架</t>
        </is>
      </c>
      <c r="D85" s="141" t="inlineStr">
        <is>
          <t>木制或塑料制，8 孔，孔径 21 mm，立柱黏
结牢固</t>
        </is>
      </c>
      <c r="E85" s="31" t="n">
        <v>25</v>
      </c>
      <c r="F85" s="26" t="inlineStr">
        <is>
          <t>个</t>
        </is>
      </c>
      <c r="G85" s="31">
        <f>_xlfn.DISPIMG("ID_4918CCADAC234F68AC9D640E107F900B",1)</f>
        <v/>
      </c>
      <c r="H85" s="330" t="n"/>
      <c r="I85" s="26" t="n">
        <v>30101000803</v>
      </c>
      <c r="J85" s="33" t="inlineStr">
        <is>
          <t>木制，8 孔，孔径 21 mm，立柱黏
结牢固</t>
        </is>
      </c>
      <c r="K85" s="39" t="inlineStr">
        <is>
          <t>乐百仕</t>
        </is>
      </c>
      <c r="L85" s="39" t="inlineStr">
        <is>
          <t>江苏乐百仕教育科技有限公司</t>
        </is>
      </c>
      <c r="M85" s="345" t="n">
        <v>25</v>
      </c>
      <c r="N85" s="345" t="n">
        <v>0.5</v>
      </c>
      <c r="O85" s="345" t="n">
        <v>12.5</v>
      </c>
      <c r="P85" s="345" t="inlineStr">
        <is>
          <t>个</t>
        </is>
      </c>
      <c r="Q85" s="345" t="inlineStr"/>
      <c r="R85" s="345" t="inlineStr"/>
      <c r="S85" s="345" t="inlineStr"/>
      <c r="T85" s="345" t="inlineStr"/>
      <c r="U85" s="345" t="n">
        <v>0.7</v>
      </c>
      <c r="V85" s="345" t="inlineStr"/>
      <c r="W85" s="345" t="n">
        <v>6</v>
      </c>
      <c r="X85" s="345" t="inlineStr"/>
      <c r="Y85" s="345" t="inlineStr">
        <is>
          <t>confirmed</t>
        </is>
      </c>
      <c r="Z85" s="345" t="n">
        <v>100</v>
      </c>
      <c r="AA85" s="345" t="inlineStr">
        <is>
          <t>价格分歧&gt;30%：历史报价分歧较大，需人工核对；同分多价：最高分候选存在不同历史价格</t>
        </is>
      </c>
      <c r="AB85" s="345" t="inlineStr">
        <is>
          <t>高中理化生报价.xlsx｜凯迪｜第1803行</t>
        </is>
      </c>
    </row>
    <row r="86" customFormat="1" s="257">
      <c r="A86" s="323" t="n">
        <v>107</v>
      </c>
      <c r="B86" s="26" t="n">
        <v>30101000813</v>
      </c>
      <c r="C86" s="30" t="inlineStr">
        <is>
          <t>试管架</t>
        </is>
      </c>
      <c r="D86" s="141" t="inlineStr">
        <is>
          <t>木制或塑料制，8 孔，孔径 25 mm</t>
        </is>
      </c>
      <c r="E86" s="31" t="n">
        <v>5</v>
      </c>
      <c r="F86" s="26" t="inlineStr">
        <is>
          <t>个</t>
        </is>
      </c>
      <c r="G86" s="31">
        <f>_xlfn.DISPIMG("ID_9851E7ADEA74459EB9E2B79E8A061B5D",1)</f>
        <v/>
      </c>
      <c r="H86" s="330" t="n"/>
      <c r="I86" s="26" t="n">
        <v>30101000813</v>
      </c>
      <c r="J86" s="33" t="inlineStr">
        <is>
          <t>木制，8 孔，孔径 25 mm</t>
        </is>
      </c>
      <c r="K86" s="39" t="inlineStr">
        <is>
          <t>乐百仕</t>
        </is>
      </c>
      <c r="L86" s="39" t="inlineStr">
        <is>
          <t>江苏乐百仕教育科技有限公司</t>
        </is>
      </c>
      <c r="M86" s="345" t="n">
        <v>5</v>
      </c>
      <c r="N86" s="345" t="n">
        <v>0.5</v>
      </c>
      <c r="O86" s="345" t="n">
        <v>2.5</v>
      </c>
      <c r="P86" s="345" t="inlineStr">
        <is>
          <t>个</t>
        </is>
      </c>
      <c r="Q86" s="345" t="inlineStr"/>
      <c r="R86" s="345" t="inlineStr"/>
      <c r="S86" s="345" t="inlineStr"/>
      <c r="T86" s="345" t="inlineStr"/>
      <c r="U86" s="345" t="n">
        <v>0.7</v>
      </c>
      <c r="V86" s="345" t="inlineStr"/>
      <c r="W86" s="345" t="n">
        <v>6</v>
      </c>
      <c r="X86" s="345" t="inlineStr"/>
      <c r="Y86" s="345" t="inlineStr">
        <is>
          <t>confirmed</t>
        </is>
      </c>
      <c r="Z86" s="345" t="n">
        <v>100</v>
      </c>
      <c r="AA86" s="345" t="inlineStr">
        <is>
          <t>价格分歧&gt;30%：历史报价分歧较大，需人工核对；同分多价：最高分候选存在不同历史价格</t>
        </is>
      </c>
      <c r="AB86" s="345" t="inlineStr">
        <is>
          <t>高中理化生报价.xlsx｜凯迪｜第1803行</t>
        </is>
      </c>
    </row>
    <row r="87" customFormat="1" s="257">
      <c r="A87" s="323" t="n">
        <v>108</v>
      </c>
      <c r="B87" s="26" t="n">
        <v>30101000823</v>
      </c>
      <c r="C87" s="30" t="inlineStr">
        <is>
          <t>试管架</t>
        </is>
      </c>
      <c r="D87" s="141" t="inlineStr">
        <is>
          <t>木制或塑料制，8 孔，孔径 35 mm</t>
        </is>
      </c>
      <c r="E87" s="31" t="n">
        <v>5</v>
      </c>
      <c r="F87" s="26" t="inlineStr">
        <is>
          <t>个</t>
        </is>
      </c>
      <c r="G87" s="31">
        <f>_xlfn.DISPIMG("ID_B1FA1167B5E043349BB109C00483EFF7",1)</f>
        <v/>
      </c>
      <c r="H87" s="330" t="n"/>
      <c r="I87" s="26" t="n">
        <v>30101000823</v>
      </c>
      <c r="J87" s="33" t="inlineStr">
        <is>
          <t>木制或，8 孔，孔径 35 mm</t>
        </is>
      </c>
      <c r="K87" s="39" t="inlineStr">
        <is>
          <t>乐百仕</t>
        </is>
      </c>
      <c r="L87" s="39" t="inlineStr">
        <is>
          <t>江苏乐百仕教育科技有限公司</t>
        </is>
      </c>
      <c r="M87" s="345" t="n">
        <v>5</v>
      </c>
      <c r="N87" s="345" t="n">
        <v>0.5</v>
      </c>
      <c r="O87" s="345" t="n">
        <v>2.5</v>
      </c>
      <c r="P87" s="345" t="inlineStr">
        <is>
          <t>个</t>
        </is>
      </c>
      <c r="Q87" s="345" t="inlineStr"/>
      <c r="R87" s="345" t="inlineStr"/>
      <c r="S87" s="345" t="inlineStr"/>
      <c r="T87" s="345" t="inlineStr"/>
      <c r="U87" s="345" t="n">
        <v>0.7</v>
      </c>
      <c r="V87" s="345" t="inlineStr"/>
      <c r="W87" s="345" t="n">
        <v>6</v>
      </c>
      <c r="X87" s="345" t="inlineStr"/>
      <c r="Y87" s="345" t="inlineStr">
        <is>
          <t>confirmed</t>
        </is>
      </c>
      <c r="Z87" s="345" t="n">
        <v>100</v>
      </c>
      <c r="AA87" s="345" t="inlineStr">
        <is>
          <t>价格分歧&gt;30%：历史报价分歧较大，需人工核对；同分多价：最高分候选存在不同历史价格</t>
        </is>
      </c>
      <c r="AB87" s="345" t="inlineStr">
        <is>
          <t>高中理化生报价.xlsx｜凯迪｜第1803行</t>
        </is>
      </c>
    </row>
    <row r="88" customFormat="1" s="257">
      <c r="A88" s="323" t="n">
        <v>109</v>
      </c>
      <c r="B88" s="26" t="n">
        <v>30101000901</v>
      </c>
      <c r="C88" s="87" t="inlineStr">
        <is>
          <t>漏斗架</t>
        </is>
      </c>
      <c r="D88" s="141" t="inlineStr">
        <is>
          <t>木制或塑料制</t>
        </is>
      </c>
      <c r="E88" s="31" t="n">
        <v>1</v>
      </c>
      <c r="F88" s="26" t="inlineStr">
        <is>
          <t>个</t>
        </is>
      </c>
      <c r="G88" s="31">
        <f>_xlfn.DISPIMG("ID_181C907628594699B2ACE142EE271CE4",1)</f>
        <v/>
      </c>
      <c r="H88" s="330" t="n"/>
      <c r="I88" s="26" t="n">
        <v>30101000901</v>
      </c>
      <c r="J88" s="33" t="inlineStr">
        <is>
          <t>木制或塑料制</t>
        </is>
      </c>
      <c r="K88" s="39" t="inlineStr">
        <is>
          <t>乐百仕</t>
        </is>
      </c>
      <c r="L88" s="39" t="inlineStr">
        <is>
          <t>江苏乐百仕教育科技有限公司</t>
        </is>
      </c>
      <c r="M88" s="345" t="n">
        <v>1</v>
      </c>
      <c r="N88" s="345" t="n">
        <v>4</v>
      </c>
      <c r="O88" s="345" t="n">
        <v>4</v>
      </c>
      <c r="P88" s="345" t="inlineStr">
        <is>
          <t>个</t>
        </is>
      </c>
      <c r="Q88" s="345" t="inlineStr"/>
      <c r="R88" s="345" t="inlineStr"/>
      <c r="S88" s="345" t="inlineStr"/>
      <c r="T88" s="345" t="inlineStr"/>
      <c r="U88" s="345" t="n">
        <v>6</v>
      </c>
      <c r="V88" s="345" t="inlineStr"/>
      <c r="W88" s="345" t="n">
        <v>11</v>
      </c>
      <c r="X88" s="345" t="inlineStr"/>
      <c r="Y88" s="345" t="inlineStr">
        <is>
          <t>confirmed</t>
        </is>
      </c>
      <c r="Z88" s="345" t="n">
        <v>100</v>
      </c>
      <c r="AA88" s="345" t="inlineStr">
        <is>
          <t>价格分歧&gt;30%：历史报价分歧较大，需人工核对；同分多价：最高分候选存在不同历史价格</t>
        </is>
      </c>
      <c r="AB88" s="345" t="inlineStr">
        <is>
          <t>赛特尔25年.xls｜初中生物｜第226行</t>
        </is>
      </c>
    </row>
    <row r="89" customFormat="1" s="257">
      <c r="A89" s="323" t="n">
        <v>110</v>
      </c>
      <c r="B89" s="26" t="n">
        <v>30101001001</v>
      </c>
      <c r="C89" s="87" t="inlineStr">
        <is>
          <t>滴定台</t>
        </is>
      </c>
      <c r="D89" s="141" t="inlineStr">
        <is>
          <t>人造石或大理石白色台面，重心稳定不晃动，底部有四个橡胶垫脚</t>
        </is>
      </c>
      <c r="E89" s="31" t="n">
        <v>25</v>
      </c>
      <c r="F89" s="26" t="inlineStr">
        <is>
          <t>个</t>
        </is>
      </c>
      <c r="G89" s="31">
        <f>_xlfn.DISPIMG("ID_9DE8B400765049F98810344886E5F7C5",1)</f>
        <v/>
      </c>
      <c r="H89" s="330" t="n"/>
      <c r="I89" s="26" t="n">
        <v>30101001001</v>
      </c>
      <c r="J89" s="33" t="inlineStr">
        <is>
          <t>人造石白色台面，重心稳定不晃动，底部有四个橡胶垫脚</t>
        </is>
      </c>
      <c r="K89" s="39" t="inlineStr">
        <is>
          <t>乐百仕</t>
        </is>
      </c>
      <c r="L89" s="39" t="inlineStr">
        <is>
          <t>江苏乐百仕教育科技有限公司</t>
        </is>
      </c>
      <c r="M89" s="345" t="n">
        <v>25</v>
      </c>
      <c r="N89" s="345" t="n">
        <v>1.5</v>
      </c>
      <c r="O89" s="345" t="n">
        <v>37.5</v>
      </c>
      <c r="P89" s="345" t="inlineStr">
        <is>
          <t>个</t>
        </is>
      </c>
      <c r="Q89" s="345" t="inlineStr"/>
      <c r="R89" s="345" t="inlineStr"/>
      <c r="S89" s="345" t="inlineStr"/>
      <c r="T89" s="345" t="inlineStr"/>
      <c r="U89" s="345" t="n">
        <v>32</v>
      </c>
      <c r="V89" s="345" t="inlineStr"/>
      <c r="W89" s="345" t="n">
        <v>32</v>
      </c>
      <c r="X89" s="345" t="inlineStr"/>
      <c r="Y89" s="345" t="inlineStr">
        <is>
          <t>confirmed</t>
        </is>
      </c>
      <c r="Z89" s="345" t="n">
        <v>100</v>
      </c>
      <c r="AA89" s="345" t="inlineStr">
        <is>
          <t>价格分歧&gt;30%：历史报价分歧较大，需人工核对；同分多价：最高分候选存在不同历史价格</t>
        </is>
      </c>
      <c r="AB89" s="345" t="inlineStr">
        <is>
          <t>高中理化生报价.xlsx｜凯迪｜第1094行</t>
        </is>
      </c>
    </row>
    <row r="90" customFormat="1" s="257">
      <c r="A90" s="323" t="n">
        <v>111</v>
      </c>
      <c r="B90" s="26" t="n">
        <v>30101001101</v>
      </c>
      <c r="C90" s="87" t="inlineStr">
        <is>
          <t>滴定夹</t>
        </is>
      </c>
      <c r="D90" s="227" t="inlineStr">
        <is>
          <t>铝制，加持部位有防滑脱凹槽</t>
        </is>
      </c>
      <c r="E90" s="31" t="n">
        <v>25</v>
      </c>
      <c r="F90" s="26" t="inlineStr">
        <is>
          <t>个</t>
        </is>
      </c>
      <c r="G90" s="31">
        <f>_xlfn.DISPIMG("ID_9109E32D623C40D5AAC8F1B9FC94B248",1)</f>
        <v/>
      </c>
      <c r="H90" s="330" t="n"/>
      <c r="I90" s="26" t="n">
        <v>30101001101</v>
      </c>
      <c r="J90" s="33" t="inlineStr">
        <is>
          <t>铝制，加持部位有防滑脱凹槽</t>
        </is>
      </c>
      <c r="K90" s="39" t="inlineStr">
        <is>
          <t>乐百仕</t>
        </is>
      </c>
      <c r="L90" s="39" t="inlineStr">
        <is>
          <t>江苏乐百仕教育科技有限公司</t>
        </is>
      </c>
      <c r="M90" s="345" t="n">
        <v>25</v>
      </c>
      <c r="N90" s="345" t="n">
        <v>12</v>
      </c>
      <c r="O90" s="345" t="n">
        <v>300</v>
      </c>
      <c r="P90" s="345" t="inlineStr">
        <is>
          <t>个</t>
        </is>
      </c>
      <c r="Q90" s="345" t="inlineStr"/>
      <c r="R90" s="345" t="inlineStr"/>
      <c r="S90" s="345" t="inlineStr"/>
      <c r="T90" s="345" t="inlineStr"/>
      <c r="U90" s="345" t="n">
        <v>12</v>
      </c>
      <c r="V90" s="345" t="inlineStr"/>
      <c r="W90" s="345" t="n">
        <v>13</v>
      </c>
      <c r="X90" s="345" t="inlineStr"/>
      <c r="Y90" s="345" t="inlineStr">
        <is>
          <t>confirmed</t>
        </is>
      </c>
      <c r="Z90" s="345" t="n">
        <v>100</v>
      </c>
      <c r="AA90" s="345" t="inlineStr"/>
      <c r="AB90" s="345" t="inlineStr">
        <is>
          <t>赛特尔25年.xls｜初中化学｜第31行</t>
        </is>
      </c>
    </row>
    <row r="91" customFormat="1" s="257">
      <c r="A91" s="323" t="n">
        <v>112</v>
      </c>
      <c r="B91" s="26" t="n">
        <v>30101001201</v>
      </c>
      <c r="C91" s="87" t="inlineStr">
        <is>
          <t>多用滴管架</t>
        </is>
      </c>
      <c r="D91" s="228" t="inlineStr">
        <is>
          <t>塑料制，底部有圆形凹槽</t>
        </is>
      </c>
      <c r="E91" s="31" t="n">
        <v>25</v>
      </c>
      <c r="F91" s="26" t="inlineStr">
        <is>
          <t>个</t>
        </is>
      </c>
      <c r="G91" s="31">
        <f>_xlfn.DISPIMG("ID_E73D2CB75CEB465187C3E0980CA4FDA8",1)</f>
        <v/>
      </c>
      <c r="H91" s="330" t="n"/>
      <c r="I91" s="26" t="n">
        <v>30101001201</v>
      </c>
      <c r="J91" s="164" t="inlineStr">
        <is>
          <t>塑料制，底部有圆形凹槽</t>
        </is>
      </c>
      <c r="K91" s="39" t="inlineStr">
        <is>
          <t>乐百仕</t>
        </is>
      </c>
      <c r="L91" s="39" t="inlineStr">
        <is>
          <t>江苏乐百仕教育科技有限公司</t>
        </is>
      </c>
      <c r="M91" s="345" t="n">
        <v>25</v>
      </c>
      <c r="N91" s="345" t="n">
        <v>1</v>
      </c>
      <c r="O91" s="345" t="n">
        <v>25</v>
      </c>
      <c r="P91" s="345" t="inlineStr">
        <is>
          <t>个</t>
        </is>
      </c>
      <c r="Q91" s="345" t="inlineStr"/>
      <c r="R91" s="345" t="inlineStr"/>
      <c r="S91" s="345" t="inlineStr"/>
      <c r="T91" s="345" t="inlineStr"/>
      <c r="U91" s="345" t="n">
        <v>5</v>
      </c>
      <c r="V91" s="345" t="inlineStr"/>
      <c r="W91" s="345" t="n">
        <v>5</v>
      </c>
      <c r="X91" s="345" t="inlineStr"/>
      <c r="Y91" s="345" t="inlineStr">
        <is>
          <t>confirmed</t>
        </is>
      </c>
      <c r="Z91" s="345" t="n">
        <v>100</v>
      </c>
      <c r="AA91" s="345" t="inlineStr">
        <is>
          <t>价格分歧&gt;30%：历史报价分歧较大，需人工核对；同分多价：最高分候选存在不同历史价格</t>
        </is>
      </c>
      <c r="AB91" s="345" t="inlineStr">
        <is>
          <t>赛特尔25年.xls｜小学科学｜第166行</t>
        </is>
      </c>
    </row>
    <row r="92" customFormat="1" s="257">
      <c r="A92" s="323" t="n">
        <v>113</v>
      </c>
      <c r="B92" s="26" t="n">
        <v>30101001401</v>
      </c>
      <c r="C92" s="87" t="inlineStr">
        <is>
          <t>移液管架</t>
        </is>
      </c>
      <c r="D92" s="141" t="inlineStr">
        <is>
          <t>塑料制</t>
        </is>
      </c>
      <c r="E92" s="31" t="n">
        <v>13</v>
      </c>
      <c r="F92" s="26" t="inlineStr">
        <is>
          <t>个</t>
        </is>
      </c>
      <c r="G92" s="31">
        <f>_xlfn.DISPIMG("ID_07AC54A5B50C481799613B07B537BDC1",1)</f>
        <v/>
      </c>
      <c r="H92" s="330" t="n"/>
      <c r="I92" s="26" t="n">
        <v>30101001401</v>
      </c>
      <c r="J92" s="33" t="inlineStr">
        <is>
          <t>塑料制</t>
        </is>
      </c>
      <c r="K92" s="39" t="inlineStr">
        <is>
          <t>乐百仕</t>
        </is>
      </c>
      <c r="L92" s="39" t="inlineStr">
        <is>
          <t>江苏乐百仕教育科技有限公司</t>
        </is>
      </c>
      <c r="M92" s="345" t="n">
        <v>13</v>
      </c>
      <c r="N92" s="345" t="n">
        <v>45</v>
      </c>
      <c r="O92" s="345" t="n">
        <v>585</v>
      </c>
      <c r="P92" s="345" t="inlineStr">
        <is>
          <t>个</t>
        </is>
      </c>
      <c r="Q92" s="345" t="inlineStr">
        <is>
          <t>群信</t>
        </is>
      </c>
      <c r="R92" s="345" t="inlineStr"/>
      <c r="S92" s="345" t="inlineStr"/>
      <c r="T92" s="345" t="inlineStr">
        <is>
          <t>27027</t>
        </is>
      </c>
      <c r="U92" s="345" t="n">
        <v>0.5</v>
      </c>
      <c r="V92" s="345" t="inlineStr"/>
      <c r="W92" s="345" t="n">
        <v>6</v>
      </c>
      <c r="X92" s="345" t="inlineStr"/>
      <c r="Y92" s="345" t="inlineStr">
        <is>
          <t>confirmed</t>
        </is>
      </c>
      <c r="Z92" s="345" t="n">
        <v>75</v>
      </c>
      <c r="AA92" s="345" t="inlineStr"/>
      <c r="AB92" s="345" t="inlineStr">
        <is>
          <t>高中理化生报价.xlsx｜凯迪｜第1436行</t>
        </is>
      </c>
    </row>
    <row r="93" customFormat="1" s="190">
      <c r="A93" s="323" t="n">
        <v>114</v>
      </c>
      <c r="B93" s="67" t="n">
        <v>30101001501</v>
      </c>
      <c r="C93" s="104" t="inlineStr">
        <is>
          <t>比色管架</t>
        </is>
      </c>
      <c r="D93" s="68" t="inlineStr">
        <is>
          <t>塑料制，6 孔</t>
        </is>
      </c>
      <c r="E93" s="67" t="n">
        <v>25</v>
      </c>
      <c r="F93" s="26" t="inlineStr">
        <is>
          <t>个</t>
        </is>
      </c>
      <c r="G93" s="217">
        <f>_xlfn.DISPIMG("ID_E0BB563A81534948998D728FC569D3DA",1)</f>
        <v/>
      </c>
      <c r="H93" s="147" t="n"/>
      <c r="I93" s="26" t="n">
        <v>30101001501</v>
      </c>
      <c r="J93" s="164" t="inlineStr">
        <is>
          <t>塑料制，6 孔</t>
        </is>
      </c>
      <c r="K93" s="39" t="inlineStr">
        <is>
          <t>乐百仕</t>
        </is>
      </c>
      <c r="L93" s="39" t="inlineStr">
        <is>
          <t>江苏乐百仕教育科技有限公司</t>
        </is>
      </c>
      <c r="M93" s="345" t="n">
        <v>25</v>
      </c>
      <c r="N93" s="345" t="n">
        <v>0.5</v>
      </c>
      <c r="O93" s="345" t="n">
        <v>12.5</v>
      </c>
      <c r="P93" s="345" t="inlineStr">
        <is>
          <t>个</t>
        </is>
      </c>
      <c r="Q93" s="345" t="inlineStr"/>
      <c r="R93" s="345" t="inlineStr"/>
      <c r="S93" s="345" t="inlineStr"/>
      <c r="T93" s="345" t="inlineStr"/>
      <c r="U93" s="345" t="n">
        <v>6</v>
      </c>
      <c r="V93" s="345" t="inlineStr"/>
      <c r="W93" s="345" t="n">
        <v>35</v>
      </c>
      <c r="X93" s="345" t="inlineStr"/>
      <c r="Y93" s="345" t="inlineStr">
        <is>
          <t>confirmed</t>
        </is>
      </c>
      <c r="Z93" s="345" t="n">
        <v>57.1</v>
      </c>
      <c r="AA93" s="345" t="inlineStr">
        <is>
          <t>同分多价：最高分候选存在不同历史价格</t>
        </is>
      </c>
      <c r="AB93" s="345" t="inlineStr">
        <is>
          <t>高中理化生报价.xlsx｜凯迪｜第1803行</t>
        </is>
      </c>
    </row>
    <row r="94" customFormat="1" s="257">
      <c r="A94" s="323" t="n">
        <v>115</v>
      </c>
      <c r="B94" s="31" t="n">
        <v>30101000405</v>
      </c>
      <c r="C94" s="137" t="inlineStr">
        <is>
          <t>升降台</t>
        </is>
      </c>
      <c r="D94" s="141" t="inlineStr">
        <is>
          <t>上下台面为不锈钢材质，台面防滑，100mm×100 mm，台面升降范围 50 mm～150 mm</t>
        </is>
      </c>
      <c r="E94" s="31" t="n">
        <v>25</v>
      </c>
      <c r="F94" s="31" t="inlineStr">
        <is>
          <t>个</t>
        </is>
      </c>
      <c r="G94" s="31">
        <f>_xlfn.DISPIMG("ID_959788AB445A4DEE8BE4601986B64996",1)</f>
        <v/>
      </c>
      <c r="H94" s="330" t="n"/>
      <c r="I94" s="31" t="n">
        <v>30101000405</v>
      </c>
      <c r="J94" s="33" t="inlineStr">
        <is>
          <t>上下台面为不锈钢材质，台面防滑，100mm×100 mm，台面升降范围 50 mm～150 mm</t>
        </is>
      </c>
      <c r="K94" s="39" t="inlineStr">
        <is>
          <t>乐百仕</t>
        </is>
      </c>
      <c r="L94" s="39" t="inlineStr">
        <is>
          <t>江苏乐百仕教育科技有限公司</t>
        </is>
      </c>
      <c r="M94" s="345" t="n">
        <v>25</v>
      </c>
      <c r="N94" s="345" t="n">
        <v>80</v>
      </c>
      <c r="O94" s="345" t="n">
        <v>2000</v>
      </c>
      <c r="P94" s="345" t="inlineStr">
        <is>
          <t>个</t>
        </is>
      </c>
      <c r="Q94" s="345" t="inlineStr"/>
      <c r="R94" s="345" t="inlineStr"/>
      <c r="S94" s="345" t="inlineStr"/>
      <c r="T94" s="345" t="inlineStr"/>
      <c r="U94" s="345" t="inlineStr"/>
      <c r="V94" s="345" t="inlineStr"/>
      <c r="W94" s="345" t="inlineStr"/>
      <c r="X94" s="345" t="inlineStr"/>
      <c r="Y94" s="345" t="inlineStr">
        <is>
          <t>confirmed</t>
        </is>
      </c>
      <c r="Z94" s="345" t="n">
        <v>0</v>
      </c>
      <c r="AA94" s="345" t="inlineStr">
        <is>
          <t>没有找到可靠候选</t>
        </is>
      </c>
      <c r="AB94" s="345" t="inlineStr">
        <is>
          <t>赛特尔25年.xls｜初中新课标物理｜第110行</t>
        </is>
      </c>
    </row>
    <row r="95" customFormat="1" s="192">
      <c r="A95" s="323" t="n">
        <v>116</v>
      </c>
      <c r="B95" s="103" t="n">
        <v>30601000102</v>
      </c>
      <c r="C95" s="119" t="inlineStr">
        <is>
          <t>量筒</t>
        </is>
      </c>
      <c r="D95" s="130" t="inlineStr">
        <is>
          <t>10 mL，无塞、量出式，透明钠钙玻璃制，分度线、数字和标志应完整、清晰和耐久，容积为20℃时充满量筒刻度线所容纳体积</t>
        </is>
      </c>
      <c r="E95" s="131" t="n">
        <v>50</v>
      </c>
      <c r="F95" s="131" t="inlineStr">
        <is>
          <t>个</t>
        </is>
      </c>
      <c r="G95" s="131">
        <f>_xlfn.DISPIMG("ID_5E9456E3CF004D1C9B04DD61DBB5FA48",1)</f>
        <v/>
      </c>
      <c r="H95" s="229" t="n"/>
      <c r="I95" s="108" t="n">
        <v>30601000102</v>
      </c>
      <c r="J95" s="164" t="inlineStr">
        <is>
          <t>10 mL，无塞、量出式，透明钠钙玻璃制，分度线、数字和标志应完整、清晰和耐久，容积为20℃时充满量筒刻度线所容纳体积</t>
        </is>
      </c>
      <c r="K95" s="39" t="inlineStr">
        <is>
          <t>乐百仕</t>
        </is>
      </c>
      <c r="L95" s="39" t="inlineStr">
        <is>
          <t>江苏乐百仕教育科技有限公司</t>
        </is>
      </c>
      <c r="M95" s="345" t="n">
        <v>50</v>
      </c>
      <c r="N95" s="345" t="n">
        <v>4.5</v>
      </c>
      <c r="O95" s="345" t="n">
        <v>225</v>
      </c>
      <c r="P95" s="345" t="inlineStr">
        <is>
          <t>个</t>
        </is>
      </c>
      <c r="Q95" s="345" t="inlineStr"/>
      <c r="R95" s="345" t="inlineStr"/>
      <c r="S95" s="345" t="inlineStr"/>
      <c r="T95" s="345" t="inlineStr"/>
      <c r="U95" s="345" t="n">
        <v>7</v>
      </c>
      <c r="V95" s="345" t="inlineStr"/>
      <c r="W95" s="345" t="n">
        <v>12</v>
      </c>
      <c r="X95" s="345" t="inlineStr"/>
      <c r="Y95" s="345" t="inlineStr">
        <is>
          <t>confirmed</t>
        </is>
      </c>
      <c r="Z95" s="345" t="n">
        <v>100</v>
      </c>
      <c r="AA95" s="345" t="inlineStr">
        <is>
          <t>价格分歧&gt;30%：历史报价分歧较大，需人工核对；同分多价：最高分候选存在不同历史价格</t>
        </is>
      </c>
      <c r="AB95" s="345" t="inlineStr">
        <is>
          <t>赛特尔25年.xls｜初中新课标生物｜第92行</t>
        </is>
      </c>
    </row>
    <row r="96" customFormat="1" s="192">
      <c r="A96" s="323" t="n">
        <v>117</v>
      </c>
      <c r="B96" s="67" t="n">
        <v>30601000103</v>
      </c>
      <c r="C96" s="119" t="inlineStr">
        <is>
          <t>量筒</t>
        </is>
      </c>
      <c r="D96" s="130" t="inlineStr">
        <is>
          <t>25 mL，无塞、量出式，透明钠钙玻璃制，分度线、数字和标志应完整、清晰和耐久，容积为20℃时充满量筒刻度线所容纳体积</t>
        </is>
      </c>
      <c r="E96" s="131" t="n">
        <v>50</v>
      </c>
      <c r="F96" s="131" t="inlineStr">
        <is>
          <t>个</t>
        </is>
      </c>
      <c r="G96" s="131">
        <f>_xlfn.DISPIMG("ID_37122A276A5C4F4DB5AB58063B7BF771",1)</f>
        <v/>
      </c>
      <c r="H96" s="229" t="n"/>
      <c r="I96" s="26" t="n">
        <v>30601000103</v>
      </c>
      <c r="J96" s="164" t="inlineStr">
        <is>
          <t>25 mL，无塞、量出式，透明钠钙玻璃制，分度线、数字和标志应完整、清晰和耐久，容积为20℃时充满量筒刻度线所容纳体积</t>
        </is>
      </c>
      <c r="K96" s="39" t="inlineStr">
        <is>
          <t>乐百仕</t>
        </is>
      </c>
      <c r="L96" s="39" t="inlineStr">
        <is>
          <t>江苏乐百仕教育科技有限公司</t>
        </is>
      </c>
      <c r="M96" s="345" t="n">
        <v>50</v>
      </c>
      <c r="N96" s="345" t="n">
        <v>4.5</v>
      </c>
      <c r="O96" s="345" t="n">
        <v>225</v>
      </c>
      <c r="P96" s="345" t="inlineStr">
        <is>
          <t>个</t>
        </is>
      </c>
      <c r="Q96" s="345" t="inlineStr"/>
      <c r="R96" s="345" t="inlineStr"/>
      <c r="S96" s="345" t="inlineStr"/>
      <c r="T96" s="345" t="inlineStr"/>
      <c r="U96" s="345" t="n">
        <v>7</v>
      </c>
      <c r="V96" s="345" t="inlineStr"/>
      <c r="W96" s="345" t="n">
        <v>12</v>
      </c>
      <c r="X96" s="345" t="inlineStr"/>
      <c r="Y96" s="345" t="inlineStr">
        <is>
          <t>confirmed</t>
        </is>
      </c>
      <c r="Z96" s="345" t="n">
        <v>100</v>
      </c>
      <c r="AA96" s="345" t="inlineStr">
        <is>
          <t>价格分歧&gt;30%：历史报价分歧较大，需人工核对；同分多价：最高分候选存在不同历史价格</t>
        </is>
      </c>
      <c r="AB96" s="345" t="inlineStr">
        <is>
          <t>赛特尔25年.xls｜初中新课标生物｜第92行</t>
        </is>
      </c>
    </row>
    <row r="97" customFormat="1" s="192">
      <c r="A97" s="323" t="n">
        <v>118</v>
      </c>
      <c r="B97" s="103" t="n">
        <v>30601000105</v>
      </c>
      <c r="C97" s="119" t="inlineStr">
        <is>
          <t>量筒</t>
        </is>
      </c>
      <c r="D97" s="130" t="inlineStr">
        <is>
          <t>50 mL，无塞、量出式，透明钠钙玻璃制，分度线、数字和标志应完整、清晰和耐久，容积为20℃时充满量筒刻度线所容纳体积</t>
        </is>
      </c>
      <c r="E97" s="131" t="n">
        <v>50</v>
      </c>
      <c r="F97" s="131" t="inlineStr">
        <is>
          <t>个</t>
        </is>
      </c>
      <c r="G97" s="131">
        <f>_xlfn.DISPIMG("ID_57653C24999A41438716E38DA8A502E7",1)</f>
        <v/>
      </c>
      <c r="H97" s="229" t="n"/>
      <c r="I97" s="108" t="n">
        <v>30601000105</v>
      </c>
      <c r="J97" s="164" t="inlineStr">
        <is>
          <t>50 mL，无塞、量出式，透明钠钙玻璃制，分度线、数字和标志应完整、清晰和耐久，容积为20℃时充满量筒刻度线所容纳体积</t>
        </is>
      </c>
      <c r="K97" s="39" t="inlineStr">
        <is>
          <t>乐百仕</t>
        </is>
      </c>
      <c r="L97" s="39" t="inlineStr">
        <is>
          <t>江苏乐百仕教育科技有限公司</t>
        </is>
      </c>
      <c r="M97" s="345" t="n">
        <v>50</v>
      </c>
      <c r="N97" s="345" t="n">
        <v>4.5</v>
      </c>
      <c r="O97" s="345" t="n">
        <v>225</v>
      </c>
      <c r="P97" s="345" t="inlineStr">
        <is>
          <t>个</t>
        </is>
      </c>
      <c r="Q97" s="345" t="inlineStr"/>
      <c r="R97" s="345" t="inlineStr"/>
      <c r="S97" s="345" t="inlineStr"/>
      <c r="T97" s="345" t="inlineStr"/>
      <c r="U97" s="345" t="n">
        <v>7</v>
      </c>
      <c r="V97" s="345" t="inlineStr"/>
      <c r="W97" s="345" t="n">
        <v>12</v>
      </c>
      <c r="X97" s="345" t="inlineStr"/>
      <c r="Y97" s="345" t="inlineStr">
        <is>
          <t>confirmed</t>
        </is>
      </c>
      <c r="Z97" s="345" t="n">
        <v>100</v>
      </c>
      <c r="AA97" s="345" t="inlineStr">
        <is>
          <t>价格分歧&gt;30%：历史报价分歧较大，需人工核对；同分多价：最高分候选存在不同历史价格</t>
        </is>
      </c>
      <c r="AB97" s="345" t="inlineStr">
        <is>
          <t>赛特尔25年.xls｜初中新课标生物｜第92行</t>
        </is>
      </c>
    </row>
    <row r="98" customFormat="1" s="192">
      <c r="A98" s="323" t="n">
        <v>119</v>
      </c>
      <c r="B98" s="103" t="n">
        <v>30601000106</v>
      </c>
      <c r="C98" s="119" t="inlineStr">
        <is>
          <t>量筒</t>
        </is>
      </c>
      <c r="D98" s="130" t="inlineStr">
        <is>
          <t>100 mL，无塞、量出式，透明钠钙玻璃制，分度线、数字和标志应完整、清晰和耐久，容积为20℃时充满量筒刻度线所容纳体积</t>
        </is>
      </c>
      <c r="E98" s="131" t="n">
        <v>2</v>
      </c>
      <c r="F98" s="131" t="inlineStr">
        <is>
          <t>个</t>
        </is>
      </c>
      <c r="G98" s="131">
        <f>_xlfn.DISPIMG("ID_62FB3CB2FABD4AB889BFBF28469F1B00",1)</f>
        <v/>
      </c>
      <c r="H98" s="229" t="n"/>
      <c r="I98" s="108" t="n">
        <v>30601000106</v>
      </c>
      <c r="J98" s="164" t="inlineStr">
        <is>
          <t>100 mL，无塞、量出式，透明钠钙玻璃制，分度线、数字和标志应完整、清晰和耐久，容积为20℃时充满量筒刻度线所容纳体积</t>
        </is>
      </c>
      <c r="K98" s="39" t="inlineStr">
        <is>
          <t>乐百仕</t>
        </is>
      </c>
      <c r="L98" s="39" t="inlineStr">
        <is>
          <t>江苏乐百仕教育科技有限公司</t>
        </is>
      </c>
      <c r="M98" s="345" t="n">
        <v>2</v>
      </c>
      <c r="N98" s="345" t="n">
        <v>4.5</v>
      </c>
      <c r="O98" s="345" t="n">
        <v>9</v>
      </c>
      <c r="P98" s="345" t="inlineStr">
        <is>
          <t>个</t>
        </is>
      </c>
      <c r="Q98" s="345" t="inlineStr"/>
      <c r="R98" s="345" t="inlineStr"/>
      <c r="S98" s="345" t="inlineStr"/>
      <c r="T98" s="345" t="inlineStr"/>
      <c r="U98" s="345" t="n">
        <v>7</v>
      </c>
      <c r="V98" s="345" t="inlineStr"/>
      <c r="W98" s="345" t="n">
        <v>12</v>
      </c>
      <c r="X98" s="345" t="inlineStr"/>
      <c r="Y98" s="345" t="inlineStr">
        <is>
          <t>confirmed</t>
        </is>
      </c>
      <c r="Z98" s="345" t="n">
        <v>100</v>
      </c>
      <c r="AA98" s="345" t="inlineStr">
        <is>
          <t>价格分歧&gt;30%：历史报价分歧较大，需人工核对；同分多价：最高分候选存在不同历史价格</t>
        </is>
      </c>
      <c r="AB98" s="345" t="inlineStr">
        <is>
          <t>赛特尔25年.xls｜初中新课标生物｜第92行</t>
        </is>
      </c>
    </row>
    <row r="99" customFormat="1" s="192">
      <c r="A99" s="323" t="n">
        <v>120</v>
      </c>
      <c r="B99" s="103" t="n">
        <v>30601000109</v>
      </c>
      <c r="C99" s="119" t="inlineStr">
        <is>
          <t>量筒</t>
        </is>
      </c>
      <c r="D99" s="68" t="inlineStr">
        <is>
          <t>500 mL，无塞、量出式，透明钠钙玻璃制，分度线、数字和标志应完整、清晰和耐久，容积为20℃时充满量筒刻度线所容纳体积</t>
        </is>
      </c>
      <c r="E99" s="131" t="n">
        <v>2</v>
      </c>
      <c r="F99" s="131" t="inlineStr">
        <is>
          <t>个</t>
        </is>
      </c>
      <c r="G99" s="131">
        <f>_xlfn.DISPIMG("ID_4DDC3D9057274D90954C6B056603CDA9",1)</f>
        <v/>
      </c>
      <c r="H99" s="229" t="n"/>
      <c r="I99" s="108" t="n">
        <v>30601000109</v>
      </c>
      <c r="J99" s="164" t="inlineStr">
        <is>
          <t>500 mL，无塞、量出式，透明钠钙玻璃制，分度线、数字和标志应完整、清晰和耐久，容积为20℃时充满量筒刻度线所容纳体积</t>
        </is>
      </c>
      <c r="K99" s="39" t="inlineStr">
        <is>
          <t>乐百仕</t>
        </is>
      </c>
      <c r="L99" s="39" t="inlineStr">
        <is>
          <t>江苏乐百仕教育科技有限公司</t>
        </is>
      </c>
      <c r="M99" s="345" t="n">
        <v>2</v>
      </c>
      <c r="N99" s="345" t="n">
        <v>4.5</v>
      </c>
      <c r="O99" s="345" t="n">
        <v>9</v>
      </c>
      <c r="P99" s="345" t="inlineStr">
        <is>
          <t>个</t>
        </is>
      </c>
      <c r="Q99" s="345" t="inlineStr"/>
      <c r="R99" s="345" t="inlineStr"/>
      <c r="S99" s="345" t="inlineStr"/>
      <c r="T99" s="345" t="inlineStr"/>
      <c r="U99" s="345" t="n">
        <v>7</v>
      </c>
      <c r="V99" s="345" t="inlineStr"/>
      <c r="W99" s="345" t="n">
        <v>12</v>
      </c>
      <c r="X99" s="345" t="inlineStr"/>
      <c r="Y99" s="345" t="inlineStr">
        <is>
          <t>confirmed</t>
        </is>
      </c>
      <c r="Z99" s="345" t="n">
        <v>100</v>
      </c>
      <c r="AA99" s="345" t="inlineStr">
        <is>
          <t>价格分歧&gt;30%：历史报价分歧较大，需人工核对；同分多价：最高分候选存在不同历史价格</t>
        </is>
      </c>
      <c r="AB99" s="345" t="inlineStr">
        <is>
          <t>赛特尔25年.xls｜初中新课标生物｜第92行</t>
        </is>
      </c>
    </row>
    <row r="100" customFormat="1" s="251">
      <c r="A100" s="323" t="n">
        <v>121</v>
      </c>
      <c r="B100" s="103" t="n">
        <v>30601000110</v>
      </c>
      <c r="C100" s="119" t="inlineStr">
        <is>
          <t>量筒</t>
        </is>
      </c>
      <c r="D100" s="68" t="inlineStr">
        <is>
          <t>1000mL，无塞、量出式，透明钠钙玻璃制，分度线、数字和标志应完整、清晰和耐久，容积为20℃时充满量筒刻度线所容纳体积</t>
        </is>
      </c>
      <c r="E100" s="131" t="n">
        <v>2</v>
      </c>
      <c r="F100" s="131" t="inlineStr">
        <is>
          <t>个</t>
        </is>
      </c>
      <c r="G100" s="131">
        <f>_xlfn.DISPIMG("ID_7732CA63946248A3A035E1F38DC247F4",1)</f>
        <v/>
      </c>
      <c r="H100" s="216" t="n"/>
      <c r="I100" s="108" t="n">
        <v>30601000110</v>
      </c>
      <c r="J100" s="164" t="inlineStr">
        <is>
          <t>1000mL，无塞、量出式，透明钠钙玻璃制，分度线、数字和标志应完整、清晰和耐久，容积为20℃时充满量筒刻度线所容纳体积</t>
        </is>
      </c>
      <c r="K100" s="39" t="inlineStr">
        <is>
          <t>乐百仕</t>
        </is>
      </c>
      <c r="L100" s="39" t="inlineStr">
        <is>
          <t>江苏乐百仕教育科技有限公司</t>
        </is>
      </c>
      <c r="M100" s="345" t="n">
        <v>2</v>
      </c>
      <c r="N100" s="345" t="n">
        <v>3.5</v>
      </c>
      <c r="O100" s="345" t="n">
        <v>7</v>
      </c>
      <c r="P100" s="345" t="inlineStr">
        <is>
          <t>个</t>
        </is>
      </c>
      <c r="Q100" s="345" t="inlineStr"/>
      <c r="R100" s="345" t="inlineStr"/>
      <c r="S100" s="345" t="inlineStr"/>
      <c r="T100" s="345" t="inlineStr"/>
      <c r="U100" s="345" t="inlineStr"/>
      <c r="V100" s="345" t="inlineStr"/>
      <c r="W100" s="345" t="inlineStr"/>
      <c r="X100" s="345" t="inlineStr"/>
      <c r="Y100" s="345" t="inlineStr">
        <is>
          <t>confirmed</t>
        </is>
      </c>
      <c r="Z100" s="345" t="n">
        <v>0</v>
      </c>
      <c r="AA100" s="345" t="inlineStr">
        <is>
          <t>没有找到可靠候选</t>
        </is>
      </c>
      <c r="AB100" s="345" t="inlineStr">
        <is>
          <t>赛特尔25年.xls｜初中生物｜第217行</t>
        </is>
      </c>
    </row>
    <row r="101" customFormat="1" s="251">
      <c r="A101" s="323" t="n">
        <v>122</v>
      </c>
      <c r="B101" s="103" t="n">
        <v>30601000303</v>
      </c>
      <c r="C101" s="119" t="inlineStr">
        <is>
          <t>容量瓶</t>
        </is>
      </c>
      <c r="D101" s="130" t="inlineStr">
        <is>
          <t>50mL，B级，透明硼硅酸盐玻璃制，刻度线应在瓶颈下部三分之二处，清晰耐久，粗细均匀</t>
        </is>
      </c>
      <c r="E101" s="131" t="n">
        <v>2</v>
      </c>
      <c r="F101" s="131" t="inlineStr">
        <is>
          <t>个</t>
        </is>
      </c>
      <c r="G101" s="131">
        <f>_xlfn.DISPIMG("ID_A6BC74C43F3145B38D9F18C4D74D7D54",1)</f>
        <v/>
      </c>
      <c r="H101" s="216" t="n"/>
      <c r="I101" s="108" t="n">
        <v>30601000303</v>
      </c>
      <c r="J101" s="164" t="inlineStr">
        <is>
          <t>50mL，B级，透明硼硅酸盐玻璃制，刻度线应在瓶颈下部三分之二处，清晰耐久，粗细均匀</t>
        </is>
      </c>
      <c r="K101" s="39" t="inlineStr">
        <is>
          <t>乐百仕</t>
        </is>
      </c>
      <c r="L101" s="39" t="inlineStr">
        <is>
          <t>江苏乐百仕教育科技有限公司</t>
        </is>
      </c>
      <c r="M101" s="345" t="n">
        <v>2</v>
      </c>
      <c r="N101" s="345" t="n">
        <v>7.5</v>
      </c>
      <c r="O101" s="345" t="n">
        <v>15</v>
      </c>
      <c r="P101" s="345" t="inlineStr">
        <is>
          <t>个</t>
        </is>
      </c>
      <c r="Q101" s="345" t="inlineStr"/>
      <c r="R101" s="345" t="inlineStr"/>
      <c r="S101" s="345" t="inlineStr"/>
      <c r="T101" s="345" t="inlineStr"/>
      <c r="U101" s="345" t="inlineStr"/>
      <c r="V101" s="345" t="inlineStr"/>
      <c r="W101" s="345" t="inlineStr"/>
      <c r="X101" s="345" t="inlineStr"/>
      <c r="Y101" s="345" t="inlineStr">
        <is>
          <t>confirmed</t>
        </is>
      </c>
      <c r="Z101" s="345" t="n">
        <v>0</v>
      </c>
      <c r="AA101" s="345" t="inlineStr">
        <is>
          <t>没有找到可靠候选</t>
        </is>
      </c>
      <c r="AB101" s="345" t="inlineStr">
        <is>
          <t>赛特尔25年.xls｜初中化学｜第84行</t>
        </is>
      </c>
    </row>
    <row r="102" customFormat="1" s="251">
      <c r="A102" s="323" t="n">
        <v>123</v>
      </c>
      <c r="B102" s="103" t="n">
        <v>30601000304</v>
      </c>
      <c r="C102" s="119" t="inlineStr">
        <is>
          <t>容量瓶</t>
        </is>
      </c>
      <c r="D102" s="130" t="inlineStr">
        <is>
          <t>100mL，B级，透明硼硅酸盐玻璃制，刻度线应在瓶颈下部三分之二处，清晰耐久，粗细均匀</t>
        </is>
      </c>
      <c r="E102" s="131" t="n">
        <v>50</v>
      </c>
      <c r="F102" s="131" t="inlineStr">
        <is>
          <t>个</t>
        </is>
      </c>
      <c r="G102" s="131">
        <f>_xlfn.DISPIMG("ID_0D53636B27B3421CB3514BE323E6551E",1)</f>
        <v/>
      </c>
      <c r="H102" s="216" t="n"/>
      <c r="I102" s="108" t="n">
        <v>30601000304</v>
      </c>
      <c r="J102" s="164" t="inlineStr">
        <is>
          <t>100mL，B级，透明硼硅酸盐玻璃制，刻度线应在瓶颈下部三分之二处，清晰耐久，粗细均匀</t>
        </is>
      </c>
      <c r="K102" s="39" t="inlineStr">
        <is>
          <t>乐百仕</t>
        </is>
      </c>
      <c r="L102" s="39" t="inlineStr">
        <is>
          <t>江苏乐百仕教育科技有限公司</t>
        </is>
      </c>
      <c r="M102" s="345" t="n">
        <v>50</v>
      </c>
      <c r="N102" s="345" t="n">
        <v>7.5</v>
      </c>
      <c r="O102" s="345" t="n">
        <v>375</v>
      </c>
      <c r="P102" s="345" t="inlineStr">
        <is>
          <t>个</t>
        </is>
      </c>
      <c r="Q102" s="345" t="inlineStr"/>
      <c r="R102" s="345" t="inlineStr"/>
      <c r="S102" s="345" t="inlineStr"/>
      <c r="T102" s="345" t="inlineStr"/>
      <c r="U102" s="345" t="inlineStr"/>
      <c r="V102" s="345" t="inlineStr"/>
      <c r="W102" s="345" t="inlineStr"/>
      <c r="X102" s="345" t="inlineStr"/>
      <c r="Y102" s="345" t="inlineStr">
        <is>
          <t>confirmed</t>
        </is>
      </c>
      <c r="Z102" s="345" t="n">
        <v>0</v>
      </c>
      <c r="AA102" s="345" t="inlineStr">
        <is>
          <t>匹配到商品档案但无历史价格记录</t>
        </is>
      </c>
      <c r="AB102" s="345" t="inlineStr">
        <is>
          <t>赛特尔25年.xls｜初中化学｜第84行</t>
        </is>
      </c>
    </row>
    <row r="103" customFormat="1" s="251">
      <c r="A103" s="323" t="n">
        <v>124</v>
      </c>
      <c r="B103" s="103" t="n">
        <v>30601000305</v>
      </c>
      <c r="C103" s="119" t="inlineStr">
        <is>
          <t>容量瓶</t>
        </is>
      </c>
      <c r="D103" s="130" t="inlineStr">
        <is>
          <t>250mL，B级，透明硼硅酸盐玻璃制，刻度线应在瓶颈下部三分之二处，清晰耐久，粗细均匀</t>
        </is>
      </c>
      <c r="E103" s="131" t="n">
        <v>5</v>
      </c>
      <c r="F103" s="131" t="inlineStr">
        <is>
          <t>个</t>
        </is>
      </c>
      <c r="G103" s="131">
        <f>_xlfn.DISPIMG("ID_AC05EF7C753A4184BC45770336F97D0F",1)</f>
        <v/>
      </c>
      <c r="H103" s="216" t="n"/>
      <c r="I103" s="108" t="n">
        <v>30601000305</v>
      </c>
      <c r="J103" s="164" t="inlineStr">
        <is>
          <t>250mL，B级，透明硼硅酸盐玻璃制，刻度线应在瓶颈下部三分之二处，清晰耐久，粗细均匀</t>
        </is>
      </c>
      <c r="K103" s="39" t="inlineStr">
        <is>
          <t>乐百仕</t>
        </is>
      </c>
      <c r="L103" s="39" t="inlineStr">
        <is>
          <t>江苏乐百仕教育科技有限公司</t>
        </is>
      </c>
      <c r="M103" s="345" t="n">
        <v>5</v>
      </c>
      <c r="N103" s="345" t="n">
        <v>7.5</v>
      </c>
      <c r="O103" s="345" t="n">
        <v>37.5</v>
      </c>
      <c r="P103" s="345" t="inlineStr">
        <is>
          <t>个</t>
        </is>
      </c>
      <c r="Q103" s="345" t="inlineStr"/>
      <c r="R103" s="345" t="inlineStr"/>
      <c r="S103" s="345" t="inlineStr"/>
      <c r="T103" s="345" t="inlineStr"/>
      <c r="U103" s="345" t="n">
        <v>7.5</v>
      </c>
      <c r="V103" s="345" t="inlineStr"/>
      <c r="W103" s="345" t="n">
        <v>8.25</v>
      </c>
      <c r="X103" s="345" t="inlineStr"/>
      <c r="Y103" s="345" t="inlineStr">
        <is>
          <t>confirmed</t>
        </is>
      </c>
      <c r="Z103" s="345" t="n">
        <v>100</v>
      </c>
      <c r="AA103" s="345" t="inlineStr"/>
      <c r="AB103" s="345" t="inlineStr">
        <is>
          <t>赛特尔25年.xls｜初中化学｜第84行</t>
        </is>
      </c>
    </row>
    <row r="104" customFormat="1" s="251">
      <c r="A104" s="323" t="n">
        <v>125</v>
      </c>
      <c r="B104" s="103" t="n">
        <v>30601000306</v>
      </c>
      <c r="C104" s="119" t="inlineStr">
        <is>
          <t>容量瓶</t>
        </is>
      </c>
      <c r="D104" s="130" t="inlineStr">
        <is>
          <t>500mL，B级，透明硼硅酸盐玻璃制，刻度线应在瓶颈下部三分之二处，清晰耐久，粗细均匀</t>
        </is>
      </c>
      <c r="E104" s="131" t="n">
        <v>15</v>
      </c>
      <c r="F104" s="131" t="inlineStr">
        <is>
          <t>个</t>
        </is>
      </c>
      <c r="G104" s="131">
        <f>_xlfn.DISPIMG("ID_AD59CFB390E2469EB853ADC7DD6C753E",1)</f>
        <v/>
      </c>
      <c r="H104" s="216" t="n"/>
      <c r="I104" s="108" t="n">
        <v>30601000306</v>
      </c>
      <c r="J104" s="164" t="inlineStr">
        <is>
          <t>500mL，B级，透明硼硅酸盐玻璃制，刻度线应在瓶颈下部三分之二处，清晰耐久，粗细均匀</t>
        </is>
      </c>
      <c r="K104" s="39" t="inlineStr">
        <is>
          <t>乐百仕</t>
        </is>
      </c>
      <c r="L104" s="39" t="inlineStr">
        <is>
          <t>江苏乐百仕教育科技有限公司</t>
        </is>
      </c>
      <c r="M104" s="345" t="n">
        <v>15</v>
      </c>
      <c r="N104" s="345" t="n">
        <v>7.5</v>
      </c>
      <c r="O104" s="345" t="n">
        <v>112.5</v>
      </c>
      <c r="P104" s="345" t="inlineStr">
        <is>
          <t>个</t>
        </is>
      </c>
      <c r="Q104" s="345" t="inlineStr"/>
      <c r="R104" s="345" t="inlineStr"/>
      <c r="S104" s="345" t="inlineStr"/>
      <c r="T104" s="345" t="inlineStr"/>
      <c r="U104" s="345" t="n">
        <v>10</v>
      </c>
      <c r="V104" s="345" t="inlineStr"/>
      <c r="W104" s="345" t="n">
        <v>10</v>
      </c>
      <c r="X104" s="345" t="inlineStr"/>
      <c r="Y104" s="345" t="inlineStr">
        <is>
          <t>confirmed</t>
        </is>
      </c>
      <c r="Z104" s="345" t="n">
        <v>100</v>
      </c>
      <c r="AA104" s="345" t="inlineStr">
        <is>
          <t>价格分歧&gt;30%：历史报价分歧较大，需人工核对；同分多价：最高分候选存在不同历史价格</t>
        </is>
      </c>
      <c r="AB104" s="345" t="inlineStr">
        <is>
          <t>赛特尔25年.xls｜初中新课标化学｜第65行</t>
        </is>
      </c>
    </row>
    <row r="105" customFormat="1" s="251">
      <c r="A105" s="323" t="n">
        <v>126</v>
      </c>
      <c r="B105" s="103" t="n">
        <v>30601000307</v>
      </c>
      <c r="C105" s="119" t="inlineStr">
        <is>
          <t>容量瓶</t>
        </is>
      </c>
      <c r="D105" s="130" t="inlineStr">
        <is>
          <t>1000mL，B级，透明硼硅酸盐玻璃制，刻度线应在瓶颈下部三分之二处，清晰耐久，粗细均匀</t>
        </is>
      </c>
      <c r="E105" s="131" t="n">
        <v>2</v>
      </c>
      <c r="F105" s="131" t="inlineStr">
        <is>
          <t>个</t>
        </is>
      </c>
      <c r="G105" s="131">
        <f>_xlfn.DISPIMG("ID_B595D44F6B074B89A0B7FE7F516FEB9F",1)</f>
        <v/>
      </c>
      <c r="H105" s="216" t="n"/>
      <c r="I105" s="108" t="n">
        <v>30601000307</v>
      </c>
      <c r="J105" s="164" t="inlineStr">
        <is>
          <t>1000mL，B级，透明硼硅酸盐玻璃制，刻度线应在瓶颈下部三分之二处，清晰耐久，粗细均匀</t>
        </is>
      </c>
      <c r="K105" s="39" t="inlineStr">
        <is>
          <t>乐百仕</t>
        </is>
      </c>
      <c r="L105" s="39" t="inlineStr">
        <is>
          <t>江苏乐百仕教育科技有限公司</t>
        </is>
      </c>
      <c r="M105" s="345" t="n">
        <v>2</v>
      </c>
      <c r="N105" s="345" t="n">
        <v>7.5</v>
      </c>
      <c r="O105" s="345" t="n">
        <v>15</v>
      </c>
      <c r="P105" s="345" t="inlineStr">
        <is>
          <t>个</t>
        </is>
      </c>
      <c r="Q105" s="345" t="inlineStr"/>
      <c r="R105" s="345" t="inlineStr"/>
      <c r="S105" s="345" t="inlineStr"/>
      <c r="T105" s="345" t="inlineStr"/>
      <c r="U105" s="345" t="inlineStr"/>
      <c r="V105" s="345" t="inlineStr"/>
      <c r="W105" s="345" t="inlineStr"/>
      <c r="X105" s="345" t="inlineStr"/>
      <c r="Y105" s="345" t="inlineStr">
        <is>
          <t>confirmed</t>
        </is>
      </c>
      <c r="Z105" s="345" t="n">
        <v>0</v>
      </c>
      <c r="AA105" s="345" t="inlineStr">
        <is>
          <t>没有找到可靠候选</t>
        </is>
      </c>
      <c r="AB105" s="345" t="inlineStr">
        <is>
          <t>赛特尔25年.xls｜初中化学｜第84行</t>
        </is>
      </c>
    </row>
    <row r="106" customFormat="1" s="195">
      <c r="A106" s="323" t="n">
        <v>127</v>
      </c>
      <c r="B106" s="348" t="n">
        <v>30601000401</v>
      </c>
      <c r="C106" s="230" t="inlineStr">
        <is>
          <t>滴定管</t>
        </is>
      </c>
      <c r="D106" s="141" t="inlineStr">
        <is>
          <t>酸式，25 mL，无塞，透明钠钙玻璃制，良好外观，不应有积水条纹</t>
        </is>
      </c>
      <c r="E106" s="31" t="n">
        <v>50</v>
      </c>
      <c r="F106" s="31" t="inlineStr">
        <is>
          <t>支</t>
        </is>
      </c>
      <c r="G106" s="31">
        <f>_xlfn.DISPIMG("ID_DED2AA8A86B7409B9BFF62C67D4A77EE",1)</f>
        <v/>
      </c>
      <c r="H106" s="231" t="n"/>
      <c r="I106" s="348" t="n">
        <v>30601000401</v>
      </c>
      <c r="J106" s="33" t="inlineStr">
        <is>
          <t>酸式，25 mL，无塞，透明钠钙玻璃制，良好外观，不应有积水条纹</t>
        </is>
      </c>
      <c r="K106" s="39" t="inlineStr">
        <is>
          <t>乐百仕</t>
        </is>
      </c>
      <c r="L106" s="39" t="inlineStr">
        <is>
          <t>江苏乐百仕教育科技有限公司</t>
        </is>
      </c>
      <c r="M106" s="345" t="n">
        <v>50</v>
      </c>
      <c r="N106" s="345" t="n">
        <v>11</v>
      </c>
      <c r="O106" s="345" t="n">
        <v>550</v>
      </c>
      <c r="P106" s="345" t="inlineStr">
        <is>
          <t>支</t>
        </is>
      </c>
      <c r="Q106" s="345" t="inlineStr"/>
      <c r="R106" s="345" t="inlineStr"/>
      <c r="S106" s="345" t="inlineStr"/>
      <c r="T106" s="345" t="inlineStr"/>
      <c r="U106" s="345" t="n">
        <v>12.1</v>
      </c>
      <c r="V106" s="345" t="inlineStr"/>
      <c r="W106" s="345" t="n">
        <v>1</v>
      </c>
      <c r="X106" s="345" t="inlineStr"/>
      <c r="Y106" s="345" t="inlineStr">
        <is>
          <t>confirmed</t>
        </is>
      </c>
      <c r="Z106" s="345" t="n">
        <v>90</v>
      </c>
      <c r="AA106" s="345" t="inlineStr">
        <is>
          <t>同分多价：最高分候选存在不同历史价格</t>
        </is>
      </c>
      <c r="AB106" s="345" t="inlineStr">
        <is>
          <t>赛特尔25年.xls｜初中新课标化学｜第67行</t>
        </is>
      </c>
    </row>
    <row r="107" customFormat="1" s="192">
      <c r="A107" s="323" t="n">
        <v>129</v>
      </c>
      <c r="B107" s="348" t="n">
        <v>30601000411</v>
      </c>
      <c r="C107" s="230" t="inlineStr">
        <is>
          <t>滴定管</t>
        </is>
      </c>
      <c r="D107" s="141" t="inlineStr">
        <is>
          <t>碱式，25 mL，无塞，透明钠钙玻璃制，良好外观，不应有积水条纹</t>
        </is>
      </c>
      <c r="E107" s="131" t="n">
        <v>50</v>
      </c>
      <c r="F107" s="31" t="inlineStr">
        <is>
          <t>支</t>
        </is>
      </c>
      <c r="G107" s="232">
        <f>_xlfn.DISPIMG("ID_5205830FCE29490EAC0AF1607F815CBD",1)</f>
        <v/>
      </c>
      <c r="H107" s="231" t="n"/>
      <c r="I107" s="348" t="n">
        <v>30601000411</v>
      </c>
      <c r="J107" s="33" t="inlineStr">
        <is>
          <t>碱式，25 mL，无塞，透明钠钙玻璃制，良好外观，不应有积水条纹</t>
        </is>
      </c>
      <c r="K107" s="39" t="inlineStr">
        <is>
          <t>乐百仕</t>
        </is>
      </c>
      <c r="L107" s="39" t="inlineStr">
        <is>
          <t>江苏乐百仕教育科技有限公司</t>
        </is>
      </c>
      <c r="M107" s="345" t="n">
        <v>50</v>
      </c>
      <c r="N107" s="345" t="n">
        <v>9</v>
      </c>
      <c r="O107" s="345" t="n">
        <v>450</v>
      </c>
      <c r="P107" s="345" t="inlineStr">
        <is>
          <t>支</t>
        </is>
      </c>
      <c r="Q107" s="345" t="inlineStr"/>
      <c r="R107" s="345" t="inlineStr"/>
      <c r="S107" s="345" t="inlineStr"/>
      <c r="T107" s="345" t="inlineStr"/>
      <c r="U107" s="345" t="n">
        <v>9.9</v>
      </c>
      <c r="V107" s="345" t="inlineStr"/>
      <c r="W107" s="345" t="n">
        <v>1</v>
      </c>
      <c r="X107" s="345" t="inlineStr"/>
      <c r="Y107" s="345" t="inlineStr">
        <is>
          <t>confirmed</t>
        </is>
      </c>
      <c r="Z107" s="345" t="n">
        <v>90</v>
      </c>
      <c r="AA107" s="345" t="inlineStr">
        <is>
          <t>同分多价：最高分候选存在不同历史价格</t>
        </is>
      </c>
      <c r="AB107" s="345" t="inlineStr">
        <is>
          <t>赛特尔25年.xls｜初中新课标化学｜第68行</t>
        </is>
      </c>
    </row>
    <row r="108" customFormat="1" s="251">
      <c r="A108" s="323" t="n">
        <v>132</v>
      </c>
      <c r="B108" s="131" t="n">
        <v>30601000502</v>
      </c>
      <c r="C108" s="230" t="inlineStr">
        <is>
          <t>移液管</t>
        </is>
      </c>
      <c r="D108" s="141" t="inlineStr">
        <is>
          <t>1mL，B级，透明硼硅酸盐玻璃制</t>
        </is>
      </c>
      <c r="E108" s="131" t="n">
        <v>25</v>
      </c>
      <c r="F108" s="131" t="inlineStr">
        <is>
          <t>支</t>
        </is>
      </c>
      <c r="G108" s="232">
        <f>_xlfn.DISPIMG("ID_B518CD2BB93541FC8D62DDED776D3365",1)</f>
        <v/>
      </c>
      <c r="H108" s="216" t="n"/>
      <c r="I108" s="131" t="n">
        <v>30601000502</v>
      </c>
      <c r="J108" s="33" t="inlineStr">
        <is>
          <t>1mL，B级，透明硼硅酸盐玻璃制</t>
        </is>
      </c>
      <c r="K108" s="39" t="inlineStr">
        <is>
          <t>乐百仕</t>
        </is>
      </c>
      <c r="L108" s="39" t="inlineStr">
        <is>
          <t>江苏乐百仕教育科技有限公司</t>
        </is>
      </c>
      <c r="M108" s="345" t="n">
        <v>25</v>
      </c>
      <c r="N108" s="345" t="n">
        <v>2.5</v>
      </c>
      <c r="O108" s="345" t="n">
        <v>62.5</v>
      </c>
      <c r="P108" s="345" t="inlineStr">
        <is>
          <t>支</t>
        </is>
      </c>
      <c r="Q108" s="345" t="inlineStr">
        <is>
          <t>苏创</t>
        </is>
      </c>
      <c r="R108" s="345" t="inlineStr"/>
      <c r="S108" s="345" t="inlineStr"/>
      <c r="T108" s="345" t="inlineStr">
        <is>
          <t>60052</t>
        </is>
      </c>
      <c r="U108" s="345" t="inlineStr"/>
      <c r="V108" s="345" t="inlineStr"/>
      <c r="W108" s="345" t="inlineStr"/>
      <c r="X108" s="345" t="inlineStr"/>
      <c r="Y108" s="345" t="inlineStr">
        <is>
          <t>confirmed</t>
        </is>
      </c>
      <c r="Z108" s="345" t="n">
        <v>100</v>
      </c>
      <c r="AA108" s="345" t="inlineStr"/>
      <c r="AB108" s="345" t="inlineStr">
        <is>
          <t>高中理化生报价.xlsx｜凯迪｜第1498行</t>
        </is>
      </c>
    </row>
    <row r="109" customFormat="1" s="251">
      <c r="A109" s="323" t="n">
        <v>133</v>
      </c>
      <c r="B109" s="131" t="n">
        <v>30601000503</v>
      </c>
      <c r="C109" s="230" t="inlineStr">
        <is>
          <t>移液管</t>
        </is>
      </c>
      <c r="D109" s="141" t="inlineStr">
        <is>
          <t>2mL，B级，透明硼硅酸盐玻璃制</t>
        </is>
      </c>
      <c r="E109" s="131" t="n">
        <v>25</v>
      </c>
      <c r="F109" s="131" t="inlineStr">
        <is>
          <t>支</t>
        </is>
      </c>
      <c r="G109" s="232">
        <f>_xlfn.DISPIMG("ID_CBD49ADE17B14D199F740C596C039259",1)</f>
        <v/>
      </c>
      <c r="H109" s="216" t="n"/>
      <c r="I109" s="131" t="n">
        <v>30601000503</v>
      </c>
      <c r="J109" s="33" t="inlineStr">
        <is>
          <t>2mL，B级，透明硼硅酸盐玻璃制</t>
        </is>
      </c>
      <c r="K109" s="39" t="inlineStr">
        <is>
          <t>乐百仕</t>
        </is>
      </c>
      <c r="L109" s="39" t="inlineStr">
        <is>
          <t>江苏乐百仕教育科技有限公司</t>
        </is>
      </c>
      <c r="M109" s="345" t="n">
        <v>25</v>
      </c>
      <c r="N109" s="345" t="n">
        <v>3</v>
      </c>
      <c r="O109" s="345" t="n">
        <v>75</v>
      </c>
      <c r="P109" s="345" t="inlineStr">
        <is>
          <t>支</t>
        </is>
      </c>
      <c r="Q109" s="345" t="inlineStr">
        <is>
          <t>苏创</t>
        </is>
      </c>
      <c r="R109" s="345" t="inlineStr"/>
      <c r="S109" s="345" t="inlineStr"/>
      <c r="T109" s="345" t="inlineStr">
        <is>
          <t>60052</t>
        </is>
      </c>
      <c r="U109" s="345" t="inlineStr"/>
      <c r="V109" s="345" t="inlineStr"/>
      <c r="W109" s="345" t="inlineStr"/>
      <c r="X109" s="345" t="inlineStr"/>
      <c r="Y109" s="345" t="inlineStr">
        <is>
          <t>confirmed</t>
        </is>
      </c>
      <c r="Z109" s="345" t="n">
        <v>100</v>
      </c>
      <c r="AA109" s="345" t="inlineStr"/>
      <c r="AB109" s="345" t="inlineStr">
        <is>
          <t>高中理化生报价.xlsx｜凯迪｜第1499行</t>
        </is>
      </c>
    </row>
    <row r="110" customFormat="1" s="251">
      <c r="A110" s="323" t="n">
        <v>134</v>
      </c>
      <c r="B110" s="131" t="n">
        <v>30601000504</v>
      </c>
      <c r="C110" s="230" t="inlineStr">
        <is>
          <t>移液管</t>
        </is>
      </c>
      <c r="D110" s="141" t="inlineStr">
        <is>
          <t>5mL，B级，透明硼硅酸盐玻璃制</t>
        </is>
      </c>
      <c r="E110" s="131" t="n">
        <v>25</v>
      </c>
      <c r="F110" s="131" t="inlineStr">
        <is>
          <t>支</t>
        </is>
      </c>
      <c r="G110" s="232">
        <f>_xlfn.DISPIMG("ID_978CC160F2BC4E8899A8C49F66BECC69",1)</f>
        <v/>
      </c>
      <c r="H110" s="216" t="n"/>
      <c r="I110" s="131" t="n">
        <v>30601000504</v>
      </c>
      <c r="J110" s="33" t="inlineStr">
        <is>
          <t>5mL，B级，透明硼硅酸盐玻璃制</t>
        </is>
      </c>
      <c r="K110" s="39" t="inlineStr">
        <is>
          <t>乐百仕</t>
        </is>
      </c>
      <c r="L110" s="39" t="inlineStr">
        <is>
          <t>江苏乐百仕教育科技有限公司</t>
        </is>
      </c>
      <c r="M110" s="345" t="n">
        <v>25</v>
      </c>
      <c r="N110" s="345" t="n">
        <v>4</v>
      </c>
      <c r="O110" s="345" t="n">
        <v>100</v>
      </c>
      <c r="P110" s="345" t="inlineStr">
        <is>
          <t>支</t>
        </is>
      </c>
      <c r="Q110" s="345" t="inlineStr">
        <is>
          <t>苏创</t>
        </is>
      </c>
      <c r="R110" s="345" t="inlineStr"/>
      <c r="S110" s="345" t="inlineStr"/>
      <c r="T110" s="345" t="inlineStr">
        <is>
          <t>60052</t>
        </is>
      </c>
      <c r="U110" s="345" t="inlineStr"/>
      <c r="V110" s="345" t="inlineStr"/>
      <c r="W110" s="345" t="inlineStr"/>
      <c r="X110" s="345" t="inlineStr"/>
      <c r="Y110" s="345" t="inlineStr">
        <is>
          <t>confirmed</t>
        </is>
      </c>
      <c r="Z110" s="345" t="n">
        <v>100</v>
      </c>
      <c r="AA110" s="345" t="inlineStr"/>
      <c r="AB110" s="345" t="inlineStr">
        <is>
          <t>高中理化生报价.xlsx｜凯迪｜第1500行</t>
        </is>
      </c>
    </row>
    <row r="111" customFormat="1" s="251">
      <c r="A111" s="323" t="n">
        <v>135</v>
      </c>
      <c r="B111" s="131" t="n">
        <v>30601000507</v>
      </c>
      <c r="C111" s="230" t="inlineStr">
        <is>
          <t>移液管</t>
        </is>
      </c>
      <c r="D111" s="141" t="inlineStr">
        <is>
          <t>25mL，B级，透明硼硅酸盐玻璃制</t>
        </is>
      </c>
      <c r="E111" s="131" t="n">
        <v>25</v>
      </c>
      <c r="F111" s="131" t="inlineStr">
        <is>
          <t>支</t>
        </is>
      </c>
      <c r="G111" s="232">
        <f>_xlfn.DISPIMG("ID_3CB01306DD474C2499989D24F21F9B5B",1)</f>
        <v/>
      </c>
      <c r="H111" s="216" t="n"/>
      <c r="I111" s="131" t="n">
        <v>30601000507</v>
      </c>
      <c r="J111" s="33" t="inlineStr">
        <is>
          <t>25mL，B级，透明硼硅酸盐玻璃制</t>
        </is>
      </c>
      <c r="K111" s="39" t="inlineStr">
        <is>
          <t>乐百仕</t>
        </is>
      </c>
      <c r="L111" s="39" t="inlineStr">
        <is>
          <t>江苏乐百仕教育科技有限公司</t>
        </is>
      </c>
      <c r="M111" s="345" t="n">
        <v>25</v>
      </c>
      <c r="N111" s="345" t="n">
        <v>5</v>
      </c>
      <c r="O111" s="345" t="n">
        <v>125</v>
      </c>
      <c r="P111" s="345" t="inlineStr">
        <is>
          <t>支</t>
        </is>
      </c>
      <c r="Q111" s="345" t="inlineStr">
        <is>
          <t>苏创</t>
        </is>
      </c>
      <c r="R111" s="345" t="inlineStr"/>
      <c r="S111" s="345" t="inlineStr"/>
      <c r="T111" s="345" t="inlineStr">
        <is>
          <t>60052</t>
        </is>
      </c>
      <c r="U111" s="345" t="inlineStr"/>
      <c r="V111" s="345" t="inlineStr"/>
      <c r="W111" s="345" t="inlineStr"/>
      <c r="X111" s="345" t="inlineStr"/>
      <c r="Y111" s="345" t="inlineStr">
        <is>
          <t>confirmed</t>
        </is>
      </c>
      <c r="Z111" s="345" t="n">
        <v>100</v>
      </c>
      <c r="AA111" s="345" t="inlineStr"/>
      <c r="AB111" s="345" t="inlineStr">
        <is>
          <t>高中理化生报价.xlsx｜凯迪｜第977行</t>
        </is>
      </c>
    </row>
    <row r="112" customFormat="1" s="195">
      <c r="A112" s="323" t="n">
        <v>136</v>
      </c>
      <c r="B112" s="31" t="n">
        <v>30602000101</v>
      </c>
      <c r="C112" s="58" t="inlineStr">
        <is>
          <t>试管</t>
        </is>
      </c>
      <c r="D112" s="141" t="inlineStr">
        <is>
          <t>Φ12mm×75mm，透明硼硅酸盐玻璃制</t>
        </is>
      </c>
      <c r="E112" s="31" t="n">
        <v>60</v>
      </c>
      <c r="F112" s="31" t="inlineStr">
        <is>
          <t>个</t>
        </is>
      </c>
      <c r="G112" s="131">
        <f>_xlfn.DISPIMG("ID_AE98D3A6931C4EAAACCD35C805000048",1)</f>
        <v/>
      </c>
      <c r="H112" s="220" t="n"/>
      <c r="I112" s="31" t="n">
        <v>30602000101</v>
      </c>
      <c r="J112" s="33" t="inlineStr">
        <is>
          <t>Φ12mm×75mm，透明硼硅酸盐玻璃制</t>
        </is>
      </c>
      <c r="K112" s="39" t="inlineStr">
        <is>
          <t>乐百仕</t>
        </is>
      </c>
      <c r="L112" s="39" t="inlineStr">
        <is>
          <t>江苏乐百仕教育科技有限公司</t>
        </is>
      </c>
      <c r="M112" s="345" t="n">
        <v>60</v>
      </c>
      <c r="N112" s="345" t="n">
        <v>0.5</v>
      </c>
      <c r="O112" s="345" t="n">
        <v>30</v>
      </c>
      <c r="P112" s="345" t="inlineStr">
        <is>
          <t>个</t>
        </is>
      </c>
      <c r="Q112" s="345" t="inlineStr"/>
      <c r="R112" s="345" t="inlineStr"/>
      <c r="S112" s="345" t="inlineStr"/>
      <c r="T112" s="345" t="inlineStr"/>
      <c r="U112" s="345" t="n">
        <v>0.7</v>
      </c>
      <c r="V112" s="345" t="inlineStr"/>
      <c r="W112" s="345" t="n">
        <v>6</v>
      </c>
      <c r="X112" s="345" t="inlineStr"/>
      <c r="Y112" s="345" t="inlineStr">
        <is>
          <t>confirmed</t>
        </is>
      </c>
      <c r="Z112" s="345" t="n">
        <v>100</v>
      </c>
      <c r="AA112" s="345" t="inlineStr">
        <is>
          <t>价格分歧&gt;30%：历史报价分歧较大，需人工核对；同分多价：最高分候选存在不同历史价格</t>
        </is>
      </c>
      <c r="AB112" s="345" t="inlineStr">
        <is>
          <t>高中理化生报价.xlsx｜凯迪｜第1803行</t>
        </is>
      </c>
    </row>
    <row r="113" customFormat="1" s="195">
      <c r="A113" s="323" t="n">
        <v>137</v>
      </c>
      <c r="B113" s="31" t="n">
        <v>30602000102</v>
      </c>
      <c r="C113" s="58" t="inlineStr">
        <is>
          <t>试管</t>
        </is>
      </c>
      <c r="D113" s="141" t="inlineStr">
        <is>
          <t>Φ15mm×150mm，透明硼硅酸盐玻璃制</t>
        </is>
      </c>
      <c r="E113" s="131" t="n">
        <v>60</v>
      </c>
      <c r="F113" s="31" t="inlineStr">
        <is>
          <t>个</t>
        </is>
      </c>
      <c r="G113" s="131">
        <f>_xlfn.DISPIMG("ID_5A625289D4894579A9A92E9B2C2FA7A4",1)</f>
        <v/>
      </c>
      <c r="H113" s="220" t="n"/>
      <c r="I113" s="31" t="n">
        <v>30602000102</v>
      </c>
      <c r="J113" s="33" t="inlineStr">
        <is>
          <t>Φ15mm×150mm，透明硼硅酸盐玻璃制</t>
        </is>
      </c>
      <c r="K113" s="39" t="inlineStr">
        <is>
          <t>乐百仕</t>
        </is>
      </c>
      <c r="L113" s="39" t="inlineStr">
        <is>
          <t>江苏乐百仕教育科技有限公司</t>
        </is>
      </c>
      <c r="M113" s="345" t="n">
        <v>60</v>
      </c>
      <c r="N113" s="345" t="n">
        <v>0.5</v>
      </c>
      <c r="O113" s="345" t="n">
        <v>30</v>
      </c>
      <c r="P113" s="345" t="inlineStr">
        <is>
          <t>个</t>
        </is>
      </c>
      <c r="Q113" s="345" t="inlineStr"/>
      <c r="R113" s="345" t="inlineStr"/>
      <c r="S113" s="345" t="inlineStr"/>
      <c r="T113" s="345" t="inlineStr"/>
      <c r="U113" s="345" t="n">
        <v>0.7</v>
      </c>
      <c r="V113" s="345" t="inlineStr"/>
      <c r="W113" s="345" t="n">
        <v>6</v>
      </c>
      <c r="X113" s="345" t="inlineStr"/>
      <c r="Y113" s="345" t="inlineStr">
        <is>
          <t>confirmed</t>
        </is>
      </c>
      <c r="Z113" s="345" t="n">
        <v>100</v>
      </c>
      <c r="AA113" s="345" t="inlineStr">
        <is>
          <t>价格分歧&gt;30%：历史报价分歧较大，需人工核对；同分多价：最高分候选存在不同历史价格</t>
        </is>
      </c>
      <c r="AB113" s="345" t="inlineStr">
        <is>
          <t>高中理化生报价.xlsx｜凯迪｜第1803行</t>
        </is>
      </c>
    </row>
    <row r="114" customFormat="1" s="195">
      <c r="A114" s="323" t="n">
        <v>138</v>
      </c>
      <c r="B114" s="31" t="n">
        <v>30602000104</v>
      </c>
      <c r="C114" s="58" t="inlineStr">
        <is>
          <t>试管</t>
        </is>
      </c>
      <c r="D114" s="141" t="inlineStr">
        <is>
          <t>Φ18mm×180mm，透明硼硅酸盐玻璃制</t>
        </is>
      </c>
      <c r="E114" s="31" t="n">
        <v>60</v>
      </c>
      <c r="F114" s="31" t="inlineStr">
        <is>
          <t>个</t>
        </is>
      </c>
      <c r="G114" s="131">
        <f>_xlfn.DISPIMG("ID_E4BFCEC362244709A0173A29A70F1CD1",1)</f>
        <v/>
      </c>
      <c r="H114" s="220" t="n"/>
      <c r="I114" s="31" t="n">
        <v>30602000104</v>
      </c>
      <c r="J114" s="33" t="inlineStr">
        <is>
          <t>Φ18mm×180mm，透明硼硅酸盐玻璃制</t>
        </is>
      </c>
      <c r="K114" s="39" t="inlineStr">
        <is>
          <t>乐百仕</t>
        </is>
      </c>
      <c r="L114" s="39" t="inlineStr">
        <is>
          <t>江苏乐百仕教育科技有限公司</t>
        </is>
      </c>
      <c r="M114" s="345" t="n">
        <v>60</v>
      </c>
      <c r="N114" s="345" t="n">
        <v>0.5</v>
      </c>
      <c r="O114" s="345" t="n">
        <v>30</v>
      </c>
      <c r="P114" s="345" t="inlineStr">
        <is>
          <t>个</t>
        </is>
      </c>
      <c r="Q114" s="345" t="inlineStr"/>
      <c r="R114" s="345" t="inlineStr"/>
      <c r="S114" s="345" t="inlineStr"/>
      <c r="T114" s="345" t="inlineStr"/>
      <c r="U114" s="345" t="n">
        <v>0.7</v>
      </c>
      <c r="V114" s="345" t="inlineStr"/>
      <c r="W114" s="345" t="n">
        <v>6</v>
      </c>
      <c r="X114" s="345" t="inlineStr"/>
      <c r="Y114" s="345" t="inlineStr">
        <is>
          <t>confirmed</t>
        </is>
      </c>
      <c r="Z114" s="345" t="n">
        <v>100</v>
      </c>
      <c r="AA114" s="345" t="inlineStr">
        <is>
          <t>价格分歧&gt;30%：历史报价分歧较大，需人工核对；同分多价：最高分候选存在不同历史价格</t>
        </is>
      </c>
      <c r="AB114" s="345" t="inlineStr">
        <is>
          <t>高中理化生报价.xlsx｜凯迪｜第1803行</t>
        </is>
      </c>
    </row>
    <row r="115" customFormat="1" s="195">
      <c r="A115" s="323" t="n">
        <v>139</v>
      </c>
      <c r="B115" s="31" t="n">
        <v>30602000104</v>
      </c>
      <c r="C115" s="58" t="inlineStr">
        <is>
          <t>试管</t>
        </is>
      </c>
      <c r="D115" s="141" t="inlineStr">
        <is>
          <t>Φ20mm×200m，透明硼硅酸盐玻璃制</t>
        </is>
      </c>
      <c r="E115" s="131" t="n">
        <v>60</v>
      </c>
      <c r="F115" s="31" t="inlineStr">
        <is>
          <t>个</t>
        </is>
      </c>
      <c r="G115" s="131">
        <f>_xlfn.DISPIMG("ID_98D689FEA8BD4FE58C74113CFE80B93B",1)</f>
        <v/>
      </c>
      <c r="H115" s="220" t="n"/>
      <c r="I115" s="31" t="n">
        <v>30602000104</v>
      </c>
      <c r="J115" s="33" t="inlineStr">
        <is>
          <t>Φ20mm×200m，透明硼硅酸盐玻璃制</t>
        </is>
      </c>
      <c r="K115" s="39" t="inlineStr">
        <is>
          <t>乐百仕</t>
        </is>
      </c>
      <c r="L115" s="39" t="inlineStr">
        <is>
          <t>江苏乐百仕教育科技有限公司</t>
        </is>
      </c>
      <c r="M115" s="345" t="n">
        <v>60</v>
      </c>
      <c r="N115" s="345" t="n">
        <v>0.5</v>
      </c>
      <c r="O115" s="345" t="n">
        <v>30</v>
      </c>
      <c r="P115" s="345" t="inlineStr">
        <is>
          <t>个</t>
        </is>
      </c>
      <c r="Q115" s="345" t="inlineStr"/>
      <c r="R115" s="345" t="inlineStr"/>
      <c r="S115" s="345" t="inlineStr"/>
      <c r="T115" s="345" t="inlineStr"/>
      <c r="U115" s="345" t="n">
        <v>0.7</v>
      </c>
      <c r="V115" s="345" t="inlineStr"/>
      <c r="W115" s="345" t="n">
        <v>6</v>
      </c>
      <c r="X115" s="345" t="inlineStr"/>
      <c r="Y115" s="345" t="inlineStr">
        <is>
          <t>confirmed</t>
        </is>
      </c>
      <c r="Z115" s="345" t="n">
        <v>100</v>
      </c>
      <c r="AA115" s="345" t="inlineStr">
        <is>
          <t>价格分歧&gt;30%：历史报价分歧较大，需人工核对；同分多价：最高分候选存在不同历史价格</t>
        </is>
      </c>
      <c r="AB115" s="345" t="inlineStr">
        <is>
          <t>高中理化生报价.xlsx｜凯迪｜第1803行</t>
        </is>
      </c>
    </row>
    <row r="116" customFormat="1" s="195">
      <c r="A116" s="323" t="n">
        <v>140</v>
      </c>
      <c r="B116" s="31" t="n">
        <v>30602000108</v>
      </c>
      <c r="C116" s="58" t="inlineStr">
        <is>
          <t>试管</t>
        </is>
      </c>
      <c r="D116" s="141" t="inlineStr">
        <is>
          <t>Φ32mm×200mm，透明硼硅酸盐玻璃制</t>
        </is>
      </c>
      <c r="E116" s="131" t="n">
        <v>30</v>
      </c>
      <c r="F116" s="31" t="inlineStr">
        <is>
          <t>个</t>
        </is>
      </c>
      <c r="G116" s="131">
        <f>_xlfn.DISPIMG("ID_3B257AD16CA648299BBCA2EA10714E87",1)</f>
        <v/>
      </c>
      <c r="H116" s="220" t="n"/>
      <c r="I116" s="31" t="n">
        <v>30602000108</v>
      </c>
      <c r="J116" s="33" t="inlineStr">
        <is>
          <t>Φ32mm×200mm，透明硼硅酸盐玻璃制</t>
        </is>
      </c>
      <c r="K116" s="39" t="inlineStr">
        <is>
          <t>乐百仕</t>
        </is>
      </c>
      <c r="L116" s="39" t="inlineStr">
        <is>
          <t>江苏乐百仕教育科技有限公司</t>
        </is>
      </c>
      <c r="M116" s="345" t="n">
        <v>30</v>
      </c>
      <c r="N116" s="345" t="n">
        <v>0.5</v>
      </c>
      <c r="O116" s="345" t="n">
        <v>15</v>
      </c>
      <c r="P116" s="345" t="inlineStr">
        <is>
          <t>个</t>
        </is>
      </c>
      <c r="Q116" s="345" t="inlineStr"/>
      <c r="R116" s="345" t="inlineStr"/>
      <c r="S116" s="345" t="inlineStr"/>
      <c r="T116" s="345" t="inlineStr"/>
      <c r="U116" s="345" t="n">
        <v>0.7</v>
      </c>
      <c r="V116" s="345" t="inlineStr"/>
      <c r="W116" s="345" t="n">
        <v>6</v>
      </c>
      <c r="X116" s="345" t="inlineStr"/>
      <c r="Y116" s="345" t="inlineStr">
        <is>
          <t>confirmed</t>
        </is>
      </c>
      <c r="Z116" s="345" t="n">
        <v>100</v>
      </c>
      <c r="AA116" s="345" t="inlineStr">
        <is>
          <t>价格分歧&gt;30%：历史报价分歧较大，需人工核对；同分多价：最高分候选存在不同历史价格</t>
        </is>
      </c>
      <c r="AB116" s="345" t="inlineStr">
        <is>
          <t>高中理化生报价.xlsx｜凯迪｜第1803行</t>
        </is>
      </c>
    </row>
    <row r="117" customFormat="1" s="257">
      <c r="A117" s="323" t="n">
        <v>141</v>
      </c>
      <c r="B117" s="31" t="n">
        <v>30602000110</v>
      </c>
      <c r="C117" s="58" t="inlineStr">
        <is>
          <t>试管</t>
        </is>
      </c>
      <c r="D117" s="141" t="inlineStr">
        <is>
          <t>Φ40mm×200mm，透明硼硅酸盐玻璃制</t>
        </is>
      </c>
      <c r="E117" s="131" t="n">
        <v>30</v>
      </c>
      <c r="F117" s="31" t="inlineStr">
        <is>
          <t>个</t>
        </is>
      </c>
      <c r="G117" s="131">
        <f>_xlfn.DISPIMG("ID_9ECC4F85F91341ED867AA5454E335955",1)</f>
        <v/>
      </c>
      <c r="H117" s="330" t="n"/>
      <c r="I117" s="31" t="n">
        <v>30602000110</v>
      </c>
      <c r="J117" s="33" t="inlineStr">
        <is>
          <t>Φ40mm×200mm，透明硼硅酸盐玻璃制</t>
        </is>
      </c>
      <c r="K117" s="39" t="inlineStr">
        <is>
          <t>乐百仕</t>
        </is>
      </c>
      <c r="L117" s="39" t="inlineStr">
        <is>
          <t>江苏乐百仕教育科技有限公司</t>
        </is>
      </c>
      <c r="M117" s="345" t="n">
        <v>30</v>
      </c>
      <c r="N117" s="345" t="n">
        <v>0.5</v>
      </c>
      <c r="O117" s="345" t="n">
        <v>15</v>
      </c>
      <c r="P117" s="345" t="inlineStr">
        <is>
          <t>个</t>
        </is>
      </c>
      <c r="Q117" s="345" t="inlineStr"/>
      <c r="R117" s="345" t="inlineStr"/>
      <c r="S117" s="345" t="inlineStr"/>
      <c r="T117" s="345" t="inlineStr"/>
      <c r="U117" s="345" t="n">
        <v>0.7</v>
      </c>
      <c r="V117" s="345" t="inlineStr"/>
      <c r="W117" s="345" t="n">
        <v>6</v>
      </c>
      <c r="X117" s="345" t="inlineStr"/>
      <c r="Y117" s="345" t="inlineStr">
        <is>
          <t>confirmed</t>
        </is>
      </c>
      <c r="Z117" s="345" t="n">
        <v>100</v>
      </c>
      <c r="AA117" s="345" t="inlineStr">
        <is>
          <t>价格分歧&gt;30%：历史报价分歧较大，需人工核对；同分多价：最高分候选存在不同历史价格</t>
        </is>
      </c>
      <c r="AB117" s="345" t="inlineStr">
        <is>
          <t>高中理化生报价.xlsx｜凯迪｜第1803行</t>
        </is>
      </c>
    </row>
    <row r="118" customFormat="1" s="257">
      <c r="A118" s="323" t="n">
        <v>142</v>
      </c>
      <c r="B118" s="348" t="n">
        <v>30602000203</v>
      </c>
      <c r="C118" s="233" t="inlineStr">
        <is>
          <t>口部具支试管</t>
        </is>
      </c>
      <c r="D118" s="234" t="inlineStr">
        <is>
          <t>Φ18mm×150mm，透明硼硅酸盐玻璃制，管底厚薄应均匀，支管连接应平滑牢固，不应有偏歪</t>
        </is>
      </c>
      <c r="E118" s="131" t="n">
        <v>20</v>
      </c>
      <c r="F118" s="31" t="inlineStr">
        <is>
          <t>个</t>
        </is>
      </c>
      <c r="G118" s="131">
        <f>_xlfn.DISPIMG("ID_09E61B8F456E48A78FECEAE35CF2BE0F",1)</f>
        <v/>
      </c>
      <c r="H118" s="330" t="n"/>
      <c r="I118" s="348" t="n">
        <v>30602000203</v>
      </c>
      <c r="J118" s="40" t="inlineStr">
        <is>
          <t>Φ18mm×150mm，透明硼硅酸盐玻璃制，管底厚薄应均匀，支管连接应平滑牢固，不应有偏歪</t>
        </is>
      </c>
      <c r="K118" s="39" t="inlineStr">
        <is>
          <t>乐百仕</t>
        </is>
      </c>
      <c r="L118" s="39" t="inlineStr">
        <is>
          <t>江苏乐百仕教育科技有限公司</t>
        </is>
      </c>
      <c r="M118" s="345" t="n">
        <v>20</v>
      </c>
      <c r="N118" s="345" t="n">
        <v>0.5</v>
      </c>
      <c r="O118" s="345" t="n">
        <v>10</v>
      </c>
      <c r="P118" s="345" t="inlineStr">
        <is>
          <t>个</t>
        </is>
      </c>
      <c r="Q118" s="345" t="inlineStr"/>
      <c r="R118" s="345" t="inlineStr"/>
      <c r="S118" s="345" t="inlineStr"/>
      <c r="T118" s="345" t="inlineStr"/>
      <c r="U118" s="345" t="inlineStr"/>
      <c r="V118" s="345" t="inlineStr"/>
      <c r="W118" s="345" t="inlineStr"/>
      <c r="X118" s="345" t="inlineStr"/>
      <c r="Y118" s="345" t="inlineStr">
        <is>
          <t>confirmed</t>
        </is>
      </c>
      <c r="Z118" s="345" t="n">
        <v>0</v>
      </c>
      <c r="AA118" s="345" t="inlineStr">
        <is>
          <t>匹配到商品档案但无历史价格记录</t>
        </is>
      </c>
      <c r="AB118" s="345" t="inlineStr">
        <is>
          <t>赛特尔25年.xls｜初中生物｜第218行</t>
        </is>
      </c>
    </row>
    <row r="119" customFormat="1" s="257">
      <c r="A119" s="323" t="n">
        <v>143</v>
      </c>
      <c r="B119" s="348" t="n">
        <v>30602000204</v>
      </c>
      <c r="C119" s="233" t="inlineStr">
        <is>
          <t>口部具支试管</t>
        </is>
      </c>
      <c r="D119" s="235" t="inlineStr">
        <is>
          <t>Φ25mm×200mm，透明硼硅酸盐玻璃制，管底厚薄应均匀，支管连接应平滑牢固，不应有偏歪</t>
        </is>
      </c>
      <c r="E119" s="131" t="n">
        <v>20</v>
      </c>
      <c r="F119" s="31" t="inlineStr">
        <is>
          <t>个</t>
        </is>
      </c>
      <c r="G119" s="131">
        <f>_xlfn.DISPIMG("ID_6E68F764E0714FAABA8C302535A3576A",1)</f>
        <v/>
      </c>
      <c r="H119" s="330" t="n"/>
      <c r="I119" s="348" t="n">
        <v>30602000204</v>
      </c>
      <c r="J119" s="236" t="inlineStr">
        <is>
          <t>Φ25mm×200mm，透明硼硅酸盐玻璃制，管底厚薄应均匀，支管连接应平滑牢固，不应有偏歪</t>
        </is>
      </c>
      <c r="K119" s="39" t="inlineStr">
        <is>
          <t>乐百仕</t>
        </is>
      </c>
      <c r="L119" s="39" t="inlineStr">
        <is>
          <t>江苏乐百仕教育科技有限公司</t>
        </is>
      </c>
      <c r="M119" s="345" t="n">
        <v>20</v>
      </c>
      <c r="N119" s="345" t="n">
        <v>0.5</v>
      </c>
      <c r="O119" s="345" t="n">
        <v>10</v>
      </c>
      <c r="P119" s="345" t="inlineStr">
        <is>
          <t>个</t>
        </is>
      </c>
      <c r="Q119" s="345" t="inlineStr"/>
      <c r="R119" s="345" t="inlineStr"/>
      <c r="S119" s="345" t="inlineStr"/>
      <c r="T119" s="345" t="inlineStr"/>
      <c r="U119" s="345" t="inlineStr"/>
      <c r="V119" s="345" t="inlineStr"/>
      <c r="W119" s="345" t="inlineStr"/>
      <c r="X119" s="345" t="inlineStr"/>
      <c r="Y119" s="345" t="inlineStr">
        <is>
          <t>confirmed</t>
        </is>
      </c>
      <c r="Z119" s="345" t="n">
        <v>0</v>
      </c>
      <c r="AA119" s="345" t="inlineStr">
        <is>
          <t>匹配到商品档案但无历史价格记录</t>
        </is>
      </c>
      <c r="AB119" s="345" t="inlineStr">
        <is>
          <t>赛特尔25年.xls｜初中生物｜第218行</t>
        </is>
      </c>
    </row>
    <row r="120" customFormat="1" s="257">
      <c r="A120" s="323" t="n">
        <v>144</v>
      </c>
      <c r="B120" s="31" t="n">
        <v>30602000302</v>
      </c>
      <c r="C120" s="137" t="inlineStr">
        <is>
          <t>硬质玻璃管</t>
        </is>
      </c>
      <c r="D120" s="141" t="inlineStr">
        <is>
          <t>Φ15mm×150mm，透明硼硅酸盐玻璃制，耐热温度≥800℃，试管两端口部应卷口.从烘箱中取出浸入冷水中，热冲击温度≥200 ℃</t>
        </is>
      </c>
      <c r="E120" s="31" t="n">
        <v>30</v>
      </c>
      <c r="F120" s="31" t="inlineStr">
        <is>
          <t>支</t>
        </is>
      </c>
      <c r="G120" s="131">
        <f>_xlfn.DISPIMG("ID_4928B694563E4D0FB40F6E85E533C781",1)</f>
        <v/>
      </c>
      <c r="H120" s="330" t="n"/>
      <c r="I120" s="31" t="n">
        <v>30602000302</v>
      </c>
      <c r="J120" s="33" t="inlineStr">
        <is>
          <t>Φ15mm×150mm，透明硼硅酸盐玻璃制，耐热温度≥800℃，试管两端口部应卷口.从烘箱中取出浸入冷水中，热冲击温度≥200 ℃</t>
        </is>
      </c>
      <c r="K120" s="39" t="inlineStr">
        <is>
          <t>乐百仕</t>
        </is>
      </c>
      <c r="L120" s="39" t="inlineStr">
        <is>
          <t>江苏乐百仕教育科技有限公司</t>
        </is>
      </c>
      <c r="M120" s="345" t="n">
        <v>30</v>
      </c>
      <c r="N120" s="345" t="n">
        <v>2</v>
      </c>
      <c r="O120" s="345" t="n">
        <v>60</v>
      </c>
      <c r="P120" s="345" t="inlineStr">
        <is>
          <t>支</t>
        </is>
      </c>
      <c r="Q120" s="345" t="inlineStr"/>
      <c r="R120" s="345" t="inlineStr"/>
      <c r="S120" s="345" t="inlineStr"/>
      <c r="T120" s="345" t="inlineStr"/>
      <c r="U120" s="345" t="n">
        <v>2.2</v>
      </c>
      <c r="V120" s="345" t="inlineStr"/>
      <c r="W120" s="345" t="inlineStr"/>
      <c r="X120" s="345" t="inlineStr"/>
      <c r="Y120" s="345" t="inlineStr">
        <is>
          <t>confirmed</t>
        </is>
      </c>
      <c r="Z120" s="345" t="n">
        <v>100</v>
      </c>
      <c r="AA120" s="345" t="inlineStr">
        <is>
          <t>同分多价：最高分候选存在不同历史价格</t>
        </is>
      </c>
      <c r="AB120" s="345" t="inlineStr">
        <is>
          <t>赛特尔25年.xls｜初中化学｜第94行</t>
        </is>
      </c>
    </row>
    <row r="121" customFormat="1" s="257">
      <c r="A121" s="323" t="n">
        <v>145</v>
      </c>
      <c r="B121" s="31" t="n">
        <v>30602000304</v>
      </c>
      <c r="C121" s="137" t="inlineStr">
        <is>
          <t>硬质玻璃管</t>
        </is>
      </c>
      <c r="D121" s="68" t="inlineStr">
        <is>
          <t>Φ 20 mm ×250 mm，透明硼硅酸盐玻璃制，耐热温度≥800℃，试管两端口部应卷口.从烘箱中取出浸入冷水中，热冲击温度≥200 ℃</t>
        </is>
      </c>
      <c r="E121" s="131" t="n">
        <v>10</v>
      </c>
      <c r="F121" s="31" t="inlineStr">
        <is>
          <t>支</t>
        </is>
      </c>
      <c r="G121" s="131">
        <f>_xlfn.DISPIMG("ID_7A71ECDF855347A1AB450ACB74C170EE",1)</f>
        <v/>
      </c>
      <c r="H121" s="330" t="n"/>
      <c r="I121" s="31" t="n">
        <v>30602000304</v>
      </c>
      <c r="J121" s="164" t="inlineStr">
        <is>
          <t>Φ 20 mm ×250 mm，透明硼硅酸盐玻璃制，耐热温度≥800℃，试管两端口部应卷口.从烘箱中取出浸入冷水中，热冲击温度≥200 ℃</t>
        </is>
      </c>
      <c r="K121" s="39" t="inlineStr">
        <is>
          <t>乐百仕</t>
        </is>
      </c>
      <c r="L121" s="39" t="inlineStr">
        <is>
          <t>江苏乐百仕教育科技有限公司</t>
        </is>
      </c>
      <c r="M121" s="345" t="n">
        <v>10</v>
      </c>
      <c r="N121" s="345" t="n">
        <v>2</v>
      </c>
      <c r="O121" s="345" t="n">
        <v>20</v>
      </c>
      <c r="P121" s="345" t="inlineStr">
        <is>
          <t>支</t>
        </is>
      </c>
      <c r="Q121" s="345" t="inlineStr"/>
      <c r="R121" s="345" t="inlineStr"/>
      <c r="S121" s="345" t="inlineStr"/>
      <c r="T121" s="345" t="inlineStr"/>
      <c r="U121" s="345" t="n">
        <v>2</v>
      </c>
      <c r="V121" s="345" t="inlineStr"/>
      <c r="W121" s="345" t="n">
        <v>2.2</v>
      </c>
      <c r="X121" s="345" t="inlineStr"/>
      <c r="Y121" s="345" t="inlineStr">
        <is>
          <t>confirmed</t>
        </is>
      </c>
      <c r="Z121" s="345" t="n">
        <v>100</v>
      </c>
      <c r="AA121" s="345" t="inlineStr"/>
      <c r="AB121" s="345" t="inlineStr">
        <is>
          <t>赛特尔25年.xls｜初中新课标化学｜第77行</t>
        </is>
      </c>
    </row>
    <row r="122" customFormat="1" s="257">
      <c r="A122" s="323" t="n">
        <v>146</v>
      </c>
      <c r="B122" s="31" t="n">
        <v>30602001001</v>
      </c>
      <c r="C122" s="137" t="inlineStr">
        <is>
          <t>烧杯</t>
        </is>
      </c>
      <c r="D122" s="138" t="inlineStr">
        <is>
          <t>5mL，透明硼硅酸盐玻璃制，烧杯的满口容量应超过标称容量的 10%或烧杯的满口容量和标称容量的两液面间距不应少于 10mm，并应采用容量差值较大的一种</t>
        </is>
      </c>
      <c r="E122" s="131" t="n">
        <v>50</v>
      </c>
      <c r="F122" s="31" t="inlineStr">
        <is>
          <t>个</t>
        </is>
      </c>
      <c r="G122" s="131">
        <f>_xlfn.DISPIMG("ID_B1959E27D4704AE880C137A7BAF27AD8",1)</f>
        <v/>
      </c>
      <c r="H122" s="330" t="n"/>
      <c r="I122" s="31" t="n">
        <v>30602001001</v>
      </c>
      <c r="J122" s="33" t="inlineStr">
        <is>
          <t>5mL，透明硼硅酸盐玻璃制，烧杯的满口容量应超过标称容量的 10%或烧杯的满口容量和标称容量的两液面间距不应少于 10mm，并应采用容量差值较大的一种</t>
        </is>
      </c>
      <c r="K122" s="39" t="inlineStr">
        <is>
          <t>乐百仕</t>
        </is>
      </c>
      <c r="L122" s="39" t="inlineStr">
        <is>
          <t>江苏乐百仕教育科技有限公司</t>
        </is>
      </c>
      <c r="M122" s="345" t="n">
        <v>50</v>
      </c>
      <c r="N122" s="345" t="n">
        <v>2</v>
      </c>
      <c r="O122" s="345" t="n">
        <v>100</v>
      </c>
      <c r="P122" s="345" t="inlineStr">
        <is>
          <t>个</t>
        </is>
      </c>
      <c r="Q122" s="345" t="inlineStr"/>
      <c r="R122" s="345" t="inlineStr"/>
      <c r="S122" s="345" t="inlineStr"/>
      <c r="T122" s="345" t="inlineStr"/>
      <c r="U122" s="345" t="n">
        <v>5</v>
      </c>
      <c r="V122" s="345" t="inlineStr"/>
      <c r="W122" s="345" t="n">
        <v>5</v>
      </c>
      <c r="X122" s="345" t="inlineStr"/>
      <c r="Y122" s="345" t="inlineStr">
        <is>
          <t>confirmed</t>
        </is>
      </c>
      <c r="Z122" s="345" t="n">
        <v>100</v>
      </c>
      <c r="AA122" s="345" t="inlineStr">
        <is>
          <t>价格分歧&gt;30%：历史报价分歧较大，需人工核对；同分多价：最高分候选存在不同历史价格</t>
        </is>
      </c>
      <c r="AB122" s="345" t="inlineStr">
        <is>
          <t>高中理化生报价.xlsx｜凯迪｜第992行</t>
        </is>
      </c>
    </row>
    <row r="123" customFormat="1" s="195">
      <c r="A123" s="323" t="n">
        <v>147</v>
      </c>
      <c r="B123" s="31" t="n">
        <v>30602001002</v>
      </c>
      <c r="C123" s="137" t="inlineStr">
        <is>
          <t>烧杯</t>
        </is>
      </c>
      <c r="D123" s="138" t="inlineStr">
        <is>
          <t>10mL，透明硼硅酸盐玻璃制，烧杯的满口容量应超过标称容量的 10%或烧杯的满口容量和标称容量的两液面间距不应少于 10mm，并应采用容量差值较大的一种</t>
        </is>
      </c>
      <c r="E123" s="131" t="n">
        <v>50</v>
      </c>
      <c r="F123" s="31" t="inlineStr">
        <is>
          <t>个</t>
        </is>
      </c>
      <c r="G123" s="131">
        <f>_xlfn.DISPIMG("ID_9AF355035FFE4E479E4AA1D7ADEDCAA0",1)</f>
        <v/>
      </c>
      <c r="H123" s="220" t="n"/>
      <c r="I123" s="31" t="n">
        <v>30602001002</v>
      </c>
      <c r="J123" s="33" t="inlineStr">
        <is>
          <t>10mL，透明硼硅酸盐玻璃制，烧杯的满口容量应超过标称容量的 10%或烧杯的满口容量和标称容量的两液面间距不应少于 10mm，并应采用容量差值较大的一种</t>
        </is>
      </c>
      <c r="K123" s="39" t="inlineStr">
        <is>
          <t>乐百仕</t>
        </is>
      </c>
      <c r="L123" s="39" t="inlineStr">
        <is>
          <t>江苏乐百仕教育科技有限公司</t>
        </is>
      </c>
      <c r="M123" s="345" t="n">
        <v>50</v>
      </c>
      <c r="N123" s="345" t="n">
        <v>2</v>
      </c>
      <c r="O123" s="345" t="n">
        <v>100</v>
      </c>
      <c r="P123" s="345" t="inlineStr">
        <is>
          <t>个</t>
        </is>
      </c>
      <c r="Q123" s="345" t="inlineStr"/>
      <c r="R123" s="345" t="inlineStr"/>
      <c r="S123" s="345" t="inlineStr"/>
      <c r="T123" s="345" t="inlineStr"/>
      <c r="U123" s="345" t="n">
        <v>5</v>
      </c>
      <c r="V123" s="345" t="inlineStr"/>
      <c r="W123" s="345" t="n">
        <v>5</v>
      </c>
      <c r="X123" s="345" t="inlineStr"/>
      <c r="Y123" s="345" t="inlineStr">
        <is>
          <t>confirmed</t>
        </is>
      </c>
      <c r="Z123" s="345" t="n">
        <v>100</v>
      </c>
      <c r="AA123" s="345" t="inlineStr">
        <is>
          <t>价格分歧&gt;30%：历史报价分歧较大，需人工核对；同分多价：最高分候选存在不同历史价格</t>
        </is>
      </c>
      <c r="AB123" s="345" t="inlineStr">
        <is>
          <t>高中理化生报价.xlsx｜凯迪｜第992行</t>
        </is>
      </c>
    </row>
    <row r="124" customFormat="1" s="195">
      <c r="A124" s="323" t="n">
        <v>148</v>
      </c>
      <c r="B124" s="31" t="n">
        <v>30602001004</v>
      </c>
      <c r="C124" s="137" t="inlineStr">
        <is>
          <t>烧杯</t>
        </is>
      </c>
      <c r="D124" s="139" t="inlineStr">
        <is>
          <t>25mL，透明硼硅酸盐玻璃制，烧杯的满口容量应超过标称容量的 10%或烧杯的满口容量和标称容量的两液面间距不应少于 10mm，并应采用容量差值较大的一种</t>
        </is>
      </c>
      <c r="E124" s="31" t="n">
        <v>60</v>
      </c>
      <c r="F124" s="31" t="inlineStr">
        <is>
          <t>个</t>
        </is>
      </c>
      <c r="G124" s="131">
        <f>_xlfn.DISPIMG("ID_B828A08409D14F2680267F26D36584BE",1)</f>
        <v/>
      </c>
      <c r="H124" s="220" t="n"/>
      <c r="I124" s="31" t="n">
        <v>30602001004</v>
      </c>
      <c r="J124" s="109" t="inlineStr">
        <is>
          <t>25mL，透明硼硅酸盐玻璃制，烧杯的满口容量应超过标称容量的 10%或烧杯的满口容量和标称容量的两液面间距不应少于 10mm，并应采用容量差值较大的一种</t>
        </is>
      </c>
      <c r="K124" s="39" t="inlineStr">
        <is>
          <t>乐百仕</t>
        </is>
      </c>
      <c r="L124" s="39" t="inlineStr">
        <is>
          <t>江苏乐百仕教育科技有限公司</t>
        </is>
      </c>
      <c r="M124" s="345" t="n">
        <v>60</v>
      </c>
      <c r="N124" s="345" t="n">
        <v>2</v>
      </c>
      <c r="O124" s="345" t="n">
        <v>120</v>
      </c>
      <c r="P124" s="345" t="inlineStr">
        <is>
          <t>个</t>
        </is>
      </c>
      <c r="Q124" s="345" t="inlineStr"/>
      <c r="R124" s="345" t="inlineStr"/>
      <c r="S124" s="345" t="inlineStr"/>
      <c r="T124" s="345" t="inlineStr"/>
      <c r="U124" s="345" t="n">
        <v>2.75</v>
      </c>
      <c r="V124" s="345" t="inlineStr"/>
      <c r="W124" s="345" t="n">
        <v>5</v>
      </c>
      <c r="X124" s="345" t="inlineStr"/>
      <c r="Y124" s="345" t="inlineStr">
        <is>
          <t>confirmed</t>
        </is>
      </c>
      <c r="Z124" s="345" t="n">
        <v>100</v>
      </c>
      <c r="AA124" s="345" t="inlineStr">
        <is>
          <t>同分多价：最高分候选存在不同历史价格</t>
        </is>
      </c>
      <c r="AB124" s="345" t="inlineStr">
        <is>
          <t>高中理化生报价.xlsx｜凯迪｜第992行</t>
        </is>
      </c>
    </row>
    <row r="125" customFormat="1" s="195">
      <c r="A125" s="323" t="n">
        <v>149</v>
      </c>
      <c r="B125" s="31" t="n">
        <v>30602001005</v>
      </c>
      <c r="C125" s="137" t="inlineStr">
        <is>
          <t>烧杯</t>
        </is>
      </c>
      <c r="D125" s="138" t="inlineStr">
        <is>
          <t>50mL，透明硼硅酸盐玻璃制，烧杯的满口容量应超过标称容量的 10%或烧杯的满口容量和标称容量的两液面间距不应少于 10mm，并应采用容量差值较大的一种</t>
        </is>
      </c>
      <c r="E125" s="31" t="n">
        <v>50</v>
      </c>
      <c r="F125" s="31" t="inlineStr">
        <is>
          <t>个</t>
        </is>
      </c>
      <c r="G125" s="131">
        <f>_xlfn.DISPIMG("ID_C5C471E52E9E4115A7AEDEFC89016A78",1)</f>
        <v/>
      </c>
      <c r="H125" s="220" t="n"/>
      <c r="I125" s="31" t="n">
        <v>30602001005</v>
      </c>
      <c r="J125" s="33" t="inlineStr">
        <is>
          <t>50mL，透明硼硅酸盐玻璃制，烧杯的满口容量应超过标称容量的 10%或烧杯的满口容量和标称容量的两液面间距不应少于 10mm，并应采用容量差值较大的一种</t>
        </is>
      </c>
      <c r="K125" s="39" t="inlineStr">
        <is>
          <t>乐百仕</t>
        </is>
      </c>
      <c r="L125" s="39" t="inlineStr">
        <is>
          <t>江苏乐百仕教育科技有限公司</t>
        </is>
      </c>
      <c r="M125" s="345" t="n">
        <v>50</v>
      </c>
      <c r="N125" s="345" t="n">
        <v>2</v>
      </c>
      <c r="O125" s="345" t="n">
        <v>100</v>
      </c>
      <c r="P125" s="345" t="inlineStr">
        <is>
          <t>个</t>
        </is>
      </c>
      <c r="Q125" s="345" t="inlineStr"/>
      <c r="R125" s="345" t="inlineStr"/>
      <c r="S125" s="345" t="inlineStr"/>
      <c r="T125" s="345" t="inlineStr"/>
      <c r="U125" s="345" t="n">
        <v>3.3</v>
      </c>
      <c r="V125" s="345" t="inlineStr"/>
      <c r="W125" s="345" t="n">
        <v>5</v>
      </c>
      <c r="X125" s="345" t="inlineStr"/>
      <c r="Y125" s="345" t="inlineStr">
        <is>
          <t>confirmed</t>
        </is>
      </c>
      <c r="Z125" s="345" t="n">
        <v>100</v>
      </c>
      <c r="AA125" s="345" t="inlineStr">
        <is>
          <t>同分多价：最高分候选存在不同历史价格</t>
        </is>
      </c>
      <c r="AB125" s="345" t="inlineStr">
        <is>
          <t>高中理化生报价.xlsx｜凯迪｜第992行</t>
        </is>
      </c>
    </row>
    <row r="126" customFormat="1" s="195">
      <c r="A126" s="323" t="n">
        <v>150</v>
      </c>
      <c r="B126" s="31" t="n">
        <v>30602001006</v>
      </c>
      <c r="C126" s="137" t="inlineStr">
        <is>
          <t>烧杯</t>
        </is>
      </c>
      <c r="D126" s="138" t="inlineStr">
        <is>
          <t>100mL，透明硼硅酸盐玻璃制，烧杯的满口容量应超过标称容量的 10%或烧杯的满口容量和标称容量的两液面间距不应少于 10mm，并应采用容量差值较大的一种</t>
        </is>
      </c>
      <c r="E126" s="131" t="n">
        <v>50</v>
      </c>
      <c r="F126" s="31" t="inlineStr">
        <is>
          <t>个</t>
        </is>
      </c>
      <c r="G126" s="131">
        <f>_xlfn.DISPIMG("ID_A033415EC0654CE39DBCFBC89F08D574",1)</f>
        <v/>
      </c>
      <c r="H126" s="220" t="n"/>
      <c r="I126" s="31" t="n">
        <v>30602001006</v>
      </c>
      <c r="J126" s="33" t="inlineStr">
        <is>
          <t>100mL，透明硼硅酸盐玻璃制，烧杯的满口容量应超过标称容量的 10%或烧杯的满口容量和标称容量的两液面间距不应少于 10mm，并应采用容量差值较大的一种</t>
        </is>
      </c>
      <c r="K126" s="39" t="inlineStr">
        <is>
          <t>乐百仕</t>
        </is>
      </c>
      <c r="L126" s="39" t="inlineStr">
        <is>
          <t>江苏乐百仕教育科技有限公司</t>
        </is>
      </c>
      <c r="M126" s="345" t="n">
        <v>50</v>
      </c>
      <c r="N126" s="345" t="n">
        <v>2</v>
      </c>
      <c r="O126" s="345" t="n">
        <v>100</v>
      </c>
      <c r="P126" s="345" t="inlineStr">
        <is>
          <t>个</t>
        </is>
      </c>
      <c r="Q126" s="345" t="inlineStr"/>
      <c r="R126" s="345" t="inlineStr"/>
      <c r="S126" s="345" t="inlineStr"/>
      <c r="T126" s="345" t="inlineStr"/>
      <c r="U126" s="345" t="n">
        <v>3.85</v>
      </c>
      <c r="V126" s="345" t="inlineStr"/>
      <c r="W126" s="345" t="n">
        <v>5</v>
      </c>
      <c r="X126" s="345" t="inlineStr"/>
      <c r="Y126" s="345" t="inlineStr">
        <is>
          <t>confirmed</t>
        </is>
      </c>
      <c r="Z126" s="345" t="n">
        <v>100</v>
      </c>
      <c r="AA126" s="345" t="inlineStr">
        <is>
          <t>同分多价：最高分候选存在不同历史价格</t>
        </is>
      </c>
      <c r="AB126" s="345" t="inlineStr">
        <is>
          <t>高中理化生报价.xlsx｜凯迪｜第992行</t>
        </is>
      </c>
    </row>
    <row r="127" customFormat="1" s="195">
      <c r="A127" s="323" t="n">
        <v>151</v>
      </c>
      <c r="B127" s="31" t="n">
        <v>30602001008</v>
      </c>
      <c r="C127" s="137" t="inlineStr">
        <is>
          <t>烧杯</t>
        </is>
      </c>
      <c r="D127" s="139" t="inlineStr">
        <is>
          <t>250mL，透明硼硅酸盐玻璃制，烧杯的满口容量应超过标称容量的 10%或烧杯的满口容量和标称容量的两液面间距不应少于 10mm，并应采用容量差值较大的一种</t>
        </is>
      </c>
      <c r="E127" s="31" t="n">
        <v>50</v>
      </c>
      <c r="F127" s="31" t="inlineStr">
        <is>
          <t>个</t>
        </is>
      </c>
      <c r="G127" s="131">
        <f>_xlfn.DISPIMG("ID_8BE8BBDCC77F493D80F13F275B40F92B",1)</f>
        <v/>
      </c>
      <c r="H127" s="220" t="n"/>
      <c r="I127" s="31" t="n">
        <v>30602001008</v>
      </c>
      <c r="J127" s="109" t="inlineStr">
        <is>
          <t>250mL，透明硼硅酸盐玻璃制，烧杯的满口容量应超过标称容量的 10%或烧杯的满口容量和标称容量的两液面间距不应少于 10mm，并应采用容量差值较大的一种</t>
        </is>
      </c>
      <c r="K127" s="39" t="inlineStr">
        <is>
          <t>乐百仕</t>
        </is>
      </c>
      <c r="L127" s="39" t="inlineStr">
        <is>
          <t>江苏乐百仕教育科技有限公司</t>
        </is>
      </c>
      <c r="M127" s="345" t="n">
        <v>50</v>
      </c>
      <c r="N127" s="345" t="n">
        <v>2</v>
      </c>
      <c r="O127" s="345" t="n">
        <v>100</v>
      </c>
      <c r="P127" s="345" t="inlineStr">
        <is>
          <t>个</t>
        </is>
      </c>
      <c r="Q127" s="345" t="inlineStr"/>
      <c r="R127" s="345" t="inlineStr"/>
      <c r="S127" s="345" t="inlineStr"/>
      <c r="T127" s="345" t="inlineStr"/>
      <c r="U127" s="345" t="n">
        <v>3.5</v>
      </c>
      <c r="V127" s="345" t="inlineStr"/>
      <c r="W127" s="345" t="n">
        <v>5</v>
      </c>
      <c r="X127" s="345" t="inlineStr"/>
      <c r="Y127" s="345" t="inlineStr">
        <is>
          <t>confirmed</t>
        </is>
      </c>
      <c r="Z127" s="345" t="n">
        <v>100</v>
      </c>
      <c r="AA127" s="345" t="inlineStr">
        <is>
          <t>同分多价：最高分候选存在不同历史价格</t>
        </is>
      </c>
      <c r="AB127" s="345" t="inlineStr">
        <is>
          <t>高中理化生报价.xlsx｜凯迪｜第992行</t>
        </is>
      </c>
    </row>
    <row r="128" customFormat="1" s="195">
      <c r="A128" s="323" t="n">
        <v>152</v>
      </c>
      <c r="B128" s="31" t="n">
        <v>30602001010</v>
      </c>
      <c r="C128" s="137" t="inlineStr">
        <is>
          <t>烧杯</t>
        </is>
      </c>
      <c r="D128" s="139" t="inlineStr">
        <is>
          <t>500mL，透明硼硅酸盐玻璃制，烧杯的满口容量应超过标称容量的 10%或烧杯的满口容量和标称容量的两液面间距不应少于 10mm，并应采用容量差值较大的一种</t>
        </is>
      </c>
      <c r="E128" s="131" t="n">
        <v>20</v>
      </c>
      <c r="F128" s="31" t="inlineStr">
        <is>
          <t>个</t>
        </is>
      </c>
      <c r="G128" s="131">
        <f>_xlfn.DISPIMG("ID_D3D0F2D37CF646F38067D1FAA78E605D",1)</f>
        <v/>
      </c>
      <c r="H128" s="220" t="n"/>
      <c r="I128" s="31" t="n">
        <v>30602001010</v>
      </c>
      <c r="J128" s="109" t="inlineStr">
        <is>
          <t>500mL，透明硼硅酸盐玻璃制，烧杯的满口容量应超过标称容量的 10%或烧杯的满口容量和标称容量的两液面间距不应少于 10mm，并应采用容量差值较大的一种</t>
        </is>
      </c>
      <c r="K128" s="39" t="inlineStr">
        <is>
          <t>乐百仕</t>
        </is>
      </c>
      <c r="L128" s="39" t="inlineStr">
        <is>
          <t>江苏乐百仕教育科技有限公司</t>
        </is>
      </c>
      <c r="M128" s="345" t="n">
        <v>20</v>
      </c>
      <c r="N128" s="345" t="n">
        <v>2</v>
      </c>
      <c r="O128" s="345" t="n">
        <v>40</v>
      </c>
      <c r="P128" s="345" t="inlineStr">
        <is>
          <t>个</t>
        </is>
      </c>
      <c r="Q128" s="345" t="inlineStr"/>
      <c r="R128" s="345" t="inlineStr"/>
      <c r="S128" s="345" t="inlineStr"/>
      <c r="T128" s="345" t="inlineStr"/>
      <c r="U128" s="345" t="n">
        <v>5</v>
      </c>
      <c r="V128" s="345" t="inlineStr"/>
      <c r="W128" s="345" t="n">
        <v>5</v>
      </c>
      <c r="X128" s="345" t="inlineStr"/>
      <c r="Y128" s="345" t="inlineStr">
        <is>
          <t>confirmed</t>
        </is>
      </c>
      <c r="Z128" s="345" t="n">
        <v>100</v>
      </c>
      <c r="AA128" s="345" t="inlineStr">
        <is>
          <t>同分多价：最高分候选存在不同历史价格</t>
        </is>
      </c>
      <c r="AB128" s="345" t="inlineStr">
        <is>
          <t>高中理化生报价.xlsx｜凯迪｜第992行</t>
        </is>
      </c>
    </row>
    <row r="129" customFormat="1" s="192">
      <c r="A129" s="323" t="n">
        <v>153</v>
      </c>
      <c r="B129" s="131" t="n">
        <v>30602001011</v>
      </c>
      <c r="C129" s="137" t="inlineStr">
        <is>
          <t>烧杯</t>
        </is>
      </c>
      <c r="D129" s="139" t="inlineStr">
        <is>
          <t>1000mL，透明硼硅酸盐玻璃制，烧杯的满口容量应超过标称容量的 10%或烧杯的满口容量和标称容量的两液面间距不应少于 10mm，并应采用容量差值较大的一种</t>
        </is>
      </c>
      <c r="E129" s="31" t="n">
        <v>13</v>
      </c>
      <c r="F129" s="31" t="inlineStr">
        <is>
          <t>个</t>
        </is>
      </c>
      <c r="G129" s="131">
        <f>_xlfn.DISPIMG("ID_10309D88FD0D4D6BB9C3F0D57A3ED78C",1)</f>
        <v/>
      </c>
      <c r="H129" s="229" t="n"/>
      <c r="I129" s="131" t="n">
        <v>30602001011</v>
      </c>
      <c r="J129" s="109" t="inlineStr">
        <is>
          <t>1000mL，透明硼硅酸盐玻璃制，烧杯的满口容量应超过标称容量的 10%或烧杯的满口容量和标称容量的两液面间距不应少于 10mm，并应采用容量差值较大的一种</t>
        </is>
      </c>
      <c r="K129" s="39" t="inlineStr">
        <is>
          <t>乐百仕</t>
        </is>
      </c>
      <c r="L129" s="39" t="inlineStr">
        <is>
          <t>江苏乐百仕教育科技有限公司</t>
        </is>
      </c>
      <c r="M129" s="345" t="n">
        <v>13</v>
      </c>
      <c r="N129" s="345" t="n">
        <v>2</v>
      </c>
      <c r="O129" s="345" t="n">
        <v>26</v>
      </c>
      <c r="P129" s="345" t="inlineStr">
        <is>
          <t>个</t>
        </is>
      </c>
      <c r="Q129" s="345" t="inlineStr"/>
      <c r="R129" s="345" t="inlineStr"/>
      <c r="S129" s="345" t="inlineStr"/>
      <c r="T129" s="345" t="inlineStr"/>
      <c r="U129" s="345" t="n">
        <v>5</v>
      </c>
      <c r="V129" s="345" t="inlineStr"/>
      <c r="W129" s="345" t="n">
        <v>5</v>
      </c>
      <c r="X129" s="345" t="inlineStr"/>
      <c r="Y129" s="345" t="inlineStr">
        <is>
          <t>confirmed</t>
        </is>
      </c>
      <c r="Z129" s="345" t="n">
        <v>100</v>
      </c>
      <c r="AA129" s="345" t="inlineStr">
        <is>
          <t>同分多价：最高分候选存在不同历史价格</t>
        </is>
      </c>
      <c r="AB129" s="345" t="inlineStr">
        <is>
          <t>高中理化生报价.xlsx｜凯迪｜第992行</t>
        </is>
      </c>
    </row>
    <row r="130" customFormat="1" s="195">
      <c r="A130" s="323" t="n">
        <v>154</v>
      </c>
      <c r="B130" s="348" t="n">
        <v>30602001105</v>
      </c>
      <c r="C130" s="233" t="inlineStr">
        <is>
          <t>烧瓶</t>
        </is>
      </c>
      <c r="D130" s="115" t="inlineStr">
        <is>
          <t>圆底、长颈 ，250mL，透明硼硅酸盐玻璃制，玻璃薄厚均匀，底部应规整</t>
        </is>
      </c>
      <c r="E130" s="131" t="n">
        <v>50</v>
      </c>
      <c r="F130" s="31" t="inlineStr">
        <is>
          <t>个</t>
        </is>
      </c>
      <c r="G130" s="131">
        <f>_xlfn.DISPIMG("ID_F5278EE0EE2A4D1C9388D121A7BEDCEC",1)</f>
        <v/>
      </c>
      <c r="H130" s="220" t="n"/>
      <c r="I130" s="348" t="n">
        <v>30602001105</v>
      </c>
      <c r="J130" s="40" t="inlineStr">
        <is>
          <t>圆底、长颈 ，250mL，透明硼硅酸盐玻璃制，玻璃薄厚均匀，底部应规整</t>
        </is>
      </c>
      <c r="K130" s="39" t="inlineStr">
        <is>
          <t>乐百仕</t>
        </is>
      </c>
      <c r="L130" s="39" t="inlineStr">
        <is>
          <t>江苏乐百仕教育科技有限公司</t>
        </is>
      </c>
      <c r="M130" s="345" t="n">
        <v>50</v>
      </c>
      <c r="N130" s="345" t="n">
        <v>9</v>
      </c>
      <c r="O130" s="345" t="n">
        <v>450</v>
      </c>
      <c r="P130" s="345" t="inlineStr">
        <is>
          <t>个</t>
        </is>
      </c>
      <c r="Q130" s="345" t="inlineStr"/>
      <c r="R130" s="345" t="inlineStr"/>
      <c r="S130" s="345" t="inlineStr"/>
      <c r="T130" s="345" t="inlineStr"/>
      <c r="U130" s="345" t="n">
        <v>12</v>
      </c>
      <c r="V130" s="345" t="inlineStr"/>
      <c r="W130" s="345" t="n">
        <v>15</v>
      </c>
      <c r="X130" s="345" t="inlineStr"/>
      <c r="Y130" s="345" t="inlineStr">
        <is>
          <t>confirmed</t>
        </is>
      </c>
      <c r="Z130" s="345" t="n">
        <v>100</v>
      </c>
      <c r="AA130" s="345" t="inlineStr">
        <is>
          <t>价格分歧&gt;30%：历史报价分歧较大，需人工核对；同分多价：最高分候选存在不同历史价格</t>
        </is>
      </c>
      <c r="AB130" s="345" t="inlineStr">
        <is>
          <t>赛特尔25年.xls｜初中化学｜第103行</t>
        </is>
      </c>
    </row>
    <row r="131" customFormat="1" s="195">
      <c r="A131" s="323" t="n">
        <v>155</v>
      </c>
      <c r="B131" s="348" t="n">
        <v>30602001106</v>
      </c>
      <c r="C131" s="233" t="inlineStr">
        <is>
          <t>烧瓶</t>
        </is>
      </c>
      <c r="D131" s="115" t="inlineStr">
        <is>
          <t>圆底，短颈，厚口 250mL，透明硼硅酸盐玻璃制，玻璃薄厚均匀，底部应规整</t>
        </is>
      </c>
      <c r="E131" s="131" t="n">
        <v>30</v>
      </c>
      <c r="F131" s="31" t="inlineStr">
        <is>
          <t>个</t>
        </is>
      </c>
      <c r="G131" s="131">
        <f>_xlfn.DISPIMG("ID_8F99FF2C95CE45928EE0FB50EA7F8A95",1)</f>
        <v/>
      </c>
      <c r="H131" s="220" t="n"/>
      <c r="I131" s="348" t="n">
        <v>30602001106</v>
      </c>
      <c r="J131" s="40" t="inlineStr">
        <is>
          <t>圆底，短颈，厚口 250mL，透明硼硅酸盐玻璃制，玻璃薄厚均匀，底部应规整</t>
        </is>
      </c>
      <c r="K131" s="39" t="inlineStr">
        <is>
          <t>乐百仕</t>
        </is>
      </c>
      <c r="L131" s="39" t="inlineStr">
        <is>
          <t>江苏乐百仕教育科技有限公司</t>
        </is>
      </c>
      <c r="M131" s="345" t="n">
        <v>30</v>
      </c>
      <c r="N131" s="345" t="n">
        <v>9</v>
      </c>
      <c r="O131" s="345" t="n">
        <v>270</v>
      </c>
      <c r="P131" s="345" t="inlineStr">
        <is>
          <t>个</t>
        </is>
      </c>
      <c r="Q131" s="345" t="inlineStr"/>
      <c r="R131" s="345" t="inlineStr"/>
      <c r="S131" s="345" t="inlineStr"/>
      <c r="T131" s="345" t="inlineStr"/>
      <c r="U131" s="345" t="n">
        <v>12</v>
      </c>
      <c r="V131" s="345" t="inlineStr"/>
      <c r="W131" s="345" t="n">
        <v>15</v>
      </c>
      <c r="X131" s="345" t="inlineStr"/>
      <c r="Y131" s="345" t="inlineStr">
        <is>
          <t>confirmed</t>
        </is>
      </c>
      <c r="Z131" s="345" t="n">
        <v>100</v>
      </c>
      <c r="AA131" s="345" t="inlineStr">
        <is>
          <t>价格分歧&gt;30%：历史报价分歧较大，需人工核对；同分多价：最高分候选存在不同历史价格</t>
        </is>
      </c>
      <c r="AB131" s="345" t="inlineStr">
        <is>
          <t>赛特尔25年.xls｜初中化学｜第103行</t>
        </is>
      </c>
    </row>
    <row r="132" customFormat="1" s="257">
      <c r="A132" s="323" t="n">
        <v>156</v>
      </c>
      <c r="B132" s="348" t="n">
        <v>30602001108</v>
      </c>
      <c r="C132" s="233" t="inlineStr">
        <is>
          <t>烧瓶</t>
        </is>
      </c>
      <c r="D132" s="115" t="inlineStr">
        <is>
          <t>圆底，长颈，500mL，透明硼硅酸盐玻璃制，玻璃薄厚均匀，底部应规整</t>
        </is>
      </c>
      <c r="E132" s="131" t="n">
        <v>50</v>
      </c>
      <c r="F132" s="31" t="inlineStr">
        <is>
          <t>个</t>
        </is>
      </c>
      <c r="G132" s="131">
        <f>_xlfn.DISPIMG("ID_A51EE065CDC54EE1ACF884CD2D308BE2",1)</f>
        <v/>
      </c>
      <c r="H132" s="330" t="n"/>
      <c r="I132" s="348" t="n">
        <v>30602001108</v>
      </c>
      <c r="J132" s="40" t="inlineStr">
        <is>
          <t>圆底，长颈，500mL，透明硼硅酸盐玻璃制，玻璃薄厚均匀，底部应规整</t>
        </is>
      </c>
      <c r="K132" s="39" t="inlineStr">
        <is>
          <t>乐百仕</t>
        </is>
      </c>
      <c r="L132" s="39" t="inlineStr">
        <is>
          <t>江苏乐百仕教育科技有限公司</t>
        </is>
      </c>
      <c r="M132" s="345" t="n">
        <v>50</v>
      </c>
      <c r="N132" s="345" t="n">
        <v>9</v>
      </c>
      <c r="O132" s="345" t="n">
        <v>450</v>
      </c>
      <c r="P132" s="345" t="inlineStr">
        <is>
          <t>个</t>
        </is>
      </c>
      <c r="Q132" s="345" t="inlineStr"/>
      <c r="R132" s="345" t="inlineStr"/>
      <c r="S132" s="345" t="inlineStr"/>
      <c r="T132" s="345" t="inlineStr"/>
      <c r="U132" s="345" t="n">
        <v>12</v>
      </c>
      <c r="V132" s="345" t="inlineStr"/>
      <c r="W132" s="345" t="n">
        <v>15</v>
      </c>
      <c r="X132" s="345" t="inlineStr"/>
      <c r="Y132" s="345" t="inlineStr">
        <is>
          <t>confirmed</t>
        </is>
      </c>
      <c r="Z132" s="345" t="n">
        <v>100</v>
      </c>
      <c r="AA132" s="345" t="inlineStr">
        <is>
          <t>价格分歧&gt;30%：历史报价分歧较大，需人工核对；同分多价：最高分候选存在不同历史价格</t>
        </is>
      </c>
      <c r="AB132" s="345" t="inlineStr">
        <is>
          <t>赛特尔25年.xls｜初中化学｜第103行</t>
        </is>
      </c>
    </row>
    <row r="133" customFormat="1" s="257">
      <c r="A133" s="323" t="n">
        <v>157</v>
      </c>
      <c r="B133" s="348" t="n">
        <v>30602001115</v>
      </c>
      <c r="C133" s="233" t="inlineStr">
        <is>
          <t>烧瓶</t>
        </is>
      </c>
      <c r="D133" s="115" t="inlineStr">
        <is>
          <t>平底、长颈 ，250mL，透明硼硅酸盐玻璃制，平底烧瓶底部应平整，放在平台上应直立不摇晃</t>
        </is>
      </c>
      <c r="E133" s="131" t="n">
        <v>5</v>
      </c>
      <c r="F133" s="31" t="inlineStr">
        <is>
          <t>个</t>
        </is>
      </c>
      <c r="G133" s="131">
        <f>_xlfn.DISPIMG("ID_25DBC5E046344A9FAB3CA67A7D5A27BC",1)</f>
        <v/>
      </c>
      <c r="H133" s="330" t="n"/>
      <c r="I133" s="348" t="n">
        <v>30602001115</v>
      </c>
      <c r="J133" s="40" t="inlineStr">
        <is>
          <t>平底、长颈 ，250mL，透明硼硅酸盐玻璃制，平底烧瓶底部应平整，放在平台上应直立不摇晃</t>
        </is>
      </c>
      <c r="K133" s="39" t="inlineStr">
        <is>
          <t>乐百仕</t>
        </is>
      </c>
      <c r="L133" s="39" t="inlineStr">
        <is>
          <t>江苏乐百仕教育科技有限公司</t>
        </is>
      </c>
      <c r="M133" s="345" t="n">
        <v>5</v>
      </c>
      <c r="N133" s="345" t="n">
        <v>9</v>
      </c>
      <c r="O133" s="345" t="n">
        <v>45</v>
      </c>
      <c r="P133" s="345" t="inlineStr">
        <is>
          <t>个</t>
        </is>
      </c>
      <c r="Q133" s="345" t="inlineStr"/>
      <c r="R133" s="345" t="inlineStr"/>
      <c r="S133" s="345" t="inlineStr"/>
      <c r="T133" s="345" t="inlineStr"/>
      <c r="U133" s="345" t="n">
        <v>12</v>
      </c>
      <c r="V133" s="345" t="inlineStr"/>
      <c r="W133" s="345" t="n">
        <v>15</v>
      </c>
      <c r="X133" s="345" t="inlineStr"/>
      <c r="Y133" s="345" t="inlineStr">
        <is>
          <t>confirmed</t>
        </is>
      </c>
      <c r="Z133" s="345" t="n">
        <v>100</v>
      </c>
      <c r="AA133" s="345" t="inlineStr">
        <is>
          <t>价格分歧&gt;30%：历史报价分歧较大，需人工核对；同分多价：最高分候选存在不同历史价格</t>
        </is>
      </c>
      <c r="AB133" s="345" t="inlineStr">
        <is>
          <t>赛特尔25年.xls｜初中化学｜第103行</t>
        </is>
      </c>
    </row>
    <row r="134" customFormat="1" s="195">
      <c r="A134" s="323" t="n">
        <v>158</v>
      </c>
      <c r="B134" s="31" t="n">
        <v>30602001204</v>
      </c>
      <c r="C134" s="137" t="inlineStr">
        <is>
          <t>锥形瓶</t>
        </is>
      </c>
      <c r="D134" s="141" t="inlineStr">
        <is>
          <t>100mL，透明硼硅酸盐玻璃制，放在平台上应直立不摇晃、不转动</t>
        </is>
      </c>
      <c r="E134" s="131" t="n">
        <v>50</v>
      </c>
      <c r="F134" s="31" t="inlineStr">
        <is>
          <t>个</t>
        </is>
      </c>
      <c r="G134" s="131">
        <f>_xlfn.DISPIMG("ID_67DA05B671CC4B42A98617579F3DA04F",1)</f>
        <v/>
      </c>
      <c r="H134" s="220" t="n"/>
      <c r="I134" s="31" t="n">
        <v>30602001204</v>
      </c>
      <c r="J134" s="33" t="inlineStr">
        <is>
          <t>100mL，透明硼硅酸盐玻璃制，放在平台上应直立不摇晃、不转动</t>
        </is>
      </c>
      <c r="K134" s="39" t="inlineStr">
        <is>
          <t>乐百仕</t>
        </is>
      </c>
      <c r="L134" s="39" t="inlineStr">
        <is>
          <t>江苏乐百仕教育科技有限公司</t>
        </is>
      </c>
      <c r="M134" s="345" t="n">
        <v>50</v>
      </c>
      <c r="N134" s="345" t="n">
        <v>6</v>
      </c>
      <c r="O134" s="345" t="n">
        <v>300</v>
      </c>
      <c r="P134" s="345" t="inlineStr">
        <is>
          <t>个</t>
        </is>
      </c>
      <c r="Q134" s="345" t="inlineStr"/>
      <c r="R134" s="345" t="inlineStr"/>
      <c r="S134" s="345" t="inlineStr"/>
      <c r="T134" s="345" t="inlineStr"/>
      <c r="U134" s="345" t="n">
        <v>6</v>
      </c>
      <c r="V134" s="345" t="inlineStr"/>
      <c r="W134" s="345" t="n">
        <v>7</v>
      </c>
      <c r="X134" s="345" t="inlineStr"/>
      <c r="Y134" s="345" t="inlineStr">
        <is>
          <t>confirmed</t>
        </is>
      </c>
      <c r="Z134" s="345" t="n">
        <v>100</v>
      </c>
      <c r="AA134" s="345" t="inlineStr"/>
      <c r="AB134" s="345" t="inlineStr">
        <is>
          <t>赛特尔25年.xls｜初中生物｜第222行</t>
        </is>
      </c>
    </row>
    <row r="135" customFormat="1" s="195">
      <c r="A135" s="323" t="n">
        <v>159</v>
      </c>
      <c r="B135" s="31" t="n">
        <v>30602001205</v>
      </c>
      <c r="C135" s="137" t="inlineStr">
        <is>
          <t>锥形瓶</t>
        </is>
      </c>
      <c r="D135" s="141" t="inlineStr">
        <is>
          <t>250mL，透明硼硅酸盐玻璃制，放在平台上应直立不摇晃、不转动</t>
        </is>
      </c>
      <c r="E135" s="31" t="n">
        <v>13</v>
      </c>
      <c r="F135" s="31" t="inlineStr">
        <is>
          <t>个</t>
        </is>
      </c>
      <c r="G135" s="131">
        <f>_xlfn.DISPIMG("ID_6EA548C8BC114243A86C0DA4F4BE9DD0",1)</f>
        <v/>
      </c>
      <c r="H135" s="220" t="n"/>
      <c r="I135" s="31" t="n">
        <v>30602001205</v>
      </c>
      <c r="J135" s="33" t="inlineStr">
        <is>
          <t>250mL，透明硼硅酸盐玻璃制，放在平台上应直立不摇晃、不转动</t>
        </is>
      </c>
      <c r="K135" s="39" t="inlineStr">
        <is>
          <t>乐百仕</t>
        </is>
      </c>
      <c r="L135" s="39" t="inlineStr">
        <is>
          <t>江苏乐百仕教育科技有限公司</t>
        </is>
      </c>
      <c r="M135" s="345" t="n">
        <v>13</v>
      </c>
      <c r="N135" s="345" t="n">
        <v>8</v>
      </c>
      <c r="O135" s="345" t="n">
        <v>104</v>
      </c>
      <c r="P135" s="345" t="inlineStr">
        <is>
          <t>个</t>
        </is>
      </c>
      <c r="Q135" s="345" t="inlineStr"/>
      <c r="R135" s="345" t="inlineStr"/>
      <c r="S135" s="345" t="inlineStr"/>
      <c r="T135" s="345" t="inlineStr"/>
      <c r="U135" s="345" t="n">
        <v>8</v>
      </c>
      <c r="V135" s="345" t="inlineStr"/>
      <c r="W135" s="345" t="n">
        <v>8.800000000000001</v>
      </c>
      <c r="X135" s="345" t="inlineStr"/>
      <c r="Y135" s="345" t="inlineStr">
        <is>
          <t>confirmed</t>
        </is>
      </c>
      <c r="Z135" s="345" t="n">
        <v>100</v>
      </c>
      <c r="AA135" s="345" t="inlineStr"/>
      <c r="AB135" s="345" t="inlineStr">
        <is>
          <t>赛特尔25年.xls｜初中生物｜第223行</t>
        </is>
      </c>
    </row>
    <row r="136" customFormat="1" s="192">
      <c r="A136" s="323" t="n">
        <v>160</v>
      </c>
      <c r="B136" s="103" t="n">
        <v>30602001305</v>
      </c>
      <c r="C136" s="140" t="inlineStr">
        <is>
          <t>蒸馏烧瓶</t>
        </is>
      </c>
      <c r="D136" s="141" t="inlineStr">
        <is>
          <t>250ml，透明硼硅酸盐玻璃制，烧瓶的颈部同一截面应该呈圆形，颈的口部不应呈锥形，并适当提高强度</t>
        </is>
      </c>
      <c r="E136" s="131" t="n">
        <v>50</v>
      </c>
      <c r="F136" s="131" t="inlineStr">
        <is>
          <t>个</t>
        </is>
      </c>
      <c r="G136" s="131">
        <f>_xlfn.DISPIMG("ID_7F0E234C9F1443659885727EF3866252",1)</f>
        <v/>
      </c>
      <c r="H136" s="229" t="n"/>
      <c r="I136" s="108" t="n">
        <v>30602001305</v>
      </c>
      <c r="J136" s="33" t="inlineStr">
        <is>
          <t>250ml，透明硼硅酸盐玻璃制，烧瓶的颈部同一截面应该呈圆形，颈的口部不应呈锥形，并适当提高强度</t>
        </is>
      </c>
      <c r="K136" s="39" t="inlineStr">
        <is>
          <t>乐百仕</t>
        </is>
      </c>
      <c r="L136" s="39" t="inlineStr">
        <is>
          <t>江苏乐百仕教育科技有限公司</t>
        </is>
      </c>
      <c r="M136" s="345" t="n">
        <v>50</v>
      </c>
      <c r="N136" s="345" t="n">
        <v>9</v>
      </c>
      <c r="O136" s="345" t="n">
        <v>450</v>
      </c>
      <c r="P136" s="345" t="inlineStr">
        <is>
          <t>个</t>
        </is>
      </c>
      <c r="Q136" s="345" t="inlineStr"/>
      <c r="R136" s="345" t="inlineStr"/>
      <c r="S136" s="345" t="inlineStr"/>
      <c r="T136" s="345" t="inlineStr"/>
      <c r="U136" s="345" t="n">
        <v>9</v>
      </c>
      <c r="V136" s="345" t="inlineStr"/>
      <c r="W136" s="345" t="n">
        <v>15</v>
      </c>
      <c r="X136" s="345" t="inlineStr"/>
      <c r="Y136" s="345" t="inlineStr">
        <is>
          <t>confirmed</t>
        </is>
      </c>
      <c r="Z136" s="345" t="n">
        <v>100</v>
      </c>
      <c r="AA136" s="345" t="inlineStr">
        <is>
          <t>价格分歧&gt;30%：历史报价分歧较大，需人工核对</t>
        </is>
      </c>
      <c r="AB136" s="345" t="inlineStr">
        <is>
          <t>赛特尔25年.xls｜初中化学｜第106行</t>
        </is>
      </c>
    </row>
    <row r="137" customFormat="1" s="257">
      <c r="A137" s="323" t="n">
        <v>161</v>
      </c>
      <c r="B137" s="31" t="n">
        <v>30602001405</v>
      </c>
      <c r="C137" s="137" t="inlineStr">
        <is>
          <t>三口烧瓶</t>
        </is>
      </c>
      <c r="D137" s="141" t="inlineStr">
        <is>
          <t>250 mL透明硼硅酸盐玻璃制</t>
        </is>
      </c>
      <c r="E137" s="31" t="n">
        <v>5</v>
      </c>
      <c r="F137" s="31" t="inlineStr">
        <is>
          <t>个</t>
        </is>
      </c>
      <c r="G137" s="131">
        <f>_xlfn.DISPIMG("ID_3B39E0C22F9B41D7BC5DFB931CA63CD9",1)</f>
        <v/>
      </c>
      <c r="H137" s="330" t="n"/>
      <c r="I137" s="31" t="n">
        <v>30602001405</v>
      </c>
      <c r="J137" s="33" t="inlineStr">
        <is>
          <t>250 mL透明硼硅酸盐玻璃制</t>
        </is>
      </c>
      <c r="K137" s="39" t="inlineStr">
        <is>
          <t>乐百仕</t>
        </is>
      </c>
      <c r="L137" s="39" t="inlineStr">
        <is>
          <t>江苏乐百仕教育科技有限公司</t>
        </is>
      </c>
      <c r="M137" s="345" t="n">
        <v>5</v>
      </c>
      <c r="N137" s="345" t="n">
        <v>9</v>
      </c>
      <c r="O137" s="345" t="n">
        <v>45</v>
      </c>
      <c r="P137" s="345" t="inlineStr">
        <is>
          <t>个</t>
        </is>
      </c>
      <c r="Q137" s="345" t="inlineStr"/>
      <c r="R137" s="345" t="inlineStr"/>
      <c r="S137" s="345" t="inlineStr"/>
      <c r="T137" s="345" t="inlineStr"/>
      <c r="U137" s="345" t="n">
        <v>9</v>
      </c>
      <c r="V137" s="345" t="inlineStr"/>
      <c r="W137" s="345" t="n">
        <v>15</v>
      </c>
      <c r="X137" s="345" t="inlineStr"/>
      <c r="Y137" s="345" t="inlineStr">
        <is>
          <t>confirmed</t>
        </is>
      </c>
      <c r="Z137" s="345" t="n">
        <v>90</v>
      </c>
      <c r="AA137" s="345" t="inlineStr">
        <is>
          <t>价格分歧&gt;30%：历史报价分歧较大，需人工核对</t>
        </is>
      </c>
      <c r="AB137" s="345" t="inlineStr">
        <is>
          <t>赛特尔25年.xls｜初中化学｜第106行</t>
        </is>
      </c>
    </row>
    <row r="138" customFormat="1" s="195">
      <c r="A138" s="323" t="n">
        <v>162</v>
      </c>
      <c r="B138" s="31" t="n">
        <v>30604000103</v>
      </c>
      <c r="C138" s="137" t="inlineStr">
        <is>
          <t>集气瓶</t>
        </is>
      </c>
      <c r="D138" s="141" t="inlineStr">
        <is>
          <t>125mL，透明钠钙玻璃制，磨砂面应均匀地覆盖瓶口端面与盖板，磨砂面不应有光斑；盖板四角应倒角，四边应磨光盖板与瓶口密合性应符合：盖板与瓶口充分湿润盖合后，倒提瓶体盖板在瓶口上保持30s不脱落</t>
        </is>
      </c>
      <c r="E138" s="131" t="n">
        <v>60</v>
      </c>
      <c r="F138" s="31" t="inlineStr">
        <is>
          <t>个</t>
        </is>
      </c>
      <c r="G138" s="131">
        <f>_xlfn.DISPIMG("ID_149DAD2EF680420CAA1A7FAF8807553A",1)</f>
        <v/>
      </c>
      <c r="H138" s="220" t="n"/>
      <c r="I138" s="31" t="n">
        <v>30604000103</v>
      </c>
      <c r="J138" s="33" t="inlineStr">
        <is>
          <t>125mL，透明钠钙玻璃制，磨砂面应均匀地覆盖瓶口端面与盖板，磨砂面不应有光斑；盖板四角应倒角，四边应磨光盖板与瓶口密合性应符合：盖板与瓶口充分湿润盖合后，倒提瓶体盖板在瓶口上保持30s不脱落</t>
        </is>
      </c>
      <c r="K138" s="39" t="inlineStr">
        <is>
          <t>乐百仕</t>
        </is>
      </c>
      <c r="L138" s="39" t="inlineStr">
        <is>
          <t>江苏乐百仕教育科技有限公司</t>
        </is>
      </c>
      <c r="M138" s="345" t="n">
        <v>60</v>
      </c>
      <c r="N138" s="345" t="n">
        <v>3</v>
      </c>
      <c r="O138" s="345" t="n">
        <v>180</v>
      </c>
      <c r="P138" s="345" t="inlineStr">
        <is>
          <t>个</t>
        </is>
      </c>
      <c r="Q138" s="345" t="inlineStr"/>
      <c r="R138" s="345" t="inlineStr"/>
      <c r="S138" s="345" t="inlineStr"/>
      <c r="T138" s="345" t="inlineStr"/>
      <c r="U138" s="345" t="n">
        <v>4</v>
      </c>
      <c r="V138" s="345" t="inlineStr"/>
      <c r="W138" s="345" t="n">
        <v>8</v>
      </c>
      <c r="X138" s="345" t="inlineStr"/>
      <c r="Y138" s="345" t="inlineStr">
        <is>
          <t>confirmed</t>
        </is>
      </c>
      <c r="Z138" s="345" t="n">
        <v>100</v>
      </c>
      <c r="AA138" s="345" t="inlineStr">
        <is>
          <t>价格分歧&gt;30%：历史报价分歧较大，需人工核对；同分多价：最高分候选存在不同历史价格</t>
        </is>
      </c>
      <c r="AB138" s="345" t="inlineStr">
        <is>
          <t>赛特尔25年.xls｜初中新课标化学｜第90行</t>
        </is>
      </c>
    </row>
    <row r="139" customFormat="1" s="195">
      <c r="A139" s="323" t="n">
        <v>163</v>
      </c>
      <c r="B139" s="31" t="n">
        <v>30604000104</v>
      </c>
      <c r="C139" s="137" t="inlineStr">
        <is>
          <t>集气瓶</t>
        </is>
      </c>
      <c r="D139" s="141" t="inlineStr">
        <is>
          <t>250mL，透明钠钙玻璃制，磨砂面应均匀地覆盖瓶口端面与盖板，磨砂面不应有光斑；盖板四角应倒角，四边应磨光盖板与瓶口密合性应符合：盖板与瓶口充分湿润盖合后，倒提瓶体盖板在瓶口上保持30s不脱落</t>
        </is>
      </c>
      <c r="E139" s="31" t="n">
        <v>20</v>
      </c>
      <c r="F139" s="31" t="inlineStr">
        <is>
          <t>个</t>
        </is>
      </c>
      <c r="G139" s="131">
        <f>_xlfn.DISPIMG("ID_1CB2F8DB5AEC4F0A93A475B52AC5233A",1)</f>
        <v/>
      </c>
      <c r="H139" s="220" t="n"/>
      <c r="I139" s="31" t="n">
        <v>30604000104</v>
      </c>
      <c r="J139" s="33" t="inlineStr">
        <is>
          <t>250mL，透明钠钙玻璃制，磨砂面应均匀地覆盖瓶口端面与盖板，磨砂面不应有光斑；盖板四角应倒角，四边应磨光盖板与瓶口密合性应符合：盖板与瓶口充分湿润盖合后，倒提瓶体盖板在瓶口上保持30s不脱落</t>
        </is>
      </c>
      <c r="K139" s="39" t="inlineStr">
        <is>
          <t>乐百仕</t>
        </is>
      </c>
      <c r="L139" s="39" t="inlineStr">
        <is>
          <t>江苏乐百仕教育科技有限公司</t>
        </is>
      </c>
      <c r="M139" s="345" t="n">
        <v>20</v>
      </c>
      <c r="N139" s="345" t="n">
        <v>3</v>
      </c>
      <c r="O139" s="345" t="n">
        <v>60</v>
      </c>
      <c r="P139" s="345" t="inlineStr">
        <is>
          <t>个</t>
        </is>
      </c>
      <c r="Q139" s="345" t="inlineStr"/>
      <c r="R139" s="345" t="inlineStr"/>
      <c r="S139" s="345" t="inlineStr"/>
      <c r="T139" s="345" t="inlineStr"/>
      <c r="U139" s="345" t="n">
        <v>4</v>
      </c>
      <c r="V139" s="345" t="inlineStr"/>
      <c r="W139" s="345" t="n">
        <v>8</v>
      </c>
      <c r="X139" s="345" t="inlineStr"/>
      <c r="Y139" s="345" t="inlineStr">
        <is>
          <t>confirmed</t>
        </is>
      </c>
      <c r="Z139" s="345" t="n">
        <v>100</v>
      </c>
      <c r="AA139" s="345" t="inlineStr">
        <is>
          <t>价格分歧&gt;30%：历史报价分歧较大，需人工核对；同分多价：最高分候选存在不同历史价格</t>
        </is>
      </c>
      <c r="AB139" s="345" t="inlineStr">
        <is>
          <t>赛特尔25年.xls｜初中新课标化学｜第90行</t>
        </is>
      </c>
    </row>
    <row r="140" customFormat="1" s="257">
      <c r="A140" s="323" t="n">
        <v>164</v>
      </c>
      <c r="B140" s="31" t="n">
        <v>30604000105</v>
      </c>
      <c r="C140" s="137" t="inlineStr">
        <is>
          <t>集气瓶</t>
        </is>
      </c>
      <c r="D140" s="141" t="inlineStr">
        <is>
          <t>500mL，透明钠钙玻璃制，磨砂面应均匀地覆盖瓶口端面与盖板，磨砂面不应有光斑；盖板四角应倒角，四边应磨光盖板与瓶口密合性应符合：盖板与瓶口充分湿润盖合后，倒提瓶体盖板在瓶口上保持31s不脱落</t>
        </is>
      </c>
      <c r="E140" s="131" t="n">
        <v>5</v>
      </c>
      <c r="F140" s="31" t="inlineStr">
        <is>
          <t>个</t>
        </is>
      </c>
      <c r="G140" s="131">
        <f>_xlfn.DISPIMG("ID_9267E6966F744A6ABE137867A2AD5910",1)</f>
        <v/>
      </c>
      <c r="H140" s="330" t="n"/>
      <c r="I140" s="31" t="n">
        <v>30604000105</v>
      </c>
      <c r="J140" s="33" t="inlineStr">
        <is>
          <t>500mL，透明钠钙玻璃制，磨砂面应均匀地覆盖瓶口端面与盖板，磨砂面不应有光斑；盖板四角应倒角，四边应磨光盖板与瓶口密合性应符合：盖板与瓶口充分湿润盖合后，倒提瓶体盖板在瓶口上保持31s不脱落</t>
        </is>
      </c>
      <c r="K140" s="39" t="inlineStr">
        <is>
          <t>乐百仕</t>
        </is>
      </c>
      <c r="L140" s="39" t="inlineStr">
        <is>
          <t>江苏乐百仕教育科技有限公司</t>
        </is>
      </c>
      <c r="M140" s="345" t="n">
        <v>5</v>
      </c>
      <c r="N140" s="345" t="n">
        <v>3</v>
      </c>
      <c r="O140" s="345" t="n">
        <v>15</v>
      </c>
      <c r="P140" s="345" t="inlineStr">
        <is>
          <t>个</t>
        </is>
      </c>
      <c r="Q140" s="345" t="inlineStr"/>
      <c r="R140" s="345" t="inlineStr"/>
      <c r="S140" s="345" t="inlineStr"/>
      <c r="T140" s="345" t="inlineStr"/>
      <c r="U140" s="345" t="n">
        <v>4</v>
      </c>
      <c r="V140" s="345" t="inlineStr"/>
      <c r="W140" s="345" t="n">
        <v>8</v>
      </c>
      <c r="X140" s="345" t="inlineStr"/>
      <c r="Y140" s="345" t="inlineStr">
        <is>
          <t>confirmed</t>
        </is>
      </c>
      <c r="Z140" s="345" t="n">
        <v>100</v>
      </c>
      <c r="AA140" s="345" t="inlineStr">
        <is>
          <t>价格分歧&gt;30%：历史报价分歧较大，需人工核对；同分多价：最高分候选存在不同历史价格</t>
        </is>
      </c>
      <c r="AB140" s="345" t="inlineStr">
        <is>
          <t>赛特尔25年.xls｜初中新课标化学｜第90行</t>
        </is>
      </c>
    </row>
    <row r="141" customFormat="1" s="257">
      <c r="A141" s="323" t="n">
        <v>165</v>
      </c>
      <c r="B141" s="26" t="n">
        <v>30604000204</v>
      </c>
      <c r="C141" s="87" t="inlineStr">
        <is>
          <t>液封除毒气集气瓶</t>
        </is>
      </c>
      <c r="D141" s="141" t="inlineStr">
        <is>
          <t>250ml，瓶口光滑，液封口深度≥1 cm</t>
        </is>
      </c>
      <c r="E141" s="31" t="n">
        <v>5</v>
      </c>
      <c r="F141" s="26" t="inlineStr">
        <is>
          <t>个</t>
        </is>
      </c>
      <c r="G141" s="31">
        <f>_xlfn.DISPIMG("ID_8C16EA159BF0427EBBF2B9E50121A184",1)</f>
        <v/>
      </c>
      <c r="H141" s="330" t="n"/>
      <c r="I141" s="26" t="n">
        <v>30604000204</v>
      </c>
      <c r="J141" s="33" t="inlineStr">
        <is>
          <t>250ml，瓶口光滑，液封口深度≥1 cm</t>
        </is>
      </c>
      <c r="K141" s="39" t="inlineStr">
        <is>
          <t>乐百仕</t>
        </is>
      </c>
      <c r="L141" s="39" t="inlineStr">
        <is>
          <t>江苏乐百仕教育科技有限公司</t>
        </is>
      </c>
      <c r="M141" s="345" t="n">
        <v>5</v>
      </c>
      <c r="N141" s="345" t="n">
        <v>3</v>
      </c>
      <c r="O141" s="345" t="n">
        <v>15</v>
      </c>
      <c r="P141" s="345" t="inlineStr">
        <is>
          <t>个</t>
        </is>
      </c>
      <c r="Q141" s="345" t="inlineStr"/>
      <c r="R141" s="345" t="inlineStr"/>
      <c r="S141" s="345" t="inlineStr"/>
      <c r="T141" s="345" t="inlineStr"/>
      <c r="U141" s="345" t="n">
        <v>4</v>
      </c>
      <c r="V141" s="345" t="inlineStr"/>
      <c r="W141" s="345" t="n">
        <v>8</v>
      </c>
      <c r="X141" s="345" t="inlineStr"/>
      <c r="Y141" s="345" t="inlineStr">
        <is>
          <t>confirmed</t>
        </is>
      </c>
      <c r="Z141" s="345" t="n">
        <v>100</v>
      </c>
      <c r="AA141" s="345" t="inlineStr">
        <is>
          <t>价格分歧&gt;30%：历史报价分歧较大，需人工核对；同分多价：最高分候选存在不同历史价格</t>
        </is>
      </c>
      <c r="AB141" s="345" t="inlineStr">
        <is>
          <t>赛特尔25年.xls｜初中新课标化学｜第90行</t>
        </is>
      </c>
    </row>
    <row r="142" customFormat="1" s="195">
      <c r="A142" s="323" t="n">
        <v>166</v>
      </c>
      <c r="B142" s="26" t="n">
        <v>30604000502</v>
      </c>
      <c r="C142" s="30" t="inlineStr">
        <is>
          <t>广口瓶</t>
        </is>
      </c>
      <c r="D142" s="141" t="inlineStr">
        <is>
          <t>60mL，透明钠钙玻璃制，瓶塞与瓶口紧实，不晃动；口部应圆整光滑，底部应平整，放置平台上不应摇晃或转动</t>
        </is>
      </c>
      <c r="E142" s="31" t="n">
        <v>60</v>
      </c>
      <c r="F142" s="26" t="inlineStr">
        <is>
          <t>个</t>
        </is>
      </c>
      <c r="G142" s="31">
        <f>_xlfn.DISPIMG("ID_79BE3828F1324AFD81D2B40142BD9B12",1)</f>
        <v/>
      </c>
      <c r="H142" s="220" t="n"/>
      <c r="I142" s="26" t="n">
        <v>30604000502</v>
      </c>
      <c r="J142" s="33" t="inlineStr">
        <is>
          <t>60mL，透明钠钙玻璃制，瓶塞与瓶口紧实，不晃动；口部应圆整光滑，底部应平整，放置平台上不应摇晃或转动</t>
        </is>
      </c>
      <c r="K142" s="39" t="inlineStr">
        <is>
          <t>乐百仕</t>
        </is>
      </c>
      <c r="L142" s="39" t="inlineStr">
        <is>
          <t>江苏乐百仕教育科技有限公司</t>
        </is>
      </c>
      <c r="M142" s="345" t="n">
        <v>60</v>
      </c>
      <c r="N142" s="345" t="n">
        <v>2.5</v>
      </c>
      <c r="O142" s="345" t="n">
        <v>150</v>
      </c>
      <c r="P142" s="345" t="inlineStr">
        <is>
          <t>个</t>
        </is>
      </c>
      <c r="Q142" s="345" t="inlineStr"/>
      <c r="R142" s="345" t="inlineStr"/>
      <c r="S142" s="345" t="inlineStr"/>
      <c r="T142" s="345" t="inlineStr"/>
      <c r="U142" s="345" t="n">
        <v>3</v>
      </c>
      <c r="V142" s="345" t="inlineStr"/>
      <c r="W142" s="345" t="n">
        <v>3</v>
      </c>
      <c r="X142" s="345" t="inlineStr"/>
      <c r="Y142" s="345" t="inlineStr">
        <is>
          <t>confirmed</t>
        </is>
      </c>
      <c r="Z142" s="345" t="n">
        <v>100</v>
      </c>
      <c r="AA142" s="345" t="inlineStr">
        <is>
          <t>同分多价：最高分候选存在不同历史价格</t>
        </is>
      </c>
      <c r="AB142" s="345" t="inlineStr">
        <is>
          <t>赛特尔25年.xls｜初中化学｜第134行</t>
        </is>
      </c>
    </row>
    <row r="143" customFormat="1" s="195">
      <c r="A143" s="323" t="n">
        <v>167</v>
      </c>
      <c r="B143" s="26" t="n">
        <v>30604000503</v>
      </c>
      <c r="C143" s="30" t="inlineStr">
        <is>
          <t>广口瓶</t>
        </is>
      </c>
      <c r="D143" s="141" t="inlineStr">
        <is>
          <t>125mL，透明钠钙玻璃制，瓶塞与瓶口紧实，不晃动；口部应圆整光滑，底部应平整，放置平台上不应摇晃或转动</t>
        </is>
      </c>
      <c r="E143" s="31" t="n">
        <v>60</v>
      </c>
      <c r="F143" s="26" t="inlineStr">
        <is>
          <t>个</t>
        </is>
      </c>
      <c r="G143" s="31">
        <f>_xlfn.DISPIMG("ID_E122900CBE4D438A97F83EDCBE7593C7",1)</f>
        <v/>
      </c>
      <c r="H143" s="220" t="n"/>
      <c r="I143" s="26" t="n">
        <v>30604000503</v>
      </c>
      <c r="J143" s="33" t="inlineStr">
        <is>
          <t>125mL，透明钠钙玻璃制，瓶塞与瓶口紧实，不晃动；口部应圆整光滑，底部应平整，放置平台上不应摇晃或转动</t>
        </is>
      </c>
      <c r="K143" s="39" t="inlineStr">
        <is>
          <t>乐百仕</t>
        </is>
      </c>
      <c r="L143" s="39" t="inlineStr">
        <is>
          <t>江苏乐百仕教育科技有限公司</t>
        </is>
      </c>
      <c r="M143" s="345" t="n">
        <v>60</v>
      </c>
      <c r="N143" s="345" t="n">
        <v>3.5</v>
      </c>
      <c r="O143" s="345" t="n">
        <v>210</v>
      </c>
      <c r="P143" s="345" t="inlineStr">
        <is>
          <t>个</t>
        </is>
      </c>
      <c r="Q143" s="345" t="inlineStr"/>
      <c r="R143" s="345" t="inlineStr"/>
      <c r="S143" s="345" t="inlineStr"/>
      <c r="T143" s="345" t="inlineStr"/>
      <c r="U143" s="345" t="n">
        <v>3.5</v>
      </c>
      <c r="V143" s="345" t="inlineStr"/>
      <c r="W143" s="345" t="n">
        <v>4</v>
      </c>
      <c r="X143" s="345" t="inlineStr"/>
      <c r="Y143" s="345" t="inlineStr">
        <is>
          <t>confirmed</t>
        </is>
      </c>
      <c r="Z143" s="345" t="n">
        <v>100</v>
      </c>
      <c r="AA143" s="345" t="inlineStr"/>
      <c r="AB143" s="345" t="inlineStr">
        <is>
          <t>赛特尔25年.xls｜初中生物｜第233行</t>
        </is>
      </c>
    </row>
    <row r="144" customFormat="1" s="195">
      <c r="A144" s="323" t="n">
        <v>168</v>
      </c>
      <c r="B144" s="26" t="n">
        <v>30604000504</v>
      </c>
      <c r="C144" s="30" t="inlineStr">
        <is>
          <t>广口瓶</t>
        </is>
      </c>
      <c r="D144" s="141" t="inlineStr">
        <is>
          <t>250mL，透明钠钙玻璃制，瓶塞与瓶口紧实，不晃动；口部应圆整光滑，底部应平整，放置平台上不应摇晃或转动</t>
        </is>
      </c>
      <c r="E144" s="31" t="n">
        <v>50</v>
      </c>
      <c r="F144" s="26" t="inlineStr">
        <is>
          <t>个</t>
        </is>
      </c>
      <c r="G144" s="31">
        <f>_xlfn.DISPIMG("ID_35A95E728C77494195AD96BBA2C169A3",1)</f>
        <v/>
      </c>
      <c r="H144" s="220" t="n"/>
      <c r="I144" s="26" t="n">
        <v>30604000504</v>
      </c>
      <c r="J144" s="33" t="inlineStr">
        <is>
          <t>250mL，透明钠钙玻璃制，瓶塞与瓶口紧实，不晃动；口部应圆整光滑，底部应平整，放置平台上不应摇晃或转动</t>
        </is>
      </c>
      <c r="K144" s="39" t="inlineStr">
        <is>
          <t>乐百仕</t>
        </is>
      </c>
      <c r="L144" s="39" t="inlineStr">
        <is>
          <t>江苏乐百仕教育科技有限公司</t>
        </is>
      </c>
      <c r="M144" s="345" t="n">
        <v>50</v>
      </c>
      <c r="N144" s="345" t="n">
        <v>4.5</v>
      </c>
      <c r="O144" s="345" t="n">
        <v>225</v>
      </c>
      <c r="P144" s="345" t="inlineStr">
        <is>
          <t>个</t>
        </is>
      </c>
      <c r="Q144" s="345" t="inlineStr"/>
      <c r="R144" s="345" t="inlineStr"/>
      <c r="S144" s="345" t="inlineStr"/>
      <c r="T144" s="345" t="inlineStr"/>
      <c r="U144" s="345" t="n">
        <v>4.5</v>
      </c>
      <c r="V144" s="345" t="inlineStr"/>
      <c r="W144" s="345" t="n">
        <v>5</v>
      </c>
      <c r="X144" s="345" t="inlineStr"/>
      <c r="Y144" s="345" t="inlineStr">
        <is>
          <t>confirmed</t>
        </is>
      </c>
      <c r="Z144" s="345" t="n">
        <v>100</v>
      </c>
      <c r="AA144" s="345" t="inlineStr"/>
      <c r="AB144" s="345" t="inlineStr">
        <is>
          <t>赛特尔25年.xls｜初中化学｜第136行</t>
        </is>
      </c>
    </row>
    <row r="145" customFormat="1" s="195">
      <c r="A145" s="323" t="n">
        <v>169</v>
      </c>
      <c r="B145" s="26" t="n">
        <v>30604000505</v>
      </c>
      <c r="C145" s="30" t="inlineStr">
        <is>
          <t>广口瓶</t>
        </is>
      </c>
      <c r="D145" s="141" t="inlineStr">
        <is>
          <t>500mL，透明钠钙玻璃制，瓶塞与瓶口紧实，不晃动；口部应圆整光滑，底部应平整，放置平台上不应摇晃或转动</t>
        </is>
      </c>
      <c r="E145" s="31" t="n">
        <v>15</v>
      </c>
      <c r="F145" s="26" t="inlineStr">
        <is>
          <t>个</t>
        </is>
      </c>
      <c r="G145" s="31">
        <f>_xlfn.DISPIMG("ID_83AA283CDFE64428B0E323D98C8F5B48",1)</f>
        <v/>
      </c>
      <c r="H145" s="220" t="n"/>
      <c r="I145" s="26" t="n">
        <v>30604000505</v>
      </c>
      <c r="J145" s="33" t="inlineStr">
        <is>
          <t>500mL，透明钠钙玻璃制，瓶塞与瓶口紧实，不晃动；口部应圆整光滑，底部应平整，放置平台上不应摇晃或转动</t>
        </is>
      </c>
      <c r="K145" s="39" t="inlineStr">
        <is>
          <t>乐百仕</t>
        </is>
      </c>
      <c r="L145" s="39" t="inlineStr">
        <is>
          <t>江苏乐百仕教育科技有限公司</t>
        </is>
      </c>
      <c r="M145" s="345" t="n">
        <v>15</v>
      </c>
      <c r="N145" s="345" t="n">
        <v>3.5</v>
      </c>
      <c r="O145" s="345" t="n">
        <v>52.5</v>
      </c>
      <c r="P145" s="345" t="inlineStr">
        <is>
          <t>个</t>
        </is>
      </c>
      <c r="Q145" s="345" t="inlineStr"/>
      <c r="R145" s="345" t="inlineStr"/>
      <c r="S145" s="345" t="inlineStr"/>
      <c r="T145" s="345" t="inlineStr"/>
      <c r="U145" s="345" t="n">
        <v>4.5</v>
      </c>
      <c r="V145" s="345" t="inlineStr"/>
      <c r="W145" s="345" t="n">
        <v>6</v>
      </c>
      <c r="X145" s="345" t="inlineStr"/>
      <c r="Y145" s="345" t="inlineStr">
        <is>
          <t>confirmed</t>
        </is>
      </c>
      <c r="Z145" s="345" t="n">
        <v>100</v>
      </c>
      <c r="AA145" s="345" t="inlineStr">
        <is>
          <t>价格分歧&gt;30%：历史报价分歧较大，需人工核对；同分多价：最高分候选存在不同历史价格</t>
        </is>
      </c>
      <c r="AB145" s="345" t="inlineStr">
        <is>
          <t>赛特尔25年.xls｜初中新课标生物｜第104行</t>
        </is>
      </c>
    </row>
    <row r="146" customFormat="1" s="195">
      <c r="A146" s="323" t="n">
        <v>170</v>
      </c>
      <c r="B146" s="26" t="n">
        <v>30604000512</v>
      </c>
      <c r="C146" s="30" t="inlineStr">
        <is>
          <t>茶色广口瓶</t>
        </is>
      </c>
      <c r="D146" s="141" t="inlineStr">
        <is>
          <t>60mL，黄棕色钠钙玻璃制，瓶塞与瓶口紧实，不晃动；口部应圆整光滑，底部应平整，放置平台上不应摇晃或转动</t>
        </is>
      </c>
      <c r="E146" s="31" t="n">
        <v>50</v>
      </c>
      <c r="F146" s="26" t="inlineStr">
        <is>
          <t>个</t>
        </is>
      </c>
      <c r="G146" s="31">
        <f>_xlfn.DISPIMG("ID_30F29E5E1BE2475FA68BB5BFF560B148",1)</f>
        <v/>
      </c>
      <c r="H146" s="220" t="n"/>
      <c r="I146" s="26" t="n">
        <v>30604000512</v>
      </c>
      <c r="J146" s="33" t="inlineStr">
        <is>
          <t>60mL，黄棕色钠钙玻璃制，瓶塞与瓶口紧实，不晃动；口部应圆整光滑，底部应平整，放置平台上不应摇晃或转动</t>
        </is>
      </c>
      <c r="K146" s="39" t="inlineStr">
        <is>
          <t>乐百仕</t>
        </is>
      </c>
      <c r="L146" s="39" t="inlineStr">
        <is>
          <t>江苏乐百仕教育科技有限公司</t>
        </is>
      </c>
      <c r="M146" s="345" t="n">
        <v>50</v>
      </c>
      <c r="N146" s="345" t="n">
        <v>2.5</v>
      </c>
      <c r="O146" s="345" t="n">
        <v>125</v>
      </c>
      <c r="P146" s="345" t="inlineStr">
        <is>
          <t>个</t>
        </is>
      </c>
      <c r="Q146" s="345" t="inlineStr"/>
      <c r="R146" s="345" t="inlineStr"/>
      <c r="S146" s="345" t="inlineStr"/>
      <c r="T146" s="345" t="inlineStr"/>
      <c r="U146" s="345" t="n">
        <v>3</v>
      </c>
      <c r="V146" s="345" t="inlineStr"/>
      <c r="W146" s="345" t="n">
        <v>3</v>
      </c>
      <c r="X146" s="345" t="inlineStr"/>
      <c r="Y146" s="345" t="inlineStr">
        <is>
          <t>confirmed</t>
        </is>
      </c>
      <c r="Z146" s="345" t="n">
        <v>100</v>
      </c>
      <c r="AA146" s="345" t="inlineStr">
        <is>
          <t>同分多价：最高分候选存在不同历史价格</t>
        </is>
      </c>
      <c r="AB146" s="345" t="inlineStr">
        <is>
          <t>赛特尔25年.xls｜初中化学｜第134行</t>
        </is>
      </c>
    </row>
    <row r="147" customFormat="1" s="195">
      <c r="A147" s="323" t="n">
        <v>171</v>
      </c>
      <c r="B147" s="26" t="n">
        <v>30604000513</v>
      </c>
      <c r="C147" s="30" t="inlineStr">
        <is>
          <t>茶色广口瓶</t>
        </is>
      </c>
      <c r="D147" s="141" t="inlineStr">
        <is>
          <t>125mL，黄棕色钠钙玻璃制，瓶塞与瓶口紧实，不晃动；口部应圆整光滑，底部应平整，放置平台上不应摇晃或转动</t>
        </is>
      </c>
      <c r="E147" s="31" t="n">
        <v>25</v>
      </c>
      <c r="F147" s="26" t="inlineStr">
        <is>
          <t>个</t>
        </is>
      </c>
      <c r="G147" s="31">
        <f>_xlfn.DISPIMG("ID_763E21F2D9FC4E118FE92CA5C477519C",1)</f>
        <v/>
      </c>
      <c r="H147" s="220" t="n"/>
      <c r="I147" s="26" t="n">
        <v>30604000513</v>
      </c>
      <c r="J147" s="33" t="inlineStr">
        <is>
          <t>125mL，黄棕色钠钙玻璃制，瓶塞与瓶口紧实，不晃动；口部应圆整光滑，底部应平整，放置平台上不应摇晃或转动</t>
        </is>
      </c>
      <c r="K147" s="39" t="inlineStr">
        <is>
          <t>乐百仕</t>
        </is>
      </c>
      <c r="L147" s="39" t="inlineStr">
        <is>
          <t>江苏乐百仕教育科技有限公司</t>
        </is>
      </c>
      <c r="M147" s="345" t="n">
        <v>25</v>
      </c>
      <c r="N147" s="345" t="n">
        <v>3.5</v>
      </c>
      <c r="O147" s="345" t="n">
        <v>87.5</v>
      </c>
      <c r="P147" s="345" t="inlineStr">
        <is>
          <t>个</t>
        </is>
      </c>
      <c r="Q147" s="345" t="inlineStr"/>
      <c r="R147" s="345" t="inlineStr"/>
      <c r="S147" s="345" t="inlineStr"/>
      <c r="T147" s="345" t="inlineStr"/>
      <c r="U147" s="345" t="n">
        <v>3.5</v>
      </c>
      <c r="V147" s="345" t="inlineStr"/>
      <c r="W147" s="345" t="n">
        <v>4</v>
      </c>
      <c r="X147" s="345" t="inlineStr"/>
      <c r="Y147" s="345" t="inlineStr">
        <is>
          <t>confirmed</t>
        </is>
      </c>
      <c r="Z147" s="345" t="n">
        <v>100</v>
      </c>
      <c r="AA147" s="345" t="inlineStr"/>
      <c r="AB147" s="345" t="inlineStr">
        <is>
          <t>赛特尔25年.xls｜初中生物｜第233行</t>
        </is>
      </c>
    </row>
    <row r="148" customFormat="1" s="195">
      <c r="A148" s="323" t="n">
        <v>172</v>
      </c>
      <c r="B148" s="26" t="n">
        <v>30604000514</v>
      </c>
      <c r="C148" s="30" t="inlineStr">
        <is>
          <t>茶色广口瓶</t>
        </is>
      </c>
      <c r="D148" s="141" t="inlineStr">
        <is>
          <t>250mL，黄棕色钠钙玻璃制，瓶塞与瓶口紧实，不晃动；口部应圆整光滑，底部应平整，放置平台上不应摇晃或转动</t>
        </is>
      </c>
      <c r="E148" s="31" t="n">
        <v>25</v>
      </c>
      <c r="F148" s="26" t="inlineStr">
        <is>
          <t>个</t>
        </is>
      </c>
      <c r="G148" s="31">
        <f>_xlfn.DISPIMG("ID_CC2190A3CC604E5A9D18FD78D2E7CE1C",1)</f>
        <v/>
      </c>
      <c r="H148" s="220" t="n"/>
      <c r="I148" s="26" t="n">
        <v>30604000514</v>
      </c>
      <c r="J148" s="33" t="inlineStr">
        <is>
          <t>250mL，黄棕色钠钙玻璃制，瓶塞与瓶口紧实，不晃动；口部应圆整光滑，底部应平整，放置平台上不应摇晃或转动</t>
        </is>
      </c>
      <c r="K148" s="39" t="inlineStr">
        <is>
          <t>乐百仕</t>
        </is>
      </c>
      <c r="L148" s="39" t="inlineStr">
        <is>
          <t>江苏乐百仕教育科技有限公司</t>
        </is>
      </c>
      <c r="M148" s="345" t="n">
        <v>25</v>
      </c>
      <c r="N148" s="345" t="n">
        <v>4.5</v>
      </c>
      <c r="O148" s="345" t="n">
        <v>112.5</v>
      </c>
      <c r="P148" s="345" t="inlineStr">
        <is>
          <t>个</t>
        </is>
      </c>
      <c r="Q148" s="345" t="inlineStr"/>
      <c r="R148" s="345" t="inlineStr"/>
      <c r="S148" s="345" t="inlineStr"/>
      <c r="T148" s="345" t="inlineStr"/>
      <c r="U148" s="345" t="n">
        <v>4.5</v>
      </c>
      <c r="V148" s="345" t="inlineStr"/>
      <c r="W148" s="345" t="n">
        <v>5</v>
      </c>
      <c r="X148" s="345" t="inlineStr"/>
      <c r="Y148" s="345" t="inlineStr">
        <is>
          <t>confirmed</t>
        </is>
      </c>
      <c r="Z148" s="345" t="n">
        <v>100</v>
      </c>
      <c r="AA148" s="345" t="inlineStr"/>
      <c r="AB148" s="345" t="inlineStr">
        <is>
          <t>赛特尔25年.xls｜初中化学｜第136行</t>
        </is>
      </c>
    </row>
    <row r="149" customFormat="1" s="195">
      <c r="A149" s="323" t="n">
        <v>173</v>
      </c>
      <c r="B149" s="26" t="n">
        <v>30604000602</v>
      </c>
      <c r="C149" s="30" t="inlineStr">
        <is>
          <t>细口瓶</t>
        </is>
      </c>
      <c r="D149" s="141" t="inlineStr">
        <is>
          <t>60mL，透明钠钙玻璃制，瓶塞与瓶口紧实，不晃动；口部应圆整光滑，底部应平整，放置平台上不应摇晃或转动</t>
        </is>
      </c>
      <c r="E149" s="31" t="n">
        <v>50</v>
      </c>
      <c r="F149" s="26" t="inlineStr">
        <is>
          <t>个</t>
        </is>
      </c>
      <c r="G149" s="31">
        <f>_xlfn.DISPIMG("ID_189EE0AA1A4644A1813B6FFE37B08C00",1)</f>
        <v/>
      </c>
      <c r="H149" s="220" t="n"/>
      <c r="I149" s="26" t="n">
        <v>30604000602</v>
      </c>
      <c r="J149" s="33" t="inlineStr">
        <is>
          <t>60mL，透明钠钙玻璃制，瓶塞与瓶口紧实，不晃动；口部应圆整光滑，底部应平整，放置平台上不应摇晃或转动</t>
        </is>
      </c>
      <c r="K149" s="39" t="inlineStr">
        <is>
          <t>乐百仕</t>
        </is>
      </c>
      <c r="L149" s="39" t="inlineStr">
        <is>
          <t>江苏乐百仕教育科技有限公司</t>
        </is>
      </c>
      <c r="M149" s="345" t="n">
        <v>50</v>
      </c>
      <c r="N149" s="345" t="n">
        <v>2.5</v>
      </c>
      <c r="O149" s="345" t="n">
        <v>125</v>
      </c>
      <c r="P149" s="345" t="inlineStr">
        <is>
          <t>个</t>
        </is>
      </c>
      <c r="Q149" s="345" t="inlineStr"/>
      <c r="R149" s="345" t="inlineStr"/>
      <c r="S149" s="345" t="inlineStr"/>
      <c r="T149" s="345" t="inlineStr"/>
      <c r="U149" s="345" t="n">
        <v>3</v>
      </c>
      <c r="V149" s="345" t="inlineStr"/>
      <c r="W149" s="345" t="n">
        <v>3</v>
      </c>
      <c r="X149" s="345" t="inlineStr"/>
      <c r="Y149" s="345" t="inlineStr">
        <is>
          <t>confirmed</t>
        </is>
      </c>
      <c r="Z149" s="345" t="n">
        <v>100</v>
      </c>
      <c r="AA149" s="345" t="inlineStr">
        <is>
          <t>同分多价：最高分候选存在不同历史价格</t>
        </is>
      </c>
      <c r="AB149" s="345" t="inlineStr">
        <is>
          <t>赛特尔25年.xls｜初中化学｜第141行</t>
        </is>
      </c>
    </row>
    <row r="150" customFormat="1" s="195">
      <c r="A150" s="323" t="n">
        <v>174</v>
      </c>
      <c r="B150" s="26" t="n">
        <v>30604000603</v>
      </c>
      <c r="C150" s="30" t="inlineStr">
        <is>
          <t>细口瓶</t>
        </is>
      </c>
      <c r="D150" s="141" t="inlineStr">
        <is>
          <t>125mL，透明钠钙玻璃制，瓶塞与瓶口紧实，不晃动；口部应圆整光滑，底部应平整，放置平台上不应摇晃或转动</t>
        </is>
      </c>
      <c r="E150" s="31" t="n">
        <v>50</v>
      </c>
      <c r="F150" s="26" t="inlineStr">
        <is>
          <t>个</t>
        </is>
      </c>
      <c r="G150" s="31">
        <f>_xlfn.DISPIMG("ID_7327B075933048399F056B3AA6EE4FDD",1)</f>
        <v/>
      </c>
      <c r="H150" s="220" t="n"/>
      <c r="I150" s="26" t="n">
        <v>30604000603</v>
      </c>
      <c r="J150" s="33" t="inlineStr">
        <is>
          <t>125mL，透明钠钙玻璃制，瓶塞与瓶口紧实，不晃动；口部应圆整光滑，底部应平整，放置平台上不应摇晃或转动</t>
        </is>
      </c>
      <c r="K150" s="39" t="inlineStr">
        <is>
          <t>乐百仕</t>
        </is>
      </c>
      <c r="L150" s="39" t="inlineStr">
        <is>
          <t>江苏乐百仕教育科技有限公司</t>
        </is>
      </c>
      <c r="M150" s="345" t="n">
        <v>50</v>
      </c>
      <c r="N150" s="345" t="n">
        <v>3.5</v>
      </c>
      <c r="O150" s="345" t="n">
        <v>175</v>
      </c>
      <c r="P150" s="345" t="inlineStr">
        <is>
          <t>个</t>
        </is>
      </c>
      <c r="Q150" s="345" t="inlineStr"/>
      <c r="R150" s="345" t="inlineStr"/>
      <c r="S150" s="345" t="inlineStr"/>
      <c r="T150" s="345" t="inlineStr"/>
      <c r="U150" s="345" t="n">
        <v>4.5</v>
      </c>
      <c r="V150" s="345" t="inlineStr"/>
      <c r="W150" s="345" t="n">
        <v>4.5</v>
      </c>
      <c r="X150" s="345" t="inlineStr"/>
      <c r="Y150" s="345" t="inlineStr">
        <is>
          <t>confirmed</t>
        </is>
      </c>
      <c r="Z150" s="345" t="n">
        <v>100</v>
      </c>
      <c r="AA150" s="345" t="inlineStr">
        <is>
          <t>价格分歧&gt;30%：历史报价分歧较大，需人工核对；同分多价：最高分候选存在不同历史价格</t>
        </is>
      </c>
      <c r="AB150" s="345" t="inlineStr">
        <is>
          <t>赛特尔25年.xls｜初中化学｜第142行</t>
        </is>
      </c>
    </row>
    <row r="151" customFormat="1" s="195">
      <c r="A151" s="323" t="n">
        <v>175</v>
      </c>
      <c r="B151" s="26" t="n">
        <v>30604000604</v>
      </c>
      <c r="C151" s="30" t="inlineStr">
        <is>
          <t>细口瓶</t>
        </is>
      </c>
      <c r="D151" s="141" t="inlineStr">
        <is>
          <t>250mL，透明钠钙玻璃制，瓶塞与瓶口紧实，不晃动；口部应圆整光滑，底部应平整，放置平台上不应摇晃或转动</t>
        </is>
      </c>
      <c r="E151" s="31" t="n">
        <v>50</v>
      </c>
      <c r="F151" s="26" t="inlineStr">
        <is>
          <t>个</t>
        </is>
      </c>
      <c r="G151" s="31">
        <f>_xlfn.DISPIMG("ID_DB6B6628918F414B9DADFAD3B69AF9B3",1)</f>
        <v/>
      </c>
      <c r="H151" s="220" t="n"/>
      <c r="I151" s="26" t="n">
        <v>30604000604</v>
      </c>
      <c r="J151" s="33" t="inlineStr">
        <is>
          <t>250mL，透明钠钙玻璃制，瓶塞与瓶口紧实，不晃动；口部应圆整光滑，底部应平整，放置平台上不应摇晃或转动</t>
        </is>
      </c>
      <c r="K151" s="39" t="inlineStr">
        <is>
          <t>乐百仕</t>
        </is>
      </c>
      <c r="L151" s="39" t="inlineStr">
        <is>
          <t>江苏乐百仕教育科技有限公司</t>
        </is>
      </c>
      <c r="M151" s="345" t="n">
        <v>50</v>
      </c>
      <c r="N151" s="345" t="n">
        <v>4.5</v>
      </c>
      <c r="O151" s="345" t="n">
        <v>225</v>
      </c>
      <c r="P151" s="345" t="inlineStr">
        <is>
          <t>个</t>
        </is>
      </c>
      <c r="Q151" s="345" t="inlineStr"/>
      <c r="R151" s="345" t="inlineStr"/>
      <c r="S151" s="345" t="inlineStr"/>
      <c r="T151" s="345" t="inlineStr"/>
      <c r="U151" s="345" t="n">
        <v>4.5</v>
      </c>
      <c r="V151" s="345" t="inlineStr"/>
      <c r="W151" s="345" t="n">
        <v>5</v>
      </c>
      <c r="X151" s="345" t="inlineStr"/>
      <c r="Y151" s="345" t="inlineStr">
        <is>
          <t>confirmed</t>
        </is>
      </c>
      <c r="Z151" s="345" t="n">
        <v>100</v>
      </c>
      <c r="AA151" s="345" t="inlineStr"/>
      <c r="AB151" s="345" t="inlineStr">
        <is>
          <t>赛特尔25年.xls｜初中生物｜第235行</t>
        </is>
      </c>
    </row>
    <row r="152" customFormat="1" s="195">
      <c r="A152" s="323" t="n">
        <v>176</v>
      </c>
      <c r="B152" s="26" t="n">
        <v>30604000605</v>
      </c>
      <c r="C152" s="30" t="inlineStr">
        <is>
          <t>细口瓶</t>
        </is>
      </c>
      <c r="D152" s="141" t="inlineStr">
        <is>
          <t>500mL，透明钠钙玻璃制，瓶塞与瓶口紧实，不晃动；口部应圆整光滑，底部应平整，放置平台上不应摇晃或转动</t>
        </is>
      </c>
      <c r="E152" s="31" t="n">
        <v>25</v>
      </c>
      <c r="F152" s="26" t="inlineStr">
        <is>
          <t>个</t>
        </is>
      </c>
      <c r="G152" s="31">
        <f>_xlfn.DISPIMG("ID_78447A4941C34A4DA12867C9D5914FE7",1)</f>
        <v/>
      </c>
      <c r="H152" s="220" t="n"/>
      <c r="I152" s="26" t="n">
        <v>30604000605</v>
      </c>
      <c r="J152" s="33" t="inlineStr">
        <is>
          <t>500mL，透明钠钙玻璃制，瓶塞与瓶口紧实，不晃动；口部应圆整光滑，底部应平整，放置平台上不应摇晃或转动</t>
        </is>
      </c>
      <c r="K152" s="39" t="inlineStr">
        <is>
          <t>乐百仕</t>
        </is>
      </c>
      <c r="L152" s="39" t="inlineStr">
        <is>
          <t>江苏乐百仕教育科技有限公司</t>
        </is>
      </c>
      <c r="M152" s="345" t="n">
        <v>25</v>
      </c>
      <c r="N152" s="345" t="n">
        <v>4.5</v>
      </c>
      <c r="O152" s="345" t="n">
        <v>112.5</v>
      </c>
      <c r="P152" s="345" t="inlineStr">
        <is>
          <t>个</t>
        </is>
      </c>
      <c r="Q152" s="345" t="inlineStr"/>
      <c r="R152" s="345" t="inlineStr"/>
      <c r="S152" s="345" t="inlineStr"/>
      <c r="T152" s="345" t="inlineStr"/>
      <c r="U152" s="345" t="n">
        <v>6</v>
      </c>
      <c r="V152" s="345" t="inlineStr"/>
      <c r="W152" s="345" t="n">
        <v>17.5</v>
      </c>
      <c r="X152" s="345" t="inlineStr"/>
      <c r="Y152" s="345" t="inlineStr">
        <is>
          <t>confirmed</t>
        </is>
      </c>
      <c r="Z152" s="345" t="n">
        <v>100</v>
      </c>
      <c r="AA152" s="345" t="inlineStr">
        <is>
          <t>价格分歧&gt;30%：历史报价分歧较大，需人工核对；同分多价：最高分候选存在不同历史价格</t>
        </is>
      </c>
      <c r="AB152" s="345" t="inlineStr">
        <is>
          <t>赛特尔25年.xls｜初中新课标生物｜第106行</t>
        </is>
      </c>
    </row>
    <row r="153" customFormat="1" s="195">
      <c r="A153" s="323" t="n">
        <v>177</v>
      </c>
      <c r="B153" s="26" t="n">
        <v>30604000606</v>
      </c>
      <c r="C153" s="30" t="inlineStr">
        <is>
          <t>细口瓶</t>
        </is>
      </c>
      <c r="D153" s="141" t="inlineStr">
        <is>
          <t>1000mL，透明钠钙玻璃制，瓶塞与瓶口紧实，不晃动；口部应圆整光滑，底部应平整，放置平台上不应摇晃或转动</t>
        </is>
      </c>
      <c r="E153" s="31" t="n">
        <v>25</v>
      </c>
      <c r="F153" s="26" t="inlineStr">
        <is>
          <t>个</t>
        </is>
      </c>
      <c r="G153" s="31">
        <f>_xlfn.DISPIMG("ID_7456C4B025184839876422C0EFDC41D7",1)</f>
        <v/>
      </c>
      <c r="H153" s="220" t="n"/>
      <c r="I153" s="26" t="n">
        <v>30604000606</v>
      </c>
      <c r="J153" s="33" t="inlineStr">
        <is>
          <t>1000mL，透明钠钙玻璃制，瓶塞与瓶口紧实，不晃动；口部应圆整光滑，底部应平整，放置平台上不应摇晃或转动</t>
        </is>
      </c>
      <c r="K153" s="39" t="inlineStr">
        <is>
          <t>乐百仕</t>
        </is>
      </c>
      <c r="L153" s="39" t="inlineStr">
        <is>
          <t>江苏乐百仕教育科技有限公司</t>
        </is>
      </c>
      <c r="M153" s="345" t="n">
        <v>25</v>
      </c>
      <c r="N153" s="345" t="n">
        <v>10</v>
      </c>
      <c r="O153" s="345" t="n">
        <v>250</v>
      </c>
      <c r="P153" s="345" t="inlineStr">
        <is>
          <t>个</t>
        </is>
      </c>
      <c r="Q153" s="345" t="inlineStr"/>
      <c r="R153" s="345" t="inlineStr"/>
      <c r="S153" s="345" t="inlineStr"/>
      <c r="T153" s="345" t="inlineStr"/>
      <c r="U153" s="345" t="n">
        <v>10</v>
      </c>
      <c r="V153" s="345" t="inlineStr"/>
      <c r="W153" s="345" t="n">
        <v>11</v>
      </c>
      <c r="X153" s="345" t="inlineStr"/>
      <c r="Y153" s="345" t="inlineStr">
        <is>
          <t>confirmed</t>
        </is>
      </c>
      <c r="Z153" s="345" t="n">
        <v>100</v>
      </c>
      <c r="AA153" s="345" t="inlineStr"/>
      <c r="AB153" s="345" t="inlineStr">
        <is>
          <t>赛特尔25年.xls｜初中化学｜第145行</t>
        </is>
      </c>
    </row>
    <row r="154" customFormat="1" s="195">
      <c r="A154" s="323" t="n">
        <v>178</v>
      </c>
      <c r="B154" s="26" t="n">
        <v>30604000608</v>
      </c>
      <c r="C154" s="30" t="inlineStr">
        <is>
          <t>细口瓶</t>
        </is>
      </c>
      <c r="D154" s="141" t="inlineStr">
        <is>
          <t>2500mL，透明钠钙玻璃制，瓶塞与瓶口紧实，不晃动；口部应圆整光滑，底部应平整，放置平台上不应摇晃或转动</t>
        </is>
      </c>
      <c r="E154" s="31" t="n">
        <v>2</v>
      </c>
      <c r="F154" s="26" t="inlineStr">
        <is>
          <t>个</t>
        </is>
      </c>
      <c r="G154" s="31">
        <f>_xlfn.DISPIMG("ID_65A68856B7764A5E92D73BB7380B165B",1)</f>
        <v/>
      </c>
      <c r="H154" s="220" t="n"/>
      <c r="I154" s="26" t="n">
        <v>30604000608</v>
      </c>
      <c r="J154" s="33" t="inlineStr">
        <is>
          <t>2500mL，透明钠钙玻璃制，瓶塞与瓶口紧实，不晃动；口部应圆整光滑，底部应平整，放置平台上不应摇晃或转动</t>
        </is>
      </c>
      <c r="K154" s="39" t="inlineStr">
        <is>
          <t>乐百仕</t>
        </is>
      </c>
      <c r="L154" s="39" t="inlineStr">
        <is>
          <t>江苏乐百仕教育科技有限公司</t>
        </is>
      </c>
      <c r="M154" s="345" t="n">
        <v>2</v>
      </c>
      <c r="N154" s="345" t="n">
        <v>3</v>
      </c>
      <c r="O154" s="345" t="n">
        <v>6</v>
      </c>
      <c r="P154" s="345" t="inlineStr">
        <is>
          <t>个</t>
        </is>
      </c>
      <c r="Q154" s="345" t="inlineStr"/>
      <c r="R154" s="345" t="inlineStr"/>
      <c r="S154" s="345" t="inlineStr"/>
      <c r="T154" s="345" t="inlineStr"/>
      <c r="U154" s="345" t="inlineStr"/>
      <c r="V154" s="345" t="inlineStr"/>
      <c r="W154" s="345" t="inlineStr"/>
      <c r="X154" s="345" t="inlineStr"/>
      <c r="Y154" s="345" t="inlineStr">
        <is>
          <t>confirmed</t>
        </is>
      </c>
      <c r="Z154" s="345" t="n">
        <v>0</v>
      </c>
      <c r="AA154" s="345" t="inlineStr">
        <is>
          <t>匹配到商品档案但无历史价格记录</t>
        </is>
      </c>
      <c r="AB154" s="345" t="inlineStr">
        <is>
          <t>赛特尔25年.xls｜初中化学｜第147行</t>
        </is>
      </c>
    </row>
    <row r="155" customFormat="1" s="195">
      <c r="A155" s="323" t="n">
        <v>179</v>
      </c>
      <c r="B155" s="26" t="n">
        <v>30604000612</v>
      </c>
      <c r="C155" s="30" t="inlineStr">
        <is>
          <t>茶色细口瓶</t>
        </is>
      </c>
      <c r="D155" s="141" t="inlineStr">
        <is>
          <t>60mL，黄棕色钠钙玻璃制，瓶塞与瓶口紧实，不晃动；口部应圆整光滑，底部应平整，放置平台上不应摇晃或转动</t>
        </is>
      </c>
      <c r="E155" s="31" t="n">
        <v>50</v>
      </c>
      <c r="F155" s="26" t="inlineStr">
        <is>
          <t>个</t>
        </is>
      </c>
      <c r="G155" s="31">
        <f>_xlfn.DISPIMG("ID_F51D4965A2844F59A9715A49D639E811",1)</f>
        <v/>
      </c>
      <c r="H155" s="220" t="n"/>
      <c r="I155" s="26" t="n">
        <v>30604000612</v>
      </c>
      <c r="J155" s="33" t="inlineStr">
        <is>
          <t>60mL，黄棕色钠钙玻璃制，瓶塞与瓶口紧实，不晃动；口部应圆整光滑，底部应平整，放置平台上不应摇晃或转动</t>
        </is>
      </c>
      <c r="K155" s="39" t="inlineStr">
        <is>
          <t>乐百仕</t>
        </is>
      </c>
      <c r="L155" s="39" t="inlineStr">
        <is>
          <t>江苏乐百仕教育科技有限公司</t>
        </is>
      </c>
      <c r="M155" s="345" t="n">
        <v>50</v>
      </c>
      <c r="N155" s="345" t="n">
        <v>2.5</v>
      </c>
      <c r="O155" s="345" t="n">
        <v>125</v>
      </c>
      <c r="P155" s="345" t="inlineStr">
        <is>
          <t>个</t>
        </is>
      </c>
      <c r="Q155" s="345" t="inlineStr"/>
      <c r="R155" s="345" t="inlineStr"/>
      <c r="S155" s="345" t="inlineStr"/>
      <c r="T155" s="345" t="inlineStr"/>
      <c r="U155" s="345" t="n">
        <v>3</v>
      </c>
      <c r="V155" s="345" t="inlineStr"/>
      <c r="W155" s="345" t="n">
        <v>3</v>
      </c>
      <c r="X155" s="345" t="inlineStr"/>
      <c r="Y155" s="345" t="inlineStr">
        <is>
          <t>confirmed</t>
        </is>
      </c>
      <c r="Z155" s="345" t="n">
        <v>100</v>
      </c>
      <c r="AA155" s="345" t="inlineStr">
        <is>
          <t>同分多价：最高分候选存在不同历史价格</t>
        </is>
      </c>
      <c r="AB155" s="345" t="inlineStr">
        <is>
          <t>赛特尔25年.xls｜初中化学｜第141行</t>
        </is>
      </c>
    </row>
    <row r="156" customFormat="1" s="195">
      <c r="A156" s="323" t="n">
        <v>180</v>
      </c>
      <c r="B156" s="26" t="n">
        <v>30604000613</v>
      </c>
      <c r="C156" s="30" t="inlineStr">
        <is>
          <t>茶色细口瓶</t>
        </is>
      </c>
      <c r="D156" s="141" t="inlineStr">
        <is>
          <t>125mL，黄棕色钠钙玻璃制，瓶塞与瓶口紧实，不晃动；口部应圆整光滑，底部应平整，放置平台上不应摇晃或转动</t>
        </is>
      </c>
      <c r="E156" s="31" t="n">
        <v>60</v>
      </c>
      <c r="F156" s="26" t="inlineStr">
        <is>
          <t>个</t>
        </is>
      </c>
      <c r="G156" s="31">
        <f>_xlfn.DISPIMG("ID_1F442C7878D14CA0B265EB66B8121C00",1)</f>
        <v/>
      </c>
      <c r="H156" s="220" t="n"/>
      <c r="I156" s="26" t="n">
        <v>30604000613</v>
      </c>
      <c r="J156" s="33" t="inlineStr">
        <is>
          <t>125mL，黄棕色钠钙玻璃制，瓶塞与瓶口紧实，不晃动；口部应圆整光滑，底部应平整，放置平台上不应摇晃或转动</t>
        </is>
      </c>
      <c r="K156" s="39" t="inlineStr">
        <is>
          <t>乐百仕</t>
        </is>
      </c>
      <c r="L156" s="39" t="inlineStr">
        <is>
          <t>江苏乐百仕教育科技有限公司</t>
        </is>
      </c>
      <c r="M156" s="345" t="n">
        <v>60</v>
      </c>
      <c r="N156" s="345" t="n">
        <v>3.5</v>
      </c>
      <c r="O156" s="345" t="n">
        <v>210</v>
      </c>
      <c r="P156" s="345" t="inlineStr">
        <is>
          <t>个</t>
        </is>
      </c>
      <c r="Q156" s="345" t="inlineStr"/>
      <c r="R156" s="345" t="inlineStr"/>
      <c r="S156" s="345" t="inlineStr"/>
      <c r="T156" s="345" t="inlineStr"/>
      <c r="U156" s="345" t="n">
        <v>4.5</v>
      </c>
      <c r="V156" s="345" t="inlineStr"/>
      <c r="W156" s="345" t="n">
        <v>4.5</v>
      </c>
      <c r="X156" s="345" t="inlineStr"/>
      <c r="Y156" s="345" t="inlineStr">
        <is>
          <t>confirmed</t>
        </is>
      </c>
      <c r="Z156" s="345" t="n">
        <v>100</v>
      </c>
      <c r="AA156" s="345" t="inlineStr">
        <is>
          <t>价格分歧&gt;30%：历史报价分歧较大，需人工核对；同分多价：最高分候选存在不同历史价格</t>
        </is>
      </c>
      <c r="AB156" s="345" t="inlineStr">
        <is>
          <t>赛特尔25年.xls｜初中化学｜第142行</t>
        </is>
      </c>
    </row>
    <row r="157" customFormat="1" s="195">
      <c r="A157" s="323" t="n">
        <v>181</v>
      </c>
      <c r="B157" s="26" t="n">
        <v>30604000614</v>
      </c>
      <c r="C157" s="30" t="inlineStr">
        <is>
          <t>茶色细口瓶</t>
        </is>
      </c>
      <c r="D157" s="141" t="inlineStr">
        <is>
          <t>250mL，黄棕色钠钙玻璃制，瓶塞与瓶口紧实，不晃动；口部应圆整光滑，底部应平整，放置平台上不应摇晃或转动</t>
        </is>
      </c>
      <c r="E157" s="31" t="n">
        <v>25</v>
      </c>
      <c r="F157" s="26" t="inlineStr">
        <is>
          <t>个</t>
        </is>
      </c>
      <c r="G157" s="31">
        <f>_xlfn.DISPIMG("ID_B79CE480EED8458EA43CFEAA74F44480",1)</f>
        <v/>
      </c>
      <c r="H157" s="220" t="n"/>
      <c r="I157" s="26" t="n">
        <v>30604000614</v>
      </c>
      <c r="J157" s="33" t="inlineStr">
        <is>
          <t>250mL，黄棕色钠钙玻璃制，瓶塞与瓶口紧实，不晃动；口部应圆整光滑，底部应平整，放置平台上不应摇晃或转动</t>
        </is>
      </c>
      <c r="K157" s="39" t="inlineStr">
        <is>
          <t>乐百仕</t>
        </is>
      </c>
      <c r="L157" s="39" t="inlineStr">
        <is>
          <t>江苏乐百仕教育科技有限公司</t>
        </is>
      </c>
      <c r="M157" s="345" t="n">
        <v>25</v>
      </c>
      <c r="N157" s="345" t="n">
        <v>4.5</v>
      </c>
      <c r="O157" s="345" t="n">
        <v>112.5</v>
      </c>
      <c r="P157" s="345" t="inlineStr">
        <is>
          <t>个</t>
        </is>
      </c>
      <c r="Q157" s="345" t="inlineStr"/>
      <c r="R157" s="345" t="inlineStr"/>
      <c r="S157" s="345" t="inlineStr"/>
      <c r="T157" s="345" t="inlineStr"/>
      <c r="U157" s="345" t="n">
        <v>4.5</v>
      </c>
      <c r="V157" s="345" t="inlineStr"/>
      <c r="W157" s="345" t="n">
        <v>5</v>
      </c>
      <c r="X157" s="345" t="inlineStr"/>
      <c r="Y157" s="345" t="inlineStr">
        <is>
          <t>confirmed</t>
        </is>
      </c>
      <c r="Z157" s="345" t="n">
        <v>100</v>
      </c>
      <c r="AA157" s="345" t="inlineStr"/>
      <c r="AB157" s="345" t="inlineStr">
        <is>
          <t>赛特尔25年.xls｜初中生物｜第235行</t>
        </is>
      </c>
    </row>
    <row r="158" customFormat="1" s="195">
      <c r="A158" s="323" t="n">
        <v>182</v>
      </c>
      <c r="B158" s="26" t="n">
        <v>30604000615</v>
      </c>
      <c r="C158" s="30" t="inlineStr">
        <is>
          <t>茶色细口瓶</t>
        </is>
      </c>
      <c r="D158" s="141" t="inlineStr">
        <is>
          <t>500mL，黄棕色钠钙玻璃制，瓶塞与瓶口紧实，不晃动；口部应圆整光滑，底部应平整，放置平台上不应摇晃或转动</t>
        </is>
      </c>
      <c r="E158" s="31" t="n">
        <v>2</v>
      </c>
      <c r="F158" s="26" t="inlineStr">
        <is>
          <t>个</t>
        </is>
      </c>
      <c r="G158" s="31">
        <f>_xlfn.DISPIMG("ID_FD695811BEC6485B9C3B46914FA706D2",1)</f>
        <v/>
      </c>
      <c r="H158" s="220" t="n"/>
      <c r="I158" s="26" t="n">
        <v>30604000615</v>
      </c>
      <c r="J158" s="33" t="inlineStr">
        <is>
          <t>500mL，黄棕色钠钙玻璃制，瓶塞与瓶口紧实，不晃动；口部应圆整光滑，底部应平整，放置平台上不应摇晃或转动</t>
        </is>
      </c>
      <c r="K158" s="39" t="inlineStr">
        <is>
          <t>乐百仕</t>
        </is>
      </c>
      <c r="L158" s="39" t="inlineStr">
        <is>
          <t>江苏乐百仕教育科技有限公司</t>
        </is>
      </c>
      <c r="M158" s="345" t="n">
        <v>2</v>
      </c>
      <c r="N158" s="345" t="n">
        <v>4.5</v>
      </c>
      <c r="O158" s="345" t="n">
        <v>9</v>
      </c>
      <c r="P158" s="345" t="inlineStr">
        <is>
          <t>个</t>
        </is>
      </c>
      <c r="Q158" s="345" t="inlineStr"/>
      <c r="R158" s="345" t="inlineStr"/>
      <c r="S158" s="345" t="inlineStr"/>
      <c r="T158" s="345" t="inlineStr"/>
      <c r="U158" s="345" t="n">
        <v>6</v>
      </c>
      <c r="V158" s="345" t="inlineStr"/>
      <c r="W158" s="345" t="n">
        <v>17.5</v>
      </c>
      <c r="X158" s="345" t="inlineStr"/>
      <c r="Y158" s="345" t="inlineStr">
        <is>
          <t>confirmed</t>
        </is>
      </c>
      <c r="Z158" s="345" t="n">
        <v>100</v>
      </c>
      <c r="AA158" s="345" t="inlineStr">
        <is>
          <t>价格分歧&gt;30%：历史报价分歧较大，需人工核对；同分多价：最高分候选存在不同历史价格</t>
        </is>
      </c>
      <c r="AB158" s="345" t="inlineStr">
        <is>
          <t>赛特尔25年.xls｜初中新课标生物｜第106行</t>
        </is>
      </c>
    </row>
    <row r="159" customFormat="1" s="195">
      <c r="A159" s="323" t="n">
        <v>183</v>
      </c>
      <c r="B159" s="26" t="n">
        <v>30604000616</v>
      </c>
      <c r="C159" s="30" t="inlineStr">
        <is>
          <t>茶色细口瓶</t>
        </is>
      </c>
      <c r="D159" s="141" t="inlineStr">
        <is>
          <t>1000mL，黄棕色钠钙玻璃制，瓶塞与瓶口紧实，不晃动；口部应圆整光滑，底部应平整，放置平台上不应摇晃或转动</t>
        </is>
      </c>
      <c r="E159" s="31" t="n">
        <v>2</v>
      </c>
      <c r="F159" s="26" t="inlineStr">
        <is>
          <t>个</t>
        </is>
      </c>
      <c r="G159" s="31">
        <f>_xlfn.DISPIMG("ID_1E0841A94067453393C5200A12EC6EBC",1)</f>
        <v/>
      </c>
      <c r="H159" s="220" t="n"/>
      <c r="I159" s="26" t="n">
        <v>30604000616</v>
      </c>
      <c r="J159" s="33" t="inlineStr">
        <is>
          <t>1000mL，黄棕色钠钙玻璃制，瓶塞与瓶口紧实，不晃动；口部应圆整光滑，底部应平整，放置平台上不应摇晃或转动</t>
        </is>
      </c>
      <c r="K159" s="39" t="inlineStr">
        <is>
          <t>乐百仕</t>
        </is>
      </c>
      <c r="L159" s="39" t="inlineStr">
        <is>
          <t>江苏乐百仕教育科技有限公司</t>
        </is>
      </c>
      <c r="M159" s="345" t="n">
        <v>2</v>
      </c>
      <c r="N159" s="345" t="n">
        <v>10</v>
      </c>
      <c r="O159" s="345" t="n">
        <v>20</v>
      </c>
      <c r="P159" s="345" t="inlineStr">
        <is>
          <t>个</t>
        </is>
      </c>
      <c r="Q159" s="345" t="inlineStr"/>
      <c r="R159" s="345" t="inlineStr"/>
      <c r="S159" s="345" t="inlineStr"/>
      <c r="T159" s="345" t="inlineStr"/>
      <c r="U159" s="345" t="n">
        <v>10</v>
      </c>
      <c r="V159" s="345" t="inlineStr"/>
      <c r="W159" s="345" t="n">
        <v>11</v>
      </c>
      <c r="X159" s="345" t="inlineStr"/>
      <c r="Y159" s="345" t="inlineStr">
        <is>
          <t>confirmed</t>
        </is>
      </c>
      <c r="Z159" s="345" t="n">
        <v>100</v>
      </c>
      <c r="AA159" s="345" t="inlineStr"/>
      <c r="AB159" s="345" t="inlineStr">
        <is>
          <t>赛特尔25年.xls｜初中化学｜第145行</t>
        </is>
      </c>
    </row>
    <row r="160" customFormat="1" s="257">
      <c r="A160" s="323" t="n">
        <v>184</v>
      </c>
      <c r="B160" s="26" t="n">
        <v>604000618</v>
      </c>
      <c r="C160" s="30" t="inlineStr">
        <is>
          <t>茶色细口瓶</t>
        </is>
      </c>
      <c r="D160" s="141" t="inlineStr">
        <is>
          <t>2500mL，黄棕色钠钙玻璃制，瓶塞与瓶口紧实，不晃动；口部应圆整光滑，底部应平整，放置平台上不应摇晃或转动</t>
        </is>
      </c>
      <c r="E160" s="31" t="n">
        <v>2</v>
      </c>
      <c r="F160" s="26" t="inlineStr">
        <is>
          <t>个</t>
        </is>
      </c>
      <c r="G160" s="31">
        <f>_xlfn.DISPIMG("ID_8992733CD58E4B27B074CA789800DBE1",1)</f>
        <v/>
      </c>
      <c r="H160" s="330" t="n"/>
      <c r="I160" s="26" t="n">
        <v>604000618</v>
      </c>
      <c r="J160" s="33" t="inlineStr">
        <is>
          <t>2500mL，黄棕色钠钙玻璃制，瓶塞与瓶口紧实，不晃动；口部应圆整光滑，底部应平整，放置平台上不应摇晃或转动</t>
        </is>
      </c>
      <c r="K160" s="39" t="inlineStr">
        <is>
          <t>乐百仕</t>
        </is>
      </c>
      <c r="L160" s="39" t="inlineStr">
        <is>
          <t>江苏乐百仕教育科技有限公司</t>
        </is>
      </c>
      <c r="M160" s="345" t="n">
        <v>2</v>
      </c>
      <c r="N160" s="345" t="n">
        <v>3</v>
      </c>
      <c r="O160" s="345" t="n">
        <v>6</v>
      </c>
      <c r="P160" s="345" t="inlineStr">
        <is>
          <t>个</t>
        </is>
      </c>
      <c r="Q160" s="345" t="inlineStr"/>
      <c r="R160" s="345" t="inlineStr"/>
      <c r="S160" s="345" t="inlineStr"/>
      <c r="T160" s="345" t="inlineStr"/>
      <c r="U160" s="345" t="inlineStr"/>
      <c r="V160" s="345" t="inlineStr"/>
      <c r="W160" s="345" t="inlineStr"/>
      <c r="X160" s="345" t="inlineStr"/>
      <c r="Y160" s="345" t="inlineStr">
        <is>
          <t>confirmed</t>
        </is>
      </c>
      <c r="Z160" s="345" t="n">
        <v>0</v>
      </c>
      <c r="AA160" s="345" t="inlineStr">
        <is>
          <t>匹配到商品档案但无历史价格记录</t>
        </is>
      </c>
      <c r="AB160" s="345" t="inlineStr">
        <is>
          <t>赛特尔25年.xls｜初中化学｜第147行</t>
        </is>
      </c>
    </row>
    <row r="161" customFormat="1" s="257">
      <c r="A161" s="323" t="n">
        <v>185</v>
      </c>
      <c r="B161" s="348" t="n">
        <v>30604000709</v>
      </c>
      <c r="C161" s="114" t="inlineStr">
        <is>
          <t>下口瓶</t>
        </is>
      </c>
      <c r="D161" s="141" t="inlineStr">
        <is>
          <t>5000mL，透明钠钙玻璃制</t>
        </is>
      </c>
      <c r="E161" s="31" t="n">
        <v>2</v>
      </c>
      <c r="F161" s="26" t="inlineStr">
        <is>
          <t>个</t>
        </is>
      </c>
      <c r="G161" s="31">
        <f>_xlfn.DISPIMG("ID_3BCD7ECF3144405DB49386DBFE044DA0",1)</f>
        <v/>
      </c>
      <c r="H161" s="330" t="n"/>
      <c r="I161" s="348" t="n">
        <v>30604000709</v>
      </c>
      <c r="J161" s="33" t="inlineStr">
        <is>
          <t>5000mL，透明钠钙玻璃制</t>
        </is>
      </c>
      <c r="K161" s="39" t="inlineStr">
        <is>
          <t>乐百仕</t>
        </is>
      </c>
      <c r="L161" s="39" t="inlineStr">
        <is>
          <t>江苏乐百仕教育科技有限公司</t>
        </is>
      </c>
      <c r="M161" s="345" t="n">
        <v>2</v>
      </c>
      <c r="N161" s="345" t="n">
        <v>140</v>
      </c>
      <c r="O161" s="345" t="n">
        <v>280</v>
      </c>
      <c r="P161" s="345" t="inlineStr">
        <is>
          <t>个</t>
        </is>
      </c>
      <c r="Q161" s="345" t="inlineStr">
        <is>
          <t>苏创</t>
        </is>
      </c>
      <c r="R161" s="345" t="inlineStr"/>
      <c r="S161" s="345" t="inlineStr"/>
      <c r="T161" s="345" t="inlineStr">
        <is>
          <t>63033</t>
        </is>
      </c>
      <c r="U161" s="345" t="inlineStr"/>
      <c r="V161" s="345" t="inlineStr"/>
      <c r="W161" s="345" t="inlineStr"/>
      <c r="X161" s="345" t="inlineStr"/>
      <c r="Y161" s="345" t="inlineStr">
        <is>
          <t>confirmed</t>
        </is>
      </c>
      <c r="Z161" s="345" t="n">
        <v>100</v>
      </c>
      <c r="AA161" s="345" t="inlineStr"/>
      <c r="AB161" s="345" t="inlineStr">
        <is>
          <t>高中理化生报价.xlsx｜凯迪｜第1065行</t>
        </is>
      </c>
    </row>
    <row r="162" customFormat="1" s="195">
      <c r="A162" s="323" t="n">
        <v>186</v>
      </c>
      <c r="B162" s="26" t="n">
        <v>30604001101</v>
      </c>
      <c r="C162" s="237" t="inlineStr">
        <is>
          <t>滴瓶</t>
        </is>
      </c>
      <c r="D162" s="141" t="inlineStr">
        <is>
          <t>30mL，透明钠钙玻璃制，瓶口细磨，磨砂面应均匀细腻，滴管应附橡胶帽，吸放弹性好，开口直径 6 mm，与滴管口套合牢固稳定</t>
        </is>
      </c>
      <c r="E162" s="31" t="n">
        <v>50</v>
      </c>
      <c r="F162" s="26" t="inlineStr">
        <is>
          <t>个</t>
        </is>
      </c>
      <c r="G162" s="31">
        <f>_xlfn.DISPIMG("ID_DFE08567BCDB47509E8A996C8D0EF18D",1)</f>
        <v/>
      </c>
      <c r="H162" s="220" t="n"/>
      <c r="I162" s="26" t="n">
        <v>30604001101</v>
      </c>
      <c r="J162" s="33" t="inlineStr">
        <is>
          <t>30mL，透明钠钙玻璃制，瓶口细磨，磨砂面应均匀细腻，滴管应附橡胶帽，吸放弹性好，开口直径 6 mm，与滴管口套合牢固稳定</t>
        </is>
      </c>
      <c r="K162" s="39" t="inlineStr">
        <is>
          <t>乐百仕</t>
        </is>
      </c>
      <c r="L162" s="39" t="inlineStr">
        <is>
          <t>江苏乐百仕教育科技有限公司</t>
        </is>
      </c>
      <c r="M162" s="345" t="n">
        <v>50</v>
      </c>
      <c r="N162" s="345" t="n">
        <v>3</v>
      </c>
      <c r="O162" s="345" t="n">
        <v>150</v>
      </c>
      <c r="P162" s="345" t="inlineStr">
        <is>
          <t>个</t>
        </is>
      </c>
      <c r="Q162" s="345" t="inlineStr"/>
      <c r="R162" s="345" t="inlineStr"/>
      <c r="S162" s="345" t="inlineStr"/>
      <c r="T162" s="345" t="inlineStr"/>
      <c r="U162" s="345" t="n">
        <v>3</v>
      </c>
      <c r="V162" s="345" t="inlineStr"/>
      <c r="W162" s="345" t="n">
        <v>3.3</v>
      </c>
      <c r="X162" s="345" t="inlineStr"/>
      <c r="Y162" s="345" t="inlineStr">
        <is>
          <t>confirmed</t>
        </is>
      </c>
      <c r="Z162" s="345" t="n">
        <v>100</v>
      </c>
      <c r="AA162" s="345" t="inlineStr"/>
      <c r="AB162" s="345" t="inlineStr">
        <is>
          <t>赛特尔25年.xls｜初中生物｜第238行</t>
        </is>
      </c>
    </row>
    <row r="163" customFormat="1" s="195">
      <c r="A163" s="323" t="n">
        <v>187</v>
      </c>
      <c r="B163" s="26" t="n">
        <v>30604001102</v>
      </c>
      <c r="C163" s="237" t="inlineStr">
        <is>
          <t>滴瓶</t>
        </is>
      </c>
      <c r="D163" s="141" t="inlineStr">
        <is>
          <t>60mL，透明钠钙玻璃制，瓶口细磨，磨砂面应均匀细腻，滴管应附橡胶帽，吸放弹性好，开口直径 6 mm，与滴管口套合牢固稳定</t>
        </is>
      </c>
      <c r="E163" s="31" t="n">
        <v>50</v>
      </c>
      <c r="F163" s="26" t="inlineStr">
        <is>
          <t>个</t>
        </is>
      </c>
      <c r="G163" s="31">
        <f>_xlfn.DISPIMG("ID_64E6853A9BE842FFAF782B6737D1A312",1)</f>
        <v/>
      </c>
      <c r="H163" s="220" t="n"/>
      <c r="I163" s="26" t="n">
        <v>30604001102</v>
      </c>
      <c r="J163" s="33" t="inlineStr">
        <is>
          <t>60mL，透明钠钙玻璃制，瓶口细磨，磨砂面应均匀细腻，滴管应附橡胶帽，吸放弹性好，开口直径 6 mm，与滴管口套合牢固稳定</t>
        </is>
      </c>
      <c r="K163" s="39" t="inlineStr">
        <is>
          <t>乐百仕</t>
        </is>
      </c>
      <c r="L163" s="39" t="inlineStr">
        <is>
          <t>江苏乐百仕教育科技有限公司</t>
        </is>
      </c>
      <c r="M163" s="345" t="n">
        <v>50</v>
      </c>
      <c r="N163" s="345" t="n">
        <v>3</v>
      </c>
      <c r="O163" s="345" t="n">
        <v>150</v>
      </c>
      <c r="P163" s="345" t="inlineStr">
        <is>
          <t>个</t>
        </is>
      </c>
      <c r="Q163" s="345" t="inlineStr"/>
      <c r="R163" s="345" t="inlineStr"/>
      <c r="S163" s="345" t="inlineStr"/>
      <c r="T163" s="345" t="inlineStr"/>
      <c r="U163" s="345" t="n">
        <v>3.8</v>
      </c>
      <c r="V163" s="345" t="inlineStr"/>
      <c r="W163" s="345" t="n">
        <v>3.8</v>
      </c>
      <c r="X163" s="345" t="inlineStr"/>
      <c r="Y163" s="345" t="inlineStr">
        <is>
          <t>confirmed</t>
        </is>
      </c>
      <c r="Z163" s="345" t="n">
        <v>100</v>
      </c>
      <c r="AA163" s="345" t="inlineStr">
        <is>
          <t>价格分歧&gt;30%：历史报价分歧较大，需人工核对；同分多价：最高分候选存在不同历史价格</t>
        </is>
      </c>
      <c r="AB163" s="345" t="inlineStr">
        <is>
          <t>赛特尔25年.xls｜初中新课标生物｜第108行</t>
        </is>
      </c>
    </row>
    <row r="164" customFormat="1" s="195">
      <c r="A164" s="323" t="n">
        <v>188</v>
      </c>
      <c r="B164" s="26" t="n">
        <v>30604001111</v>
      </c>
      <c r="C164" s="30" t="inlineStr">
        <is>
          <t>茶色滴瓶</t>
        </is>
      </c>
      <c r="D164" s="141" t="inlineStr">
        <is>
          <t>30mL，黄棕色钠钙玻璃制，瓶口细磨，磨砂面应均匀细腻，滴管应附橡胶帽，吸放弹性好，开口直径 6 mm，与滴管口套合牢固稳定</t>
        </is>
      </c>
      <c r="E164" s="31" t="n">
        <v>50</v>
      </c>
      <c r="F164" s="26" t="inlineStr">
        <is>
          <t>个</t>
        </is>
      </c>
      <c r="G164" s="31">
        <f>_xlfn.DISPIMG("ID_DDA180B2C3194C9AB0DA3AD5986E5303",1)</f>
        <v/>
      </c>
      <c r="H164" s="220" t="n"/>
      <c r="I164" s="26" t="n">
        <v>30604001111</v>
      </c>
      <c r="J164" s="33" t="inlineStr">
        <is>
          <t>30mL，黄棕色钠钙玻璃制，瓶口细磨，磨砂面应均匀细腻，滴管应附橡胶帽，吸放弹性好，开口直径 6 mm，与滴管口套合牢固稳定</t>
        </is>
      </c>
      <c r="K164" s="39" t="inlineStr">
        <is>
          <t>乐百仕</t>
        </is>
      </c>
      <c r="L164" s="39" t="inlineStr">
        <is>
          <t>江苏乐百仕教育科技有限公司</t>
        </is>
      </c>
      <c r="M164" s="345" t="n">
        <v>50</v>
      </c>
      <c r="N164" s="345" t="n">
        <v>3</v>
      </c>
      <c r="O164" s="345" t="n">
        <v>150</v>
      </c>
      <c r="P164" s="345" t="inlineStr">
        <is>
          <t>个</t>
        </is>
      </c>
      <c r="Q164" s="345" t="inlineStr"/>
      <c r="R164" s="345" t="inlineStr"/>
      <c r="S164" s="345" t="inlineStr"/>
      <c r="T164" s="345" t="inlineStr"/>
      <c r="U164" s="345" t="n">
        <v>3</v>
      </c>
      <c r="V164" s="345" t="inlineStr"/>
      <c r="W164" s="345" t="n">
        <v>3.3</v>
      </c>
      <c r="X164" s="345" t="inlineStr"/>
      <c r="Y164" s="345" t="inlineStr">
        <is>
          <t>confirmed</t>
        </is>
      </c>
      <c r="Z164" s="345" t="n">
        <v>100</v>
      </c>
      <c r="AA164" s="345" t="inlineStr"/>
      <c r="AB164" s="345" t="inlineStr">
        <is>
          <t>赛特尔25年.xls｜初中生物｜第238行</t>
        </is>
      </c>
    </row>
    <row r="165" customFormat="1" s="195">
      <c r="A165" s="323" t="n">
        <v>189</v>
      </c>
      <c r="B165" s="26" t="n">
        <v>30604001112</v>
      </c>
      <c r="C165" s="30" t="inlineStr">
        <is>
          <t>茶色滴瓶</t>
        </is>
      </c>
      <c r="D165" s="141" t="inlineStr">
        <is>
          <t>60mL，黄棕色钠钙玻璃制，瓶口细磨，磨砂面应均匀细腻，滴管应附橡胶帽，吸放弹性好，开口直径 6 mm，与滴管口套合牢固稳定</t>
        </is>
      </c>
      <c r="E165" s="31" t="n">
        <v>60</v>
      </c>
      <c r="F165" s="26" t="inlineStr">
        <is>
          <t>个</t>
        </is>
      </c>
      <c r="G165" s="31">
        <f>_xlfn.DISPIMG("ID_EB35CEDB752344BDB2772021EBED7703",1)</f>
        <v/>
      </c>
      <c r="H165" s="220" t="n"/>
      <c r="I165" s="26" t="n">
        <v>30604001112</v>
      </c>
      <c r="J165" s="33" t="inlineStr">
        <is>
          <t>60mL，黄棕色钠钙玻璃制，瓶口细磨，磨砂面应均匀细腻，滴管应附橡胶帽，吸放弹性好，开口直径 6 mm，与滴管口套合牢固稳定</t>
        </is>
      </c>
      <c r="K165" s="39" t="inlineStr">
        <is>
          <t>乐百仕</t>
        </is>
      </c>
      <c r="L165" s="39" t="inlineStr">
        <is>
          <t>江苏乐百仕教育科技有限公司</t>
        </is>
      </c>
      <c r="M165" s="345" t="n">
        <v>60</v>
      </c>
      <c r="N165" s="345" t="n">
        <v>3</v>
      </c>
      <c r="O165" s="345" t="n">
        <v>180</v>
      </c>
      <c r="P165" s="345" t="inlineStr">
        <is>
          <t>个</t>
        </is>
      </c>
      <c r="Q165" s="345" t="inlineStr"/>
      <c r="R165" s="345" t="inlineStr"/>
      <c r="S165" s="345" t="inlineStr"/>
      <c r="T165" s="345" t="inlineStr"/>
      <c r="U165" s="345" t="n">
        <v>3.8</v>
      </c>
      <c r="V165" s="345" t="inlineStr"/>
      <c r="W165" s="345" t="n">
        <v>3.8</v>
      </c>
      <c r="X165" s="345" t="inlineStr"/>
      <c r="Y165" s="345" t="inlineStr">
        <is>
          <t>confirmed</t>
        </is>
      </c>
      <c r="Z165" s="345" t="n">
        <v>100</v>
      </c>
      <c r="AA165" s="345" t="inlineStr">
        <is>
          <t>价格分歧&gt;30%：历史报价分歧较大，需人工核对；同分多价：最高分候选存在不同历史价格</t>
        </is>
      </c>
      <c r="AB165" s="345" t="inlineStr">
        <is>
          <t>赛特尔25年.xls｜初中新课标生物｜第108行</t>
        </is>
      </c>
    </row>
    <row r="166" customFormat="1" s="257">
      <c r="A166" s="323" t="n">
        <v>190</v>
      </c>
      <c r="B166" s="26" t="n">
        <v>30604001503</v>
      </c>
      <c r="C166" s="87" t="inlineStr">
        <is>
          <t>称量瓶</t>
        </is>
      </c>
      <c r="D166" s="141" t="inlineStr">
        <is>
          <t>Φ25 mm×40 mm，密合三级，内应力≤160nm/cm</t>
        </is>
      </c>
      <c r="E166" s="31" t="n">
        <v>1</v>
      </c>
      <c r="F166" s="26" t="inlineStr">
        <is>
          <t>个</t>
        </is>
      </c>
      <c r="G166" s="31">
        <f>_xlfn.DISPIMG("ID_6352C1728EBA4854888F3A04E56A3E7F",1)</f>
        <v/>
      </c>
      <c r="H166" s="330" t="n"/>
      <c r="I166" s="26" t="n">
        <v>30604001503</v>
      </c>
      <c r="J166" s="33" t="inlineStr">
        <is>
          <t>Φ25 mm×40 mm，密合三级，内应力≤160nm/cm</t>
        </is>
      </c>
      <c r="K166" s="39" t="inlineStr">
        <is>
          <t>乐百仕</t>
        </is>
      </c>
      <c r="L166" s="39" t="inlineStr">
        <is>
          <t>江苏乐百仕教育科技有限公司</t>
        </is>
      </c>
      <c r="M166" s="345" t="n">
        <v>1</v>
      </c>
      <c r="N166" s="345" t="n">
        <v>7.5</v>
      </c>
      <c r="O166" s="345" t="n">
        <v>7.5</v>
      </c>
      <c r="P166" s="345" t="inlineStr">
        <is>
          <t>个</t>
        </is>
      </c>
      <c r="Q166" s="345" t="inlineStr"/>
      <c r="R166" s="345" t="inlineStr"/>
      <c r="S166" s="345" t="inlineStr"/>
      <c r="T166" s="345" t="inlineStr"/>
      <c r="U166" s="345" t="n">
        <v>7.5</v>
      </c>
      <c r="V166" s="345" t="inlineStr"/>
      <c r="W166" s="345" t="n">
        <v>8.25</v>
      </c>
      <c r="X166" s="345" t="inlineStr"/>
      <c r="Y166" s="345" t="inlineStr">
        <is>
          <t>confirmed</t>
        </is>
      </c>
      <c r="Z166" s="345" t="n">
        <v>66.7</v>
      </c>
      <c r="AA166" s="345" t="inlineStr"/>
      <c r="AB166" s="345" t="inlineStr">
        <is>
          <t>赛特尔25年.xls｜初中化学｜第84行</t>
        </is>
      </c>
    </row>
    <row r="167" customFormat="1" s="257">
      <c r="A167" s="323" t="n">
        <v>191</v>
      </c>
      <c r="B167" s="26" t="n">
        <v>30603000101</v>
      </c>
      <c r="C167" s="30" t="inlineStr">
        <is>
          <t>酒精灯</t>
        </is>
      </c>
      <c r="D167" s="141" t="inlineStr">
        <is>
          <t>150mL，单头，透明钠钙玻璃制，无明显黄绿色。灯口应平整，瓷灯头与灯口平面间隙不应超过 1.5 mm。玻璃灯罩应磨口。瓷灯头应为白色，完全覆盖灯口，表面无缺陷。配置与灯口孔径相适应的整齐完整的棉线灯芯，灯芯点燃后酒精灯火焰高度应不低于 70mm</t>
        </is>
      </c>
      <c r="E167" s="31" t="n">
        <v>25</v>
      </c>
      <c r="F167" s="26" t="inlineStr">
        <is>
          <t>个</t>
        </is>
      </c>
      <c r="G167" s="31">
        <f>_xlfn.DISPIMG("ID_B67D62D8FDB041DA8C0C8D61D540FC75",1)</f>
        <v/>
      </c>
      <c r="H167" s="330" t="n"/>
      <c r="I167" s="26" t="n">
        <v>30603000101</v>
      </c>
      <c r="J167" s="33" t="inlineStr">
        <is>
          <t>150mL，单头，透明钠钙玻璃制，无明显黄绿色。灯口应平整，瓷灯头与灯口平面间隙不应超过 1.5 mm。玻璃灯罩应磨口。瓷灯头应为白色，完全覆盖灯口，表面无缺陷。配置与灯口孔径相适应的整齐完整的棉线灯芯，灯芯点燃后酒精灯火焰高度应不低于 70mm</t>
        </is>
      </c>
      <c r="K167" s="39" t="inlineStr">
        <is>
          <t>乐百仕</t>
        </is>
      </c>
      <c r="L167" s="39" t="inlineStr">
        <is>
          <t>江苏乐百仕教育科技有限公司</t>
        </is>
      </c>
      <c r="M167" s="345" t="n">
        <v>25</v>
      </c>
      <c r="N167" s="345" t="n">
        <v>2.5</v>
      </c>
      <c r="O167" s="345" t="n">
        <v>62.5</v>
      </c>
      <c r="P167" s="345" t="inlineStr">
        <is>
          <t>个</t>
        </is>
      </c>
      <c r="Q167" s="345" t="inlineStr"/>
      <c r="R167" s="345" t="inlineStr"/>
      <c r="S167" s="345" t="inlineStr"/>
      <c r="T167" s="345" t="inlineStr"/>
      <c r="U167" s="345" t="n">
        <v>2.5</v>
      </c>
      <c r="V167" s="345" t="inlineStr"/>
      <c r="W167" s="345" t="n">
        <v>48</v>
      </c>
      <c r="X167" s="345" t="inlineStr"/>
      <c r="Y167" s="345" t="inlineStr">
        <is>
          <t>confirmed</t>
        </is>
      </c>
      <c r="Z167" s="345" t="n">
        <v>100</v>
      </c>
      <c r="AA167" s="345" t="inlineStr">
        <is>
          <t>价格分歧&gt;30%：历史报价分歧较大，需人工核对</t>
        </is>
      </c>
      <c r="AB167" s="345" t="inlineStr">
        <is>
          <t>赛特尔25年.xls｜初中生物｜第224行</t>
        </is>
      </c>
    </row>
    <row r="168" customFormat="1" s="257">
      <c r="A168" s="323" t="n">
        <v>192</v>
      </c>
      <c r="B168" s="26" t="n">
        <v>30603000102</v>
      </c>
      <c r="C168" s="30" t="inlineStr">
        <is>
          <t>酒精灯</t>
        </is>
      </c>
      <c r="D168" s="141" t="inlineStr">
        <is>
          <t>250mL，单头，透明钠钙玻璃制，无明显黄绿色。灯口应平整，瓷灯头与灯口平面间隙不应超过 1.5 mm。玻璃灯罩应磨口。瓷灯头应为白色，完全覆盖灯口，表面无缺陷。配置与灯口孔径相适应的整齐完整的棉线灯芯，灯芯点燃后酒精灯火焰高度应不低于 70mm</t>
        </is>
      </c>
      <c r="E168" s="31" t="n">
        <v>1</v>
      </c>
      <c r="F168" s="26" t="inlineStr">
        <is>
          <t>个</t>
        </is>
      </c>
      <c r="G168" s="31">
        <f>_xlfn.DISPIMG("ID_9C81902C160F47CDA819D01A35E2738C",1)</f>
        <v/>
      </c>
      <c r="H168" s="330" t="n"/>
      <c r="I168" s="26" t="n">
        <v>30603000102</v>
      </c>
      <c r="J168" s="33" t="inlineStr">
        <is>
          <t>250mL，单头，透明钠钙玻璃制，无明显黄绿色。灯口应平整，瓷灯头与灯口平面间隙不应超过 1.5 mm。玻璃灯罩应磨口。瓷灯头应为白色，完全覆盖灯口，表面无缺陷。配置与灯口孔径相适应的整齐完整的棉线灯芯，灯芯点燃后酒精灯火焰高度应不低于 70mm</t>
        </is>
      </c>
      <c r="K168" s="39" t="inlineStr">
        <is>
          <t>乐百仕</t>
        </is>
      </c>
      <c r="L168" s="39" t="inlineStr">
        <is>
          <t>江苏乐百仕教育科技有限公司</t>
        </is>
      </c>
      <c r="M168" s="345" t="n">
        <v>1</v>
      </c>
      <c r="N168" s="345" t="n">
        <v>2.5</v>
      </c>
      <c r="O168" s="345" t="n">
        <v>2.5</v>
      </c>
      <c r="P168" s="345" t="inlineStr">
        <is>
          <t>个</t>
        </is>
      </c>
      <c r="Q168" s="345" t="inlineStr"/>
      <c r="R168" s="345" t="inlineStr"/>
      <c r="S168" s="345" t="inlineStr"/>
      <c r="T168" s="345" t="inlineStr"/>
      <c r="U168" s="345" t="inlineStr"/>
      <c r="V168" s="345" t="inlineStr"/>
      <c r="W168" s="345" t="inlineStr"/>
      <c r="X168" s="345" t="inlineStr"/>
      <c r="Y168" s="345" t="inlineStr">
        <is>
          <t>confirmed</t>
        </is>
      </c>
      <c r="Z168" s="345" t="n">
        <v>0</v>
      </c>
      <c r="AA168" s="345" t="inlineStr">
        <is>
          <t>没有找到可靠候选</t>
        </is>
      </c>
      <c r="AB168" s="345" t="inlineStr">
        <is>
          <t>赛特尔25年.xls｜初中生物｜第224行</t>
        </is>
      </c>
    </row>
    <row r="169" customFormat="1" s="257">
      <c r="A169" s="323" t="n">
        <v>193</v>
      </c>
      <c r="B169" s="26" t="n">
        <v>30603000112</v>
      </c>
      <c r="C169" s="30" t="inlineStr">
        <is>
          <t>酒精灯</t>
        </is>
      </c>
      <c r="D169" s="141" t="inlineStr">
        <is>
          <t>250mL，双头，透明钠钙玻璃制，无明显黄绿色。灯口应平整，瓷灯头与灯口平面间隙不应超过 1.5 mm。玻璃灯罩应磨口。瓷灯头应为白色，完全覆盖灯口，表面无缺陷。配置与灯口孔径相适应的整齐完整的棉线灯芯，灯芯点燃后酒精灯火焰高度应不低于 70mm</t>
        </is>
      </c>
      <c r="E169" s="31" t="n">
        <v>1</v>
      </c>
      <c r="F169" s="26" t="inlineStr">
        <is>
          <t>个</t>
        </is>
      </c>
      <c r="G169" s="31">
        <f>_xlfn.DISPIMG("ID_91933AA0A2D34966AB04E5C4DC61016B",1)</f>
        <v/>
      </c>
      <c r="H169" s="330" t="n"/>
      <c r="I169" s="26" t="n">
        <v>30603000112</v>
      </c>
      <c r="J169" s="33" t="inlineStr">
        <is>
          <t>250mL，双头，透明钠钙玻璃制，无明显黄绿色。灯口应平整，瓷灯头与灯口平面间隙不应超过 1.5 mm。玻璃灯罩应磨口。瓷灯头应为白色，完全覆盖灯口，表面无缺陷。配置与灯口孔径相适应的整齐完整的棉线灯芯，灯芯点燃后酒精灯火焰高度应不低于 70mm</t>
        </is>
      </c>
      <c r="K169" s="39" t="inlineStr">
        <is>
          <t>乐百仕</t>
        </is>
      </c>
      <c r="L169" s="39" t="inlineStr">
        <is>
          <t>江苏乐百仕教育科技有限公司</t>
        </is>
      </c>
      <c r="M169" s="345" t="n">
        <v>1</v>
      </c>
      <c r="N169" s="345" t="n">
        <v>2.5</v>
      </c>
      <c r="O169" s="345" t="n">
        <v>2.5</v>
      </c>
      <c r="P169" s="345" t="inlineStr">
        <is>
          <t>个</t>
        </is>
      </c>
      <c r="Q169" s="345" t="inlineStr"/>
      <c r="R169" s="345" t="inlineStr"/>
      <c r="S169" s="345" t="inlineStr"/>
      <c r="T169" s="345" t="inlineStr"/>
      <c r="U169" s="345" t="inlineStr"/>
      <c r="V169" s="345" t="inlineStr"/>
      <c r="W169" s="345" t="inlineStr"/>
      <c r="X169" s="345" t="inlineStr"/>
      <c r="Y169" s="345" t="inlineStr">
        <is>
          <t>confirmed</t>
        </is>
      </c>
      <c r="Z169" s="345" t="n">
        <v>0</v>
      </c>
      <c r="AA169" s="345" t="inlineStr">
        <is>
          <t>没有找到可靠候选</t>
        </is>
      </c>
      <c r="AB169" s="345" t="inlineStr">
        <is>
          <t>赛特尔25年.xls｜初中生物｜第224行</t>
        </is>
      </c>
    </row>
    <row r="170" customFormat="1" s="257">
      <c r="A170" s="323" t="n">
        <v>195</v>
      </c>
      <c r="B170" s="26" t="n">
        <v>30603000603</v>
      </c>
      <c r="C170" s="87" t="inlineStr">
        <is>
          <t>干燥器</t>
        </is>
      </c>
      <c r="D170" s="141" t="inlineStr">
        <is>
          <t>150mm，磨口平整，密封严实，隔板大小合适，不少于5个圆孔，内应力：器 盖 ≤ 200nm/cm ， 器 身 ≤180 nm/cm</t>
        </is>
      </c>
      <c r="E170" s="31" t="n">
        <v>1</v>
      </c>
      <c r="F170" s="26" t="inlineStr">
        <is>
          <t>个</t>
        </is>
      </c>
      <c r="G170" s="31">
        <f>_xlfn.DISPIMG("ID_E5699E8B0A274CF096D8D0904BC893CF",1)</f>
        <v/>
      </c>
      <c r="H170" s="330" t="n"/>
      <c r="I170" s="26" t="n">
        <v>30603000603</v>
      </c>
      <c r="J170" s="33" t="inlineStr">
        <is>
          <t>150mm，磨口平整，密封严实，隔板大小合适，不少于5个圆孔，内应力：器 盖 ≤ 200nm/cm ， 器 身 ≤180 nm/cm</t>
        </is>
      </c>
      <c r="K170" s="39" t="inlineStr">
        <is>
          <t>乐百仕</t>
        </is>
      </c>
      <c r="L170" s="39" t="inlineStr">
        <is>
          <t>江苏乐百仕教育科技有限公司</t>
        </is>
      </c>
      <c r="M170" s="345" t="n">
        <v>1</v>
      </c>
      <c r="N170" s="345" t="n">
        <v>2.5</v>
      </c>
      <c r="O170" s="345" t="n">
        <v>2.5</v>
      </c>
      <c r="P170" s="345" t="inlineStr">
        <is>
          <t>个</t>
        </is>
      </c>
      <c r="Q170" s="345" t="inlineStr"/>
      <c r="R170" s="345" t="inlineStr"/>
      <c r="S170" s="345" t="inlineStr"/>
      <c r="T170" s="345" t="inlineStr"/>
      <c r="U170" s="345" t="inlineStr"/>
      <c r="V170" s="345" t="inlineStr"/>
      <c r="W170" s="345" t="inlineStr"/>
      <c r="X170" s="345" t="inlineStr"/>
      <c r="Y170" s="345" t="inlineStr">
        <is>
          <t>confirmed</t>
        </is>
      </c>
      <c r="Z170" s="345" t="n">
        <v>0</v>
      </c>
      <c r="AA170" s="345" t="inlineStr">
        <is>
          <t>没有找到可靠候选</t>
        </is>
      </c>
      <c r="AB170" s="345" t="inlineStr">
        <is>
          <t>赛特尔25年.xls｜初中新课标生物｜第115行</t>
        </is>
      </c>
    </row>
    <row r="171" customFormat="1" s="195">
      <c r="A171" s="323" t="n">
        <v>196</v>
      </c>
      <c r="B171" s="31" t="n">
        <v>30603000705</v>
      </c>
      <c r="C171" s="119" t="inlineStr">
        <is>
          <t>气体发生器</t>
        </is>
      </c>
      <c r="D171" s="105" t="inlineStr">
        <is>
          <t>250mL，漏斗柄与瓶身连接口内壁间隔≤2 mm（单边），耐压力</t>
        </is>
      </c>
      <c r="E171" s="131" t="n">
        <v>1</v>
      </c>
      <c r="F171" s="31" t="inlineStr">
        <is>
          <t>个</t>
        </is>
      </c>
      <c r="G171" s="131">
        <f>_xlfn.DISPIMG("ID_5EE222059FD941B1A44BF07394D1A6D8",1)</f>
        <v/>
      </c>
      <c r="H171" s="220" t="n"/>
      <c r="I171" s="31" t="n">
        <v>30603000705</v>
      </c>
      <c r="J171" s="109" t="inlineStr">
        <is>
          <t>250mL，漏斗柄与瓶身连接口内壁间隔≤2 mm（单边），耐压力</t>
        </is>
      </c>
      <c r="K171" s="39" t="inlineStr">
        <is>
          <t>乐百仕</t>
        </is>
      </c>
      <c r="L171" s="39" t="inlineStr">
        <is>
          <t>江苏乐百仕教育科技有限公司</t>
        </is>
      </c>
      <c r="M171" s="345" t="n">
        <v>1</v>
      </c>
      <c r="N171" s="345" t="n">
        <v>68</v>
      </c>
      <c r="O171" s="345" t="n">
        <v>68</v>
      </c>
      <c r="P171" s="345" t="inlineStr">
        <is>
          <t>个</t>
        </is>
      </c>
      <c r="Q171" s="345" t="inlineStr"/>
      <c r="R171" s="345" t="inlineStr"/>
      <c r="S171" s="345" t="inlineStr"/>
      <c r="T171" s="345" t="inlineStr"/>
      <c r="U171" s="345" t="n">
        <v>74.8</v>
      </c>
      <c r="V171" s="345" t="inlineStr"/>
      <c r="W171" s="345" t="inlineStr"/>
      <c r="X171" s="345" t="inlineStr"/>
      <c r="Y171" s="345" t="inlineStr">
        <is>
          <t>confirmed</t>
        </is>
      </c>
      <c r="Z171" s="345" t="n">
        <v>100</v>
      </c>
      <c r="AA171" s="345" t="inlineStr">
        <is>
          <t>同分多价：最高分候选存在不同历史价格</t>
        </is>
      </c>
      <c r="AB171" s="345" t="inlineStr">
        <is>
          <t>赛特尔25年.xls｜初中化学｜第111行</t>
        </is>
      </c>
    </row>
    <row r="172" customFormat="1" s="195">
      <c r="A172" s="323" t="n">
        <v>197</v>
      </c>
      <c r="B172" s="348" t="n">
        <v>30603002105</v>
      </c>
      <c r="C172" s="238" t="inlineStr">
        <is>
          <t>冷凝管</t>
        </is>
      </c>
      <c r="D172" s="115" t="inlineStr">
        <is>
          <t>300mm±10mm透明硼硅酸盐玻璃制，直形，管径均匀，应有防滑脱沟槽</t>
        </is>
      </c>
      <c r="E172" s="131" t="n">
        <v>25</v>
      </c>
      <c r="F172" s="117" t="inlineStr">
        <is>
          <t>支</t>
        </is>
      </c>
      <c r="G172" s="131">
        <f>_xlfn.DISPIMG("ID_87D570E3AD494BC396E1C2CDB981C372",1)</f>
        <v/>
      </c>
      <c r="H172" s="220" t="n"/>
      <c r="I172" s="348" t="n">
        <v>30603002105</v>
      </c>
      <c r="J172" s="40" t="inlineStr">
        <is>
          <t>300mm±10mm透明硼硅酸盐玻璃制，直形，管径均匀，应有防滑脱沟槽</t>
        </is>
      </c>
      <c r="K172" s="39" t="inlineStr">
        <is>
          <t>乐百仕</t>
        </is>
      </c>
      <c r="L172" s="39" t="inlineStr">
        <is>
          <t>江苏乐百仕教育科技有限公司</t>
        </is>
      </c>
      <c r="M172" s="345" t="n">
        <v>25</v>
      </c>
      <c r="N172" s="345" t="n">
        <v>10</v>
      </c>
      <c r="O172" s="345" t="n">
        <v>250</v>
      </c>
      <c r="P172" s="345" t="inlineStr">
        <is>
          <t>支</t>
        </is>
      </c>
      <c r="Q172" s="345" t="inlineStr"/>
      <c r="R172" s="345" t="inlineStr"/>
      <c r="S172" s="345" t="inlineStr"/>
      <c r="T172" s="345" t="inlineStr"/>
      <c r="U172" s="345" t="n">
        <v>14</v>
      </c>
      <c r="V172" s="345" t="inlineStr"/>
      <c r="W172" s="345" t="n">
        <v>16</v>
      </c>
      <c r="X172" s="345" t="inlineStr"/>
      <c r="Y172" s="345" t="inlineStr">
        <is>
          <t>confirmed</t>
        </is>
      </c>
      <c r="Z172" s="345" t="n">
        <v>66.7</v>
      </c>
      <c r="AA172" s="345" t="inlineStr">
        <is>
          <t>价格分歧&gt;30%：历史报价分歧较大，需人工核对；同分多价：最高分候选存在不同历史价格</t>
        </is>
      </c>
      <c r="AB172" s="345" t="inlineStr">
        <is>
          <t>高中理化生报价.xlsx｜凯迪｜第1251行</t>
        </is>
      </c>
    </row>
    <row r="173" customFormat="1" s="195">
      <c r="A173" s="323" t="n">
        <v>198</v>
      </c>
      <c r="B173" s="348" t="n">
        <v>30603002115</v>
      </c>
      <c r="C173" s="238" t="inlineStr">
        <is>
          <t>冷凝管</t>
        </is>
      </c>
      <c r="D173" s="115" t="inlineStr">
        <is>
          <t>300mm±10mm透明硼硅酸盐玻璃制，球形</t>
        </is>
      </c>
      <c r="E173" s="131" t="n">
        <v>1</v>
      </c>
      <c r="F173" s="117" t="inlineStr">
        <is>
          <t>支</t>
        </is>
      </c>
      <c r="G173" s="131">
        <f>_xlfn.DISPIMG("ID_C61EDB58A48B499697BB8C141E78DEBB",1)</f>
        <v/>
      </c>
      <c r="H173" s="220" t="n"/>
      <c r="I173" s="348" t="n">
        <v>30603002115</v>
      </c>
      <c r="J173" s="40" t="inlineStr">
        <is>
          <t>300mm±10mm透明硼硅酸盐玻璃制，球形</t>
        </is>
      </c>
      <c r="K173" s="39" t="inlineStr">
        <is>
          <t>乐百仕</t>
        </is>
      </c>
      <c r="L173" s="39" t="inlineStr">
        <is>
          <t>江苏乐百仕教育科技有限公司</t>
        </is>
      </c>
      <c r="M173" s="345" t="n">
        <v>1</v>
      </c>
      <c r="N173" s="345" t="n">
        <v>10</v>
      </c>
      <c r="O173" s="345" t="n">
        <v>10</v>
      </c>
      <c r="P173" s="345" t="inlineStr">
        <is>
          <t>支</t>
        </is>
      </c>
      <c r="Q173" s="345" t="inlineStr"/>
      <c r="R173" s="345" t="inlineStr"/>
      <c r="S173" s="345" t="inlineStr"/>
      <c r="T173" s="345" t="inlineStr"/>
      <c r="U173" s="345" t="n">
        <v>14</v>
      </c>
      <c r="V173" s="345" t="inlineStr"/>
      <c r="W173" s="345" t="n">
        <v>16</v>
      </c>
      <c r="X173" s="345" t="inlineStr"/>
      <c r="Y173" s="345" t="inlineStr">
        <is>
          <t>confirmed</t>
        </is>
      </c>
      <c r="Z173" s="345" t="n">
        <v>66.7</v>
      </c>
      <c r="AA173" s="345" t="inlineStr">
        <is>
          <t>价格分歧&gt;30%：历史报价分歧较大，需人工核对；同分多价：最高分候选存在不同历史价格</t>
        </is>
      </c>
      <c r="AB173" s="345" t="inlineStr">
        <is>
          <t>高中理化生报价.xlsx｜凯迪｜第1251行</t>
        </is>
      </c>
    </row>
    <row r="174" customFormat="1" s="257">
      <c r="A174" s="323" t="n">
        <v>199</v>
      </c>
      <c r="B174" s="31" t="n">
        <v>30603002303</v>
      </c>
      <c r="C174" s="137" t="inlineStr">
        <is>
          <t>牛角管</t>
        </is>
      </c>
      <c r="D174" s="141" t="inlineStr">
        <is>
          <t>Φ18mm×150mm，弯形，尖嘴处厚度＞1 mm</t>
        </is>
      </c>
      <c r="E174" s="131" t="n">
        <v>25</v>
      </c>
      <c r="F174" s="31" t="inlineStr">
        <is>
          <t>个</t>
        </is>
      </c>
      <c r="G174" s="131">
        <f>_xlfn.DISPIMG("ID_D1D48220B15940F5A8423DE2319B762F",1)</f>
        <v/>
      </c>
      <c r="H174" s="330" t="n"/>
      <c r="I174" s="31" t="n">
        <v>30603002303</v>
      </c>
      <c r="J174" s="33" t="inlineStr">
        <is>
          <t>Φ18mm×150mm，弯形，尖嘴处厚度＞1 mm</t>
        </is>
      </c>
      <c r="K174" s="39" t="inlineStr">
        <is>
          <t>乐百仕</t>
        </is>
      </c>
      <c r="L174" s="39" t="inlineStr">
        <is>
          <t>江苏乐百仕教育科技有限公司</t>
        </is>
      </c>
      <c r="M174" s="345" t="n">
        <v>25</v>
      </c>
      <c r="N174" s="345" t="n">
        <v>2.8</v>
      </c>
      <c r="O174" s="345" t="n">
        <v>70</v>
      </c>
      <c r="P174" s="345" t="inlineStr">
        <is>
          <t>个</t>
        </is>
      </c>
      <c r="Q174" s="345" t="inlineStr"/>
      <c r="R174" s="345" t="inlineStr"/>
      <c r="S174" s="345" t="inlineStr"/>
      <c r="T174" s="345" t="inlineStr"/>
      <c r="U174" s="345" t="inlineStr"/>
      <c r="V174" s="345" t="inlineStr"/>
      <c r="W174" s="345" t="inlineStr"/>
      <c r="X174" s="345" t="inlineStr"/>
      <c r="Y174" s="345" t="inlineStr">
        <is>
          <t>confirmed</t>
        </is>
      </c>
      <c r="Z174" s="345" t="n">
        <v>0</v>
      </c>
      <c r="AA174" s="345" t="inlineStr">
        <is>
          <t>没有找到可靠候选</t>
        </is>
      </c>
      <c r="AB174" s="345" t="inlineStr">
        <is>
          <t>赛特尔25年.xls｜初中新课标化学｜第119行</t>
        </is>
      </c>
    </row>
    <row r="175" customFormat="1" s="195">
      <c r="A175" s="323" t="n">
        <v>200</v>
      </c>
      <c r="B175" s="31" t="n">
        <v>30603003105</v>
      </c>
      <c r="C175" s="137" t="inlineStr">
        <is>
          <t>漏斗</t>
        </is>
      </c>
      <c r="D175" s="141" t="inlineStr">
        <is>
          <t>75mm，短颈，滤碗为夹角 60° 的 圆 锥形，管的尾端磨成约 45°</t>
        </is>
      </c>
      <c r="E175" s="31" t="n">
        <v>50</v>
      </c>
      <c r="F175" s="31" t="inlineStr">
        <is>
          <t>个</t>
        </is>
      </c>
      <c r="G175" s="131">
        <f>_xlfn.DISPIMG("ID_F608D2DB99FE41A99B455DB9DF62197C",1)</f>
        <v/>
      </c>
      <c r="H175" s="220" t="n"/>
      <c r="I175" s="31" t="n">
        <v>30603003105</v>
      </c>
      <c r="J175" s="33" t="inlineStr">
        <is>
          <t>75mm，短颈，滤碗为夹角 60° 的 圆 锥形，管的尾端磨成约 45°</t>
        </is>
      </c>
      <c r="K175" s="39" t="inlineStr">
        <is>
          <t>乐百仕</t>
        </is>
      </c>
      <c r="L175" s="39" t="inlineStr">
        <is>
          <t>江苏乐百仕教育科技有限公司</t>
        </is>
      </c>
      <c r="M175" s="345" t="n">
        <v>50</v>
      </c>
      <c r="N175" s="345" t="n">
        <v>4</v>
      </c>
      <c r="O175" s="345" t="n">
        <v>200</v>
      </c>
      <c r="P175" s="345" t="inlineStr">
        <is>
          <t>个</t>
        </is>
      </c>
      <c r="Q175" s="345" t="inlineStr"/>
      <c r="R175" s="345" t="inlineStr"/>
      <c r="S175" s="345" t="inlineStr"/>
      <c r="T175" s="345" t="inlineStr"/>
      <c r="U175" s="345" t="n">
        <v>6</v>
      </c>
      <c r="V175" s="345" t="inlineStr"/>
      <c r="W175" s="345" t="n">
        <v>11</v>
      </c>
      <c r="X175" s="345" t="inlineStr"/>
      <c r="Y175" s="345" t="inlineStr">
        <is>
          <t>confirmed</t>
        </is>
      </c>
      <c r="Z175" s="345" t="n">
        <v>100</v>
      </c>
      <c r="AA175" s="345" t="inlineStr">
        <is>
          <t>价格分歧&gt;30%：历史报价分歧较大，需人工核对；同分多价：最高分候选存在不同历史价格</t>
        </is>
      </c>
      <c r="AB175" s="345" t="inlineStr">
        <is>
          <t>赛特尔25年.xls｜初中生物｜第226行</t>
        </is>
      </c>
    </row>
    <row r="176" customFormat="1" s="195">
      <c r="A176" s="323" t="n">
        <v>201</v>
      </c>
      <c r="B176" s="31" t="n">
        <v>30603003102</v>
      </c>
      <c r="C176" s="137" t="inlineStr">
        <is>
          <t>漏斗</t>
        </is>
      </c>
      <c r="D176" s="141" t="inlineStr">
        <is>
          <t>90mm，短颈，滤碗为夹角 60° 的 圆 锥形，管的尾端磨成约 45°</t>
        </is>
      </c>
      <c r="E176" s="31" t="n">
        <v>1</v>
      </c>
      <c r="F176" s="31" t="inlineStr">
        <is>
          <t>个</t>
        </is>
      </c>
      <c r="G176" s="131">
        <f>_xlfn.DISPIMG("ID_14196E6400344691BC68DEBDFE204909",1)</f>
        <v/>
      </c>
      <c r="H176" s="220" t="n"/>
      <c r="I176" s="31" t="n">
        <v>30603003102</v>
      </c>
      <c r="J176" s="33" t="inlineStr">
        <is>
          <t>90mm，短颈，滤碗为夹角 60° 的 圆 锥形，管的尾端磨成约 45°</t>
        </is>
      </c>
      <c r="K176" s="39" t="inlineStr">
        <is>
          <t>乐百仕</t>
        </is>
      </c>
      <c r="L176" s="39" t="inlineStr">
        <is>
          <t>江苏乐百仕教育科技有限公司</t>
        </is>
      </c>
      <c r="M176" s="345" t="n">
        <v>1</v>
      </c>
      <c r="N176" s="345" t="n">
        <v>4</v>
      </c>
      <c r="O176" s="345" t="n">
        <v>4</v>
      </c>
      <c r="P176" s="345" t="inlineStr">
        <is>
          <t>个</t>
        </is>
      </c>
      <c r="Q176" s="345" t="inlineStr"/>
      <c r="R176" s="345" t="inlineStr"/>
      <c r="S176" s="345" t="inlineStr"/>
      <c r="T176" s="345" t="inlineStr"/>
      <c r="U176" s="345" t="n">
        <v>6</v>
      </c>
      <c r="V176" s="345" t="inlineStr"/>
      <c r="W176" s="345" t="n">
        <v>11</v>
      </c>
      <c r="X176" s="345" t="inlineStr"/>
      <c r="Y176" s="345" t="inlineStr">
        <is>
          <t>confirmed</t>
        </is>
      </c>
      <c r="Z176" s="345" t="n">
        <v>100</v>
      </c>
      <c r="AA176" s="345" t="inlineStr">
        <is>
          <t>价格分歧&gt;30%：历史报价分歧较大，需人工核对；同分多价：最高分候选存在不同历史价格</t>
        </is>
      </c>
      <c r="AB176" s="345" t="inlineStr">
        <is>
          <t>赛特尔25年.xls｜初中生物｜第226行</t>
        </is>
      </c>
    </row>
    <row r="177" customFormat="1" s="195">
      <c r="A177" s="323" t="n">
        <v>202</v>
      </c>
      <c r="B177" s="31" t="n">
        <v>30603003301</v>
      </c>
      <c r="C177" s="137" t="inlineStr">
        <is>
          <t>安全漏斗</t>
        </is>
      </c>
      <c r="D177" s="141" t="inlineStr">
        <is>
          <t>直形，颈长 300 mm上口直径 40mm±3 mm，玻璃壁厚度适中</t>
        </is>
      </c>
      <c r="E177" s="31" t="n">
        <v>1</v>
      </c>
      <c r="F177" s="31" t="inlineStr">
        <is>
          <t>个</t>
        </is>
      </c>
      <c r="G177" s="131">
        <f>_xlfn.DISPIMG("ID_407FB3657FEB4DFFB1E96340102A639F",1)</f>
        <v/>
      </c>
      <c r="H177" s="220" t="n"/>
      <c r="I177" s="31" t="n">
        <v>30603003301</v>
      </c>
      <c r="J177" s="33" t="inlineStr">
        <is>
          <t>直形，颈长 300 mm上口直径 40mm±3 mm，玻璃壁厚度适中</t>
        </is>
      </c>
      <c r="K177" s="39" t="inlineStr">
        <is>
          <t>乐百仕</t>
        </is>
      </c>
      <c r="L177" s="39" t="inlineStr">
        <is>
          <t>江苏乐百仕教育科技有限公司</t>
        </is>
      </c>
      <c r="M177" s="345" t="n">
        <v>1</v>
      </c>
      <c r="N177" s="345" t="n">
        <v>5</v>
      </c>
      <c r="O177" s="345" t="n">
        <v>5</v>
      </c>
      <c r="P177" s="345" t="inlineStr">
        <is>
          <t>个</t>
        </is>
      </c>
      <c r="Q177" s="345" t="inlineStr"/>
      <c r="R177" s="345" t="inlineStr"/>
      <c r="S177" s="345" t="inlineStr"/>
      <c r="T177" s="345" t="inlineStr"/>
      <c r="U177" s="345" t="n">
        <v>7</v>
      </c>
      <c r="V177" s="345" t="inlineStr"/>
      <c r="W177" s="345" t="n">
        <v>7</v>
      </c>
      <c r="X177" s="345" t="inlineStr"/>
      <c r="Y177" s="345" t="inlineStr">
        <is>
          <t>confirmed</t>
        </is>
      </c>
      <c r="Z177" s="345" t="n">
        <v>100</v>
      </c>
      <c r="AA177" s="345" t="inlineStr">
        <is>
          <t>价格分歧&gt;30%：历史报价分歧较大，需人工核对；同分多价：最高分候选存在不同历史价格</t>
        </is>
      </c>
      <c r="AB177" s="345" t="inlineStr">
        <is>
          <t>赛特尔25年.xls｜初中新课标化学｜第122行</t>
        </is>
      </c>
    </row>
    <row r="178" customFormat="1" s="195">
      <c r="A178" s="323" t="n">
        <v>203</v>
      </c>
      <c r="B178" s="26" t="n">
        <v>30603003311</v>
      </c>
      <c r="C178" s="137" t="inlineStr">
        <is>
          <t>安全漏斗</t>
        </is>
      </c>
      <c r="D178" s="141" t="inlineStr">
        <is>
          <t>环形双球球径高度、直径一致，双球应位于环管中部，应无明显偏斜</t>
        </is>
      </c>
      <c r="E178" s="31" t="n">
        <v>1</v>
      </c>
      <c r="F178" s="26" t="inlineStr">
        <is>
          <t>个</t>
        </is>
      </c>
      <c r="G178" s="31">
        <f>_xlfn.DISPIMG("ID_1C77E91EA9AD4E38AF1E136F1A5A30B2",1)</f>
        <v/>
      </c>
      <c r="H178" s="220" t="n"/>
      <c r="I178" s="26" t="n">
        <v>30603003311</v>
      </c>
      <c r="J178" s="33" t="inlineStr">
        <is>
          <t>环形双球球径高度、直径一致，双球应位于环管中部，应无明显偏斜</t>
        </is>
      </c>
      <c r="K178" s="39" t="inlineStr">
        <is>
          <t>乐百仕</t>
        </is>
      </c>
      <c r="L178" s="39" t="inlineStr">
        <is>
          <t>江苏乐百仕教育科技有限公司</t>
        </is>
      </c>
      <c r="M178" s="345" t="n">
        <v>1</v>
      </c>
      <c r="N178" s="345" t="n">
        <v>5</v>
      </c>
      <c r="O178" s="345" t="n">
        <v>5</v>
      </c>
      <c r="P178" s="345" t="inlineStr">
        <is>
          <t>个</t>
        </is>
      </c>
      <c r="Q178" s="345" t="inlineStr"/>
      <c r="R178" s="345" t="inlineStr"/>
      <c r="S178" s="345" t="inlineStr"/>
      <c r="T178" s="345" t="inlineStr"/>
      <c r="U178" s="345" t="n">
        <v>7</v>
      </c>
      <c r="V178" s="345" t="inlineStr"/>
      <c r="W178" s="345" t="n">
        <v>7</v>
      </c>
      <c r="X178" s="345" t="inlineStr"/>
      <c r="Y178" s="345" t="inlineStr">
        <is>
          <t>confirmed</t>
        </is>
      </c>
      <c r="Z178" s="345" t="n">
        <v>100</v>
      </c>
      <c r="AA178" s="345" t="inlineStr">
        <is>
          <t>价格分歧&gt;30%：历史报价分歧较大，需人工核对；同分多价：最高分候选存在不同历史价格</t>
        </is>
      </c>
      <c r="AB178" s="345" t="inlineStr">
        <is>
          <t>赛特尔25年.xls｜初中新课标化学｜第122行</t>
        </is>
      </c>
    </row>
    <row r="179" customFormat="1" s="195">
      <c r="A179" s="323" t="n">
        <v>204</v>
      </c>
      <c r="B179" s="31" t="n">
        <v>30603003504</v>
      </c>
      <c r="C179" s="137" t="inlineStr">
        <is>
          <t xml:space="preserve">分液漏斗 </t>
        </is>
      </c>
      <c r="D179" s="141" t="inlineStr">
        <is>
          <t>锥形，100 mL，瓶塞应有凹槽，瓶口有气孔</t>
        </is>
      </c>
      <c r="E179" s="31" t="n">
        <v>25</v>
      </c>
      <c r="F179" s="31" t="inlineStr">
        <is>
          <t>个</t>
        </is>
      </c>
      <c r="G179" s="131">
        <f>_xlfn.DISPIMG("ID_54555471DB454C299B5F7C0E9CCDA9CA",1)</f>
        <v/>
      </c>
      <c r="H179" s="220" t="n"/>
      <c r="I179" s="31" t="n">
        <v>30603003504</v>
      </c>
      <c r="J179" s="33" t="inlineStr">
        <is>
          <t>锥形，100 mL，瓶塞应有凹槽，瓶口有气孔</t>
        </is>
      </c>
      <c r="K179" s="39" t="inlineStr">
        <is>
          <t>乐百仕</t>
        </is>
      </c>
      <c r="L179" s="39" t="inlineStr">
        <is>
          <t>江苏乐百仕教育科技有限公司</t>
        </is>
      </c>
      <c r="M179" s="345" t="n">
        <v>25</v>
      </c>
      <c r="N179" s="345" t="n">
        <v>4</v>
      </c>
      <c r="O179" s="345" t="n">
        <v>100</v>
      </c>
      <c r="P179" s="345" t="inlineStr">
        <is>
          <t>个</t>
        </is>
      </c>
      <c r="Q179" s="345" t="inlineStr"/>
      <c r="R179" s="345" t="inlineStr"/>
      <c r="S179" s="345" t="inlineStr"/>
      <c r="T179" s="345" t="inlineStr"/>
      <c r="U179" s="345" t="n">
        <v>14</v>
      </c>
      <c r="V179" s="345" t="inlineStr"/>
      <c r="W179" s="345" t="n">
        <v>16</v>
      </c>
      <c r="X179" s="345" t="inlineStr"/>
      <c r="Y179" s="345" t="inlineStr">
        <is>
          <t>confirmed</t>
        </is>
      </c>
      <c r="Z179" s="345" t="n">
        <v>100</v>
      </c>
      <c r="AA179" s="345" t="inlineStr">
        <is>
          <t>同分多价：最高分候选存在不同历史价格</t>
        </is>
      </c>
      <c r="AB179" s="345" t="inlineStr">
        <is>
          <t>高中理化生报价.xlsx｜凯迪｜第1814行</t>
        </is>
      </c>
    </row>
    <row r="180" customFormat="1" s="195">
      <c r="A180" s="323" t="n">
        <v>205</v>
      </c>
      <c r="B180" s="26" t="n">
        <v>30603003513</v>
      </c>
      <c r="C180" s="137" t="inlineStr">
        <is>
          <t xml:space="preserve">分液漏斗 </t>
        </is>
      </c>
      <c r="D180" s="141" t="inlineStr">
        <is>
          <t>梨形，50 mL，瓶塞应有凹槽，瓶口有气孔</t>
        </is>
      </c>
      <c r="E180" s="31" t="n">
        <v>25</v>
      </c>
      <c r="F180" s="31" t="inlineStr">
        <is>
          <t>个</t>
        </is>
      </c>
      <c r="G180" s="31">
        <f>_xlfn.DISPIMG("ID_2F47108227944F46A0B6726CEEC52ED6",1)</f>
        <v/>
      </c>
      <c r="H180" s="220" t="n"/>
      <c r="I180" s="26" t="n">
        <v>30603003513</v>
      </c>
      <c r="J180" s="33" t="inlineStr">
        <is>
          <t>梨形，50 mL，瓶塞应有凹槽，瓶口有气孔</t>
        </is>
      </c>
      <c r="K180" s="39" t="inlineStr">
        <is>
          <t>乐百仕</t>
        </is>
      </c>
      <c r="L180" s="39" t="inlineStr">
        <is>
          <t>江苏乐百仕教育科技有限公司</t>
        </is>
      </c>
      <c r="M180" s="345" t="n">
        <v>25</v>
      </c>
      <c r="N180" s="345" t="n">
        <v>4</v>
      </c>
      <c r="O180" s="345" t="n">
        <v>100</v>
      </c>
      <c r="P180" s="345" t="inlineStr">
        <is>
          <t>个</t>
        </is>
      </c>
      <c r="Q180" s="345" t="inlineStr"/>
      <c r="R180" s="345" t="inlineStr"/>
      <c r="S180" s="345" t="inlineStr"/>
      <c r="T180" s="345" t="inlineStr"/>
      <c r="U180" s="345" t="n">
        <v>14</v>
      </c>
      <c r="V180" s="345" t="inlineStr"/>
      <c r="W180" s="345" t="n">
        <v>16</v>
      </c>
      <c r="X180" s="345" t="inlineStr"/>
      <c r="Y180" s="345" t="inlineStr">
        <is>
          <t>confirmed</t>
        </is>
      </c>
      <c r="Z180" s="345" t="n">
        <v>100</v>
      </c>
      <c r="AA180" s="345" t="inlineStr">
        <is>
          <t>同分多价：最高分候选存在不同历史价格</t>
        </is>
      </c>
      <c r="AB180" s="345" t="inlineStr">
        <is>
          <t>高中理化生报价.xlsx｜凯迪｜第1814行</t>
        </is>
      </c>
    </row>
    <row r="181" customFormat="1" s="257">
      <c r="A181" s="323" t="n">
        <v>206</v>
      </c>
      <c r="B181" s="26" t="n">
        <v>30603007102</v>
      </c>
      <c r="C181" s="30" t="inlineStr">
        <is>
          <t>三通连接管</t>
        </is>
      </c>
      <c r="D181" s="141" t="inlineStr">
        <is>
          <t>T 形，Φ 7 mm～8 mm，连接完好，管口应作打磨或烧结处理</t>
        </is>
      </c>
      <c r="E181" s="31" t="n">
        <v>25</v>
      </c>
      <c r="F181" s="31" t="inlineStr">
        <is>
          <t>个</t>
        </is>
      </c>
      <c r="G181" s="31">
        <f>_xlfn.DISPIMG("ID_4622165648004881A0BAECBB00E28EE7",1)</f>
        <v/>
      </c>
      <c r="H181" s="330" t="n"/>
      <c r="I181" s="26" t="n">
        <v>30603007102</v>
      </c>
      <c r="J181" s="33" t="inlineStr">
        <is>
          <t>T 形，Φ 7 mm～8 mm，连接完好，管口应作打磨或烧结处理</t>
        </is>
      </c>
      <c r="K181" s="39" t="inlineStr">
        <is>
          <t>乐百仕</t>
        </is>
      </c>
      <c r="L181" s="39" t="inlineStr">
        <is>
          <t>江苏乐百仕教育科技有限公司</t>
        </is>
      </c>
      <c r="M181" s="345" t="n">
        <v>25</v>
      </c>
      <c r="N181" s="345" t="n">
        <v>2</v>
      </c>
      <c r="O181" s="345" t="n">
        <v>50</v>
      </c>
      <c r="P181" s="345" t="inlineStr">
        <is>
          <t>个</t>
        </is>
      </c>
      <c r="Q181" s="345" t="inlineStr"/>
      <c r="R181" s="345" t="inlineStr"/>
      <c r="S181" s="345" t="inlineStr"/>
      <c r="T181" s="345" t="inlineStr">
        <is>
          <t>T 形</t>
        </is>
      </c>
      <c r="U181" s="345" t="inlineStr"/>
      <c r="V181" s="345" t="inlineStr"/>
      <c r="W181" s="345" t="inlineStr"/>
      <c r="X181" s="345" t="inlineStr"/>
      <c r="Y181" s="345" t="inlineStr">
        <is>
          <t>confirmed</t>
        </is>
      </c>
      <c r="Z181" s="345" t="n">
        <v>100</v>
      </c>
      <c r="AA181" s="345" t="inlineStr"/>
      <c r="AB181" s="345" t="inlineStr">
        <is>
          <t>赛特尔25年.xls｜初中新课标生物｜第117行</t>
        </is>
      </c>
    </row>
    <row r="182" customFormat="1" s="257">
      <c r="A182" s="323" t="n">
        <v>207</v>
      </c>
      <c r="B182" s="26" t="n">
        <v>30603007112</v>
      </c>
      <c r="C182" s="30" t="inlineStr">
        <is>
          <t>三通连接管</t>
        </is>
      </c>
      <c r="D182" s="141" t="inlineStr">
        <is>
          <t>Y 形，Φ7 mm～8 mm，连接完好，管口应作打磨或烧结处理</t>
        </is>
      </c>
      <c r="E182" s="31" t="n">
        <v>25</v>
      </c>
      <c r="F182" s="31" t="inlineStr">
        <is>
          <t>个</t>
        </is>
      </c>
      <c r="G182" s="31">
        <f>_xlfn.DISPIMG("ID_46CEDE1DC4114901835F53A21938E960",1)</f>
        <v/>
      </c>
      <c r="H182" s="330" t="n"/>
      <c r="I182" s="26" t="n">
        <v>30603007112</v>
      </c>
      <c r="J182" s="33" t="inlineStr">
        <is>
          <t>Y 形，Φ7 mm～8 mm，连接完好，管口应作打磨或烧结处理</t>
        </is>
      </c>
      <c r="K182" s="39" t="inlineStr">
        <is>
          <t>乐百仕</t>
        </is>
      </c>
      <c r="L182" s="39" t="inlineStr">
        <is>
          <t>江苏乐百仕教育科技有限公司</t>
        </is>
      </c>
      <c r="M182" s="345" t="n">
        <v>25</v>
      </c>
      <c r="N182" s="345" t="n">
        <v>2</v>
      </c>
      <c r="O182" s="345" t="n">
        <v>50</v>
      </c>
      <c r="P182" s="345" t="inlineStr">
        <is>
          <t>个</t>
        </is>
      </c>
      <c r="Q182" s="345" t="inlineStr"/>
      <c r="R182" s="345" t="inlineStr"/>
      <c r="S182" s="345" t="inlineStr"/>
      <c r="T182" s="345" t="inlineStr">
        <is>
          <t>T 形</t>
        </is>
      </c>
      <c r="U182" s="345" t="inlineStr"/>
      <c r="V182" s="345" t="inlineStr"/>
      <c r="W182" s="345" t="inlineStr"/>
      <c r="X182" s="345" t="inlineStr"/>
      <c r="Y182" s="345" t="inlineStr">
        <is>
          <t>confirmed</t>
        </is>
      </c>
      <c r="Z182" s="345" t="n">
        <v>100</v>
      </c>
      <c r="AA182" s="345" t="inlineStr"/>
      <c r="AB182" s="345" t="inlineStr">
        <is>
          <t>赛特尔25年.xls｜初中新课标生物｜第117行</t>
        </is>
      </c>
    </row>
    <row r="183" customFormat="1" s="195">
      <c r="A183" s="323" t="n">
        <v>208</v>
      </c>
      <c r="B183" s="31" t="n">
        <v>30603007302</v>
      </c>
      <c r="C183" s="137" t="inlineStr">
        <is>
          <t>滴管</t>
        </is>
      </c>
      <c r="D183" s="141" t="inlineStr">
        <is>
          <t>Φ8 mm×100 mm，滴管尖嘴口径 1 mm，上端有防滑脱翻口，翻口处直径比滴管直径略多 1 mm～2 mm</t>
        </is>
      </c>
      <c r="E183" s="31" t="n">
        <v>50</v>
      </c>
      <c r="F183" s="26" t="inlineStr">
        <is>
          <t>支</t>
        </is>
      </c>
      <c r="G183" s="131">
        <f>_xlfn.DISPIMG("ID_4D64B9AC2E0443A9AAA032D336BF9AD9",1)</f>
        <v/>
      </c>
      <c r="H183" s="220" t="n"/>
      <c r="I183" s="31" t="n">
        <v>30603007302</v>
      </c>
      <c r="J183" s="33" t="inlineStr">
        <is>
          <t>Φ8 mm×100 mm，滴管尖嘴口径 1 mm，上端有防滑脱翻口，翻口处直径比滴管直径略多 1 mm～2 mm</t>
        </is>
      </c>
      <c r="K183" s="39" t="inlineStr">
        <is>
          <t>乐百仕</t>
        </is>
      </c>
      <c r="L183" s="39" t="inlineStr">
        <is>
          <t>江苏乐百仕教育科技有限公司</t>
        </is>
      </c>
      <c r="M183" s="345" t="n">
        <v>50</v>
      </c>
      <c r="N183" s="345" t="n">
        <v>0.4</v>
      </c>
      <c r="O183" s="345" t="n">
        <v>20</v>
      </c>
      <c r="P183" s="345" t="inlineStr">
        <is>
          <t>支</t>
        </is>
      </c>
      <c r="Q183" s="345" t="inlineStr"/>
      <c r="R183" s="345" t="inlineStr"/>
      <c r="S183" s="345" t="inlineStr"/>
      <c r="T183" s="345" t="inlineStr"/>
      <c r="U183" s="345" t="n">
        <v>1</v>
      </c>
      <c r="V183" s="345" t="inlineStr"/>
      <c r="W183" s="345" t="n">
        <v>1</v>
      </c>
      <c r="X183" s="345" t="inlineStr"/>
      <c r="Y183" s="345" t="inlineStr">
        <is>
          <t>confirmed</t>
        </is>
      </c>
      <c r="Z183" s="345" t="n">
        <v>100</v>
      </c>
      <c r="AA183" s="345" t="inlineStr">
        <is>
          <t>同分多价：最高分候选存在不同历史价格</t>
        </is>
      </c>
      <c r="AB183" s="345" t="inlineStr">
        <is>
          <t>赛特尔25年.xls｜初中新课标化学｜第171行</t>
        </is>
      </c>
    </row>
    <row r="184" customFormat="1" s="195">
      <c r="A184" s="323" t="n">
        <v>209</v>
      </c>
      <c r="B184" s="31" t="n">
        <v>30603007303</v>
      </c>
      <c r="C184" s="137" t="inlineStr">
        <is>
          <t>滴管</t>
        </is>
      </c>
      <c r="D184" s="141" t="inlineStr">
        <is>
          <t>Φ8 mm×150 mm，滴管尖嘴口径 1 mm，上端有防滑脱翻口，翻口处直径比滴管直径略多 1 mm～2 mm</t>
        </is>
      </c>
      <c r="E184" s="131" t="n">
        <v>50</v>
      </c>
      <c r="F184" s="26" t="inlineStr">
        <is>
          <t>支</t>
        </is>
      </c>
      <c r="G184" s="131">
        <f>_xlfn.DISPIMG("ID_A4E6B71D9E7A4CE2A2D4CDC08AE63889",1)</f>
        <v/>
      </c>
      <c r="H184" s="220" t="n"/>
      <c r="I184" s="31" t="n">
        <v>30603007303</v>
      </c>
      <c r="J184" s="33" t="inlineStr">
        <is>
          <t>Φ8 mm×150 mm，滴管尖嘴口径 1 mm，上端有防滑脱翻口，翻口处直径比滴管直径略多 1 mm～2 mm</t>
        </is>
      </c>
      <c r="K184" s="39" t="inlineStr">
        <is>
          <t>乐百仕</t>
        </is>
      </c>
      <c r="L184" s="39" t="inlineStr">
        <is>
          <t>江苏乐百仕教育科技有限公司</t>
        </is>
      </c>
      <c r="M184" s="345" t="n">
        <v>50</v>
      </c>
      <c r="N184" s="345" t="n">
        <v>0.4</v>
      </c>
      <c r="O184" s="345" t="n">
        <v>20</v>
      </c>
      <c r="P184" s="345" t="inlineStr">
        <is>
          <t>支</t>
        </is>
      </c>
      <c r="Q184" s="345" t="inlineStr"/>
      <c r="R184" s="345" t="inlineStr"/>
      <c r="S184" s="345" t="inlineStr"/>
      <c r="T184" s="345" t="inlineStr"/>
      <c r="U184" s="345" t="n">
        <v>1</v>
      </c>
      <c r="V184" s="345" t="inlineStr"/>
      <c r="W184" s="345" t="n">
        <v>1</v>
      </c>
      <c r="X184" s="345" t="inlineStr"/>
      <c r="Y184" s="345" t="inlineStr">
        <is>
          <t>confirmed</t>
        </is>
      </c>
      <c r="Z184" s="345" t="n">
        <v>100</v>
      </c>
      <c r="AA184" s="345" t="inlineStr">
        <is>
          <t>同分多价：最高分候选存在不同历史价格</t>
        </is>
      </c>
      <c r="AB184" s="345" t="inlineStr">
        <is>
          <t>赛特尔25年.xls｜初中新课标化学｜第171行</t>
        </is>
      </c>
    </row>
    <row r="185" customFormat="1" s="257">
      <c r="A185" s="323" t="n">
        <v>210</v>
      </c>
      <c r="B185" s="26" t="n">
        <v>30603007405</v>
      </c>
      <c r="C185" s="87" t="inlineStr">
        <is>
          <t>离心管</t>
        </is>
      </c>
      <c r="D185" s="138" t="inlineStr">
        <is>
          <t>10 mL，硼硅酸盐玻璃制</t>
        </is>
      </c>
      <c r="E185" s="31" t="n">
        <v>15</v>
      </c>
      <c r="F185" s="26" t="inlineStr">
        <is>
          <t>支</t>
        </is>
      </c>
      <c r="G185" s="31">
        <f>_xlfn.DISPIMG("ID_BA5C096CF2B94B138F54B98217B99BA5",1)</f>
        <v/>
      </c>
      <c r="H185" s="330" t="n"/>
      <c r="I185" s="26" t="n">
        <v>30603007405</v>
      </c>
      <c r="J185" s="33" t="inlineStr">
        <is>
          <t>10 mL，硼硅酸盐玻璃制</t>
        </is>
      </c>
      <c r="K185" s="39" t="inlineStr">
        <is>
          <t>乐百仕</t>
        </is>
      </c>
      <c r="L185" s="39" t="inlineStr">
        <is>
          <t>江苏乐百仕教育科技有限公司</t>
        </is>
      </c>
      <c r="M185" s="345" t="n">
        <v>15</v>
      </c>
      <c r="N185" s="345" t="n">
        <v>1.25</v>
      </c>
      <c r="O185" s="345" t="n">
        <v>18.75</v>
      </c>
      <c r="P185" s="345" t="inlineStr">
        <is>
          <t>支</t>
        </is>
      </c>
      <c r="Q185" s="345" t="inlineStr"/>
      <c r="R185" s="345" t="inlineStr"/>
      <c r="S185" s="345" t="inlineStr"/>
      <c r="T185" s="345" t="inlineStr"/>
      <c r="U185" s="345" t="n">
        <v>1.5</v>
      </c>
      <c r="V185" s="345" t="inlineStr"/>
      <c r="W185" s="345" t="n">
        <v>1.5</v>
      </c>
      <c r="X185" s="345" t="inlineStr"/>
      <c r="Y185" s="345" t="inlineStr">
        <is>
          <t>confirmed</t>
        </is>
      </c>
      <c r="Z185" s="345" t="n">
        <v>100</v>
      </c>
      <c r="AA185" s="345" t="inlineStr">
        <is>
          <t>同分多价：最高分候选存在不同历史价格</t>
        </is>
      </c>
      <c r="AB185" s="345" t="inlineStr">
        <is>
          <t>赛特尔25年.xls｜初中生物｜第228行</t>
        </is>
      </c>
    </row>
    <row r="186" customFormat="1" s="195">
      <c r="A186" s="323" t="n">
        <v>211</v>
      </c>
      <c r="B186" s="348" t="n">
        <v>30603007501</v>
      </c>
      <c r="C186" s="233" t="inlineStr">
        <is>
          <t>干燥管</t>
        </is>
      </c>
      <c r="D186" s="115" t="inlineStr">
        <is>
          <t>145 mm，直形单球，硼 硅 酸 盐 玻 璃制，球应厚薄均匀</t>
        </is>
      </c>
      <c r="E186" s="31" t="n">
        <v>50</v>
      </c>
      <c r="F186" s="26" t="inlineStr">
        <is>
          <t>支</t>
        </is>
      </c>
      <c r="G186" s="131">
        <f>_xlfn.DISPIMG("ID_6A2C7B279A52404BB3858F7BE1AAFE9E",1)</f>
        <v/>
      </c>
      <c r="H186" s="220" t="n"/>
      <c r="I186" s="348" t="n">
        <v>30603007501</v>
      </c>
      <c r="J186" s="40" t="inlineStr">
        <is>
          <t>145 mm，直形单球，硼 硅 酸 盐 玻 璃制，球应厚薄均匀</t>
        </is>
      </c>
      <c r="K186" s="39" t="inlineStr">
        <is>
          <t>乐百仕</t>
        </is>
      </c>
      <c r="L186" s="39" t="inlineStr">
        <is>
          <t>江苏乐百仕教育科技有限公司</t>
        </is>
      </c>
      <c r="M186" s="345" t="n">
        <v>50</v>
      </c>
      <c r="N186" s="345" t="n">
        <v>2.5</v>
      </c>
      <c r="O186" s="345" t="n">
        <v>125</v>
      </c>
      <c r="P186" s="345" t="inlineStr">
        <is>
          <t>支</t>
        </is>
      </c>
      <c r="Q186" s="345" t="inlineStr"/>
      <c r="R186" s="345" t="inlineStr"/>
      <c r="S186" s="345" t="inlineStr"/>
      <c r="T186" s="345" t="inlineStr"/>
      <c r="U186" s="345" t="n">
        <v>2.5</v>
      </c>
      <c r="V186" s="345" t="inlineStr"/>
      <c r="W186" s="345" t="n">
        <v>2.75</v>
      </c>
      <c r="X186" s="345" t="inlineStr"/>
      <c r="Y186" s="345" t="inlineStr">
        <is>
          <t>confirmed</t>
        </is>
      </c>
      <c r="Z186" s="345" t="n">
        <v>100</v>
      </c>
      <c r="AA186" s="345" t="inlineStr"/>
      <c r="AB186" s="345" t="inlineStr">
        <is>
          <t>赛特尔25年.xls｜初中化学｜第125行</t>
        </is>
      </c>
    </row>
    <row r="187" customFormat="1" s="195">
      <c r="A187" s="323" t="n">
        <v>212</v>
      </c>
      <c r="B187" s="348" t="n">
        <v>30603007511</v>
      </c>
      <c r="C187" s="233" t="inlineStr">
        <is>
          <t>干燥管</t>
        </is>
      </c>
      <c r="D187" s="115" t="inlineStr">
        <is>
          <t>U型，Φ15mm×150mm，硼 硅 酸 盐 玻 璃制，两管应平行，管口高度误差不大于 5 mm</t>
        </is>
      </c>
      <c r="E187" s="131" t="n">
        <v>50</v>
      </c>
      <c r="F187" s="26" t="inlineStr">
        <is>
          <t>支</t>
        </is>
      </c>
      <c r="G187" s="131">
        <f>_xlfn.DISPIMG("ID_0AACF1B96CFD466DA469B8AC7E6E2AA6",1)</f>
        <v/>
      </c>
      <c r="H187" s="220" t="n"/>
      <c r="I187" s="348" t="n">
        <v>30603007511</v>
      </c>
      <c r="J187" s="40" t="inlineStr">
        <is>
          <t>U型，Φ15mm×150mm，硼 硅 酸 盐 玻 璃制，两管应平行，管口高度误差不大于 5 mm</t>
        </is>
      </c>
      <c r="K187" s="39" t="inlineStr">
        <is>
          <t>乐百仕</t>
        </is>
      </c>
      <c r="L187" s="39" t="inlineStr">
        <is>
          <t>江苏乐百仕教育科技有限公司</t>
        </is>
      </c>
      <c r="M187" s="345" t="n">
        <v>50</v>
      </c>
      <c r="N187" s="345" t="n">
        <v>2.5</v>
      </c>
      <c r="O187" s="345" t="n">
        <v>125</v>
      </c>
      <c r="P187" s="345" t="inlineStr">
        <is>
          <t>支</t>
        </is>
      </c>
      <c r="Q187" s="345" t="inlineStr"/>
      <c r="R187" s="345" t="inlineStr"/>
      <c r="S187" s="345" t="inlineStr"/>
      <c r="T187" s="345" t="inlineStr"/>
      <c r="U187" s="345" t="n">
        <v>2.5</v>
      </c>
      <c r="V187" s="345" t="inlineStr"/>
      <c r="W187" s="345" t="n">
        <v>4</v>
      </c>
      <c r="X187" s="345" t="inlineStr"/>
      <c r="Y187" s="345" t="inlineStr">
        <is>
          <t>confirmed</t>
        </is>
      </c>
      <c r="Z187" s="345" t="n">
        <v>100</v>
      </c>
      <c r="AA187" s="345" t="inlineStr">
        <is>
          <t>价格分歧&gt;30%：历史报价分歧较大，需人工核对</t>
        </is>
      </c>
      <c r="AB187" s="345" t="inlineStr">
        <is>
          <t>赛特尔25年.xls｜初中化学｜第126行</t>
        </is>
      </c>
    </row>
    <row r="188" customFormat="1" s="195">
      <c r="A188" s="323" t="n">
        <v>213</v>
      </c>
      <c r="B188" s="348" t="n">
        <v>30603007521</v>
      </c>
      <c r="C188" s="233" t="inlineStr">
        <is>
          <t>干燥管</t>
        </is>
      </c>
      <c r="D188" s="115" t="inlineStr">
        <is>
          <t>U型，具支，Φ15mm×150mm，硼 硅 酸 盐 玻 璃制，两管应平行，管口高度误差不大于 5 mm</t>
        </is>
      </c>
      <c r="E188" s="131" t="n">
        <v>1</v>
      </c>
      <c r="F188" s="26" t="inlineStr">
        <is>
          <t>支</t>
        </is>
      </c>
      <c r="G188" s="131">
        <f>_xlfn.DISPIMG("ID_CED5CA28C68644F3B525144AF4A7C2D2",1)</f>
        <v/>
      </c>
      <c r="H188" s="220" t="n"/>
      <c r="I188" s="348" t="n">
        <v>30603007521</v>
      </c>
      <c r="J188" s="40" t="inlineStr">
        <is>
          <t>U型，具支，Φ15mm×150mm，硼 硅 酸 盐 玻 璃制，两管应平行，管口高度误差不大于 5 mm</t>
        </is>
      </c>
      <c r="K188" s="39" t="inlineStr">
        <is>
          <t>乐百仕</t>
        </is>
      </c>
      <c r="L188" s="39" t="inlineStr">
        <is>
          <t>江苏乐百仕教育科技有限公司</t>
        </is>
      </c>
      <c r="M188" s="345" t="n">
        <v>1</v>
      </c>
      <c r="N188" s="345" t="n">
        <v>2.5</v>
      </c>
      <c r="O188" s="345" t="n">
        <v>2.5</v>
      </c>
      <c r="P188" s="345" t="inlineStr">
        <is>
          <t>支</t>
        </is>
      </c>
      <c r="Q188" s="345" t="inlineStr"/>
      <c r="R188" s="345" t="inlineStr"/>
      <c r="S188" s="345" t="inlineStr"/>
      <c r="T188" s="345" t="inlineStr"/>
      <c r="U188" s="345" t="n">
        <v>2.5</v>
      </c>
      <c r="V188" s="345" t="inlineStr"/>
      <c r="W188" s="345" t="n">
        <v>4</v>
      </c>
      <c r="X188" s="345" t="inlineStr"/>
      <c r="Y188" s="345" t="inlineStr">
        <is>
          <t>confirmed</t>
        </is>
      </c>
      <c r="Z188" s="345" t="n">
        <v>100</v>
      </c>
      <c r="AA188" s="345" t="inlineStr">
        <is>
          <t>价格分歧&gt;30%：历史报价分歧较大，需人工核对</t>
        </is>
      </c>
      <c r="AB188" s="345" t="inlineStr">
        <is>
          <t>赛特尔25年.xls｜初中化学｜第126行</t>
        </is>
      </c>
    </row>
    <row r="189" customFormat="1" s="195">
      <c r="A189" s="323" t="n">
        <v>214</v>
      </c>
      <c r="B189" s="348" t="n">
        <v>30603007512</v>
      </c>
      <c r="C189" s="233" t="inlineStr">
        <is>
          <t>干燥管</t>
        </is>
      </c>
      <c r="D189" s="115" t="inlineStr">
        <is>
          <t>U型，Φ20mm×200mm，硼 硅 酸 盐 玻 璃制，两管应平行，管口高度误差不大于 5 mm</t>
        </is>
      </c>
      <c r="E189" s="131" t="n">
        <v>1</v>
      </c>
      <c r="F189" s="26" t="inlineStr">
        <is>
          <t>支</t>
        </is>
      </c>
      <c r="G189" s="131">
        <f>_xlfn.DISPIMG("ID_8DEE494D12524273940AA6E8CE2FB1C1",1)</f>
        <v/>
      </c>
      <c r="H189" s="220" t="n"/>
      <c r="I189" s="348" t="n">
        <v>30603007512</v>
      </c>
      <c r="J189" s="40" t="inlineStr">
        <is>
          <t>U型，Φ20mm×200mm，硼 硅 酸 盐 玻 璃制，两管应平行，管口高度误差不大于 5 mm</t>
        </is>
      </c>
      <c r="K189" s="39" t="inlineStr">
        <is>
          <t>乐百仕</t>
        </is>
      </c>
      <c r="L189" s="39" t="inlineStr">
        <is>
          <t>江苏乐百仕教育科技有限公司</t>
        </is>
      </c>
      <c r="M189" s="345" t="n">
        <v>1</v>
      </c>
      <c r="N189" s="345" t="n">
        <v>2.5</v>
      </c>
      <c r="O189" s="345" t="n">
        <v>2.5</v>
      </c>
      <c r="P189" s="345" t="inlineStr">
        <is>
          <t>支</t>
        </is>
      </c>
      <c r="Q189" s="345" t="inlineStr"/>
      <c r="R189" s="345" t="inlineStr"/>
      <c r="S189" s="345" t="inlineStr"/>
      <c r="T189" s="345" t="inlineStr"/>
      <c r="U189" s="345" t="inlineStr"/>
      <c r="V189" s="345" t="inlineStr"/>
      <c r="W189" s="345" t="inlineStr"/>
      <c r="X189" s="345" t="inlineStr"/>
      <c r="Y189" s="345" t="inlineStr">
        <is>
          <t>confirmed</t>
        </is>
      </c>
      <c r="Z189" s="345" t="n">
        <v>0</v>
      </c>
      <c r="AA189" s="345" t="inlineStr">
        <is>
          <t>没有找到可靠候选</t>
        </is>
      </c>
      <c r="AB189" s="345" t="inlineStr">
        <is>
          <t>赛特尔25年.xls｜初中化学｜第125行</t>
        </is>
      </c>
    </row>
    <row r="190" customFormat="1" s="257">
      <c r="A190" s="323" t="n">
        <v>215</v>
      </c>
      <c r="B190" s="31" t="n">
        <v>30603000204</v>
      </c>
      <c r="C190" s="137" t="inlineStr">
        <is>
          <t>干燥塔</t>
        </is>
      </c>
      <c r="D190" s="68" t="inlineStr">
        <is>
          <t>250mL，硼硅酸盐玻璃制</t>
        </is>
      </c>
      <c r="E190" s="131" t="n">
        <v>1</v>
      </c>
      <c r="F190" s="31" t="inlineStr">
        <is>
          <t>个</t>
        </is>
      </c>
      <c r="G190" s="131">
        <f>_xlfn.DISPIMG("ID_CF5800C4BE424953BB3E0F13DF20D468",1)</f>
        <v/>
      </c>
      <c r="H190" s="330" t="n"/>
      <c r="I190" s="31" t="n">
        <v>30603000204</v>
      </c>
      <c r="J190" s="164" t="inlineStr">
        <is>
          <t>250mL，硼硅酸盐玻璃制</t>
        </is>
      </c>
      <c r="K190" s="39" t="inlineStr">
        <is>
          <t>乐百仕</t>
        </is>
      </c>
      <c r="L190" s="39" t="inlineStr">
        <is>
          <t>江苏乐百仕教育科技有限公司</t>
        </is>
      </c>
      <c r="M190" s="345" t="n">
        <v>1</v>
      </c>
      <c r="N190" s="345" t="n">
        <v>2.5</v>
      </c>
      <c r="O190" s="345" t="n">
        <v>2.5</v>
      </c>
      <c r="P190" s="345" t="inlineStr">
        <is>
          <t>个</t>
        </is>
      </c>
      <c r="Q190" s="345" t="inlineStr"/>
      <c r="R190" s="345" t="inlineStr"/>
      <c r="S190" s="345" t="inlineStr"/>
      <c r="T190" s="345" t="inlineStr"/>
      <c r="U190" s="345" t="n">
        <v>25</v>
      </c>
      <c r="V190" s="345" t="inlineStr"/>
      <c r="W190" s="345" t="n">
        <v>25</v>
      </c>
      <c r="X190" s="345" t="inlineStr"/>
      <c r="Y190" s="345" t="inlineStr">
        <is>
          <t>confirmed</t>
        </is>
      </c>
      <c r="Z190" s="345" t="n">
        <v>66.7</v>
      </c>
      <c r="AA190" s="345" t="inlineStr">
        <is>
          <t>价格分歧&gt;30%：历史报价分歧较大，需人工核对；同分多价：最高分候选存在不同历史价格</t>
        </is>
      </c>
      <c r="AB190" s="345" t="inlineStr">
        <is>
          <t>赛特尔25年.xls｜初中新课标生物｜第115行</t>
        </is>
      </c>
    </row>
    <row r="191" customFormat="1" s="257">
      <c r="A191" s="323" t="n">
        <v>216</v>
      </c>
      <c r="B191" s="31" t="n">
        <v>30603007702</v>
      </c>
      <c r="C191" s="137" t="inlineStr">
        <is>
          <t>比色管</t>
        </is>
      </c>
      <c r="D191" s="68" t="inlineStr">
        <is>
          <t>25 mL，具塞，无色透明硼硅酸盐玻璃制，宜为刻度线高度一致的多支套装</t>
        </is>
      </c>
      <c r="E191" s="131" t="n">
        <v>100</v>
      </c>
      <c r="F191" s="31" t="inlineStr">
        <is>
          <t>个</t>
        </is>
      </c>
      <c r="G191" s="131">
        <f>_xlfn.DISPIMG("ID_87514BBAAED84BEC82B7B9BFAF208042",1)</f>
        <v/>
      </c>
      <c r="H191" s="330" t="n"/>
      <c r="I191" s="31" t="n">
        <v>30603007702</v>
      </c>
      <c r="J191" s="164" t="inlineStr">
        <is>
          <t>25 mL，具塞，无色透明硼硅酸盐玻璃制，宜为刻度线高度一致的多支套装</t>
        </is>
      </c>
      <c r="K191" s="39" t="inlineStr">
        <is>
          <t>乐百仕</t>
        </is>
      </c>
      <c r="L191" s="39" t="inlineStr">
        <is>
          <t>江苏乐百仕教育科技有限公司</t>
        </is>
      </c>
      <c r="M191" s="345" t="n">
        <v>100</v>
      </c>
      <c r="N191" s="345" t="n">
        <v>3.5</v>
      </c>
      <c r="O191" s="345" t="n">
        <v>350</v>
      </c>
      <c r="P191" s="345" t="inlineStr">
        <is>
          <t>个</t>
        </is>
      </c>
      <c r="Q191" s="345" t="inlineStr">
        <is>
          <t>苏创</t>
        </is>
      </c>
      <c r="R191" s="345" t="inlineStr"/>
      <c r="S191" s="345" t="inlineStr"/>
      <c r="T191" s="345" t="inlineStr">
        <is>
          <t>62078</t>
        </is>
      </c>
      <c r="U191" s="345" t="inlineStr"/>
      <c r="V191" s="345" t="inlineStr"/>
      <c r="W191" s="345" t="inlineStr"/>
      <c r="X191" s="345" t="inlineStr"/>
      <c r="Y191" s="345" t="inlineStr">
        <is>
          <t>confirmed</t>
        </is>
      </c>
      <c r="Z191" s="345" t="n">
        <v>0</v>
      </c>
      <c r="AA191" s="345" t="inlineStr">
        <is>
          <t>没有找到可靠候选</t>
        </is>
      </c>
      <c r="AB191" s="345" t="inlineStr">
        <is>
          <t>高中理化生报价.xlsx｜凯迪｜第1521行</t>
        </is>
      </c>
    </row>
    <row r="192" customFormat="1" s="195">
      <c r="A192" s="323" t="n">
        <v>217</v>
      </c>
      <c r="B192" s="31" t="n">
        <v>30603007901</v>
      </c>
      <c r="C192" s="30" t="inlineStr">
        <is>
          <t>玻璃活塞</t>
        </is>
      </c>
      <c r="D192" s="68" t="inlineStr">
        <is>
          <t>直形二路，液吻合良好，不漏气，不漏液，直管外径 7 mm～8mm，密合一级</t>
        </is>
      </c>
      <c r="E192" s="31" t="n">
        <v>2</v>
      </c>
      <c r="F192" s="31" t="inlineStr">
        <is>
          <t>个</t>
        </is>
      </c>
      <c r="G192" s="131">
        <f>_xlfn.DISPIMG("ID_BD91B9086A494E47A8F229F1A8482BC0",1)</f>
        <v/>
      </c>
      <c r="H192" s="220" t="n"/>
      <c r="I192" s="31" t="n">
        <v>30603007901</v>
      </c>
      <c r="J192" s="164" t="inlineStr">
        <is>
          <t>直形二路，液吻合良好，不漏气，不漏液，直管外径 7 mm～8mm，密合一级</t>
        </is>
      </c>
      <c r="K192" s="39" t="inlineStr">
        <is>
          <t>乐百仕</t>
        </is>
      </c>
      <c r="L192" s="39" t="inlineStr">
        <is>
          <t>江苏乐百仕教育科技有限公司</t>
        </is>
      </c>
      <c r="M192" s="345" t="n">
        <v>2</v>
      </c>
      <c r="N192" s="345" t="n">
        <v>7</v>
      </c>
      <c r="O192" s="345" t="n">
        <v>14</v>
      </c>
      <c r="P192" s="345" t="inlineStr">
        <is>
          <t>个</t>
        </is>
      </c>
      <c r="Q192" s="345" t="inlineStr"/>
      <c r="R192" s="345" t="inlineStr"/>
      <c r="S192" s="345" t="inlineStr"/>
      <c r="T192" s="345" t="inlineStr"/>
      <c r="U192" s="345" t="inlineStr"/>
      <c r="V192" s="345" t="inlineStr"/>
      <c r="W192" s="345" t="inlineStr"/>
      <c r="X192" s="345" t="inlineStr"/>
      <c r="Y192" s="345" t="inlineStr">
        <is>
          <t>confirmed</t>
        </is>
      </c>
      <c r="Z192" s="345" t="n">
        <v>0</v>
      </c>
      <c r="AA192" s="345" t="inlineStr">
        <is>
          <t>匹配到商品档案但无历史价格记录</t>
        </is>
      </c>
      <c r="AB192" s="345" t="inlineStr">
        <is>
          <t>赛特尔25年.xls｜初中新课标化学｜第132行</t>
        </is>
      </c>
    </row>
    <row r="193" customFormat="1" s="257">
      <c r="A193" s="323" t="n">
        <v>218</v>
      </c>
      <c r="B193" s="348" t="n">
        <v>30603007902</v>
      </c>
      <c r="C193" s="30" t="inlineStr">
        <is>
          <t>玻璃活塞</t>
        </is>
      </c>
      <c r="D193" s="68" t="inlineStr">
        <is>
          <t>T 形三路，吻合良好，不漏气，不漏液，直管外径 7 mm～8mm，密合一级</t>
        </is>
      </c>
      <c r="E193" s="31" t="n">
        <v>2</v>
      </c>
      <c r="F193" s="31" t="inlineStr">
        <is>
          <t>个</t>
        </is>
      </c>
      <c r="G193" s="131">
        <f>_xlfn.DISPIMG("ID_A64D1D9401D54DBCA7AE67FD2A5A4A95",1)</f>
        <v/>
      </c>
      <c r="H193" s="330" t="n"/>
      <c r="I193" s="348" t="n">
        <v>30603007902</v>
      </c>
      <c r="J193" s="164" t="inlineStr">
        <is>
          <t>T 形三路，吻合良好，不漏气，不漏液，直管外径 7 mm～8mm，密合一级</t>
        </is>
      </c>
      <c r="K193" s="39" t="inlineStr">
        <is>
          <t>乐百仕</t>
        </is>
      </c>
      <c r="L193" s="39" t="inlineStr">
        <is>
          <t>江苏乐百仕教育科技有限公司</t>
        </is>
      </c>
      <c r="M193" s="345" t="n">
        <v>2</v>
      </c>
      <c r="N193" s="345" t="n">
        <v>7</v>
      </c>
      <c r="O193" s="345" t="n">
        <v>14</v>
      </c>
      <c r="P193" s="345" t="inlineStr">
        <is>
          <t>个</t>
        </is>
      </c>
      <c r="Q193" s="345" t="inlineStr"/>
      <c r="R193" s="345" t="inlineStr"/>
      <c r="S193" s="345" t="inlineStr"/>
      <c r="T193" s="345" t="inlineStr"/>
      <c r="U193" s="345" t="inlineStr"/>
      <c r="V193" s="345" t="inlineStr"/>
      <c r="W193" s="345" t="inlineStr"/>
      <c r="X193" s="345" t="inlineStr"/>
      <c r="Y193" s="345" t="inlineStr">
        <is>
          <t>confirmed</t>
        </is>
      </c>
      <c r="Z193" s="345" t="n">
        <v>0</v>
      </c>
      <c r="AA193" s="345" t="inlineStr">
        <is>
          <t>匹配到商品档案但无历史价格记录</t>
        </is>
      </c>
      <c r="AB193" s="345" t="inlineStr">
        <is>
          <t>赛特尔25年.xls｜初中新课标化学｜第132行</t>
        </is>
      </c>
    </row>
    <row r="194" customFormat="1" s="195">
      <c r="A194" s="323" t="n">
        <v>219</v>
      </c>
      <c r="B194" s="26" t="n">
        <v>30603009103</v>
      </c>
      <c r="C194" s="30" t="inlineStr">
        <is>
          <t>圆水槽</t>
        </is>
      </c>
      <c r="D194" s="68" t="inlineStr">
        <is>
          <t>Φ210mm×110mm，玻璃制，水槽底部应平整，不应凸底，壁厚和底厚应均匀，口部端面应平整，边和口应圆滑</t>
        </is>
      </c>
      <c r="E194" s="31" t="n">
        <v>2</v>
      </c>
      <c r="F194" s="31" t="inlineStr">
        <is>
          <t>个</t>
        </is>
      </c>
      <c r="G194" s="31">
        <f>_xlfn.DISPIMG("ID_1CDEF67346FD4DAF9863B754FE2A06AF",1)</f>
        <v/>
      </c>
      <c r="H194" s="220" t="n"/>
      <c r="I194" s="26" t="n">
        <v>30603009103</v>
      </c>
      <c r="J194" s="164" t="inlineStr">
        <is>
          <t>Φ210mm×110mm，玻璃制，水槽底部应平整，不应凸底，壁厚和底厚应均匀，口部端面应平整，边和口应圆滑</t>
        </is>
      </c>
      <c r="K194" s="39" t="inlineStr">
        <is>
          <t>乐百仕</t>
        </is>
      </c>
      <c r="L194" s="39" t="inlineStr">
        <is>
          <t>江苏乐百仕教育科技有限公司</t>
        </is>
      </c>
      <c r="M194" s="345" t="n">
        <v>2</v>
      </c>
      <c r="N194" s="345" t="n">
        <v>12</v>
      </c>
      <c r="O194" s="345" t="n">
        <v>24</v>
      </c>
      <c r="P194" s="345" t="inlineStr">
        <is>
          <t>个</t>
        </is>
      </c>
      <c r="Q194" s="345" t="inlineStr"/>
      <c r="R194" s="345" t="inlineStr"/>
      <c r="S194" s="345" t="inlineStr"/>
      <c r="T194" s="345" t="inlineStr"/>
      <c r="U194" s="345" t="n">
        <v>16</v>
      </c>
      <c r="V194" s="345" t="inlineStr"/>
      <c r="W194" s="345" t="n">
        <v>24</v>
      </c>
      <c r="X194" s="345" t="inlineStr"/>
      <c r="Y194" s="345" t="inlineStr">
        <is>
          <t>confirmed</t>
        </is>
      </c>
      <c r="Z194" s="345" t="n">
        <v>57.1</v>
      </c>
      <c r="AA194" s="345" t="inlineStr">
        <is>
          <t>价格分歧&gt;30%：历史报价分歧较大，需人工核对；同分多价：最高分候选存在不同历史价格</t>
        </is>
      </c>
      <c r="AB194" s="345" t="inlineStr">
        <is>
          <t>赛特尔25年.xls｜初中新课标物理｜第294行</t>
        </is>
      </c>
    </row>
    <row r="195" customFormat="1" s="195">
      <c r="A195" s="323" t="n">
        <v>220</v>
      </c>
      <c r="B195" s="26" t="n">
        <v>30603009105</v>
      </c>
      <c r="C195" s="30" t="inlineStr">
        <is>
          <t>圆水槽</t>
        </is>
      </c>
      <c r="D195" s="68" t="inlineStr">
        <is>
          <t>Φ270mm×140mm，玻璃制，水槽底部应平整，不应凸底，壁厚和底厚应均匀，口部端面应平整，边和口应圆滑</t>
        </is>
      </c>
      <c r="E195" s="31" t="n">
        <v>2</v>
      </c>
      <c r="F195" s="31" t="inlineStr">
        <is>
          <t>个</t>
        </is>
      </c>
      <c r="G195" s="31">
        <f>_xlfn.DISPIMG("ID_BE2AEDC28AF6454CAA7940E957C96437",1)</f>
        <v/>
      </c>
      <c r="H195" s="220" t="n"/>
      <c r="I195" s="26" t="n">
        <v>30603009105</v>
      </c>
      <c r="J195" s="164" t="inlineStr">
        <is>
          <t>Φ270mm×140mm，玻璃制，水槽底部应平整，不应凸底，壁厚和底厚应均匀，口部端面应平整，边和口应圆滑</t>
        </is>
      </c>
      <c r="K195" s="39" t="inlineStr">
        <is>
          <t>乐百仕</t>
        </is>
      </c>
      <c r="L195" s="39" t="inlineStr">
        <is>
          <t>江苏乐百仕教育科技有限公司</t>
        </is>
      </c>
      <c r="M195" s="345" t="n">
        <v>2</v>
      </c>
      <c r="N195" s="345" t="n">
        <v>14</v>
      </c>
      <c r="O195" s="345" t="n">
        <v>28</v>
      </c>
      <c r="P195" s="345" t="inlineStr">
        <is>
          <t>个</t>
        </is>
      </c>
      <c r="Q195" s="345" t="inlineStr"/>
      <c r="R195" s="345" t="inlineStr"/>
      <c r="S195" s="345" t="inlineStr"/>
      <c r="T195" s="345" t="inlineStr"/>
      <c r="U195" s="345" t="n">
        <v>16</v>
      </c>
      <c r="V195" s="345" t="inlineStr"/>
      <c r="W195" s="345" t="n">
        <v>16</v>
      </c>
      <c r="X195" s="345" t="inlineStr"/>
      <c r="Y195" s="345" t="inlineStr">
        <is>
          <t>confirmed</t>
        </is>
      </c>
      <c r="Z195" s="345" t="n">
        <v>100</v>
      </c>
      <c r="AA195" s="345" t="inlineStr">
        <is>
          <t>同分多价：最高分候选存在不同历史价格</t>
        </is>
      </c>
      <c r="AB195" s="345" t="inlineStr">
        <is>
          <t>赛特尔25年.xls｜初中新课标化学｜第133行</t>
        </is>
      </c>
    </row>
    <row r="196" customFormat="1" s="257">
      <c r="A196" s="323" t="n">
        <v>221</v>
      </c>
      <c r="B196" s="26" t="n">
        <v>30603009501</v>
      </c>
      <c r="C196" s="87" t="inlineStr">
        <is>
          <t>钴玻璃片</t>
        </is>
      </c>
      <c r="D196" s="68" t="inlineStr">
        <is>
          <t>可以滤黄光</t>
        </is>
      </c>
      <c r="E196" s="31" t="n">
        <v>50</v>
      </c>
      <c r="F196" s="31" t="inlineStr">
        <is>
          <t>个</t>
        </is>
      </c>
      <c r="G196" s="31">
        <f>_xlfn.DISPIMG("ID_B32421BFDFC34B8C9B3AE42349041911",1)</f>
        <v/>
      </c>
      <c r="H196" s="330" t="n"/>
      <c r="I196" s="26" t="n">
        <v>30603009501</v>
      </c>
      <c r="J196" s="164" t="inlineStr">
        <is>
          <t>可以滤黄光</t>
        </is>
      </c>
      <c r="K196" s="39" t="inlineStr">
        <is>
          <t>乐百仕</t>
        </is>
      </c>
      <c r="L196" s="39" t="inlineStr">
        <is>
          <t>江苏乐百仕教育科技有限公司</t>
        </is>
      </c>
      <c r="M196" s="345" t="n">
        <v>50</v>
      </c>
      <c r="N196" s="345" t="n">
        <v>4</v>
      </c>
      <c r="O196" s="345" t="n">
        <v>200</v>
      </c>
      <c r="P196" s="345" t="inlineStr">
        <is>
          <t>个</t>
        </is>
      </c>
      <c r="Q196" s="345" t="inlineStr">
        <is>
          <t>苏创</t>
        </is>
      </c>
      <c r="R196" s="345" t="inlineStr"/>
      <c r="S196" s="345" t="inlineStr"/>
      <c r="T196" s="345" t="inlineStr">
        <is>
          <t>62095</t>
        </is>
      </c>
      <c r="U196" s="345" t="inlineStr"/>
      <c r="V196" s="345" t="inlineStr"/>
      <c r="W196" s="345" t="inlineStr"/>
      <c r="X196" s="345" t="inlineStr"/>
      <c r="Y196" s="345" t="inlineStr">
        <is>
          <t>confirmed</t>
        </is>
      </c>
      <c r="Z196" s="345" t="n">
        <v>100</v>
      </c>
      <c r="AA196" s="345" t="inlineStr"/>
      <c r="AB196" s="345" t="inlineStr">
        <is>
          <t>高中理化生报价.xlsx｜凯迪｜第1040行</t>
        </is>
      </c>
    </row>
    <row r="197" customFormat="1" s="257">
      <c r="A197" s="323" t="n">
        <v>222</v>
      </c>
      <c r="B197" s="26" t="n">
        <v>30605008002</v>
      </c>
      <c r="C197" s="87" t="inlineStr">
        <is>
          <t>结晶皿</t>
        </is>
      </c>
      <c r="D197" s="141" t="inlineStr">
        <is>
          <t>90mm，平底，透明硼硅酸盐玻璃制</t>
        </is>
      </c>
      <c r="E197" s="31" t="n">
        <v>2</v>
      </c>
      <c r="F197" s="26" t="inlineStr">
        <is>
          <t>个</t>
        </is>
      </c>
      <c r="G197" s="31">
        <f>_xlfn.DISPIMG("ID_0358695EB72642CBB6BEA5E0C214E6B9",1)</f>
        <v/>
      </c>
      <c r="H197" s="330" t="n"/>
      <c r="I197" s="26" t="n">
        <v>30605008002</v>
      </c>
      <c r="J197" s="33" t="inlineStr">
        <is>
          <t>90mm，平底，透明硼硅酸盐玻璃制</t>
        </is>
      </c>
      <c r="K197" s="39" t="inlineStr">
        <is>
          <t>乐百仕</t>
        </is>
      </c>
      <c r="L197" s="39" t="inlineStr">
        <is>
          <t>江苏乐百仕教育科技有限公司</t>
        </is>
      </c>
      <c r="M197" s="345" t="n">
        <v>2</v>
      </c>
      <c r="N197" s="345" t="n">
        <v>4</v>
      </c>
      <c r="O197" s="345" t="n">
        <v>8</v>
      </c>
      <c r="P197" s="345" t="inlineStr">
        <is>
          <t>个</t>
        </is>
      </c>
      <c r="Q197" s="345" t="inlineStr"/>
      <c r="R197" s="345" t="inlineStr"/>
      <c r="S197" s="345" t="inlineStr"/>
      <c r="T197" s="345" t="inlineStr"/>
      <c r="U197" s="345" t="inlineStr"/>
      <c r="V197" s="345" t="inlineStr"/>
      <c r="W197" s="345" t="inlineStr"/>
      <c r="X197" s="345" t="inlineStr"/>
      <c r="Y197" s="345" t="inlineStr">
        <is>
          <t>confirmed</t>
        </is>
      </c>
      <c r="Z197" s="345" t="n">
        <v>0</v>
      </c>
      <c r="AA197" s="345" t="inlineStr">
        <is>
          <t>没有找到可靠候选</t>
        </is>
      </c>
      <c r="AB197" s="345" t="inlineStr">
        <is>
          <t>赛特尔25年.xls｜初中化学｜第175行</t>
        </is>
      </c>
    </row>
    <row r="198" customFormat="1" s="257">
      <c r="A198" s="323" t="n">
        <v>223</v>
      </c>
      <c r="B198" s="26" t="n">
        <v>30605008101</v>
      </c>
      <c r="C198" s="87" t="inlineStr">
        <is>
          <t>表面皿</t>
        </is>
      </c>
      <c r="D198" s="115" t="inlineStr">
        <is>
          <t>60mm，透明硼硅酸盐玻璃制，壁厚均匀度：厚薄比应不大于 5∶2</t>
        </is>
      </c>
      <c r="E198" s="31" t="n">
        <v>50</v>
      </c>
      <c r="F198" s="26" t="inlineStr">
        <is>
          <t>个</t>
        </is>
      </c>
      <c r="G198" s="31">
        <f>_xlfn.DISPIMG("ID_5D3F110112414E04A61432DD8290DF8E",1)</f>
        <v/>
      </c>
      <c r="H198" s="330" t="n"/>
      <c r="I198" s="26" t="n">
        <v>30605008101</v>
      </c>
      <c r="J198" s="40" t="inlineStr">
        <is>
          <t>60mm，透明硼硅酸盐玻璃制，壁厚均匀度：厚薄比应不大于 5∶2</t>
        </is>
      </c>
      <c r="K198" s="39" t="inlineStr">
        <is>
          <t>乐百仕</t>
        </is>
      </c>
      <c r="L198" s="39" t="inlineStr">
        <is>
          <t>江苏乐百仕教育科技有限公司</t>
        </is>
      </c>
      <c r="M198" s="345" t="n">
        <v>50</v>
      </c>
      <c r="N198" s="345" t="n">
        <v>3</v>
      </c>
      <c r="O198" s="345" t="n">
        <v>150</v>
      </c>
      <c r="P198" s="345" t="inlineStr">
        <is>
          <t>个</t>
        </is>
      </c>
      <c r="Q198" s="345" t="inlineStr"/>
      <c r="R198" s="345" t="inlineStr"/>
      <c r="S198" s="345" t="inlineStr"/>
      <c r="T198" s="345" t="inlineStr"/>
      <c r="U198" s="345" t="n">
        <v>3</v>
      </c>
      <c r="V198" s="345" t="inlineStr"/>
      <c r="W198" s="345" t="n">
        <v>3.3</v>
      </c>
      <c r="X198" s="345" t="inlineStr"/>
      <c r="Y198" s="345" t="inlineStr">
        <is>
          <t>confirmed</t>
        </is>
      </c>
      <c r="Z198" s="345" t="n">
        <v>100</v>
      </c>
      <c r="AA198" s="345" t="inlineStr"/>
      <c r="AB198" s="345" t="inlineStr">
        <is>
          <t>赛特尔25年.xls｜初中化学｜第176行</t>
        </is>
      </c>
    </row>
    <row r="199" customFormat="1" s="257">
      <c r="A199" s="323" t="n">
        <v>224</v>
      </c>
      <c r="B199" s="26" t="n">
        <v>30605008104</v>
      </c>
      <c r="C199" s="87" t="inlineStr">
        <is>
          <t>表面皿</t>
        </is>
      </c>
      <c r="D199" s="115" t="inlineStr">
        <is>
          <t>100mm，透明硼硅酸盐玻璃制，壁厚均匀度：厚薄比应不大于 5∶2</t>
        </is>
      </c>
      <c r="E199" s="31" t="n">
        <v>5</v>
      </c>
      <c r="F199" s="26" t="inlineStr">
        <is>
          <t>个</t>
        </is>
      </c>
      <c r="G199" s="31">
        <f>_xlfn.DISPIMG("ID_6B3C763F02344883B24DB93A307FD0DD",1)</f>
        <v/>
      </c>
      <c r="H199" s="330" t="n"/>
      <c r="I199" s="26" t="n">
        <v>30605008104</v>
      </c>
      <c r="J199" s="40" t="inlineStr">
        <is>
          <t>100mm，透明硼硅酸盐玻璃制，壁厚均匀度：厚薄比应不大于 5∶2</t>
        </is>
      </c>
      <c r="K199" s="39" t="inlineStr">
        <is>
          <t>乐百仕</t>
        </is>
      </c>
      <c r="L199" s="39" t="inlineStr">
        <is>
          <t>江苏乐百仕教育科技有限公司</t>
        </is>
      </c>
      <c r="M199" s="345" t="n">
        <v>5</v>
      </c>
      <c r="N199" s="345" t="n">
        <v>4.25</v>
      </c>
      <c r="O199" s="345" t="n">
        <v>21.25</v>
      </c>
      <c r="P199" s="345" t="inlineStr">
        <is>
          <t>个</t>
        </is>
      </c>
      <c r="Q199" s="345" t="inlineStr"/>
      <c r="R199" s="345" t="inlineStr"/>
      <c r="S199" s="345" t="inlineStr"/>
      <c r="T199" s="345" t="inlineStr"/>
      <c r="U199" s="345" t="n">
        <v>4.25</v>
      </c>
      <c r="V199" s="345" t="inlineStr"/>
      <c r="W199" s="345" t="n">
        <v>4.67</v>
      </c>
      <c r="X199" s="345" t="inlineStr"/>
      <c r="Y199" s="345" t="inlineStr">
        <is>
          <t>confirmed</t>
        </is>
      </c>
      <c r="Z199" s="345" t="n">
        <v>100</v>
      </c>
      <c r="AA199" s="345" t="inlineStr"/>
      <c r="AB199" s="345" t="inlineStr">
        <is>
          <t>赛特尔25年.xls｜初中化学｜第177行</t>
        </is>
      </c>
    </row>
    <row r="200" customFormat="1" s="257">
      <c r="A200" s="323" t="n">
        <v>225</v>
      </c>
      <c r="B200" s="26" t="n">
        <v>30605000104</v>
      </c>
      <c r="C200" s="87" t="inlineStr">
        <is>
          <t>坩埚</t>
        </is>
      </c>
      <c r="D200" s="68" t="inlineStr">
        <is>
          <t>瓷制，30 mL，耐热≥1200 ℃，内外壁光滑，外壁涂釉，配有坩埚盖</t>
        </is>
      </c>
      <c r="E200" s="31" t="n">
        <v>25</v>
      </c>
      <c r="F200" s="26" t="inlineStr">
        <is>
          <t>个</t>
        </is>
      </c>
      <c r="G200" s="31">
        <f>_xlfn.DISPIMG("ID_FD71A55BD9FF422EA87935126FEFD7EA",1)</f>
        <v/>
      </c>
      <c r="H200" s="330" t="n"/>
      <c r="I200" s="26" t="n">
        <v>30605000104</v>
      </c>
      <c r="J200" s="164" t="inlineStr">
        <is>
          <t>瓷制，30 mL，耐热≥1200 ℃，内外壁光滑，外壁涂釉，配有坩埚盖</t>
        </is>
      </c>
      <c r="K200" s="39" t="inlineStr">
        <is>
          <t>乐百仕</t>
        </is>
      </c>
      <c r="L200" s="39" t="inlineStr">
        <is>
          <t>江苏乐百仕教育科技有限公司</t>
        </is>
      </c>
      <c r="M200" s="345" t="n">
        <v>25</v>
      </c>
      <c r="N200" s="345" t="n">
        <v>3</v>
      </c>
      <c r="O200" s="345" t="n">
        <v>75</v>
      </c>
      <c r="P200" s="345" t="inlineStr">
        <is>
          <t>个</t>
        </is>
      </c>
      <c r="Q200" s="345" t="inlineStr"/>
      <c r="R200" s="345" t="inlineStr"/>
      <c r="S200" s="345" t="inlineStr"/>
      <c r="T200" s="345" t="inlineStr"/>
      <c r="U200" s="345" t="n">
        <v>3</v>
      </c>
      <c r="V200" s="345" t="inlineStr"/>
      <c r="W200" s="345" t="n">
        <v>3.3</v>
      </c>
      <c r="X200" s="345" t="inlineStr"/>
      <c r="Y200" s="345" t="inlineStr">
        <is>
          <t>confirmed</t>
        </is>
      </c>
      <c r="Z200" s="345" t="n">
        <v>100</v>
      </c>
      <c r="AA200" s="345" t="inlineStr"/>
      <c r="AB200" s="345" t="inlineStr">
        <is>
          <t>高中理化生报价.xlsx｜凯迪｜第1298行</t>
        </is>
      </c>
    </row>
    <row r="201" customFormat="1" s="257">
      <c r="A201" s="323" t="n">
        <v>226</v>
      </c>
      <c r="B201" s="26" t="n">
        <v>30605000202</v>
      </c>
      <c r="C201" s="87" t="inlineStr">
        <is>
          <t>坩埚钳</t>
        </is>
      </c>
      <c r="D201" s="68" t="inlineStr">
        <is>
          <t>200mm，钢制，中间弯曲部分内径应在 2 cm～3 cm</t>
        </is>
      </c>
      <c r="E201" s="31" t="n">
        <v>25</v>
      </c>
      <c r="F201" s="26" t="inlineStr">
        <is>
          <t>个</t>
        </is>
      </c>
      <c r="G201" s="31">
        <f>_xlfn.DISPIMG("ID_F089ACF602734188AFA10AE07D1483AB",1)</f>
        <v/>
      </c>
      <c r="H201" s="330" t="n"/>
      <c r="I201" s="26" t="n">
        <v>30605000202</v>
      </c>
      <c r="J201" s="164" t="inlineStr">
        <is>
          <t>200mm，钢制，中间弯曲部分内径应在 2 cm～3 cm</t>
        </is>
      </c>
      <c r="K201" s="39" t="inlineStr">
        <is>
          <t>乐百仕</t>
        </is>
      </c>
      <c r="L201" s="39" t="inlineStr">
        <is>
          <t>江苏乐百仕教育科技有限公司</t>
        </is>
      </c>
      <c r="M201" s="345" t="n">
        <v>25</v>
      </c>
      <c r="N201" s="345" t="n">
        <v>3</v>
      </c>
      <c r="O201" s="345" t="n">
        <v>75</v>
      </c>
      <c r="P201" s="345" t="inlineStr">
        <is>
          <t>个</t>
        </is>
      </c>
      <c r="Q201" s="345" t="inlineStr"/>
      <c r="R201" s="345" t="inlineStr"/>
      <c r="S201" s="345" t="inlineStr"/>
      <c r="T201" s="345" t="inlineStr"/>
      <c r="U201" s="345" t="n">
        <v>5</v>
      </c>
      <c r="V201" s="345" t="inlineStr"/>
      <c r="W201" s="345" t="n">
        <v>5</v>
      </c>
      <c r="X201" s="345" t="inlineStr"/>
      <c r="Y201" s="345" t="inlineStr">
        <is>
          <t>confirmed</t>
        </is>
      </c>
      <c r="Z201" s="345" t="n">
        <v>100</v>
      </c>
      <c r="AA201" s="345" t="inlineStr">
        <is>
          <t>价格分歧&gt;30%：历史报价分歧较大，需人工核对；同分多价：最高分候选存在不同历史价格</t>
        </is>
      </c>
      <c r="AB201" s="345" t="inlineStr">
        <is>
          <t>高中理化生报价.xlsx｜凯迪｜第1298行</t>
        </is>
      </c>
    </row>
    <row r="202" customFormat="1" s="257">
      <c r="A202" s="323" t="n">
        <v>227</v>
      </c>
      <c r="B202" s="26" t="n">
        <v>30605000301</v>
      </c>
      <c r="C202" s="87" t="inlineStr">
        <is>
          <t>烧杯夹</t>
        </is>
      </c>
      <c r="D202" s="68" t="inlineStr">
        <is>
          <t>不锈钢制，夹持部位应有橡胶保护套，避免与玻璃烧杯直接接触</t>
        </is>
      </c>
      <c r="E202" s="31" t="n">
        <v>5</v>
      </c>
      <c r="F202" s="26" t="inlineStr">
        <is>
          <t>个</t>
        </is>
      </c>
      <c r="G202" s="31">
        <f>_xlfn.DISPIMG("ID_1AEE146FAA734ED3A9EB5AD28A2E159A",1)</f>
        <v/>
      </c>
      <c r="H202" s="330" t="n"/>
      <c r="I202" s="26" t="n">
        <v>30605000301</v>
      </c>
      <c r="J202" s="164" t="inlineStr">
        <is>
          <t>不锈钢制，夹持部位应有橡胶保护套，避免与玻璃烧杯直接接触</t>
        </is>
      </c>
      <c r="K202" s="39" t="inlineStr">
        <is>
          <t>乐百仕</t>
        </is>
      </c>
      <c r="L202" s="39" t="inlineStr">
        <is>
          <t>江苏乐百仕教育科技有限公司</t>
        </is>
      </c>
      <c r="M202" s="345" t="n">
        <v>5</v>
      </c>
      <c r="N202" s="345" t="n">
        <v>2</v>
      </c>
      <c r="O202" s="345" t="n">
        <v>10</v>
      </c>
      <c r="P202" s="345" t="inlineStr">
        <is>
          <t>个</t>
        </is>
      </c>
      <c r="Q202" s="345" t="inlineStr"/>
      <c r="R202" s="345" t="inlineStr"/>
      <c r="S202" s="345" t="inlineStr"/>
      <c r="T202" s="345" t="inlineStr"/>
      <c r="U202" s="345" t="n">
        <v>5</v>
      </c>
      <c r="V202" s="345" t="inlineStr"/>
      <c r="W202" s="345" t="n">
        <v>5</v>
      </c>
      <c r="X202" s="345" t="inlineStr"/>
      <c r="Y202" s="345" t="inlineStr">
        <is>
          <t>confirmed</t>
        </is>
      </c>
      <c r="Z202" s="345" t="n">
        <v>100</v>
      </c>
      <c r="AA202" s="345" t="inlineStr">
        <is>
          <t>价格分歧&gt;30%：历史报价分歧较大，需人工核对；同分多价：最高分候选存在不同历史价格</t>
        </is>
      </c>
      <c r="AB202" s="345" t="inlineStr">
        <is>
          <t>高中理化生报价.xlsx｜凯迪｜第992行</t>
        </is>
      </c>
    </row>
    <row r="203" customFormat="1" s="257">
      <c r="A203" s="323" t="n">
        <v>228</v>
      </c>
      <c r="B203" s="26" t="n">
        <v>30605000501</v>
      </c>
      <c r="C203" s="87" t="inlineStr">
        <is>
          <t>镊子</t>
        </is>
      </c>
      <c r="D203" s="68" t="inlineStr">
        <is>
          <t>不锈钢制，平头，长 125 mm，钢板厚 1.2 mm，前部应有防滑脱锯齿</t>
        </is>
      </c>
      <c r="E203" s="31" t="n">
        <v>25</v>
      </c>
      <c r="F203" s="26" t="inlineStr">
        <is>
          <t>个</t>
        </is>
      </c>
      <c r="G203" s="31">
        <f>_xlfn.DISPIMG("ID_2728B8A64B0A48809B0DFD2ACAABFEE8",1)</f>
        <v/>
      </c>
      <c r="H203" s="330" t="n"/>
      <c r="I203" s="26" t="n">
        <v>30605000501</v>
      </c>
      <c r="J203" s="164" t="inlineStr">
        <is>
          <t>不锈钢制，平头，长 125 mm，钢板厚 1.2 mm，前部应有防滑脱锯齿</t>
        </is>
      </c>
      <c r="K203" s="39" t="inlineStr">
        <is>
          <t>乐百仕</t>
        </is>
      </c>
      <c r="L203" s="39" t="inlineStr">
        <is>
          <t>江苏乐百仕教育科技有限公司</t>
        </is>
      </c>
      <c r="M203" s="345" t="n">
        <v>25</v>
      </c>
      <c r="N203" s="345" t="n">
        <v>2.5</v>
      </c>
      <c r="O203" s="345" t="n">
        <v>62.5</v>
      </c>
      <c r="P203" s="345" t="inlineStr">
        <is>
          <t>个</t>
        </is>
      </c>
      <c r="Q203" s="345" t="inlineStr"/>
      <c r="R203" s="345" t="inlineStr"/>
      <c r="S203" s="345" t="inlineStr"/>
      <c r="T203" s="345" t="inlineStr"/>
      <c r="U203" s="345" t="n">
        <v>2.5</v>
      </c>
      <c r="V203" s="345" t="inlineStr"/>
      <c r="W203" s="345" t="n">
        <v>2.75</v>
      </c>
      <c r="X203" s="345" t="inlineStr"/>
      <c r="Y203" s="345" t="inlineStr">
        <is>
          <t>confirmed</t>
        </is>
      </c>
      <c r="Z203" s="345" t="n">
        <v>100</v>
      </c>
      <c r="AA203" s="345" t="inlineStr"/>
      <c r="AB203" s="345" t="inlineStr">
        <is>
          <t>赛特尔25年.xls｜初中新课标化学｜第138行</t>
        </is>
      </c>
    </row>
    <row r="204" customFormat="1" s="257">
      <c r="A204" s="323" t="n">
        <v>229</v>
      </c>
      <c r="B204" s="26" t="n">
        <v>30605000601</v>
      </c>
      <c r="C204" s="87" t="inlineStr">
        <is>
          <t>试管夹</t>
        </is>
      </c>
      <c r="D204" s="68" t="inlineStr">
        <is>
          <t>木制或者竹制，长度≥200 mm，宽度约 20mm，厚度约 20 mm。试管夹闭口缝≤1 mm，开口距离≥25 mm。毡块粘接牢固，试管夹弹簧作防锈处理。试管夹持部位圆弧内径≤29 mm</t>
        </is>
      </c>
      <c r="E204" s="31" t="n">
        <v>25</v>
      </c>
      <c r="F204" s="26" t="inlineStr">
        <is>
          <t>个</t>
        </is>
      </c>
      <c r="G204" s="31">
        <f>_xlfn.DISPIMG("ID_77485439433A4A67922E1EFC4175DD22",1)</f>
        <v/>
      </c>
      <c r="H204" s="330" t="n"/>
      <c r="I204" s="26" t="n">
        <v>30605000601</v>
      </c>
      <c r="J204" s="164" t="inlineStr">
        <is>
          <t>木制或者竹制，长度≥200 mm，宽度约 20mm，厚度约 20 mm。试管夹闭口缝≤1 mm，开口距离≥25 mm。毡块粘接牢固，试管夹弹簧作防锈处理。试管夹持部位圆弧内径≤29 mm</t>
        </is>
      </c>
      <c r="K204" s="39" t="inlineStr">
        <is>
          <t>乐百仕</t>
        </is>
      </c>
      <c r="L204" s="39" t="inlineStr">
        <is>
          <t>江苏乐百仕教育科技有限公司</t>
        </is>
      </c>
      <c r="M204" s="345" t="n">
        <v>25</v>
      </c>
      <c r="N204" s="345" t="n">
        <v>1</v>
      </c>
      <c r="O204" s="345" t="n">
        <v>25</v>
      </c>
      <c r="P204" s="345" t="inlineStr">
        <is>
          <t>个</t>
        </is>
      </c>
      <c r="Q204" s="345" t="inlineStr"/>
      <c r="R204" s="345" t="inlineStr"/>
      <c r="S204" s="345" t="inlineStr"/>
      <c r="T204" s="345" t="inlineStr"/>
      <c r="U204" s="345" t="n">
        <v>1.1</v>
      </c>
      <c r="V204" s="345" t="inlineStr"/>
      <c r="W204" s="345" t="n">
        <v>1.1</v>
      </c>
      <c r="X204" s="345" t="inlineStr"/>
      <c r="Y204" s="345" t="inlineStr">
        <is>
          <t>confirmed</t>
        </is>
      </c>
      <c r="Z204" s="345" t="n">
        <v>100</v>
      </c>
      <c r="AA204" s="345" t="inlineStr">
        <is>
          <t>同分多价：最高分候选存在不同历史价格</t>
        </is>
      </c>
      <c r="AB204" s="345" t="inlineStr">
        <is>
          <t>赛特尔25年.xls｜小学科学｜第169行</t>
        </is>
      </c>
    </row>
    <row r="205" customFormat="1" s="257">
      <c r="A205" s="323" t="n">
        <v>230</v>
      </c>
      <c r="B205" s="26" t="n">
        <v>30605000701</v>
      </c>
      <c r="C205" s="87" t="inlineStr">
        <is>
          <t>止水皮管夹</t>
        </is>
      </c>
      <c r="D205" s="68" t="inlineStr">
        <is>
          <t>Φ3 mm 钢丝制成，作防锈处理，夹持角度≥60º，弹性好，不漏液</t>
        </is>
      </c>
      <c r="E205" s="31" t="n">
        <v>25</v>
      </c>
      <c r="F205" s="26" t="inlineStr">
        <is>
          <t>个</t>
        </is>
      </c>
      <c r="G205" s="31">
        <f>_xlfn.DISPIMG("ID_0D6E01F5A7E54EA688A60D3C2290F19C",1)</f>
        <v/>
      </c>
      <c r="H205" s="330" t="n"/>
      <c r="I205" s="26" t="n">
        <v>30605000701</v>
      </c>
      <c r="J205" s="164" t="inlineStr">
        <is>
          <t>Φ3 mm 钢丝制成，作防锈处理，夹持角度≥60º，弹性好，不漏液</t>
        </is>
      </c>
      <c r="K205" s="39" t="inlineStr">
        <is>
          <t>乐百仕</t>
        </is>
      </c>
      <c r="L205" s="39" t="inlineStr">
        <is>
          <t>江苏乐百仕教育科技有限公司</t>
        </is>
      </c>
      <c r="M205" s="345" t="n">
        <v>25</v>
      </c>
      <c r="N205" s="345" t="n">
        <v>1.1</v>
      </c>
      <c r="O205" s="345" t="n">
        <v>27.5</v>
      </c>
      <c r="P205" s="345" t="inlineStr">
        <is>
          <t>个</t>
        </is>
      </c>
      <c r="Q205" s="345" t="inlineStr"/>
      <c r="R205" s="345" t="inlineStr"/>
      <c r="S205" s="345" t="inlineStr"/>
      <c r="T205" s="345" t="inlineStr"/>
      <c r="U205" s="345" t="n">
        <v>1.1</v>
      </c>
      <c r="V205" s="345" t="inlineStr"/>
      <c r="W205" s="345" t="n">
        <v>1.21</v>
      </c>
      <c r="X205" s="345" t="inlineStr"/>
      <c r="Y205" s="345" t="inlineStr">
        <is>
          <t>confirmed</t>
        </is>
      </c>
      <c r="Z205" s="345" t="n">
        <v>80</v>
      </c>
      <c r="AA205" s="345" t="inlineStr"/>
      <c r="AB205" s="345" t="inlineStr">
        <is>
          <t>赛特尔25年.xls｜初中新课标生物｜第129行</t>
        </is>
      </c>
    </row>
    <row r="206" customFormat="1" s="257">
      <c r="A206" s="323" t="n">
        <v>231</v>
      </c>
      <c r="B206" s="26" t="n">
        <v>30605000801</v>
      </c>
      <c r="C206" s="87" t="inlineStr">
        <is>
          <t>螺旋皮管夹</t>
        </is>
      </c>
      <c r="D206" s="68" t="inlineStr">
        <is>
          <t>由支架管和带压板的螺杆等组成。外形尺寸约为 33 mm×20 mm×8 mm，旋转方便，不易变形，压板厚度≥1 mm</t>
        </is>
      </c>
      <c r="E206" s="31" t="n">
        <v>5</v>
      </c>
      <c r="F206" s="26" t="inlineStr">
        <is>
          <t>个</t>
        </is>
      </c>
      <c r="G206" s="31">
        <f>_xlfn.DISPIMG("ID_67E7708A73C24D8F9B5031C64DC72E27",1)</f>
        <v/>
      </c>
      <c r="H206" s="330" t="n"/>
      <c r="I206" s="26" t="n">
        <v>30605000801</v>
      </c>
      <c r="J206" s="164" t="inlineStr">
        <is>
          <t>由支架管和带压板的螺杆等组成。外形尺寸约为 33 mm×20 mm×8 mm，旋转方便，不易变形，压板厚度≥1 mm</t>
        </is>
      </c>
      <c r="K206" s="39" t="inlineStr">
        <is>
          <t>乐百仕</t>
        </is>
      </c>
      <c r="L206" s="39" t="inlineStr">
        <is>
          <t>江苏乐百仕教育科技有限公司</t>
        </is>
      </c>
      <c r="M206" s="345" t="n">
        <v>5</v>
      </c>
      <c r="N206" s="345" t="n">
        <v>1.1</v>
      </c>
      <c r="O206" s="345" t="n">
        <v>5.5</v>
      </c>
      <c r="P206" s="345" t="inlineStr">
        <is>
          <t>个</t>
        </is>
      </c>
      <c r="Q206" s="345" t="inlineStr"/>
      <c r="R206" s="345" t="inlineStr"/>
      <c r="S206" s="345" t="inlineStr"/>
      <c r="T206" s="345" t="inlineStr"/>
      <c r="U206" s="345" t="n">
        <v>1.1</v>
      </c>
      <c r="V206" s="345" t="inlineStr"/>
      <c r="W206" s="345" t="n">
        <v>1.21</v>
      </c>
      <c r="X206" s="345" t="inlineStr"/>
      <c r="Y206" s="345" t="inlineStr">
        <is>
          <t>confirmed</t>
        </is>
      </c>
      <c r="Z206" s="345" t="n">
        <v>100</v>
      </c>
      <c r="AA206" s="345" t="inlineStr"/>
      <c r="AB206" s="345" t="inlineStr">
        <is>
          <t>赛特尔25年.xls｜初中新课标化学｜第141行</t>
        </is>
      </c>
    </row>
    <row r="207" customFormat="1" s="195">
      <c r="A207" s="323" t="n">
        <v>232</v>
      </c>
      <c r="B207" s="26" t="n">
        <v>30605003301</v>
      </c>
      <c r="C207" s="87" t="inlineStr">
        <is>
          <t>陶土网</t>
        </is>
      </c>
      <c r="D207" s="68" t="inlineStr">
        <is>
          <t>金属网尺寸≥125 mm×125 mm，耐火材料为陶土，功能等同于石棉网</t>
        </is>
      </c>
      <c r="E207" s="31" t="n">
        <v>49</v>
      </c>
      <c r="F207" s="26" t="inlineStr">
        <is>
          <t>个</t>
        </is>
      </c>
      <c r="G207" s="31">
        <f>_xlfn.DISPIMG("ID_EC7775FE7BB64A4D8DD4A6FAA9DAD405",1)</f>
        <v/>
      </c>
      <c r="H207" s="220" t="n"/>
      <c r="I207" s="26" t="n">
        <v>30605003301</v>
      </c>
      <c r="J207" s="164" t="inlineStr">
        <is>
          <t>金属网尺寸≥125 mm×125 mm，耐火材料为陶土，功能等同于石棉网</t>
        </is>
      </c>
      <c r="K207" s="39" t="inlineStr">
        <is>
          <t>乐百仕</t>
        </is>
      </c>
      <c r="L207" s="39" t="inlineStr">
        <is>
          <t>江苏乐百仕教育科技有限公司</t>
        </is>
      </c>
      <c r="M207" s="345" t="n">
        <v>49</v>
      </c>
      <c r="N207" s="345" t="n">
        <v>1.4</v>
      </c>
      <c r="O207" s="345" t="n">
        <v>68.59999999999999</v>
      </c>
      <c r="P207" s="345" t="inlineStr">
        <is>
          <t>个</t>
        </is>
      </c>
      <c r="Q207" s="345" t="inlineStr">
        <is>
          <t>苏创</t>
        </is>
      </c>
      <c r="R207" s="345" t="inlineStr"/>
      <c r="S207" s="345" t="inlineStr"/>
      <c r="T207" s="345" t="inlineStr">
        <is>
          <t>82014</t>
        </is>
      </c>
      <c r="U207" s="345" t="inlineStr"/>
      <c r="V207" s="345" t="inlineStr"/>
      <c r="W207" s="345" t="inlineStr"/>
      <c r="X207" s="345" t="inlineStr"/>
      <c r="Y207" s="345" t="inlineStr">
        <is>
          <t>confirmed</t>
        </is>
      </c>
      <c r="Z207" s="345" t="n">
        <v>100</v>
      </c>
      <c r="AA207" s="345" t="inlineStr"/>
      <c r="AB207" s="345" t="inlineStr">
        <is>
          <t>赛特尔25年.xls｜初中新课标生物｜第130行</t>
        </is>
      </c>
    </row>
    <row r="208" customFormat="1" s="257">
      <c r="A208" s="323" t="n">
        <v>233</v>
      </c>
      <c r="B208" s="26" t="n">
        <v>30605003501</v>
      </c>
      <c r="C208" s="87" t="inlineStr">
        <is>
          <t>二连球</t>
        </is>
      </c>
      <c r="D208" s="68" t="inlineStr">
        <is>
          <t>橡胶材质，直径 90 mm，长度 250 mm</t>
        </is>
      </c>
      <c r="E208" s="31" t="n">
        <v>2</v>
      </c>
      <c r="F208" s="26" t="inlineStr">
        <is>
          <t>个</t>
        </is>
      </c>
      <c r="G208" s="31">
        <f>_xlfn.DISPIMG("ID_6757DF651B3B4F9888E567EBE1669A6C",1)</f>
        <v/>
      </c>
      <c r="H208" s="330" t="n"/>
      <c r="I208" s="26" t="n">
        <v>30605003501</v>
      </c>
      <c r="J208" s="164" t="inlineStr">
        <is>
          <t>橡胶材质，直径 90 mm，长度 250 mm</t>
        </is>
      </c>
      <c r="K208" s="39" t="inlineStr">
        <is>
          <t>乐百仕</t>
        </is>
      </c>
      <c r="L208" s="39" t="inlineStr">
        <is>
          <t>江苏乐百仕教育科技有限公司</t>
        </is>
      </c>
      <c r="M208" s="345" t="n">
        <v>2</v>
      </c>
      <c r="N208" s="345" t="n">
        <v>11</v>
      </c>
      <c r="O208" s="345" t="n">
        <v>22</v>
      </c>
      <c r="P208" s="345" t="inlineStr">
        <is>
          <t>个</t>
        </is>
      </c>
      <c r="Q208" s="345" t="inlineStr">
        <is>
          <t>苏创</t>
        </is>
      </c>
      <c r="R208" s="345" t="inlineStr"/>
      <c r="S208" s="345" t="inlineStr"/>
      <c r="T208" s="345" t="inlineStr">
        <is>
          <t>64035</t>
        </is>
      </c>
      <c r="U208" s="345" t="inlineStr"/>
      <c r="V208" s="345" t="inlineStr"/>
      <c r="W208" s="345" t="inlineStr"/>
      <c r="X208" s="345" t="inlineStr"/>
      <c r="Y208" s="345" t="inlineStr">
        <is>
          <t>confirmed</t>
        </is>
      </c>
      <c r="Z208" s="345" t="n">
        <v>100</v>
      </c>
      <c r="AA208" s="345" t="inlineStr"/>
      <c r="AB208" s="345" t="inlineStr">
        <is>
          <t>高中理化生报价.xlsx｜凯迪｜第1081行</t>
        </is>
      </c>
    </row>
    <row r="209" customFormat="1" s="257">
      <c r="A209" s="323" t="n">
        <v>234</v>
      </c>
      <c r="B209" s="26" t="n">
        <v>30605004101</v>
      </c>
      <c r="C209" s="87" t="inlineStr">
        <is>
          <t>燃烧匙</t>
        </is>
      </c>
      <c r="D209" s="68" t="inlineStr">
        <is>
          <t>铜勺，勺直径 18 mm，深 10 mm，铁柄，柄长约300 mm，长柄和铜勺连接稳定结实</t>
        </is>
      </c>
      <c r="E209" s="31" t="n">
        <v>49</v>
      </c>
      <c r="F209" s="26" t="inlineStr">
        <is>
          <t>个</t>
        </is>
      </c>
      <c r="G209" s="31">
        <f>_xlfn.DISPIMG("ID_153EB0E5BBF04A88B80995C7A2393D6E",1)</f>
        <v/>
      </c>
      <c r="H209" s="330" t="n"/>
      <c r="I209" s="26" t="n">
        <v>30605004101</v>
      </c>
      <c r="J209" s="164" t="inlineStr">
        <is>
          <t>铜勺，勺直径 18 mm，深 10 mm，铁柄，柄长约300 mm，长柄和铜勺连接稳定结实</t>
        </is>
      </c>
      <c r="K209" s="39" t="inlineStr">
        <is>
          <t>乐百仕</t>
        </is>
      </c>
      <c r="L209" s="39" t="inlineStr">
        <is>
          <t>江苏乐百仕教育科技有限公司</t>
        </is>
      </c>
      <c r="M209" s="345" t="n">
        <v>49</v>
      </c>
      <c r="N209" s="345" t="n">
        <v>2</v>
      </c>
      <c r="O209" s="345" t="n">
        <v>98</v>
      </c>
      <c r="P209" s="345" t="inlineStr">
        <is>
          <t>个</t>
        </is>
      </c>
      <c r="Q209" s="345" t="inlineStr"/>
      <c r="R209" s="345" t="inlineStr"/>
      <c r="S209" s="345" t="inlineStr"/>
      <c r="T209" s="345" t="inlineStr"/>
      <c r="U209" s="345" t="n">
        <v>2</v>
      </c>
      <c r="V209" s="345" t="inlineStr"/>
      <c r="W209" s="345" t="n">
        <v>2.2</v>
      </c>
      <c r="X209" s="345" t="inlineStr"/>
      <c r="Y209" s="345" t="inlineStr">
        <is>
          <t>confirmed</t>
        </is>
      </c>
      <c r="Z209" s="345" t="n">
        <v>100</v>
      </c>
      <c r="AA209" s="345" t="inlineStr"/>
      <c r="AB209" s="345" t="inlineStr">
        <is>
          <t>赛特尔25年.xls｜初中新课标化学｜第144行</t>
        </is>
      </c>
    </row>
    <row r="210" customFormat="1" s="257">
      <c r="A210" s="323" t="n">
        <v>235</v>
      </c>
      <c r="B210" s="26" t="n">
        <v>30605004202</v>
      </c>
      <c r="C210" s="87" t="inlineStr">
        <is>
          <t>药匙</t>
        </is>
      </c>
      <c r="D210" s="68" t="inlineStr">
        <is>
          <t>中号 13.5 cm，带小勺，材质可选金属、牛角、塑料</t>
        </is>
      </c>
      <c r="E210" s="31" t="n">
        <v>49</v>
      </c>
      <c r="F210" s="26" t="inlineStr">
        <is>
          <t>个</t>
        </is>
      </c>
      <c r="G210" s="31">
        <f>_xlfn.DISPIMG("ID_FB50587998B64C0CA810D93DE4E74380",1)</f>
        <v/>
      </c>
      <c r="H210" s="330" t="n"/>
      <c r="I210" s="26" t="n">
        <v>30605004202</v>
      </c>
      <c r="J210" s="164" t="inlineStr">
        <is>
          <t>中号 13.5 cm，带小勺，材质可选金属、牛角、塑料</t>
        </is>
      </c>
      <c r="K210" s="39" t="inlineStr">
        <is>
          <t>乐百仕</t>
        </is>
      </c>
      <c r="L210" s="39" t="inlineStr">
        <is>
          <t>江苏乐百仕教育科技有限公司</t>
        </is>
      </c>
      <c r="M210" s="345" t="n">
        <v>49</v>
      </c>
      <c r="N210" s="345" t="n">
        <v>1</v>
      </c>
      <c r="O210" s="345" t="n">
        <v>49</v>
      </c>
      <c r="P210" s="345" t="inlineStr">
        <is>
          <t>个</t>
        </is>
      </c>
      <c r="Q210" s="345" t="inlineStr"/>
      <c r="R210" s="345" t="inlineStr"/>
      <c r="S210" s="345" t="inlineStr"/>
      <c r="T210" s="345" t="inlineStr"/>
      <c r="U210" s="345" t="n">
        <v>1</v>
      </c>
      <c r="V210" s="345" t="inlineStr"/>
      <c r="W210" s="345" t="n">
        <v>1.1</v>
      </c>
      <c r="X210" s="345" t="inlineStr"/>
      <c r="Y210" s="345" t="inlineStr">
        <is>
          <t>confirmed</t>
        </is>
      </c>
      <c r="Z210" s="345" t="n">
        <v>100</v>
      </c>
      <c r="AA210" s="345" t="inlineStr"/>
      <c r="AB210" s="345" t="inlineStr">
        <is>
          <t>赛特尔25年.xls｜初中新课标化学｜第145行</t>
        </is>
      </c>
    </row>
    <row r="211" customFormat="1" s="195">
      <c r="A211" s="323" t="n">
        <v>236</v>
      </c>
      <c r="B211" s="26" t="n">
        <v>30605005102</v>
      </c>
      <c r="C211" s="30" t="inlineStr">
        <is>
          <t>玻璃管</t>
        </is>
      </c>
      <c r="D211" s="68" t="inlineStr">
        <is>
          <t>Φ5mm～6mm，中性料，管口应为熔光</t>
        </is>
      </c>
      <c r="E211" s="31" t="n">
        <v>3</v>
      </c>
      <c r="F211" s="26" t="inlineStr">
        <is>
          <t>kg</t>
        </is>
      </c>
      <c r="G211" s="31">
        <f>_xlfn.DISPIMG("ID_A781E4CEF3214783AFA7370AE186F41D",1)</f>
        <v/>
      </c>
      <c r="H211" s="220" t="n"/>
      <c r="I211" s="26" t="n">
        <v>30605005102</v>
      </c>
      <c r="J211" s="164" t="inlineStr">
        <is>
          <t>Φ5mm～6mm，中性料，管口应为熔光</t>
        </is>
      </c>
      <c r="K211" s="39" t="inlineStr">
        <is>
          <t>乐百仕</t>
        </is>
      </c>
      <c r="L211" s="39" t="inlineStr">
        <is>
          <t>江苏乐百仕教育科技有限公司</t>
        </is>
      </c>
      <c r="M211" s="345" t="n">
        <v>3</v>
      </c>
      <c r="N211" s="345" t="n">
        <v>2</v>
      </c>
      <c r="O211" s="345" t="n">
        <v>6</v>
      </c>
      <c r="P211" s="345" t="inlineStr">
        <is>
          <t>kg</t>
        </is>
      </c>
      <c r="Q211" s="345" t="inlineStr"/>
      <c r="R211" s="345" t="inlineStr"/>
      <c r="S211" s="345" t="inlineStr"/>
      <c r="T211" s="345" t="inlineStr"/>
      <c r="U211" s="345" t="inlineStr"/>
      <c r="V211" s="345" t="inlineStr"/>
      <c r="W211" s="345" t="inlineStr"/>
      <c r="X211" s="345" t="inlineStr"/>
      <c r="Y211" s="345" t="inlineStr">
        <is>
          <t>confirmed</t>
        </is>
      </c>
      <c r="Z211" s="345" t="n">
        <v>0</v>
      </c>
      <c r="AA211" s="345" t="inlineStr">
        <is>
          <t>没有找到可靠候选</t>
        </is>
      </c>
      <c r="AB211" s="345" t="inlineStr">
        <is>
          <t>赛特尔25年.xls｜初中化学｜第94行</t>
        </is>
      </c>
    </row>
    <row r="212" customFormat="1" s="195">
      <c r="A212" s="323" t="n">
        <v>237</v>
      </c>
      <c r="B212" s="26" t="n">
        <v>30605005103</v>
      </c>
      <c r="C212" s="30" t="inlineStr">
        <is>
          <t>玻璃管</t>
        </is>
      </c>
      <c r="D212" s="68" t="inlineStr">
        <is>
          <t>Φ7mm～8mm，中性料，管口应为熔光</t>
        </is>
      </c>
      <c r="E212" s="31" t="n">
        <v>4</v>
      </c>
      <c r="F212" s="26" t="inlineStr">
        <is>
          <t>kg</t>
        </is>
      </c>
      <c r="G212" s="31">
        <f>_xlfn.DISPIMG("ID_38AA9DFB16064E198929BACF4FAF7086",1)</f>
        <v/>
      </c>
      <c r="H212" s="220" t="n"/>
      <c r="I212" s="26" t="n">
        <v>30605005103</v>
      </c>
      <c r="J212" s="164" t="inlineStr">
        <is>
          <t>Φ7mm～8mm，中性料，管口应为熔光</t>
        </is>
      </c>
      <c r="K212" s="39" t="inlineStr">
        <is>
          <t>乐百仕</t>
        </is>
      </c>
      <c r="L212" s="39" t="inlineStr">
        <is>
          <t>江苏乐百仕教育科技有限公司</t>
        </is>
      </c>
      <c r="M212" s="345" t="n">
        <v>4</v>
      </c>
      <c r="N212" s="345" t="n">
        <v>2</v>
      </c>
      <c r="O212" s="345" t="n">
        <v>8</v>
      </c>
      <c r="P212" s="345" t="inlineStr">
        <is>
          <t>kg</t>
        </is>
      </c>
      <c r="Q212" s="345" t="inlineStr"/>
      <c r="R212" s="345" t="inlineStr"/>
      <c r="S212" s="345" t="inlineStr"/>
      <c r="T212" s="345" t="inlineStr"/>
      <c r="U212" s="345" t="inlineStr"/>
      <c r="V212" s="345" t="inlineStr"/>
      <c r="W212" s="345" t="inlineStr"/>
      <c r="X212" s="345" t="inlineStr"/>
      <c r="Y212" s="345" t="inlineStr">
        <is>
          <t>confirmed</t>
        </is>
      </c>
      <c r="Z212" s="345" t="n">
        <v>0</v>
      </c>
      <c r="AA212" s="345" t="inlineStr">
        <is>
          <t>没有找到可靠候选</t>
        </is>
      </c>
      <c r="AB212" s="345" t="inlineStr">
        <is>
          <t>赛特尔25年.xls｜初中化学｜第94行</t>
        </is>
      </c>
    </row>
    <row r="213" customFormat="1" s="195">
      <c r="A213" s="323" t="n">
        <v>238</v>
      </c>
      <c r="B213" s="31" t="n">
        <v>30605005203</v>
      </c>
      <c r="C213" s="30" t="inlineStr">
        <is>
          <t>玻璃弯管</t>
        </is>
      </c>
      <c r="D213" s="68" t="inlineStr">
        <is>
          <t>Φ 7 mm ～8 mm，一端长度为 6 cm～7 cm，另一端长度约 20 cm，形状为锐角、直角和钝角，管口应打磨或烧结，避免划伤事故</t>
        </is>
      </c>
      <c r="E213" s="131" t="n">
        <v>100</v>
      </c>
      <c r="F213" s="26" t="inlineStr">
        <is>
          <t>根</t>
        </is>
      </c>
      <c r="G213" s="131">
        <f>_xlfn.DISPIMG("ID_2888FD73294A4D46BE6D50363BB404C4",1)</f>
        <v/>
      </c>
      <c r="H213" s="220" t="n"/>
      <c r="I213" s="31" t="n">
        <v>30605005203</v>
      </c>
      <c r="J213" s="164" t="inlineStr">
        <is>
          <t>Φ 7 mm ～8 mm，一端长度为 6 cm～7 cm，另一端长度约 20 cm，形状为锐角、直角和钝角，管口应打磨或烧结，避免划伤事故</t>
        </is>
      </c>
      <c r="K213" s="39" t="inlineStr">
        <is>
          <t>乐百仕</t>
        </is>
      </c>
      <c r="L213" s="39" t="inlineStr">
        <is>
          <t>江苏乐百仕教育科技有限公司</t>
        </is>
      </c>
      <c r="M213" s="345" t="n">
        <v>100</v>
      </c>
      <c r="N213" s="345" t="n">
        <v>18</v>
      </c>
      <c r="O213" s="345" t="n">
        <v>1800</v>
      </c>
      <c r="P213" s="345" t="inlineStr">
        <is>
          <t>根</t>
        </is>
      </c>
      <c r="Q213" s="345" t="inlineStr"/>
      <c r="R213" s="345" t="inlineStr"/>
      <c r="S213" s="345" t="inlineStr"/>
      <c r="T213" s="345" t="inlineStr"/>
      <c r="U213" s="345" t="inlineStr"/>
      <c r="V213" s="345" t="inlineStr"/>
      <c r="W213" s="345" t="inlineStr"/>
      <c r="X213" s="345" t="inlineStr"/>
      <c r="Y213" s="345" t="inlineStr">
        <is>
          <t>confirmed</t>
        </is>
      </c>
      <c r="Z213" s="345" t="n">
        <v>0</v>
      </c>
      <c r="AA213" s="345" t="inlineStr">
        <is>
          <t>没有找到可靠候选</t>
        </is>
      </c>
      <c r="AB213" s="345" t="inlineStr">
        <is>
          <t>赛特尔25年.xls｜初中生物｜第230行</t>
        </is>
      </c>
    </row>
    <row r="214" customFormat="1" s="195">
      <c r="A214" s="323" t="n">
        <v>239</v>
      </c>
      <c r="B214" s="31" t="n">
        <v>30605005302</v>
      </c>
      <c r="C214" s="137" t="inlineStr">
        <is>
          <t>玻璃棒</t>
        </is>
      </c>
      <c r="D214" s="141" t="inlineStr">
        <is>
          <t>Φ5mm～6mm，两端应平整倒边</t>
        </is>
      </c>
      <c r="E214" s="31" t="n">
        <v>100</v>
      </c>
      <c r="F214" s="26" t="inlineStr">
        <is>
          <t>根</t>
        </is>
      </c>
      <c r="G214" s="131">
        <f>_xlfn.DISPIMG("ID_53AEDA1A26D7469F8FE1BD04E6EDC39A",1)</f>
        <v/>
      </c>
      <c r="H214" s="220" t="n"/>
      <c r="I214" s="31" t="n">
        <v>30605005302</v>
      </c>
      <c r="J214" s="33" t="inlineStr">
        <is>
          <t>Φ5mm～6mm，两端应平整倒边</t>
        </is>
      </c>
      <c r="K214" s="39" t="inlineStr">
        <is>
          <t>乐百仕</t>
        </is>
      </c>
      <c r="L214" s="39" t="inlineStr">
        <is>
          <t>江苏乐百仕教育科技有限公司</t>
        </is>
      </c>
      <c r="M214" s="345" t="n">
        <v>100</v>
      </c>
      <c r="N214" s="345" t="n">
        <v>12</v>
      </c>
      <c r="O214" s="345" t="n">
        <v>1200</v>
      </c>
      <c r="P214" s="345" t="inlineStr">
        <is>
          <t>根</t>
        </is>
      </c>
      <c r="Q214" s="345" t="inlineStr"/>
      <c r="R214" s="345" t="inlineStr"/>
      <c r="S214" s="345" t="inlineStr"/>
      <c r="T214" s="345" t="inlineStr"/>
      <c r="U214" s="345" t="inlineStr"/>
      <c r="V214" s="345" t="inlineStr"/>
      <c r="W214" s="345" t="inlineStr"/>
      <c r="X214" s="345" t="inlineStr"/>
      <c r="Y214" s="345" t="inlineStr">
        <is>
          <t>confirmed</t>
        </is>
      </c>
      <c r="Z214" s="345" t="n">
        <v>0</v>
      </c>
      <c r="AA214" s="345" t="inlineStr">
        <is>
          <t>没有找到可靠候选</t>
        </is>
      </c>
      <c r="AB214" s="345" t="inlineStr">
        <is>
          <t>高中理化生报价.xlsx｜凯迪｜第1834行</t>
        </is>
      </c>
    </row>
    <row r="215" customFormat="1" s="195">
      <c r="A215" s="323" t="n">
        <v>240</v>
      </c>
      <c r="B215" s="31" t="n">
        <v>30605005303</v>
      </c>
      <c r="C215" s="137" t="inlineStr">
        <is>
          <t>玻璃棒</t>
        </is>
      </c>
      <c r="D215" s="141" t="inlineStr">
        <is>
          <t>Φ7mm～8mm，两端应平整倒边</t>
        </is>
      </c>
      <c r="E215" s="31" t="n">
        <v>100</v>
      </c>
      <c r="F215" s="26" t="inlineStr">
        <is>
          <t>根</t>
        </is>
      </c>
      <c r="G215" s="131">
        <f>_xlfn.DISPIMG("ID_4F7563A154AD4A6286EF6E61BC2D71CC",1)</f>
        <v/>
      </c>
      <c r="H215" s="220" t="n"/>
      <c r="I215" s="31" t="n">
        <v>30605005303</v>
      </c>
      <c r="J215" s="33" t="inlineStr">
        <is>
          <t>Φ7mm～8mm，两端应平整倒边</t>
        </is>
      </c>
      <c r="K215" s="39" t="inlineStr">
        <is>
          <t>乐百仕</t>
        </is>
      </c>
      <c r="L215" s="39" t="inlineStr">
        <is>
          <t>江苏乐百仕教育科技有限公司</t>
        </is>
      </c>
      <c r="M215" s="345" t="n">
        <v>100</v>
      </c>
      <c r="N215" s="345" t="n">
        <v>12</v>
      </c>
      <c r="O215" s="345" t="n">
        <v>1200</v>
      </c>
      <c r="P215" s="345" t="inlineStr">
        <is>
          <t>根</t>
        </is>
      </c>
      <c r="Q215" s="345" t="inlineStr"/>
      <c r="R215" s="345" t="inlineStr"/>
      <c r="S215" s="345" t="inlineStr"/>
      <c r="T215" s="345" t="inlineStr"/>
      <c r="U215" s="345" t="inlineStr"/>
      <c r="V215" s="345" t="inlineStr"/>
      <c r="W215" s="345" t="inlineStr"/>
      <c r="X215" s="345" t="inlineStr"/>
      <c r="Y215" s="345" t="inlineStr">
        <is>
          <t>confirmed</t>
        </is>
      </c>
      <c r="Z215" s="345" t="n">
        <v>0</v>
      </c>
      <c r="AA215" s="345" t="inlineStr">
        <is>
          <t>没有找到可靠候选</t>
        </is>
      </c>
      <c r="AB215" s="345" t="inlineStr">
        <is>
          <t>高中理化生报价.xlsx｜凯迪｜第1834行</t>
        </is>
      </c>
    </row>
    <row r="216" customFormat="1" s="195">
      <c r="A216" s="323" t="n">
        <v>241</v>
      </c>
      <c r="B216" s="31" t="n">
        <v>30605006101</v>
      </c>
      <c r="C216" s="137" t="inlineStr">
        <is>
          <t>橡胶塞</t>
        </is>
      </c>
      <c r="D216" s="141" t="inlineStr">
        <is>
          <t>000、00、0～11 号，白色，质地均匀</t>
        </is>
      </c>
      <c r="E216" s="31" t="n">
        <v>5</v>
      </c>
      <c r="F216" s="26" t="inlineStr">
        <is>
          <t>kg</t>
        </is>
      </c>
      <c r="G216" s="31">
        <f>_xlfn.DISPIMG("ID_2DC070D5C72842439225EF832562E3E0",1)</f>
        <v/>
      </c>
      <c r="H216" s="220" t="n"/>
      <c r="I216" s="31" t="n">
        <v>30605006101</v>
      </c>
      <c r="J216" s="33" t="inlineStr">
        <is>
          <t>000、00、0～11 号，白色，质地均匀</t>
        </is>
      </c>
      <c r="K216" s="39" t="inlineStr">
        <is>
          <t>乐百仕</t>
        </is>
      </c>
      <c r="L216" s="39" t="inlineStr">
        <is>
          <t>江苏乐百仕教育科技有限公司</t>
        </is>
      </c>
      <c r="M216" s="345" t="n">
        <v>5</v>
      </c>
      <c r="N216" s="345" t="n">
        <v>25</v>
      </c>
      <c r="O216" s="345" t="n">
        <v>125</v>
      </c>
      <c r="P216" s="345" t="inlineStr">
        <is>
          <t>kg</t>
        </is>
      </c>
      <c r="Q216" s="345" t="inlineStr"/>
      <c r="R216" s="345" t="inlineStr"/>
      <c r="S216" s="345" t="inlineStr"/>
      <c r="T216" s="345" t="inlineStr">
        <is>
          <t>000、 00、0～10 号  白色，质地均匀</t>
        </is>
      </c>
      <c r="U216" s="345" t="inlineStr"/>
      <c r="V216" s="345" t="inlineStr"/>
      <c r="W216" s="345" t="inlineStr"/>
      <c r="X216" s="345" t="inlineStr"/>
      <c r="Y216" s="345" t="inlineStr">
        <is>
          <t>confirmed</t>
        </is>
      </c>
      <c r="Z216" s="345" t="n">
        <v>100</v>
      </c>
      <c r="AA216" s="345" t="inlineStr"/>
      <c r="AB216" s="345" t="inlineStr">
        <is>
          <t>赛特尔25年.xls｜初中新课标生物｜第133行</t>
        </is>
      </c>
    </row>
    <row r="217" customFormat="1" s="195">
      <c r="A217" s="323" t="n">
        <v>242</v>
      </c>
      <c r="B217" s="31" t="n">
        <v>30605006203</v>
      </c>
      <c r="C217" s="137" t="inlineStr">
        <is>
          <t>橡胶管</t>
        </is>
      </c>
      <c r="D217" s="141" t="inlineStr">
        <is>
          <t>外径9mm，内径6mm，乳白色，具有耐油、耐酸碱、耐压等特性</t>
        </is>
      </c>
      <c r="E217" s="31" t="n">
        <v>20</v>
      </c>
      <c r="F217" s="26" t="inlineStr">
        <is>
          <t>m</t>
        </is>
      </c>
      <c r="G217" s="323">
        <f>_xlfn.DISPIMG("ID_4ECD505F9EC04ECC9CF8EAFAA7604849",1)</f>
        <v/>
      </c>
      <c r="H217" s="220" t="n"/>
      <c r="I217" s="31" t="n">
        <v>30605006203</v>
      </c>
      <c r="J217" s="33" t="inlineStr">
        <is>
          <t>外径9mm，内径6mm，乳白色，具有耐油、耐酸碱、耐压等特性</t>
        </is>
      </c>
      <c r="K217" s="39" t="inlineStr">
        <is>
          <t>乐百仕</t>
        </is>
      </c>
      <c r="L217" s="39" t="inlineStr">
        <is>
          <t>江苏乐百仕教育科技有限公司</t>
        </is>
      </c>
      <c r="M217" s="345" t="n">
        <v>20</v>
      </c>
      <c r="N217" s="345" t="n">
        <v>28</v>
      </c>
      <c r="O217" s="345" t="n">
        <v>560</v>
      </c>
      <c r="P217" s="345" t="inlineStr">
        <is>
          <t>m</t>
        </is>
      </c>
      <c r="Q217" s="345" t="inlineStr"/>
      <c r="R217" s="345" t="inlineStr"/>
      <c r="S217" s="345" t="inlineStr"/>
      <c r="T217" s="345" t="inlineStr"/>
      <c r="U217" s="345" t="inlineStr"/>
      <c r="V217" s="345" t="inlineStr"/>
      <c r="W217" s="345" t="inlineStr"/>
      <c r="X217" s="345" t="inlineStr"/>
      <c r="Y217" s="345" t="inlineStr">
        <is>
          <t>confirmed</t>
        </is>
      </c>
      <c r="Z217" s="345" t="n">
        <v>0</v>
      </c>
      <c r="AA217" s="345" t="inlineStr">
        <is>
          <t>没有找到可靠候选</t>
        </is>
      </c>
      <c r="AB217" s="345" t="inlineStr">
        <is>
          <t>赛特尔25年.xls｜初中生物｜第247行</t>
        </is>
      </c>
    </row>
    <row r="218" customFormat="1" s="195">
      <c r="A218" s="323" t="n">
        <v>243</v>
      </c>
      <c r="B218" s="31" t="n">
        <v>30605006302</v>
      </c>
      <c r="C218" s="137" t="inlineStr">
        <is>
          <t>乳胶管</t>
        </is>
      </c>
      <c r="D218" s="141" t="inlineStr">
        <is>
          <t>外径6mm，内径4mm，弹力好，拉力范围可在自身的6倍，回弹力 100%</t>
        </is>
      </c>
      <c r="E218" s="31" t="n">
        <v>20</v>
      </c>
      <c r="F218" s="26" t="inlineStr">
        <is>
          <t>m</t>
        </is>
      </c>
      <c r="G218" s="31">
        <f>_xlfn.DISPIMG("ID_939CB221FEAF4932A88A79BBEBDC9648",1)</f>
        <v/>
      </c>
      <c r="H218" s="220" t="n"/>
      <c r="I218" s="31" t="n">
        <v>30605006302</v>
      </c>
      <c r="J218" s="33" t="inlineStr">
        <is>
          <t>外径6mm，内径4mm，弹力好，拉力范围可在自身的6倍，回弹力 100%</t>
        </is>
      </c>
      <c r="K218" s="39" t="inlineStr">
        <is>
          <t>乐百仕</t>
        </is>
      </c>
      <c r="L218" s="39" t="inlineStr">
        <is>
          <t>江苏乐百仕教育科技有限公司</t>
        </is>
      </c>
      <c r="M218" s="345" t="n">
        <v>20</v>
      </c>
      <c r="N218" s="345" t="n">
        <v>3</v>
      </c>
      <c r="O218" s="345" t="n">
        <v>60</v>
      </c>
      <c r="P218" s="345" t="inlineStr">
        <is>
          <t>m</t>
        </is>
      </c>
      <c r="Q218" s="345" t="inlineStr"/>
      <c r="R218" s="345" t="inlineStr"/>
      <c r="S218" s="345" t="inlineStr"/>
      <c r="T218" s="345" t="inlineStr"/>
      <c r="U218" s="345" t="inlineStr"/>
      <c r="V218" s="345" t="inlineStr"/>
      <c r="W218" s="345" t="inlineStr"/>
      <c r="X218" s="345" t="inlineStr"/>
      <c r="Y218" s="345" t="inlineStr">
        <is>
          <t>confirmed</t>
        </is>
      </c>
      <c r="Z218" s="345" t="n">
        <v>0</v>
      </c>
      <c r="AA218" s="345" t="inlineStr">
        <is>
          <t>没有找到可靠候选</t>
        </is>
      </c>
      <c r="AB218" s="345" t="inlineStr">
        <is>
          <t>赛特尔25年.xls｜初中化学｜第172行</t>
        </is>
      </c>
    </row>
    <row r="219" customFormat="1" s="195">
      <c r="A219" s="323" t="n">
        <v>244</v>
      </c>
      <c r="B219" s="31" t="n">
        <v>30605006303</v>
      </c>
      <c r="C219" s="137" t="inlineStr">
        <is>
          <t>乳胶管</t>
        </is>
      </c>
      <c r="D219" s="141" t="inlineStr">
        <is>
          <t>外径9mm，内径6mm，弹力好，拉力范围可在自身的6倍，回弹力 100%</t>
        </is>
      </c>
      <c r="E219" s="31" t="n">
        <v>20</v>
      </c>
      <c r="F219" s="26" t="inlineStr">
        <is>
          <t>m</t>
        </is>
      </c>
      <c r="G219" s="31">
        <f>_xlfn.DISPIMG("ID_6BC2503AEA7B4A49BFDA99C2598CF4CB",1)</f>
        <v/>
      </c>
      <c r="H219" s="220" t="n"/>
      <c r="I219" s="31" t="n">
        <v>30605006303</v>
      </c>
      <c r="J219" s="33" t="inlineStr">
        <is>
          <t>外径9mm，内径6mm，弹力好，拉力范围可在自身的6倍，回弹力 100%</t>
        </is>
      </c>
      <c r="K219" s="39" t="inlineStr">
        <is>
          <t>乐百仕</t>
        </is>
      </c>
      <c r="L219" s="39" t="inlineStr">
        <is>
          <t>江苏乐百仕教育科技有限公司</t>
        </is>
      </c>
      <c r="M219" s="345" t="n">
        <v>20</v>
      </c>
      <c r="N219" s="345" t="n">
        <v>3</v>
      </c>
      <c r="O219" s="345" t="n">
        <v>60</v>
      </c>
      <c r="P219" s="345" t="inlineStr">
        <is>
          <t>m</t>
        </is>
      </c>
      <c r="Q219" s="345" t="inlineStr"/>
      <c r="R219" s="345" t="inlineStr"/>
      <c r="S219" s="345" t="inlineStr"/>
      <c r="T219" s="345" t="inlineStr"/>
      <c r="U219" s="345" t="inlineStr"/>
      <c r="V219" s="345" t="inlineStr"/>
      <c r="W219" s="345" t="inlineStr"/>
      <c r="X219" s="345" t="inlineStr"/>
      <c r="Y219" s="345" t="inlineStr">
        <is>
          <t>confirmed</t>
        </is>
      </c>
      <c r="Z219" s="345" t="n">
        <v>0</v>
      </c>
      <c r="AA219" s="345" t="inlineStr">
        <is>
          <t>没有找到可靠候选</t>
        </is>
      </c>
      <c r="AB219" s="345" t="inlineStr">
        <is>
          <t>赛特尔25年.xls｜初中化学｜第172行</t>
        </is>
      </c>
    </row>
    <row r="220" customFormat="1" s="257">
      <c r="A220" s="323" t="n">
        <v>245</v>
      </c>
      <c r="B220" s="31" t="n">
        <v>30605006705</v>
      </c>
      <c r="C220" s="153" t="inlineStr">
        <is>
          <t>洗耳球</t>
        </is>
      </c>
      <c r="D220" s="141" t="inlineStr">
        <is>
          <t>60 mL，橡胶材质</t>
        </is>
      </c>
      <c r="E220" s="31" t="n">
        <v>25</v>
      </c>
      <c r="F220" s="31" t="inlineStr">
        <is>
          <t>个</t>
        </is>
      </c>
      <c r="G220" s="31">
        <f>_xlfn.DISPIMG("ID_B75F77CDEC0F42839ECB0FD437E27F5F",1)</f>
        <v/>
      </c>
      <c r="H220" s="330" t="n"/>
      <c r="I220" s="31" t="n">
        <v>30605006705</v>
      </c>
      <c r="J220" s="33" t="inlineStr">
        <is>
          <t>60 mL，橡胶材质</t>
        </is>
      </c>
      <c r="K220" s="39" t="inlineStr">
        <is>
          <t>乐百仕</t>
        </is>
      </c>
      <c r="L220" s="39" t="inlineStr">
        <is>
          <t>江苏乐百仕教育科技有限公司</t>
        </is>
      </c>
      <c r="M220" s="345" t="n">
        <v>25</v>
      </c>
      <c r="N220" s="345" t="n">
        <v>4</v>
      </c>
      <c r="O220" s="345" t="n">
        <v>100</v>
      </c>
      <c r="P220" s="345" t="inlineStr">
        <is>
          <t>个</t>
        </is>
      </c>
      <c r="Q220" s="345" t="inlineStr">
        <is>
          <t>苏创</t>
        </is>
      </c>
      <c r="R220" s="345" t="inlineStr"/>
      <c r="S220" s="345" t="inlineStr"/>
      <c r="T220" s="345" t="inlineStr">
        <is>
          <t>64067</t>
        </is>
      </c>
      <c r="U220" s="345" t="inlineStr"/>
      <c r="V220" s="345" t="inlineStr"/>
      <c r="W220" s="345" t="inlineStr"/>
      <c r="X220" s="345" t="inlineStr"/>
      <c r="Y220" s="345" t="inlineStr">
        <is>
          <t>confirmed</t>
        </is>
      </c>
      <c r="Z220" s="345" t="n">
        <v>100</v>
      </c>
      <c r="AA220" s="345" t="inlineStr"/>
      <c r="AB220" s="345" t="inlineStr">
        <is>
          <t>高中理化生报价.xlsx｜凯迪｜第1535行</t>
        </is>
      </c>
    </row>
    <row r="221" customFormat="1" s="257">
      <c r="A221" s="323" t="n">
        <v>246</v>
      </c>
      <c r="B221" s="26" t="n">
        <v>30605007101</v>
      </c>
      <c r="C221" s="30" t="inlineStr">
        <is>
          <t>试管刷</t>
        </is>
      </c>
      <c r="D221" s="141" t="inlineStr">
        <is>
          <t>Φ12mm，手持部分顶端为环状，顶部有刷丝，铁丝不可外露</t>
        </is>
      </c>
      <c r="E221" s="31" t="n">
        <v>25</v>
      </c>
      <c r="F221" s="26" t="inlineStr">
        <is>
          <t>个</t>
        </is>
      </c>
      <c r="G221" s="31">
        <f>_xlfn.DISPIMG("ID_60EE98A7E4544554A4E137711CE4408E",1)</f>
        <v/>
      </c>
      <c r="H221" s="330" t="n"/>
      <c r="I221" s="26" t="n">
        <v>30605007101</v>
      </c>
      <c r="J221" s="33" t="inlineStr">
        <is>
          <t>Φ12mm，手持部分顶端为环状，顶部有刷丝，铁丝不可外露</t>
        </is>
      </c>
      <c r="K221" s="39" t="inlineStr">
        <is>
          <t>乐百仕</t>
        </is>
      </c>
      <c r="L221" s="39" t="inlineStr">
        <is>
          <t>江苏乐百仕教育科技有限公司</t>
        </is>
      </c>
      <c r="M221" s="345" t="n">
        <v>25</v>
      </c>
      <c r="N221" s="345" t="n">
        <v>1</v>
      </c>
      <c r="O221" s="345" t="n">
        <v>25</v>
      </c>
      <c r="P221" s="345" t="inlineStr">
        <is>
          <t>个</t>
        </is>
      </c>
      <c r="Q221" s="345" t="inlineStr"/>
      <c r="R221" s="345" t="inlineStr"/>
      <c r="S221" s="345" t="inlineStr"/>
      <c r="T221" s="345" t="inlineStr"/>
      <c r="U221" s="345" t="n">
        <v>1.5</v>
      </c>
      <c r="V221" s="345" t="inlineStr"/>
      <c r="W221" s="345" t="n">
        <v>2</v>
      </c>
      <c r="X221" s="345" t="inlineStr"/>
      <c r="Y221" s="345" t="inlineStr">
        <is>
          <t>confirmed</t>
        </is>
      </c>
      <c r="Z221" s="345" t="n">
        <v>100</v>
      </c>
      <c r="AA221" s="345" t="inlineStr">
        <is>
          <t>价格分歧&gt;30%：历史报价分歧较大，需人工核对；同分多价：最高分候选存在不同历史价格</t>
        </is>
      </c>
      <c r="AB221" s="345" t="inlineStr">
        <is>
          <t>赛特尔25年.xls｜初中新课标生物｜第135行</t>
        </is>
      </c>
    </row>
    <row r="222" customFormat="1" s="257">
      <c r="A222" s="323" t="n">
        <v>247</v>
      </c>
      <c r="B222" s="26" t="n">
        <v>30605007103</v>
      </c>
      <c r="C222" s="30" t="inlineStr">
        <is>
          <t>试管刷</t>
        </is>
      </c>
      <c r="D222" s="141" t="inlineStr">
        <is>
          <t>Φ18mm，手持部分顶端为环状，顶部有刷丝，铁丝不可外露</t>
        </is>
      </c>
      <c r="E222" s="31" t="n">
        <v>25</v>
      </c>
      <c r="F222" s="26" t="inlineStr">
        <is>
          <t>个</t>
        </is>
      </c>
      <c r="G222" s="31">
        <f>_xlfn.DISPIMG("ID_D62BAE26D660490A8B43FC2EECC3E8BE",1)</f>
        <v/>
      </c>
      <c r="H222" s="330" t="n"/>
      <c r="I222" s="26" t="n">
        <v>30605007103</v>
      </c>
      <c r="J222" s="33" t="inlineStr">
        <is>
          <t>Φ18mm，手持部分顶端为环状，顶部有刷丝，铁丝不可外露</t>
        </is>
      </c>
      <c r="K222" s="39" t="inlineStr">
        <is>
          <t>乐百仕</t>
        </is>
      </c>
      <c r="L222" s="39" t="inlineStr">
        <is>
          <t>江苏乐百仕教育科技有限公司</t>
        </is>
      </c>
      <c r="M222" s="345" t="n">
        <v>25</v>
      </c>
      <c r="N222" s="345" t="n">
        <v>1</v>
      </c>
      <c r="O222" s="345" t="n">
        <v>25</v>
      </c>
      <c r="P222" s="345" t="inlineStr">
        <is>
          <t>个</t>
        </is>
      </c>
      <c r="Q222" s="345" t="inlineStr"/>
      <c r="R222" s="345" t="inlineStr"/>
      <c r="S222" s="345" t="inlineStr"/>
      <c r="T222" s="345" t="inlineStr"/>
      <c r="U222" s="345" t="n">
        <v>1.5</v>
      </c>
      <c r="V222" s="345" t="inlineStr"/>
      <c r="W222" s="345" t="n">
        <v>2</v>
      </c>
      <c r="X222" s="345" t="inlineStr"/>
      <c r="Y222" s="345" t="inlineStr">
        <is>
          <t>confirmed</t>
        </is>
      </c>
      <c r="Z222" s="345" t="n">
        <v>100</v>
      </c>
      <c r="AA222" s="345" t="inlineStr">
        <is>
          <t>价格分歧&gt;30%：历史报价分歧较大，需人工核对；同分多价：最高分候选存在不同历史价格</t>
        </is>
      </c>
      <c r="AB222" s="345" t="inlineStr">
        <is>
          <t>赛特尔25年.xls｜初中新课标生物｜第135行</t>
        </is>
      </c>
    </row>
    <row r="223" customFormat="1" s="257">
      <c r="A223" s="323" t="n">
        <v>248</v>
      </c>
      <c r="B223" s="26" t="n">
        <v>30605007108</v>
      </c>
      <c r="C223" s="30" t="inlineStr">
        <is>
          <t>试管刷</t>
        </is>
      </c>
      <c r="D223" s="141" t="inlineStr">
        <is>
          <t>Φ32mm，手持部分顶端为环状，顶部有刷丝，铁丝不可外露</t>
        </is>
      </c>
      <c r="E223" s="31" t="n">
        <v>5</v>
      </c>
      <c r="F223" s="26" t="inlineStr">
        <is>
          <t>个</t>
        </is>
      </c>
      <c r="G223" s="31">
        <f>_xlfn.DISPIMG("ID_C9DF502A991546A88A1313393AC3C258",1)</f>
        <v/>
      </c>
      <c r="H223" s="330" t="n"/>
      <c r="I223" s="26" t="n">
        <v>30605007108</v>
      </c>
      <c r="J223" s="33" t="inlineStr">
        <is>
          <t>Φ32mm，手持部分顶端为环状，顶部有刷丝，铁丝不可外露</t>
        </is>
      </c>
      <c r="K223" s="39" t="inlineStr">
        <is>
          <t>乐百仕</t>
        </is>
      </c>
      <c r="L223" s="39" t="inlineStr">
        <is>
          <t>江苏乐百仕教育科技有限公司</t>
        </is>
      </c>
      <c r="M223" s="345" t="n">
        <v>5</v>
      </c>
      <c r="N223" s="345" t="n">
        <v>1</v>
      </c>
      <c r="O223" s="345" t="n">
        <v>5</v>
      </c>
      <c r="P223" s="345" t="inlineStr">
        <is>
          <t>个</t>
        </is>
      </c>
      <c r="Q223" s="345" t="inlineStr"/>
      <c r="R223" s="345" t="inlineStr"/>
      <c r="S223" s="345" t="inlineStr"/>
      <c r="T223" s="345" t="inlineStr"/>
      <c r="U223" s="345" t="n">
        <v>1.5</v>
      </c>
      <c r="V223" s="345" t="inlineStr"/>
      <c r="W223" s="345" t="n">
        <v>2</v>
      </c>
      <c r="X223" s="345" t="inlineStr"/>
      <c r="Y223" s="345" t="inlineStr">
        <is>
          <t>confirmed</t>
        </is>
      </c>
      <c r="Z223" s="345" t="n">
        <v>100</v>
      </c>
      <c r="AA223" s="345" t="inlineStr">
        <is>
          <t>价格分歧&gt;30%：历史报价分歧较大，需人工核对；同分多价：最高分候选存在不同历史价格</t>
        </is>
      </c>
      <c r="AB223" s="345" t="inlineStr">
        <is>
          <t>赛特尔25年.xls｜初中新课标生物｜第135行</t>
        </is>
      </c>
    </row>
    <row r="224" customFormat="1" s="257">
      <c r="A224" s="323" t="n">
        <v>249</v>
      </c>
      <c r="B224" s="26" t="n">
        <v>30605007205</v>
      </c>
      <c r="C224" s="30" t="inlineStr">
        <is>
          <t>烧瓶刷</t>
        </is>
      </c>
      <c r="D224" s="141" t="inlineStr">
        <is>
          <t>250mL烧瓶用，手持部分顶端应为环状，顶部要有刷丝，铁丝不可外露</t>
        </is>
      </c>
      <c r="E224" s="31" t="n">
        <v>25</v>
      </c>
      <c r="F224" s="26" t="inlineStr">
        <is>
          <t>个</t>
        </is>
      </c>
      <c r="G224" s="31">
        <f>_xlfn.DISPIMG("ID_79D99D79D57948228CEB6194342FC9A6",1)</f>
        <v/>
      </c>
      <c r="H224" s="330" t="n"/>
      <c r="I224" s="26" t="n">
        <v>30605007205</v>
      </c>
      <c r="J224" s="33" t="inlineStr">
        <is>
          <t>250mL烧瓶用，手持部分顶端应为环状，顶部要有刷丝，铁丝不可外露</t>
        </is>
      </c>
      <c r="K224" s="39" t="inlineStr">
        <is>
          <t>乐百仕</t>
        </is>
      </c>
      <c r="L224" s="39" t="inlineStr">
        <is>
          <t>江苏乐百仕教育科技有限公司</t>
        </is>
      </c>
      <c r="M224" s="345" t="n">
        <v>25</v>
      </c>
      <c r="N224" s="345" t="n">
        <v>1.5</v>
      </c>
      <c r="O224" s="345" t="n">
        <v>37.5</v>
      </c>
      <c r="P224" s="345" t="inlineStr">
        <is>
          <t>个</t>
        </is>
      </c>
      <c r="Q224" s="345" t="inlineStr"/>
      <c r="R224" s="345" t="inlineStr"/>
      <c r="S224" s="345" t="inlineStr"/>
      <c r="T224" s="345" t="inlineStr"/>
      <c r="U224" s="345" t="n">
        <v>2</v>
      </c>
      <c r="V224" s="345" t="inlineStr"/>
      <c r="W224" s="345" t="n">
        <v>3</v>
      </c>
      <c r="X224" s="345" t="inlineStr"/>
      <c r="Y224" s="345" t="inlineStr">
        <is>
          <t>confirmed</t>
        </is>
      </c>
      <c r="Z224" s="345" t="n">
        <v>100</v>
      </c>
      <c r="AA224" s="345" t="inlineStr">
        <is>
          <t>价格分歧&gt;30%：历史报价分歧较大，需人工核对；同分多价：最高分候选存在不同历史价格</t>
        </is>
      </c>
      <c r="AB224" s="345" t="inlineStr">
        <is>
          <t>赛特尔25年.xls｜小学科学｜第178行</t>
        </is>
      </c>
    </row>
    <row r="225" customFormat="1" s="257">
      <c r="A225" s="323" t="n">
        <v>250</v>
      </c>
      <c r="B225" s="26" t="n">
        <v>30605007206</v>
      </c>
      <c r="C225" s="30" t="inlineStr">
        <is>
          <t>烧瓶刷</t>
        </is>
      </c>
      <c r="D225" s="141" t="inlineStr">
        <is>
          <t>500mL烧瓶用，手持部分顶端应为环状，顶部要有刷丝，铁丝不可外露</t>
        </is>
      </c>
      <c r="E225" s="31" t="n">
        <v>25</v>
      </c>
      <c r="F225" s="26" t="inlineStr">
        <is>
          <t>个</t>
        </is>
      </c>
      <c r="G225" s="31">
        <f>_xlfn.DISPIMG("ID_8C2A8032CDB849B79034DE2F424C3509",1)</f>
        <v/>
      </c>
      <c r="H225" s="330" t="n"/>
      <c r="I225" s="26" t="n">
        <v>30605007206</v>
      </c>
      <c r="J225" s="33" t="inlineStr">
        <is>
          <t>500mL烧瓶用，手持部分顶端应为环状，顶部要有刷丝，铁丝不可外露</t>
        </is>
      </c>
      <c r="K225" s="39" t="inlineStr">
        <is>
          <t>乐百仕</t>
        </is>
      </c>
      <c r="L225" s="39" t="inlineStr">
        <is>
          <t>江苏乐百仕教育科技有限公司</t>
        </is>
      </c>
      <c r="M225" s="345" t="n">
        <v>25</v>
      </c>
      <c r="N225" s="345" t="n">
        <v>1.5</v>
      </c>
      <c r="O225" s="345" t="n">
        <v>37.5</v>
      </c>
      <c r="P225" s="345" t="inlineStr">
        <is>
          <t>个</t>
        </is>
      </c>
      <c r="Q225" s="345" t="inlineStr"/>
      <c r="R225" s="345" t="inlineStr"/>
      <c r="S225" s="345" t="inlineStr"/>
      <c r="T225" s="345" t="inlineStr"/>
      <c r="U225" s="345" t="n">
        <v>2</v>
      </c>
      <c r="V225" s="345" t="inlineStr"/>
      <c r="W225" s="345" t="n">
        <v>3</v>
      </c>
      <c r="X225" s="345" t="inlineStr"/>
      <c r="Y225" s="345" t="inlineStr">
        <is>
          <t>confirmed</t>
        </is>
      </c>
      <c r="Z225" s="345" t="n">
        <v>100</v>
      </c>
      <c r="AA225" s="345" t="inlineStr">
        <is>
          <t>价格分歧&gt;30%：历史报价分歧较大，需人工核对；同分多价：最高分候选存在不同历史价格</t>
        </is>
      </c>
      <c r="AB225" s="345" t="inlineStr">
        <is>
          <t>赛特尔25年.xls｜小学科学｜第178行</t>
        </is>
      </c>
    </row>
    <row r="226" customFormat="1" s="257">
      <c r="A226" s="323" t="n">
        <v>251</v>
      </c>
      <c r="B226" s="26" t="n">
        <v>30605007401</v>
      </c>
      <c r="C226" s="87" t="inlineStr">
        <is>
          <t>滴定管刷</t>
        </is>
      </c>
      <c r="D226" s="141" t="inlineStr">
        <is>
          <t>手持部分顶端为环状，顶部有刷丝，铁丝不可外露</t>
        </is>
      </c>
      <c r="E226" s="31" t="n">
        <v>25</v>
      </c>
      <c r="F226" s="26" t="inlineStr">
        <is>
          <t>个</t>
        </is>
      </c>
      <c r="G226" s="31">
        <f>_xlfn.DISPIMG("ID_67B0AC21880F4519BF20A80B26FCA6C0",1)</f>
        <v/>
      </c>
      <c r="H226" s="330" t="n"/>
      <c r="I226" s="26" t="n">
        <v>30605007401</v>
      </c>
      <c r="J226" s="33" t="inlineStr">
        <is>
          <t>手持部分顶端为环状，顶部有刷丝，铁丝不可外露</t>
        </is>
      </c>
      <c r="K226" s="39" t="inlineStr">
        <is>
          <t>乐百仕</t>
        </is>
      </c>
      <c r="L226" s="39" t="inlineStr">
        <is>
          <t>江苏乐百仕教育科技有限公司</t>
        </is>
      </c>
      <c r="M226" s="345" t="n">
        <v>25</v>
      </c>
      <c r="N226" s="345" t="n">
        <v>1.5</v>
      </c>
      <c r="O226" s="345" t="n">
        <v>37.5</v>
      </c>
      <c r="P226" s="345" t="inlineStr">
        <is>
          <t>个</t>
        </is>
      </c>
      <c r="Q226" s="345" t="inlineStr"/>
      <c r="R226" s="345" t="inlineStr"/>
      <c r="S226" s="345" t="inlineStr"/>
      <c r="T226" s="345" t="inlineStr"/>
      <c r="U226" s="345" t="n">
        <v>32</v>
      </c>
      <c r="V226" s="345" t="inlineStr"/>
      <c r="W226" s="345" t="n">
        <v>32</v>
      </c>
      <c r="X226" s="345" t="inlineStr"/>
      <c r="Y226" s="345" t="inlineStr">
        <is>
          <t>confirmed</t>
        </is>
      </c>
      <c r="Z226" s="345" t="n">
        <v>57.1</v>
      </c>
      <c r="AA226" s="345" t="inlineStr">
        <is>
          <t>价格分歧&gt;30%：历史报价分歧较大，需人工核对；同分多价：最高分候选存在不同历史价格</t>
        </is>
      </c>
      <c r="AB226" s="345" t="inlineStr">
        <is>
          <t>高中理化生报价.xlsx｜凯迪｜第1094行</t>
        </is>
      </c>
    </row>
    <row r="227" customFormat="1" s="195">
      <c r="A227" s="323" t="n">
        <v>252</v>
      </c>
      <c r="B227" s="26" t="n">
        <v>30605008601</v>
      </c>
      <c r="C227" s="30" t="inlineStr">
        <is>
          <t>研钵</t>
        </is>
      </c>
      <c r="D227" s="141" t="inlineStr">
        <is>
          <t>瓷或玻璃制，60mm，配有研杵，内部粗糙便于研磨，外部光滑</t>
        </is>
      </c>
      <c r="E227" s="31" t="n">
        <v>25</v>
      </c>
      <c r="F227" s="26" t="inlineStr">
        <is>
          <t>个</t>
        </is>
      </c>
      <c r="G227" s="31">
        <f>_xlfn.DISPIMG("ID_F3D4EEE6B344495593B8BD3B9EB6AAE9",1)</f>
        <v/>
      </c>
      <c r="H227" s="220" t="n"/>
      <c r="I227" s="26" t="n">
        <v>30605008601</v>
      </c>
      <c r="J227" s="33" t="inlineStr">
        <is>
          <t>瓷或玻璃制，60mm，配有研杵，内部粗糙便于研磨，外部光滑</t>
        </is>
      </c>
      <c r="K227" s="39" t="inlineStr">
        <is>
          <t>乐百仕</t>
        </is>
      </c>
      <c r="L227" s="39" t="inlineStr">
        <is>
          <t>江苏乐百仕教育科技有限公司</t>
        </is>
      </c>
      <c r="M227" s="345" t="n">
        <v>25</v>
      </c>
      <c r="N227" s="345" t="n">
        <v>3.75</v>
      </c>
      <c r="O227" s="345" t="n">
        <v>93.75</v>
      </c>
      <c r="P227" s="345" t="inlineStr">
        <is>
          <t>个</t>
        </is>
      </c>
      <c r="Q227" s="345" t="inlineStr"/>
      <c r="R227" s="345" t="inlineStr"/>
      <c r="S227" s="345" t="inlineStr"/>
      <c r="T227" s="345" t="inlineStr"/>
      <c r="U227" s="345" t="n">
        <v>3.75</v>
      </c>
      <c r="V227" s="345" t="inlineStr"/>
      <c r="W227" s="345" t="n">
        <v>4.12</v>
      </c>
      <c r="X227" s="345" t="inlineStr"/>
      <c r="Y227" s="345" t="inlineStr">
        <is>
          <t>confirmed</t>
        </is>
      </c>
      <c r="Z227" s="345" t="n">
        <v>100</v>
      </c>
      <c r="AA227" s="345" t="inlineStr"/>
      <c r="AB227" s="345" t="inlineStr">
        <is>
          <t>赛特尔25年.xls｜初中生物｜第250行</t>
        </is>
      </c>
    </row>
    <row r="228" customFormat="1" s="195">
      <c r="A228" s="323" t="n">
        <v>253</v>
      </c>
      <c r="B228" s="26" t="n">
        <v>30605008603</v>
      </c>
      <c r="C228" s="30" t="inlineStr">
        <is>
          <t>研钵</t>
        </is>
      </c>
      <c r="D228" s="141" t="inlineStr">
        <is>
          <t>瓷或玻璃制，100mm，配有研杵，内部粗糙便于研磨，外部光滑</t>
        </is>
      </c>
      <c r="E228" s="31" t="n">
        <v>2</v>
      </c>
      <c r="F228" s="26" t="inlineStr">
        <is>
          <t>个</t>
        </is>
      </c>
      <c r="G228" s="31">
        <f>_xlfn.DISPIMG("ID_8174CEF9DD3B4604A90A5B35CB22486D",1)</f>
        <v/>
      </c>
      <c r="H228" s="220" t="n"/>
      <c r="I228" s="26" t="n">
        <v>30605008603</v>
      </c>
      <c r="J228" s="33" t="inlineStr">
        <is>
          <t>瓷或玻璃制，100mm，配有研杵，内部粗糙便于研磨，外部光滑</t>
        </is>
      </c>
      <c r="K228" s="39" t="inlineStr">
        <is>
          <t>乐百仕</t>
        </is>
      </c>
      <c r="L228" s="39" t="inlineStr">
        <is>
          <t>江苏乐百仕教育科技有限公司</t>
        </is>
      </c>
      <c r="M228" s="345" t="n">
        <v>2</v>
      </c>
      <c r="N228" s="345" t="n">
        <v>3.75</v>
      </c>
      <c r="O228" s="345" t="n">
        <v>7.5</v>
      </c>
      <c r="P228" s="345" t="inlineStr">
        <is>
          <t>个</t>
        </is>
      </c>
      <c r="Q228" s="345" t="inlineStr"/>
      <c r="R228" s="345" t="inlineStr"/>
      <c r="S228" s="345" t="inlineStr"/>
      <c r="T228" s="345" t="inlineStr"/>
      <c r="U228" s="345" t="inlineStr"/>
      <c r="V228" s="345" t="inlineStr"/>
      <c r="W228" s="345" t="inlineStr"/>
      <c r="X228" s="345" t="inlineStr"/>
      <c r="Y228" s="345" t="inlineStr">
        <is>
          <t>confirmed</t>
        </is>
      </c>
      <c r="Z228" s="345" t="n">
        <v>0</v>
      </c>
      <c r="AA228" s="345" t="inlineStr">
        <is>
          <t>没有找到可靠候选</t>
        </is>
      </c>
      <c r="AB228" s="345" t="inlineStr">
        <is>
          <t>赛特尔25年.xls｜初中生物｜第250行</t>
        </is>
      </c>
    </row>
    <row r="229" customFormat="1" s="195">
      <c r="A229" s="323" t="n">
        <v>254</v>
      </c>
      <c r="B229" s="26" t="n">
        <v>30605008801</v>
      </c>
      <c r="C229" s="30" t="inlineStr">
        <is>
          <t>蒸发皿</t>
        </is>
      </c>
      <c r="D229" s="141" t="inlineStr">
        <is>
          <t>瓷制，容量35mL，外径61mm，有嘴圆皿，耐受温度≥800 ℃</t>
        </is>
      </c>
      <c r="E229" s="31" t="n">
        <v>25</v>
      </c>
      <c r="F229" s="26" t="inlineStr">
        <is>
          <t>个</t>
        </is>
      </c>
      <c r="G229" s="31">
        <f>_xlfn.DISPIMG("ID_F1A7966B86A14E5A93A6B27988E4B51A",1)</f>
        <v/>
      </c>
      <c r="H229" s="220" t="n"/>
      <c r="I229" s="26" t="n">
        <v>30605008801</v>
      </c>
      <c r="J229" s="33" t="inlineStr">
        <is>
          <t>瓷制，容量35mL，外径61mm，有嘴圆皿，耐受温度≥800 ℃</t>
        </is>
      </c>
      <c r="K229" s="39" t="inlineStr">
        <is>
          <t>乐百仕</t>
        </is>
      </c>
      <c r="L229" s="39" t="inlineStr">
        <is>
          <t>江苏乐百仕教育科技有限公司</t>
        </is>
      </c>
      <c r="M229" s="345" t="n">
        <v>25</v>
      </c>
      <c r="N229" s="345" t="n">
        <v>2.8</v>
      </c>
      <c r="O229" s="345" t="n">
        <v>70</v>
      </c>
      <c r="P229" s="345" t="inlineStr">
        <is>
          <t>个</t>
        </is>
      </c>
      <c r="Q229" s="345" t="inlineStr"/>
      <c r="R229" s="345" t="inlineStr"/>
      <c r="S229" s="345" t="inlineStr"/>
      <c r="T229" s="345" t="inlineStr"/>
      <c r="U229" s="345" t="n">
        <v>3</v>
      </c>
      <c r="V229" s="345" t="inlineStr"/>
      <c r="W229" s="345" t="n">
        <v>4</v>
      </c>
      <c r="X229" s="345" t="inlineStr"/>
      <c r="Y229" s="345" t="inlineStr">
        <is>
          <t>confirmed</t>
        </is>
      </c>
      <c r="Z229" s="345" t="n">
        <v>100</v>
      </c>
      <c r="AA229" s="345" t="inlineStr"/>
      <c r="AB229" s="345" t="inlineStr">
        <is>
          <t>赛特尔25年.xls｜初中化学｜第180行</t>
        </is>
      </c>
    </row>
    <row r="230" customFormat="1" s="195">
      <c r="A230" s="323" t="n">
        <v>255</v>
      </c>
      <c r="B230" s="26" t="n">
        <v>30605008805</v>
      </c>
      <c r="C230" s="30" t="inlineStr">
        <is>
          <t>蒸发皿</t>
        </is>
      </c>
      <c r="D230" s="141" t="inlineStr">
        <is>
          <t>瓷制，容量 250 mL，外径124mm，有嘴圆皿，耐受温度≥800 ℃</t>
        </is>
      </c>
      <c r="E230" s="31" t="n">
        <v>1</v>
      </c>
      <c r="F230" s="26" t="inlineStr">
        <is>
          <t>个</t>
        </is>
      </c>
      <c r="G230" s="31">
        <f>_xlfn.DISPIMG("ID_05AA46079CD84B98ADF9876070D49235",1)</f>
        <v/>
      </c>
      <c r="H230" s="220" t="n"/>
      <c r="I230" s="26" t="n">
        <v>30605008805</v>
      </c>
      <c r="J230" s="33" t="inlineStr">
        <is>
          <t>瓷制，容量 250 mL，外径124mm，有嘴圆皿，耐受温度≥800 ℃</t>
        </is>
      </c>
      <c r="K230" s="39" t="inlineStr">
        <is>
          <t>乐百仕</t>
        </is>
      </c>
      <c r="L230" s="39" t="inlineStr">
        <is>
          <t>江苏乐百仕教育科技有限公司</t>
        </is>
      </c>
      <c r="M230" s="345" t="n">
        <v>1</v>
      </c>
      <c r="N230" s="345" t="n">
        <v>2.8</v>
      </c>
      <c r="O230" s="345" t="n">
        <v>2.8</v>
      </c>
      <c r="P230" s="345" t="inlineStr">
        <is>
          <t>个</t>
        </is>
      </c>
      <c r="Q230" s="345" t="inlineStr"/>
      <c r="R230" s="345" t="inlineStr"/>
      <c r="S230" s="345" t="inlineStr"/>
      <c r="T230" s="345" t="inlineStr"/>
      <c r="U230" s="345" t="n">
        <v>3</v>
      </c>
      <c r="V230" s="345" t="inlineStr"/>
      <c r="W230" s="345" t="n">
        <v>4</v>
      </c>
      <c r="X230" s="345" t="inlineStr"/>
      <c r="Y230" s="345" t="inlineStr">
        <is>
          <t>confirmed</t>
        </is>
      </c>
      <c r="Z230" s="345" t="n">
        <v>100</v>
      </c>
      <c r="AA230" s="345" t="inlineStr"/>
      <c r="AB230" s="345" t="inlineStr">
        <is>
          <t>赛特尔25年.xls｜初中化学｜第180行</t>
        </is>
      </c>
    </row>
    <row r="231" customFormat="1" s="257">
      <c r="A231" s="323" t="n">
        <v>257</v>
      </c>
      <c r="B231" s="26" t="n">
        <v>30605008901</v>
      </c>
      <c r="C231" s="87" t="inlineStr">
        <is>
          <t>反应板</t>
        </is>
      </c>
      <c r="D231" s="141" t="inlineStr">
        <is>
          <t>白色陶瓷，6孔，表面有釉层，不会发生溶液渗透</t>
        </is>
      </c>
      <c r="E231" s="31" t="n">
        <v>25</v>
      </c>
      <c r="F231" s="26" t="inlineStr">
        <is>
          <t>个</t>
        </is>
      </c>
      <c r="G231" s="31">
        <f>_xlfn.DISPIMG("ID_193851AA0E0845008225CD5D6323CFA5",1)</f>
        <v/>
      </c>
      <c r="H231" s="330" t="n"/>
      <c r="I231" s="26" t="n">
        <v>30605008901</v>
      </c>
      <c r="J231" s="33" t="inlineStr">
        <is>
          <t>白色陶瓷，6孔，表面有釉层，不会发生溶液渗透</t>
        </is>
      </c>
      <c r="K231" s="39" t="inlineStr">
        <is>
          <t>乐百仕</t>
        </is>
      </c>
      <c r="L231" s="39" t="inlineStr">
        <is>
          <t>江苏乐百仕教育科技有限公司</t>
        </is>
      </c>
      <c r="M231" s="345" t="n">
        <v>25</v>
      </c>
      <c r="N231" s="345" t="n">
        <v>2.5</v>
      </c>
      <c r="O231" s="345" t="n">
        <v>62.5</v>
      </c>
      <c r="P231" s="345" t="inlineStr">
        <is>
          <t>个</t>
        </is>
      </c>
      <c r="Q231" s="345" t="inlineStr"/>
      <c r="R231" s="345" t="inlineStr"/>
      <c r="S231" s="345" t="inlineStr"/>
      <c r="T231" s="345" t="inlineStr"/>
      <c r="U231" s="345" t="n">
        <v>2.5</v>
      </c>
      <c r="V231" s="345" t="inlineStr"/>
      <c r="W231" s="345" t="n">
        <v>2.75</v>
      </c>
      <c r="X231" s="345" t="inlineStr"/>
      <c r="Y231" s="345" t="inlineStr">
        <is>
          <t>confirmed</t>
        </is>
      </c>
      <c r="Z231" s="345" t="n">
        <v>100</v>
      </c>
      <c r="AA231" s="345" t="inlineStr"/>
      <c r="AB231" s="345" t="inlineStr">
        <is>
          <t>赛特尔25年.xls｜初中新课标化学｜第168行</t>
        </is>
      </c>
    </row>
    <row r="232" customFormat="1" s="257">
      <c r="A232" s="323" t="n">
        <v>258</v>
      </c>
      <c r="B232" s="26" t="n">
        <v>30605009002</v>
      </c>
      <c r="C232" s="30" t="inlineStr">
        <is>
          <t>井穴板</t>
        </is>
      </c>
      <c r="D232" s="141" t="inlineStr">
        <is>
          <t>透明塑料，9 孔，每孔 0.7 mL，环保材料，可以重复使用</t>
        </is>
      </c>
      <c r="E232" s="31" t="n">
        <v>25</v>
      </c>
      <c r="F232" s="26" t="inlineStr">
        <is>
          <t>个</t>
        </is>
      </c>
      <c r="G232" s="31">
        <f>_xlfn.DISPIMG("ID_FDFED2F8710E443AAADB2A964838FF8F",1)</f>
        <v/>
      </c>
      <c r="H232" s="330" t="n"/>
      <c r="I232" s="26" t="n">
        <v>30605009002</v>
      </c>
      <c r="J232" s="33" t="inlineStr">
        <is>
          <t>透明塑料，9 孔，每孔 0.7 mL，环保材料，可以重复使用</t>
        </is>
      </c>
      <c r="K232" s="39" t="inlineStr">
        <is>
          <t>乐百仕</t>
        </is>
      </c>
      <c r="L232" s="39" t="inlineStr">
        <is>
          <t>江苏乐百仕教育科技有限公司</t>
        </is>
      </c>
      <c r="M232" s="345" t="n">
        <v>25</v>
      </c>
      <c r="N232" s="345" t="n">
        <v>1.3</v>
      </c>
      <c r="O232" s="345" t="n">
        <v>32.5</v>
      </c>
      <c r="P232" s="345" t="inlineStr">
        <is>
          <t>个</t>
        </is>
      </c>
      <c r="Q232" s="345" t="inlineStr"/>
      <c r="R232" s="345" t="inlineStr"/>
      <c r="S232" s="345" t="inlineStr"/>
      <c r="T232" s="345" t="inlineStr"/>
      <c r="U232" s="345" t="n">
        <v>1.3</v>
      </c>
      <c r="V232" s="345" t="inlineStr"/>
      <c r="W232" s="345" t="n">
        <v>1.43</v>
      </c>
      <c r="X232" s="345" t="inlineStr"/>
      <c r="Y232" s="345" t="inlineStr">
        <is>
          <t>confirmed</t>
        </is>
      </c>
      <c r="Z232" s="345" t="n">
        <v>100</v>
      </c>
      <c r="AA232" s="345" t="inlineStr"/>
      <c r="AB232" s="345" t="inlineStr">
        <is>
          <t>赛特尔25年.xls｜初中化学｜第183行</t>
        </is>
      </c>
    </row>
    <row r="233" customFormat="1" s="257">
      <c r="A233" s="323" t="n">
        <v>259</v>
      </c>
      <c r="B233" s="26" t="n">
        <v>30605009011</v>
      </c>
      <c r="C233" s="30" t="inlineStr">
        <is>
          <t>井穴板</t>
        </is>
      </c>
      <c r="D233" s="141" t="inlineStr">
        <is>
          <t>透明塑料，6 孔，每孔 5 mL，配 6 个双导气管的井穴塞，可以重复使用</t>
        </is>
      </c>
      <c r="E233" s="31" t="n">
        <v>25</v>
      </c>
      <c r="F233" s="26" t="inlineStr">
        <is>
          <t>个</t>
        </is>
      </c>
      <c r="G233" s="31">
        <f>_xlfn.DISPIMG("ID_F3A0B01B04CA43F7B695E91E947DD012",1)</f>
        <v/>
      </c>
      <c r="H233" s="330" t="n"/>
      <c r="I233" s="26" t="n">
        <v>30605009011</v>
      </c>
      <c r="J233" s="33" t="inlineStr">
        <is>
          <t>透明塑料，6 孔，每孔 5 mL，配 6 个双导气管的井穴塞，可以重复使用</t>
        </is>
      </c>
      <c r="K233" s="39" t="inlineStr">
        <is>
          <t>乐百仕</t>
        </is>
      </c>
      <c r="L233" s="39" t="inlineStr">
        <is>
          <t>江苏乐百仕教育科技有限公司</t>
        </is>
      </c>
      <c r="M233" s="345" t="n">
        <v>25</v>
      </c>
      <c r="N233" s="345" t="n">
        <v>1.3</v>
      </c>
      <c r="O233" s="345" t="n">
        <v>32.5</v>
      </c>
      <c r="P233" s="345" t="inlineStr">
        <is>
          <t>个</t>
        </is>
      </c>
      <c r="Q233" s="345" t="inlineStr"/>
      <c r="R233" s="345" t="inlineStr"/>
      <c r="S233" s="345" t="inlineStr"/>
      <c r="T233" s="345" t="inlineStr"/>
      <c r="U233" s="345" t="n">
        <v>1.3</v>
      </c>
      <c r="V233" s="345" t="inlineStr"/>
      <c r="W233" s="345" t="n">
        <v>1.43</v>
      </c>
      <c r="X233" s="345" t="inlineStr"/>
      <c r="Y233" s="345" t="inlineStr">
        <is>
          <t>confirmed</t>
        </is>
      </c>
      <c r="Z233" s="345" t="n">
        <v>100</v>
      </c>
      <c r="AA233" s="345" t="inlineStr"/>
      <c r="AB233" s="345" t="inlineStr">
        <is>
          <t>赛特尔25年.xls｜初中化学｜第183行</t>
        </is>
      </c>
    </row>
    <row r="234" customFormat="1" s="257">
      <c r="A234" s="323" t="n">
        <v>260</v>
      </c>
      <c r="B234" s="26" t="n">
        <v>30605009102</v>
      </c>
      <c r="C234" s="87" t="inlineStr">
        <is>
          <t>塑料多用滴管</t>
        </is>
      </c>
      <c r="D234" s="141" t="inlineStr">
        <is>
          <t>弹性圆筒形吸泡和一根Φ1 mm×120 mm 的径管连接而成，容积 4 mL，弹性好</t>
        </is>
      </c>
      <c r="E234" s="31" t="n">
        <v>100</v>
      </c>
      <c r="F234" s="26" t="inlineStr">
        <is>
          <t>个</t>
        </is>
      </c>
      <c r="G234" s="31">
        <f>_xlfn.DISPIMG("ID_DDF168EFA3FB4CCB93E9B17FC2F1EF6B",1)</f>
        <v/>
      </c>
      <c r="H234" s="330" t="n"/>
      <c r="I234" s="26" t="n">
        <v>30605009102</v>
      </c>
      <c r="J234" s="33" t="inlineStr">
        <is>
          <t>弹性圆筒形吸泡和一根Φ1 mm×120 mm 的径管连接而成，容积 4 mL，弹性好</t>
        </is>
      </c>
      <c r="K234" s="39" t="inlineStr">
        <is>
          <t>乐百仕</t>
        </is>
      </c>
      <c r="L234" s="39" t="inlineStr">
        <is>
          <t>江苏乐百仕教育科技有限公司</t>
        </is>
      </c>
      <c r="M234" s="345" t="n">
        <v>100</v>
      </c>
      <c r="N234" s="345" t="n">
        <v>1</v>
      </c>
      <c r="O234" s="345" t="n">
        <v>100</v>
      </c>
      <c r="P234" s="345" t="inlineStr">
        <is>
          <t>个</t>
        </is>
      </c>
      <c r="Q234" s="345" t="inlineStr"/>
      <c r="R234" s="345" t="inlineStr"/>
      <c r="S234" s="345" t="inlineStr"/>
      <c r="T234" s="345" t="inlineStr"/>
      <c r="U234" s="345" t="n">
        <v>5</v>
      </c>
      <c r="V234" s="345" t="inlineStr"/>
      <c r="W234" s="345" t="n">
        <v>5</v>
      </c>
      <c r="X234" s="345" t="inlineStr"/>
      <c r="Y234" s="345" t="inlineStr">
        <is>
          <t>confirmed</t>
        </is>
      </c>
      <c r="Z234" s="345" t="n">
        <v>72.7</v>
      </c>
      <c r="AA234" s="345" t="inlineStr">
        <is>
          <t>价格分歧&gt;30%：历史报价分歧较大，需人工核对；同分多价：最高分候选存在不同历史价格</t>
        </is>
      </c>
      <c r="AB234" s="345" t="inlineStr">
        <is>
          <t>赛特尔25年.xls｜小学科学｜第166行</t>
        </is>
      </c>
    </row>
    <row r="235" customFormat="1" s="257">
      <c r="A235" s="323" t="n">
        <v>261</v>
      </c>
      <c r="B235" s="26" t="n">
        <v>30199009001</v>
      </c>
      <c r="C235" s="87" t="inlineStr">
        <is>
          <t>塑料洗瓶</t>
        </is>
      </c>
      <c r="D235" s="141" t="inlineStr">
        <is>
          <t>250mL或500mL，水嘴略向下倾斜，口径1 mm～2mm，瓶口紧实不漏气</t>
        </is>
      </c>
      <c r="E235" s="31" t="n">
        <v>25</v>
      </c>
      <c r="F235" s="26" t="inlineStr">
        <is>
          <t>个</t>
        </is>
      </c>
      <c r="G235" s="31">
        <f>_xlfn.DISPIMG("ID_E5C2055460C846F5B1D0825F1C58C0E1",1)</f>
        <v/>
      </c>
      <c r="H235" s="330" t="n"/>
      <c r="I235" s="26" t="n">
        <v>30199009001</v>
      </c>
      <c r="J235" s="33" t="inlineStr">
        <is>
          <t>250mL，水嘴略向下倾斜，口径1 mm～2mm，瓶口紧实不漏气</t>
        </is>
      </c>
      <c r="K235" s="39" t="inlineStr">
        <is>
          <t>乐百仕</t>
        </is>
      </c>
      <c r="L235" s="39" t="inlineStr">
        <is>
          <t>江苏乐百仕教育科技有限公司</t>
        </is>
      </c>
      <c r="M235" s="345" t="n">
        <v>25</v>
      </c>
      <c r="N235" s="345" t="n">
        <v>4.5</v>
      </c>
      <c r="O235" s="345" t="n">
        <v>112.5</v>
      </c>
      <c r="P235" s="345" t="inlineStr">
        <is>
          <t>个</t>
        </is>
      </c>
      <c r="Q235" s="345" t="inlineStr"/>
      <c r="R235" s="345" t="inlineStr"/>
      <c r="S235" s="345" t="inlineStr"/>
      <c r="T235" s="345" t="inlineStr"/>
      <c r="U235" s="345" t="n">
        <v>6</v>
      </c>
      <c r="V235" s="345" t="inlineStr"/>
      <c r="W235" s="345" t="n">
        <v>30</v>
      </c>
      <c r="X235" s="345" t="inlineStr"/>
      <c r="Y235" s="345" t="inlineStr">
        <is>
          <t>confirmed</t>
        </is>
      </c>
      <c r="Z235" s="345" t="n">
        <v>100</v>
      </c>
      <c r="AA235" s="345" t="inlineStr">
        <is>
          <t>价格分歧&gt;30%：历史报价分歧较大，需人工核对；同分多价：最高分候选存在不同历史价格</t>
        </is>
      </c>
      <c r="AB235" s="345" t="inlineStr">
        <is>
          <t>赛特尔25年.xls｜初中化学｜第19行</t>
        </is>
      </c>
    </row>
    <row r="236" customFormat="1" s="257">
      <c r="A236" s="323" t="n">
        <v>262</v>
      </c>
      <c r="B236" s="26" t="n">
        <v>30199009301</v>
      </c>
      <c r="C236" s="87" t="inlineStr">
        <is>
          <t>透明塑料水槽</t>
        </is>
      </c>
      <c r="D236" s="141" t="inlineStr">
        <is>
          <t>250 mm×180 mm×100 mm</t>
        </is>
      </c>
      <c r="E236" s="31" t="n">
        <v>25</v>
      </c>
      <c r="F236" s="26" t="inlineStr">
        <is>
          <t>个</t>
        </is>
      </c>
      <c r="G236" s="31">
        <f>_xlfn.DISPIMG("ID_64D5841A65584854A9814B82C790F3CB",1)</f>
        <v/>
      </c>
      <c r="H236" s="330" t="n"/>
      <c r="I236" s="26" t="n">
        <v>30199009301</v>
      </c>
      <c r="J236" s="33" t="inlineStr">
        <is>
          <t>250 mm×180 mm×100 mm</t>
        </is>
      </c>
      <c r="K236" s="39" t="inlineStr">
        <is>
          <t>乐百仕</t>
        </is>
      </c>
      <c r="L236" s="39" t="inlineStr">
        <is>
          <t>江苏乐百仕教育科技有限公司</t>
        </is>
      </c>
      <c r="M236" s="345" t="n">
        <v>25</v>
      </c>
      <c r="N236" s="345" t="n">
        <v>11</v>
      </c>
      <c r="O236" s="345" t="n">
        <v>275</v>
      </c>
      <c r="P236" s="345" t="inlineStr">
        <is>
          <t>个</t>
        </is>
      </c>
      <c r="Q236" s="345" t="inlineStr"/>
      <c r="R236" s="345" t="inlineStr"/>
      <c r="S236" s="345" t="inlineStr"/>
      <c r="T236" s="345" t="inlineStr"/>
      <c r="U236" s="345" t="n">
        <v>12</v>
      </c>
      <c r="V236" s="345" t="inlineStr"/>
      <c r="W236" s="345" t="n">
        <v>13</v>
      </c>
      <c r="X236" s="345" t="inlineStr"/>
      <c r="Y236" s="345" t="inlineStr">
        <is>
          <t>confirmed</t>
        </is>
      </c>
      <c r="Z236" s="345" t="n">
        <v>100</v>
      </c>
      <c r="AA236" s="345" t="inlineStr">
        <is>
          <t>同分多价：最高分候选存在不同历史价格</t>
        </is>
      </c>
      <c r="AB236" s="345" t="inlineStr">
        <is>
          <t>赛特尔25年.xls｜初中新课标化学｜第173行</t>
        </is>
      </c>
    </row>
    <row r="237" customFormat="1" s="195">
      <c r="A237" s="323" t="n">
        <v>263</v>
      </c>
      <c r="B237" s="26" t="n">
        <v>30605012103</v>
      </c>
      <c r="C237" s="30" t="inlineStr">
        <is>
          <t>集气瓶挂扣器</t>
        </is>
      </c>
      <c r="D237" s="141" t="inlineStr">
        <is>
          <t>适合 125 mL 集气瓶，塑料制</t>
        </is>
      </c>
      <c r="E237" s="31" t="n">
        <v>25</v>
      </c>
      <c r="F237" s="26" t="inlineStr">
        <is>
          <t>个</t>
        </is>
      </c>
      <c r="G237" s="31">
        <f>_xlfn.DISPIMG("ID_867F37441EDB4C3B9FFD74DF548D4017",1)</f>
        <v/>
      </c>
      <c r="H237" s="220" t="n"/>
      <c r="I237" s="26" t="n">
        <v>30605012103</v>
      </c>
      <c r="J237" s="33" t="inlineStr">
        <is>
          <t>适合 125 mL 集气瓶，塑料制</t>
        </is>
      </c>
      <c r="K237" s="39" t="inlineStr">
        <is>
          <t>乐百仕</t>
        </is>
      </c>
      <c r="L237" s="39" t="inlineStr">
        <is>
          <t>江苏乐百仕教育科技有限公司</t>
        </is>
      </c>
      <c r="M237" s="345" t="n">
        <v>25</v>
      </c>
      <c r="N237" s="345" t="n">
        <v>3</v>
      </c>
      <c r="O237" s="345" t="n">
        <v>75</v>
      </c>
      <c r="P237" s="345" t="inlineStr">
        <is>
          <t>个</t>
        </is>
      </c>
      <c r="Q237" s="345" t="inlineStr"/>
      <c r="R237" s="345" t="inlineStr"/>
      <c r="S237" s="345" t="inlineStr"/>
      <c r="T237" s="345" t="inlineStr"/>
      <c r="U237" s="345" t="n">
        <v>4</v>
      </c>
      <c r="V237" s="345" t="inlineStr"/>
      <c r="W237" s="345" t="n">
        <v>8</v>
      </c>
      <c r="X237" s="345" t="inlineStr"/>
      <c r="Y237" s="345" t="inlineStr">
        <is>
          <t>confirmed</t>
        </is>
      </c>
      <c r="Z237" s="345" t="n">
        <v>100</v>
      </c>
      <c r="AA237" s="345" t="inlineStr">
        <is>
          <t>价格分歧&gt;30%：历史报价分歧较大，需人工核对；同分多价：最高分候选存在不同历史价格</t>
        </is>
      </c>
      <c r="AB237" s="345" t="inlineStr">
        <is>
          <t>赛特尔25年.xls｜初中新课标化学｜第90行</t>
        </is>
      </c>
    </row>
    <row r="238" customFormat="1" s="195">
      <c r="A238" s="323" t="n">
        <v>264</v>
      </c>
      <c r="B238" s="26" t="n">
        <v>30605012104</v>
      </c>
      <c r="C238" s="30" t="inlineStr">
        <is>
          <t>集气瓶挂扣器</t>
        </is>
      </c>
      <c r="D238" s="141" t="inlineStr">
        <is>
          <t>适合 250 mL 集气瓶，塑料制</t>
        </is>
      </c>
      <c r="E238" s="31" t="n">
        <v>1</v>
      </c>
      <c r="F238" s="26" t="inlineStr">
        <is>
          <t>个</t>
        </is>
      </c>
      <c r="G238" s="31">
        <f>_xlfn.DISPIMG("ID_FD6014669BB1486BB8E9D27A8A5E6941",1)</f>
        <v/>
      </c>
      <c r="H238" s="220" t="n"/>
      <c r="I238" s="26" t="n">
        <v>30605012104</v>
      </c>
      <c r="J238" s="33" t="inlineStr">
        <is>
          <t>适合 250 mL 集气瓶，塑料制</t>
        </is>
      </c>
      <c r="K238" s="39" t="inlineStr">
        <is>
          <t>乐百仕</t>
        </is>
      </c>
      <c r="L238" s="39" t="inlineStr">
        <is>
          <t>江苏乐百仕教育科技有限公司</t>
        </is>
      </c>
      <c r="M238" s="345" t="n">
        <v>1</v>
      </c>
      <c r="N238" s="345" t="n">
        <v>3</v>
      </c>
      <c r="O238" s="345" t="n">
        <v>3</v>
      </c>
      <c r="P238" s="345" t="inlineStr">
        <is>
          <t>个</t>
        </is>
      </c>
      <c r="Q238" s="345" t="inlineStr"/>
      <c r="R238" s="345" t="inlineStr"/>
      <c r="S238" s="345" t="inlineStr"/>
      <c r="T238" s="345" t="inlineStr"/>
      <c r="U238" s="345" t="n">
        <v>4</v>
      </c>
      <c r="V238" s="345" t="inlineStr"/>
      <c r="W238" s="345" t="n">
        <v>8</v>
      </c>
      <c r="X238" s="345" t="inlineStr"/>
      <c r="Y238" s="345" t="inlineStr">
        <is>
          <t>confirmed</t>
        </is>
      </c>
      <c r="Z238" s="345" t="n">
        <v>100</v>
      </c>
      <c r="AA238" s="345" t="inlineStr">
        <is>
          <t>价格分歧&gt;30%：历史报价分歧较大，需人工核对；同分多价：最高分候选存在不同历史价格</t>
        </is>
      </c>
      <c r="AB238" s="345" t="inlineStr">
        <is>
          <t>赛特尔25年.xls｜初中新课标化学｜第90行</t>
        </is>
      </c>
    </row>
    <row r="239" customFormat="1" s="257">
      <c r="A239" s="323" t="n">
        <v>265</v>
      </c>
      <c r="B239" s="26" t="n">
        <v>40206010204</v>
      </c>
      <c r="C239" s="30" t="inlineStr">
        <is>
          <t>注射器</t>
        </is>
      </c>
      <c r="D239" s="141" t="inlineStr">
        <is>
          <t>10mL，塑料制，符合医用器具卫生标准</t>
        </is>
      </c>
      <c r="E239" s="31" t="n">
        <v>25</v>
      </c>
      <c r="F239" s="26" t="inlineStr">
        <is>
          <t>只</t>
        </is>
      </c>
      <c r="G239" s="31">
        <f>_xlfn.DISPIMG("ID_D6660B7C0C5847F6B3495EF78DDDA5FE",1)</f>
        <v/>
      </c>
      <c r="H239" s="330" t="n"/>
      <c r="I239" s="26" t="n">
        <v>40206010204</v>
      </c>
      <c r="J239" s="33" t="inlineStr">
        <is>
          <t>10mL，塑料制，符合医用器具卫生标准</t>
        </is>
      </c>
      <c r="K239" s="37" t="inlineStr">
        <is>
          <t>和美</t>
        </is>
      </c>
      <c r="L239" s="357" t="inlineStr">
        <is>
          <t>江苏和美电子科技有限公司</t>
        </is>
      </c>
      <c r="M239" s="345" t="n">
        <v>25</v>
      </c>
      <c r="N239" s="345" t="n">
        <v>1</v>
      </c>
      <c r="O239" s="345" t="n">
        <v>25</v>
      </c>
      <c r="P239" s="345" t="inlineStr">
        <is>
          <t>只</t>
        </is>
      </c>
      <c r="Q239" s="345" t="inlineStr"/>
      <c r="R239" s="345" t="inlineStr"/>
      <c r="S239" s="345" t="inlineStr"/>
      <c r="T239" s="345" t="inlineStr"/>
      <c r="U239" s="345" t="n">
        <v>1</v>
      </c>
      <c r="V239" s="345" t="inlineStr"/>
      <c r="W239" s="345" t="n">
        <v>1.1</v>
      </c>
      <c r="X239" s="345" t="inlineStr"/>
      <c r="Y239" s="345" t="inlineStr">
        <is>
          <t>confirmed</t>
        </is>
      </c>
      <c r="Z239" s="345" t="n">
        <v>100</v>
      </c>
      <c r="AA239" s="345" t="inlineStr"/>
      <c r="AB239" s="345" t="inlineStr">
        <is>
          <t>赛特尔25年.xls｜初中新课标化学｜第177行</t>
        </is>
      </c>
    </row>
    <row r="240" customFormat="1" s="257">
      <c r="A240" s="323" t="n">
        <v>266</v>
      </c>
      <c r="B240" s="26" t="n">
        <v>40206010216</v>
      </c>
      <c r="C240" s="30" t="inlineStr">
        <is>
          <t>注射器</t>
        </is>
      </c>
      <c r="D240" s="141" t="inlineStr">
        <is>
          <t xml:space="preserve"> 50 mL，玻璃制</t>
        </is>
      </c>
      <c r="E240" s="31" t="n">
        <v>25</v>
      </c>
      <c r="F240" s="26" t="inlineStr">
        <is>
          <t>只</t>
        </is>
      </c>
      <c r="G240" s="31">
        <f>_xlfn.DISPIMG("ID_F0F3E712F2EF49DF9C6226815E5E6C2E",1)</f>
        <v/>
      </c>
      <c r="H240" s="330" t="n"/>
      <c r="I240" s="26" t="n">
        <v>40206010216</v>
      </c>
      <c r="J240" s="33" t="inlineStr">
        <is>
          <t xml:space="preserve"> 50 mL，玻璃制</t>
        </is>
      </c>
      <c r="K240" s="39" t="inlineStr">
        <is>
          <t>乐百仕</t>
        </is>
      </c>
      <c r="L240" s="39" t="inlineStr">
        <is>
          <t>江苏乐百仕教育科技有限公司</t>
        </is>
      </c>
      <c r="M240" s="345" t="n">
        <v>25</v>
      </c>
      <c r="N240" s="345" t="n">
        <v>1</v>
      </c>
      <c r="O240" s="345" t="n">
        <v>25</v>
      </c>
      <c r="P240" s="345" t="inlineStr">
        <is>
          <t>只</t>
        </is>
      </c>
      <c r="Q240" s="345" t="inlineStr"/>
      <c r="R240" s="345" t="inlineStr"/>
      <c r="S240" s="345" t="inlineStr"/>
      <c r="T240" s="345" t="inlineStr"/>
      <c r="U240" s="345" t="n">
        <v>1</v>
      </c>
      <c r="V240" s="345" t="inlineStr"/>
      <c r="W240" s="345" t="n">
        <v>1.1</v>
      </c>
      <c r="X240" s="345" t="inlineStr"/>
      <c r="Y240" s="345" t="inlineStr">
        <is>
          <t>confirmed</t>
        </is>
      </c>
      <c r="Z240" s="345" t="n">
        <v>100</v>
      </c>
      <c r="AA240" s="345" t="inlineStr"/>
      <c r="AB240" s="345" t="inlineStr">
        <is>
          <t>赛特尔25年.xls｜初中新课标化学｜第177行</t>
        </is>
      </c>
    </row>
    <row r="241" customFormat="1" s="257">
      <c r="A241" s="323" t="n">
        <v>267</v>
      </c>
      <c r="B241" s="348" t="n">
        <v>30605009801</v>
      </c>
      <c r="C241" s="114" t="inlineStr">
        <is>
          <t>铂丝</t>
        </is>
      </c>
      <c r="D241" s="239" t="inlineStr">
        <is>
          <t>Φ0.5 mm×50 mm；具金属柄，可拆卸</t>
        </is>
      </c>
      <c r="E241" s="31" t="n">
        <v>1</v>
      </c>
      <c r="F241" s="26" t="inlineStr">
        <is>
          <t>支</t>
        </is>
      </c>
      <c r="G241" s="31">
        <f>_xlfn.DISPIMG("ID_4AFC68CC184F4EF2A9C757E4D87B2FA6",1)</f>
        <v/>
      </c>
      <c r="H241" s="330" t="n"/>
      <c r="I241" s="348" t="n">
        <v>30605009801</v>
      </c>
      <c r="J241" s="164" t="inlineStr">
        <is>
          <t>Φ0.5 mm×50 mm；具金属柄，可拆卸</t>
        </is>
      </c>
      <c r="K241" s="39" t="inlineStr">
        <is>
          <t>乐百仕</t>
        </is>
      </c>
      <c r="L241" s="39" t="inlineStr">
        <is>
          <t>江苏乐百仕教育科技有限公司</t>
        </is>
      </c>
      <c r="M241" s="345" t="n">
        <v>1</v>
      </c>
      <c r="N241" s="345" t="n">
        <v>0.03</v>
      </c>
      <c r="O241" s="345" t="n">
        <v>0.03</v>
      </c>
      <c r="P241" s="345" t="inlineStr">
        <is>
          <t>支</t>
        </is>
      </c>
      <c r="Q241" s="345" t="inlineStr"/>
      <c r="R241" s="345" t="inlineStr"/>
      <c r="S241" s="345" t="inlineStr"/>
      <c r="T241" s="345" t="inlineStr">
        <is>
          <t>标准</t>
        </is>
      </c>
      <c r="U241" s="345" t="inlineStr"/>
      <c r="V241" s="345" t="inlineStr"/>
      <c r="W241" s="345" t="inlineStr"/>
      <c r="X241" s="345" t="inlineStr"/>
      <c r="Y241" s="345" t="inlineStr">
        <is>
          <t>confirmed</t>
        </is>
      </c>
      <c r="Z241" s="345" t="n">
        <v>0</v>
      </c>
      <c r="AA241" s="345" t="inlineStr">
        <is>
          <t>匹配到商品档案但无历史价格记录</t>
        </is>
      </c>
      <c r="AB241" s="345" t="inlineStr">
        <is>
          <t>赛特尔25年.xls｜初中化学｜第190行</t>
        </is>
      </c>
    </row>
    <row r="242" customFormat="1" s="257">
      <c r="A242" s="323" t="n">
        <v>268</v>
      </c>
      <c r="B242" s="26" t="n">
        <v>30199008201</v>
      </c>
      <c r="C242" s="87" t="inlineStr">
        <is>
          <t>水浴锅</t>
        </is>
      </c>
      <c r="D242" s="105" t="inlineStr">
        <is>
          <t>铜制，水浴控温范围 5 ℃～99.9 ℃，水温控制±0.5 ℃，不锈钢内胆，数字显示</t>
        </is>
      </c>
      <c r="E242" s="67" t="n">
        <v>1</v>
      </c>
      <c r="F242" s="106" t="inlineStr">
        <is>
          <t>台</t>
        </is>
      </c>
      <c r="G242" s="107">
        <f>_xlfn.DISPIMG("ID_80BF8279273B488C8559487931970627",1)</f>
        <v/>
      </c>
      <c r="H242" s="330" t="n"/>
      <c r="I242" s="26" t="n">
        <v>30199008201</v>
      </c>
      <c r="J242" s="109" t="inlineStr">
        <is>
          <t>铜制，水浴控温范围 5 ℃～99.9 ℃，水温控制±0.5 ℃，不锈钢内胆，数字显示</t>
        </is>
      </c>
      <c r="K242" s="39" t="inlineStr">
        <is>
          <t>乐百仕</t>
        </is>
      </c>
      <c r="L242" s="39" t="inlineStr">
        <is>
          <t>江苏乐百仕教育科技有限公司</t>
        </is>
      </c>
      <c r="M242" s="345" t="n">
        <v>1</v>
      </c>
      <c r="N242" s="345" t="n">
        <v>260</v>
      </c>
      <c r="O242" s="345" t="n">
        <v>260</v>
      </c>
      <c r="P242" s="345" t="inlineStr">
        <is>
          <t>台</t>
        </is>
      </c>
      <c r="Q242" s="345" t="inlineStr">
        <is>
          <t>群信</t>
        </is>
      </c>
      <c r="R242" s="345" t="inlineStr"/>
      <c r="S242" s="345" t="inlineStr"/>
      <c r="T242" s="345" t="inlineStr">
        <is>
          <t>02094</t>
        </is>
      </c>
      <c r="U242" s="345" t="inlineStr"/>
      <c r="V242" s="345" t="inlineStr"/>
      <c r="W242" s="345" t="inlineStr"/>
      <c r="X242" s="345" t="inlineStr"/>
      <c r="Y242" s="345" t="inlineStr">
        <is>
          <t>confirmed</t>
        </is>
      </c>
      <c r="Z242" s="345" t="n">
        <v>0</v>
      </c>
      <c r="AA242" s="345" t="inlineStr">
        <is>
          <t>没有找到可靠候选</t>
        </is>
      </c>
      <c r="AB242" s="345" t="inlineStr">
        <is>
          <t>高中理化生报价.xlsx｜凯迪｜第854行</t>
        </is>
      </c>
    </row>
    <row r="243" customFormat="1" s="257">
      <c r="A243" s="323" t="n">
        <v>269</v>
      </c>
      <c r="B243" s="26" t="n">
        <v>30199006702</v>
      </c>
      <c r="C243" s="87" t="inlineStr">
        <is>
          <t>酒精喷灯</t>
        </is>
      </c>
      <c r="D243" s="141" t="inlineStr">
        <is>
          <t>座式，铜制，壶体容积≥300 mL，火焰温度≥800 ℃</t>
        </is>
      </c>
      <c r="E243" s="31" t="n">
        <v>1</v>
      </c>
      <c r="F243" s="26" t="inlineStr">
        <is>
          <t>个</t>
        </is>
      </c>
      <c r="G243" s="31">
        <f>_xlfn.DISPIMG("ID_F635BA50556546E0965284C462838270",1)</f>
        <v/>
      </c>
      <c r="H243" s="330" t="n"/>
      <c r="I243" s="26" t="n">
        <v>30199006702</v>
      </c>
      <c r="J243" s="33" t="inlineStr">
        <is>
          <t>座式，铜制，壶体容积≥300 mL，火焰温度≥800 ℃</t>
        </is>
      </c>
      <c r="K243" s="39" t="inlineStr">
        <is>
          <t>乐百仕</t>
        </is>
      </c>
      <c r="L243" s="39" t="inlineStr">
        <is>
          <t>江苏乐百仕教育科技有限公司</t>
        </is>
      </c>
      <c r="M243" s="345" t="n">
        <v>1</v>
      </c>
      <c r="N243" s="345" t="n">
        <v>0.02</v>
      </c>
      <c r="O243" s="345" t="n">
        <v>0.02</v>
      </c>
      <c r="P243" s="345" t="inlineStr">
        <is>
          <t>个</t>
        </is>
      </c>
      <c r="Q243" s="345" t="inlineStr"/>
      <c r="R243" s="345" t="inlineStr"/>
      <c r="S243" s="345" t="inlineStr"/>
      <c r="T243" s="345" t="inlineStr">
        <is>
          <t>工业</t>
        </is>
      </c>
      <c r="U243" s="345" t="inlineStr"/>
      <c r="V243" s="345" t="inlineStr"/>
      <c r="W243" s="345" t="inlineStr"/>
      <c r="X243" s="345" t="inlineStr"/>
      <c r="Y243" s="345" t="inlineStr">
        <is>
          <t>confirmed</t>
        </is>
      </c>
      <c r="Z243" s="345" t="n">
        <v>0</v>
      </c>
      <c r="AA243" s="345" t="inlineStr">
        <is>
          <t>没有找到可靠候选</t>
        </is>
      </c>
      <c r="AB243" s="345" t="inlineStr">
        <is>
          <t>赛特尔25年.xls｜初中物理｜第311行</t>
        </is>
      </c>
    </row>
    <row r="244" customFormat="1" s="257">
      <c r="A244" s="323" t="n">
        <v>271</v>
      </c>
      <c r="B244" s="26" t="n">
        <v>30308000401</v>
      </c>
      <c r="C244" s="87" t="inlineStr">
        <is>
          <t>储气装置</t>
        </is>
      </c>
      <c r="D244" s="141" t="inlineStr">
        <is>
          <t>容积≥2 L</t>
        </is>
      </c>
      <c r="E244" s="31" t="n">
        <v>1</v>
      </c>
      <c r="F244" s="26" t="inlineStr">
        <is>
          <t>台</t>
        </is>
      </c>
      <c r="G244" s="31">
        <f>_xlfn.DISPIMG("ID_6DA2B6DA19094523BC25C97F94631681",1)</f>
        <v/>
      </c>
      <c r="H244" s="330" t="n"/>
      <c r="I244" s="26" t="n">
        <v>30308000401</v>
      </c>
      <c r="J244" s="33" t="inlineStr">
        <is>
          <t>容积≥2 L</t>
        </is>
      </c>
      <c r="K244" s="39" t="inlineStr">
        <is>
          <t>乐百仕</t>
        </is>
      </c>
      <c r="L244" s="39" t="inlineStr">
        <is>
          <t>江苏乐百仕教育科技有限公司</t>
        </is>
      </c>
      <c r="M244" s="345" t="n">
        <v>1</v>
      </c>
      <c r="N244" s="345" t="n">
        <v>40</v>
      </c>
      <c r="O244" s="345" t="n">
        <v>40</v>
      </c>
      <c r="P244" s="345" t="inlineStr">
        <is>
          <t>台</t>
        </is>
      </c>
      <c r="Q244" s="345" t="inlineStr"/>
      <c r="R244" s="345" t="inlineStr"/>
      <c r="S244" s="345" t="inlineStr"/>
      <c r="T244" s="345" t="inlineStr"/>
      <c r="U244" s="345" t="n">
        <v>40</v>
      </c>
      <c r="V244" s="345" t="inlineStr"/>
      <c r="W244" s="345" t="n">
        <v>44</v>
      </c>
      <c r="X244" s="345" t="inlineStr"/>
      <c r="Y244" s="345" t="inlineStr">
        <is>
          <t>confirmed</t>
        </is>
      </c>
      <c r="Z244" s="345" t="n">
        <v>75</v>
      </c>
      <c r="AA244" s="345" t="inlineStr"/>
      <c r="AB244" s="345" t="inlineStr">
        <is>
          <t>赛特尔25年.xls｜初中新课标化学｜第180行</t>
        </is>
      </c>
    </row>
    <row r="245" customFormat="1" s="195">
      <c r="A245" s="323" t="n">
        <v>273</v>
      </c>
      <c r="B245" s="26" t="n">
        <v>30808000201</v>
      </c>
      <c r="C245" s="87" t="inlineStr">
        <is>
          <t>高中化学实验材料</t>
        </is>
      </c>
      <c r="D245" s="141" t="inlineStr">
        <is>
          <t>含小刀、棉花、木炭、木板、火柴、蜡烛、焊锡、炭棒、导线、开关、电灯泡、聚光小手电筒、电池、电珠、砂纸、电极材料（石墨、铜、锌、镁、铁、锡等电极）等</t>
        </is>
      </c>
      <c r="E245" s="31" t="n">
        <v>25</v>
      </c>
      <c r="F245" s="26" t="inlineStr">
        <is>
          <t>套</t>
        </is>
      </c>
      <c r="G245" s="31" t="n"/>
      <c r="H245" s="220" t="n"/>
      <c r="I245" s="26" t="n">
        <v>30808000201</v>
      </c>
      <c r="J245" s="33" t="inlineStr">
        <is>
          <t>含小刀、棉花、木炭、木板、火柴、蜡烛、焊锡、炭棒、导线、开关、电灯泡、聚光小手电筒、电池、电珠、砂纸、电极材料（石墨、铜、锌、镁、铁、锡等电极）等</t>
        </is>
      </c>
      <c r="K245" s="39" t="inlineStr">
        <is>
          <t>乐百仕</t>
        </is>
      </c>
      <c r="L245" s="39" t="inlineStr">
        <is>
          <t>江苏乐百仕教育科技有限公司</t>
        </is>
      </c>
      <c r="M245" s="345" t="n">
        <v>25</v>
      </c>
      <c r="N245" s="345" t="n">
        <v>35</v>
      </c>
      <c r="O245" s="345" t="n">
        <v>875</v>
      </c>
      <c r="P245" s="345" t="inlineStr">
        <is>
          <t>套</t>
        </is>
      </c>
      <c r="Q245" s="345" t="inlineStr">
        <is>
          <t>群信</t>
        </is>
      </c>
      <c r="R245" s="345" t="inlineStr"/>
      <c r="S245" s="345" t="inlineStr"/>
      <c r="T245" s="345" t="inlineStr">
        <is>
          <t>80202</t>
        </is>
      </c>
      <c r="U245" s="345" t="inlineStr"/>
      <c r="V245" s="345" t="inlineStr"/>
      <c r="W245" s="345" t="inlineStr"/>
      <c r="X245" s="345" t="inlineStr"/>
      <c r="Y245" s="345" t="inlineStr">
        <is>
          <t>confirmed</t>
        </is>
      </c>
      <c r="Z245" s="345" t="n">
        <v>0</v>
      </c>
      <c r="AA245" s="345" t="inlineStr">
        <is>
          <t>匹配到商品档案但无历史价格记录</t>
        </is>
      </c>
      <c r="AB245" s="345" t="inlineStr">
        <is>
          <t>高中理化生报价.xlsx｜凯迪｜第1109行</t>
        </is>
      </c>
    </row>
    <row r="246" customFormat="1" s="195">
      <c r="A246" s="323" t="n">
        <v>274</v>
      </c>
      <c r="B246" s="240" t="n">
        <v>30701000141</v>
      </c>
      <c r="C246" s="241" t="inlineStr">
        <is>
          <t>铝条</t>
        </is>
      </c>
      <c r="D246" s="242" t="n"/>
      <c r="E246" s="34" t="n">
        <v>500</v>
      </c>
      <c r="F246" s="240" t="inlineStr">
        <is>
          <t>g</t>
        </is>
      </c>
      <c r="G246" s="31" t="n"/>
      <c r="H246" s="220" t="n"/>
      <c r="I246" s="34" t="n">
        <v>30701000141</v>
      </c>
      <c r="J246" s="40" t="inlineStr">
        <is>
          <t>符合教学要求</t>
        </is>
      </c>
      <c r="K246" s="39" t="inlineStr">
        <is>
          <t>良师</t>
        </is>
      </c>
      <c r="L246" s="39" t="inlineStr">
        <is>
          <t>义乌市教学仪器有限公司</t>
        </is>
      </c>
      <c r="M246" s="345" t="n">
        <v>500</v>
      </c>
      <c r="N246" s="345" t="n">
        <v>0.2</v>
      </c>
      <c r="O246" s="345" t="n">
        <v>100</v>
      </c>
      <c r="P246" s="345" t="inlineStr">
        <is>
          <t>g</t>
        </is>
      </c>
      <c r="Q246" s="345" t="inlineStr"/>
      <c r="R246" s="345" t="inlineStr"/>
      <c r="S246" s="345" t="inlineStr"/>
      <c r="T246" s="345" t="inlineStr"/>
      <c r="U246" s="345" t="inlineStr"/>
      <c r="V246" s="345" t="inlineStr"/>
      <c r="W246" s="345" t="inlineStr"/>
      <c r="X246" s="345" t="inlineStr"/>
      <c r="Y246" s="345" t="inlineStr">
        <is>
          <t>confirmed</t>
        </is>
      </c>
      <c r="Z246" s="345" t="n">
        <v>0</v>
      </c>
      <c r="AA246" s="345" t="inlineStr">
        <is>
          <t>匹配到商品档案但无历史价格记录</t>
        </is>
      </c>
      <c r="AB246" s="345" t="inlineStr">
        <is>
          <t>赛特尔25年.xls｜高中化学｜第309行</t>
        </is>
      </c>
    </row>
    <row r="247" customFormat="1" s="195">
      <c r="A247" s="323" t="n">
        <v>275</v>
      </c>
      <c r="B247" s="240" t="n">
        <v>30701000111</v>
      </c>
      <c r="C247" s="243" t="inlineStr">
        <is>
          <t>铝片</t>
        </is>
      </c>
      <c r="D247" s="242" t="n"/>
      <c r="E247" s="34" t="n">
        <v>500</v>
      </c>
      <c r="F247" s="240" t="inlineStr">
        <is>
          <t>g</t>
        </is>
      </c>
      <c r="G247" s="31" t="n"/>
      <c r="H247" s="220" t="n"/>
      <c r="I247" s="34" t="n">
        <v>30701000111</v>
      </c>
      <c r="J247" s="40" t="inlineStr">
        <is>
          <t>符合教学要求</t>
        </is>
      </c>
      <c r="K247" s="39" t="inlineStr">
        <is>
          <t>良师</t>
        </is>
      </c>
      <c r="L247" s="39" t="inlineStr">
        <is>
          <t>义乌市教学仪器有限公司</t>
        </is>
      </c>
      <c r="M247" s="345" t="n">
        <v>500</v>
      </c>
      <c r="N247" s="345" t="n">
        <v>0.1</v>
      </c>
      <c r="O247" s="345" t="n">
        <v>50</v>
      </c>
      <c r="P247" s="345" t="inlineStr">
        <is>
          <t>g</t>
        </is>
      </c>
      <c r="Q247" s="345" t="inlineStr"/>
      <c r="R247" s="345" t="inlineStr"/>
      <c r="S247" s="345" t="inlineStr"/>
      <c r="T247" s="345" t="inlineStr"/>
      <c r="U247" s="345" t="inlineStr"/>
      <c r="V247" s="345" t="inlineStr"/>
      <c r="W247" s="345" t="inlineStr"/>
      <c r="X247" s="345" t="inlineStr"/>
      <c r="Y247" s="345" t="inlineStr">
        <is>
          <t>confirmed</t>
        </is>
      </c>
      <c r="Z247" s="345" t="n">
        <v>100</v>
      </c>
      <c r="AA247" s="345" t="inlineStr"/>
      <c r="AB247" s="345" t="inlineStr">
        <is>
          <t>赛特尔25年.xls｜初中新课标化学｜第184行</t>
        </is>
      </c>
    </row>
    <row r="248" customFormat="1" s="195">
      <c r="A248" s="323" t="n">
        <v>276</v>
      </c>
      <c r="B248" s="240" t="n">
        <v>30701000151</v>
      </c>
      <c r="C248" s="243" t="inlineStr">
        <is>
          <t>铝箔</t>
        </is>
      </c>
      <c r="D248" s="242" t="n"/>
      <c r="E248" s="34" t="n">
        <v>100</v>
      </c>
      <c r="F248" s="240" t="inlineStr">
        <is>
          <t>g</t>
        </is>
      </c>
      <c r="G248" s="31" t="n"/>
      <c r="H248" s="220" t="n"/>
      <c r="I248" s="34" t="n">
        <v>30701000151</v>
      </c>
      <c r="J248" s="40" t="inlineStr">
        <is>
          <t>符合教学要求</t>
        </is>
      </c>
      <c r="K248" s="39" t="inlineStr">
        <is>
          <t>良师</t>
        </is>
      </c>
      <c r="L248" s="39" t="inlineStr">
        <is>
          <t>义乌市教学仪器有限公司</t>
        </is>
      </c>
      <c r="M248" s="345" t="n">
        <v>100</v>
      </c>
      <c r="N248" s="345" t="n">
        <v>0.2</v>
      </c>
      <c r="O248" s="345" t="n">
        <v>20</v>
      </c>
      <c r="P248" s="345" t="inlineStr">
        <is>
          <t>g</t>
        </is>
      </c>
      <c r="Q248" s="345" t="inlineStr"/>
      <c r="R248" s="345" t="inlineStr"/>
      <c r="S248" s="345" t="inlineStr"/>
      <c r="T248" s="345" t="inlineStr"/>
      <c r="U248" s="345" t="inlineStr"/>
      <c r="V248" s="345" t="inlineStr"/>
      <c r="W248" s="345" t="inlineStr"/>
      <c r="X248" s="345" t="inlineStr"/>
      <c r="Y248" s="345" t="inlineStr">
        <is>
          <t>confirmed</t>
        </is>
      </c>
      <c r="Z248" s="345" t="n">
        <v>100</v>
      </c>
      <c r="AA248" s="345" t="inlineStr"/>
      <c r="AB248" s="345" t="inlineStr">
        <is>
          <t>赛特尔25年.xls｜初中新课标化学｜第186行</t>
        </is>
      </c>
    </row>
    <row r="249" customFormat="1" s="195">
      <c r="A249" s="323" t="n">
        <v>277</v>
      </c>
      <c r="B249" s="240" t="n">
        <v>30701000412</v>
      </c>
      <c r="C249" s="243" t="inlineStr">
        <is>
          <t>锌片（锌花）</t>
        </is>
      </c>
      <c r="D249" s="242" t="inlineStr">
        <is>
          <t>工业</t>
        </is>
      </c>
      <c r="E249" s="34" t="n">
        <v>500</v>
      </c>
      <c r="F249" s="240" t="inlineStr">
        <is>
          <t>g</t>
        </is>
      </c>
      <c r="G249" s="31" t="n"/>
      <c r="H249" s="220" t="n"/>
      <c r="I249" s="34" t="n">
        <v>30701000412</v>
      </c>
      <c r="J249" s="164" t="inlineStr">
        <is>
          <t>工业</t>
        </is>
      </c>
      <c r="K249" s="39" t="inlineStr">
        <is>
          <t>良师</t>
        </is>
      </c>
      <c r="L249" s="39" t="inlineStr">
        <is>
          <t>义乌市教学仪器有限公司</t>
        </is>
      </c>
      <c r="M249" s="345" t="n">
        <v>500</v>
      </c>
      <c r="N249" s="345" t="n">
        <v>0.1</v>
      </c>
      <c r="O249" s="345" t="n">
        <v>50</v>
      </c>
      <c r="P249" s="345" t="inlineStr">
        <is>
          <t>g</t>
        </is>
      </c>
      <c r="Q249" s="345" t="inlineStr"/>
      <c r="R249" s="345" t="inlineStr"/>
      <c r="S249" s="345" t="inlineStr"/>
      <c r="T249" s="345" t="inlineStr">
        <is>
          <t>工业</t>
        </is>
      </c>
      <c r="U249" s="345" t="inlineStr"/>
      <c r="V249" s="345" t="inlineStr"/>
      <c r="W249" s="345" t="inlineStr"/>
      <c r="X249" s="345" t="inlineStr"/>
      <c r="Y249" s="345" t="inlineStr">
        <is>
          <t>confirmed</t>
        </is>
      </c>
      <c r="Z249" s="345" t="n">
        <v>100</v>
      </c>
      <c r="AA249" s="345" t="inlineStr"/>
      <c r="AB249" s="345" t="inlineStr">
        <is>
          <t>赛特尔25年.xls｜初中新课标化学｜第187行</t>
        </is>
      </c>
    </row>
    <row r="250" customFormat="1" s="195">
      <c r="A250" s="323" t="n">
        <v>278</v>
      </c>
      <c r="B250" s="240" t="n">
        <v>30701000422</v>
      </c>
      <c r="C250" s="243" t="inlineStr">
        <is>
          <t>锌粒</t>
        </is>
      </c>
      <c r="D250" s="242" t="inlineStr">
        <is>
          <t>工业</t>
        </is>
      </c>
      <c r="E250" s="34" t="n">
        <v>100</v>
      </c>
      <c r="F250" s="240" t="inlineStr">
        <is>
          <t>g</t>
        </is>
      </c>
      <c r="G250" s="31" t="n"/>
      <c r="H250" s="220" t="n"/>
      <c r="I250" s="34" t="n">
        <v>30701000422</v>
      </c>
      <c r="J250" s="164" t="inlineStr">
        <is>
          <t>工业</t>
        </is>
      </c>
      <c r="K250" s="39" t="inlineStr">
        <is>
          <t>良师</t>
        </is>
      </c>
      <c r="L250" s="39" t="inlineStr">
        <is>
          <t>义乌市教学仪器有限公司</t>
        </is>
      </c>
      <c r="M250" s="345" t="n">
        <v>100</v>
      </c>
      <c r="N250" s="345" t="n">
        <v>0.07000000000000001</v>
      </c>
      <c r="O250" s="345" t="n">
        <v>7</v>
      </c>
      <c r="P250" s="345" t="inlineStr">
        <is>
          <t>g</t>
        </is>
      </c>
      <c r="Q250" s="345" t="inlineStr"/>
      <c r="R250" s="345" t="inlineStr"/>
      <c r="S250" s="345" t="inlineStr"/>
      <c r="T250" s="345" t="inlineStr">
        <is>
          <t>工业</t>
        </is>
      </c>
      <c r="U250" s="345" t="inlineStr"/>
      <c r="V250" s="345" t="inlineStr"/>
      <c r="W250" s="345" t="inlineStr"/>
      <c r="X250" s="345" t="inlineStr"/>
      <c r="Y250" s="345" t="inlineStr">
        <is>
          <t>confirmed</t>
        </is>
      </c>
      <c r="Z250" s="345" t="n">
        <v>100</v>
      </c>
      <c r="AA250" s="345" t="inlineStr"/>
      <c r="AB250" s="345" t="inlineStr">
        <is>
          <t>赛特尔25年.xls｜初中新课标化学｜第188行</t>
        </is>
      </c>
    </row>
    <row r="251" customFormat="1" s="195">
      <c r="A251" s="323" t="n">
        <v>279</v>
      </c>
      <c r="B251" s="240" t="n">
        <v>30701000501</v>
      </c>
      <c r="C251" s="243" t="inlineStr">
        <is>
          <t>铁粉</t>
        </is>
      </c>
      <c r="D251" s="242" t="inlineStr">
        <is>
          <t>试剂</t>
        </is>
      </c>
      <c r="E251" s="34" t="n">
        <v>500</v>
      </c>
      <c r="F251" s="240" t="inlineStr">
        <is>
          <t>g</t>
        </is>
      </c>
      <c r="G251" s="31" t="n"/>
      <c r="H251" s="220" t="n"/>
      <c r="I251" s="34" t="n">
        <v>30701000501</v>
      </c>
      <c r="J251" s="164" t="inlineStr">
        <is>
          <t>试剂</t>
        </is>
      </c>
      <c r="K251" s="39" t="inlineStr">
        <is>
          <t>良师</t>
        </is>
      </c>
      <c r="L251" s="39" t="inlineStr">
        <is>
          <t>义乌市教学仪器有限公司</t>
        </is>
      </c>
      <c r="M251" s="345" t="n">
        <v>500</v>
      </c>
      <c r="N251" s="345" t="n">
        <v>0.05</v>
      </c>
      <c r="O251" s="345" t="n">
        <v>25</v>
      </c>
      <c r="P251" s="345" t="inlineStr">
        <is>
          <t>g</t>
        </is>
      </c>
      <c r="Q251" s="345" t="inlineStr"/>
      <c r="R251" s="345" t="inlineStr"/>
      <c r="S251" s="345" t="inlineStr"/>
      <c r="T251" s="345" t="inlineStr"/>
      <c r="U251" s="345" t="inlineStr"/>
      <c r="V251" s="345" t="inlineStr"/>
      <c r="W251" s="345" t="inlineStr"/>
      <c r="X251" s="345" t="inlineStr"/>
      <c r="Y251" s="345" t="inlineStr">
        <is>
          <t>confirmed</t>
        </is>
      </c>
      <c r="Z251" s="345" t="n">
        <v>0</v>
      </c>
      <c r="AA251" s="345" t="inlineStr">
        <is>
          <t>没有找到可靠候选</t>
        </is>
      </c>
      <c r="AB251" s="345" t="inlineStr">
        <is>
          <t>赛特尔25年.xls｜初中物理｜第305行</t>
        </is>
      </c>
    </row>
    <row r="252" customFormat="1" s="195">
      <c r="A252" s="323" t="n">
        <v>280</v>
      </c>
      <c r="B252" s="240" t="n">
        <v>30701000511</v>
      </c>
      <c r="C252" s="243" t="inlineStr">
        <is>
          <t>铁片</t>
        </is>
      </c>
      <c r="D252" s="242" t="n"/>
      <c r="E252" s="34" t="n">
        <v>500</v>
      </c>
      <c r="F252" s="240" t="inlineStr">
        <is>
          <t>g</t>
        </is>
      </c>
      <c r="G252" s="31" t="n"/>
      <c r="H252" s="220" t="n"/>
      <c r="I252" s="34" t="n">
        <v>30701000511</v>
      </c>
      <c r="J252" s="40" t="inlineStr">
        <is>
          <t>符合教学要求</t>
        </is>
      </c>
      <c r="K252" s="39" t="inlineStr">
        <is>
          <t>良师</t>
        </is>
      </c>
      <c r="L252" s="39" t="inlineStr">
        <is>
          <t>义乌市教学仪器有限公司</t>
        </is>
      </c>
      <c r="M252" s="345" t="n">
        <v>500</v>
      </c>
      <c r="N252" s="345" t="n">
        <v>0.03</v>
      </c>
      <c r="O252" s="345" t="n">
        <v>15</v>
      </c>
      <c r="P252" s="345" t="inlineStr">
        <is>
          <t>g</t>
        </is>
      </c>
      <c r="Q252" s="345" t="inlineStr"/>
      <c r="R252" s="345" t="inlineStr"/>
      <c r="S252" s="345" t="inlineStr"/>
      <c r="T252" s="345" t="inlineStr"/>
      <c r="U252" s="345" t="inlineStr"/>
      <c r="V252" s="345" t="inlineStr"/>
      <c r="W252" s="345" t="inlineStr"/>
      <c r="X252" s="345" t="inlineStr"/>
      <c r="Y252" s="345" t="inlineStr">
        <is>
          <t>confirmed</t>
        </is>
      </c>
      <c r="Z252" s="345" t="n">
        <v>0</v>
      </c>
      <c r="AA252" s="345" t="inlineStr">
        <is>
          <t>匹配到商品档案但无历史价格记录</t>
        </is>
      </c>
      <c r="AB252" s="345" t="inlineStr">
        <is>
          <t>赛特尔25年.xls｜高中化学｜第314行</t>
        </is>
      </c>
    </row>
    <row r="253" customFormat="1" s="195">
      <c r="A253" s="323" t="n">
        <v>281</v>
      </c>
      <c r="B253" s="240" t="n">
        <v>30701000531</v>
      </c>
      <c r="C253" s="243" t="inlineStr">
        <is>
          <t>铁丝</t>
        </is>
      </c>
      <c r="D253" s="242" t="inlineStr">
        <is>
          <t>直径≤2 mm</t>
        </is>
      </c>
      <c r="E253" s="34" t="n">
        <v>500</v>
      </c>
      <c r="F253" s="240" t="inlineStr">
        <is>
          <t>g</t>
        </is>
      </c>
      <c r="G253" s="31" t="n"/>
      <c r="H253" s="220" t="n"/>
      <c r="I253" s="34" t="n">
        <v>30701000531</v>
      </c>
      <c r="J253" s="164" t="inlineStr">
        <is>
          <t>直径≤2 mm</t>
        </is>
      </c>
      <c r="K253" s="39" t="inlineStr">
        <is>
          <t>良师</t>
        </is>
      </c>
      <c r="L253" s="39" t="inlineStr">
        <is>
          <t>义乌市教学仪器有限公司</t>
        </is>
      </c>
      <c r="M253" s="345" t="n">
        <v>500</v>
      </c>
      <c r="N253" s="345" t="n">
        <v>0.03</v>
      </c>
      <c r="O253" s="345" t="n">
        <v>15</v>
      </c>
      <c r="P253" s="345" t="inlineStr">
        <is>
          <t>g</t>
        </is>
      </c>
      <c r="Q253" s="345" t="inlineStr"/>
      <c r="R253" s="345" t="inlineStr"/>
      <c r="S253" s="345" t="inlineStr"/>
      <c r="T253" s="345" t="inlineStr">
        <is>
          <t>直径≤2 mm</t>
        </is>
      </c>
      <c r="U253" s="345" t="inlineStr"/>
      <c r="V253" s="345" t="inlineStr"/>
      <c r="W253" s="345" t="inlineStr"/>
      <c r="X253" s="345" t="inlineStr"/>
      <c r="Y253" s="345" t="inlineStr">
        <is>
          <t>confirmed</t>
        </is>
      </c>
      <c r="Z253" s="345" t="n">
        <v>100</v>
      </c>
      <c r="AA253" s="345" t="inlineStr"/>
      <c r="AB253" s="345" t="inlineStr">
        <is>
          <t>赛特尔25年.xls｜初中新课标化学｜第190行</t>
        </is>
      </c>
    </row>
    <row r="254" customFormat="1" s="195">
      <c r="A254" s="323" t="n">
        <v>282</v>
      </c>
      <c r="B254" s="240" t="n">
        <v>30701001011</v>
      </c>
      <c r="C254" s="243" t="inlineStr">
        <is>
          <t>紫铜片</t>
        </is>
      </c>
      <c r="D254" s="242" t="n"/>
      <c r="E254" s="34" t="n">
        <v>500</v>
      </c>
      <c r="F254" s="240" t="inlineStr">
        <is>
          <t>g</t>
        </is>
      </c>
      <c r="G254" s="31" t="n"/>
      <c r="H254" s="220" t="n"/>
      <c r="I254" s="34" t="n">
        <v>30701001011</v>
      </c>
      <c r="J254" s="40" t="inlineStr">
        <is>
          <t>符合教学要求</t>
        </is>
      </c>
      <c r="K254" s="39" t="inlineStr">
        <is>
          <t>良师</t>
        </is>
      </c>
      <c r="L254" s="39" t="inlineStr">
        <is>
          <t>义乌市教学仪器有限公司</t>
        </is>
      </c>
      <c r="M254" s="345" t="n">
        <v>500</v>
      </c>
      <c r="N254" s="345" t="n">
        <v>0.14</v>
      </c>
      <c r="O254" s="345" t="n">
        <v>70</v>
      </c>
      <c r="P254" s="345" t="inlineStr">
        <is>
          <t>g</t>
        </is>
      </c>
      <c r="Q254" s="345" t="inlineStr"/>
      <c r="R254" s="345" t="inlineStr"/>
      <c r="S254" s="345" t="inlineStr"/>
      <c r="T254" s="345" t="inlineStr"/>
      <c r="U254" s="345" t="inlineStr"/>
      <c r="V254" s="345" t="inlineStr"/>
      <c r="W254" s="345" t="inlineStr"/>
      <c r="X254" s="345" t="inlineStr"/>
      <c r="Y254" s="345" t="inlineStr">
        <is>
          <t>confirmed</t>
        </is>
      </c>
      <c r="Z254" s="345" t="n">
        <v>100</v>
      </c>
      <c r="AA254" s="345" t="inlineStr"/>
      <c r="AB254" s="345" t="inlineStr">
        <is>
          <t>赛特尔25年.xls｜初中新课标化学｜第191行</t>
        </is>
      </c>
    </row>
    <row r="255" customFormat="1" s="195">
      <c r="A255" s="323" t="n">
        <v>283</v>
      </c>
      <c r="B255" s="240" t="n">
        <v>30701001031</v>
      </c>
      <c r="C255" s="243" t="inlineStr">
        <is>
          <t>铜丝</t>
        </is>
      </c>
      <c r="D255" s="242" t="n"/>
      <c r="E255" s="34" t="n">
        <v>500</v>
      </c>
      <c r="F255" s="240" t="inlineStr">
        <is>
          <t>g</t>
        </is>
      </c>
      <c r="G255" s="31" t="n"/>
      <c r="H255" s="220" t="n"/>
      <c r="I255" s="34" t="n">
        <v>30701001031</v>
      </c>
      <c r="J255" s="40" t="inlineStr">
        <is>
          <t>符合教学要求</t>
        </is>
      </c>
      <c r="K255" s="39" t="inlineStr">
        <is>
          <t>良师</t>
        </is>
      </c>
      <c r="L255" s="39" t="inlineStr">
        <is>
          <t>义乌市教学仪器有限公司</t>
        </is>
      </c>
      <c r="M255" s="345" t="n">
        <v>500</v>
      </c>
      <c r="N255" s="345" t="n">
        <v>0.16</v>
      </c>
      <c r="O255" s="345" t="n">
        <v>80</v>
      </c>
      <c r="P255" s="345" t="inlineStr">
        <is>
          <t>g</t>
        </is>
      </c>
      <c r="Q255" s="345" t="inlineStr"/>
      <c r="R255" s="345" t="inlineStr"/>
      <c r="S255" s="345" t="inlineStr"/>
      <c r="T255" s="345" t="inlineStr"/>
      <c r="U255" s="345" t="inlineStr"/>
      <c r="V255" s="345" t="inlineStr"/>
      <c r="W255" s="345" t="inlineStr"/>
      <c r="X255" s="345" t="inlineStr"/>
      <c r="Y255" s="345" t="inlineStr">
        <is>
          <t>confirmed</t>
        </is>
      </c>
      <c r="Z255" s="345" t="n">
        <v>100</v>
      </c>
      <c r="AA255" s="345" t="inlineStr"/>
      <c r="AB255" s="345" t="inlineStr">
        <is>
          <t>赛特尔25年.xls｜初中新课标化学｜第192行</t>
        </is>
      </c>
    </row>
    <row r="256" customFormat="1" s="195">
      <c r="A256" s="323" t="n">
        <v>284</v>
      </c>
      <c r="B256" s="240" t="n">
        <v>30701012101</v>
      </c>
      <c r="C256" s="243" t="inlineStr">
        <is>
          <t>碘</t>
        </is>
      </c>
      <c r="D256" s="242" t="inlineStr">
        <is>
          <t>试剂</t>
        </is>
      </c>
      <c r="E256" s="34" t="n">
        <v>100</v>
      </c>
      <c r="F256" s="240" t="inlineStr">
        <is>
          <t>g</t>
        </is>
      </c>
      <c r="G256" s="31" t="n"/>
      <c r="H256" s="220" t="n"/>
      <c r="I256" s="34" t="n">
        <v>30701012101</v>
      </c>
      <c r="J256" s="164" t="inlineStr">
        <is>
          <t>试剂</t>
        </is>
      </c>
      <c r="K256" s="39" t="inlineStr">
        <is>
          <t>良师</t>
        </is>
      </c>
      <c r="L256" s="39" t="inlineStr">
        <is>
          <t>义乌市教学仪器有限公司</t>
        </is>
      </c>
      <c r="M256" s="345" t="n">
        <v>100</v>
      </c>
      <c r="N256" s="345" t="n">
        <v>0.9</v>
      </c>
      <c r="O256" s="345" t="n">
        <v>90</v>
      </c>
      <c r="P256" s="345" t="inlineStr">
        <is>
          <t>g</t>
        </is>
      </c>
      <c r="Q256" s="345" t="inlineStr"/>
      <c r="R256" s="345" t="inlineStr"/>
      <c r="S256" s="345" t="inlineStr"/>
      <c r="T256" s="345" t="inlineStr">
        <is>
          <t>试剂</t>
        </is>
      </c>
      <c r="U256" s="345" t="inlineStr"/>
      <c r="V256" s="345" t="inlineStr"/>
      <c r="W256" s="345" t="inlineStr"/>
      <c r="X256" s="345" t="inlineStr"/>
      <c r="Y256" s="345" t="inlineStr">
        <is>
          <t>confirmed</t>
        </is>
      </c>
      <c r="Z256" s="345" t="n">
        <v>100</v>
      </c>
      <c r="AA256" s="345" t="inlineStr"/>
      <c r="AB256" s="345" t="inlineStr">
        <is>
          <t>赛特尔25年.xls｜初中新课标生物｜第157行</t>
        </is>
      </c>
    </row>
    <row r="257" customFormat="1" s="195">
      <c r="A257" s="323" t="n">
        <v>285</v>
      </c>
      <c r="B257" s="240" t="n">
        <v>30701010201</v>
      </c>
      <c r="C257" s="243" t="inlineStr">
        <is>
          <t>活性炭</t>
        </is>
      </c>
      <c r="D257" s="242" t="n"/>
      <c r="E257" s="34" t="n">
        <v>500</v>
      </c>
      <c r="F257" s="240" t="inlineStr">
        <is>
          <t>g</t>
        </is>
      </c>
      <c r="G257" s="31" t="n"/>
      <c r="H257" s="220" t="n"/>
      <c r="I257" s="34" t="n">
        <v>30701010201</v>
      </c>
      <c r="J257" s="40" t="inlineStr">
        <is>
          <t>符合教学要求</t>
        </is>
      </c>
      <c r="K257" s="39" t="inlineStr">
        <is>
          <t>良师</t>
        </is>
      </c>
      <c r="L257" s="39" t="inlineStr">
        <is>
          <t>义乌市教学仪器有限公司</t>
        </is>
      </c>
      <c r="M257" s="345" t="n">
        <v>500</v>
      </c>
      <c r="N257" s="345" t="n">
        <v>0.03</v>
      </c>
      <c r="O257" s="345" t="n">
        <v>15</v>
      </c>
      <c r="P257" s="345" t="inlineStr">
        <is>
          <t>g</t>
        </is>
      </c>
      <c r="Q257" s="345" t="inlineStr"/>
      <c r="R257" s="345" t="inlineStr"/>
      <c r="S257" s="345" t="inlineStr"/>
      <c r="T257" s="345" t="inlineStr"/>
      <c r="U257" s="345" t="inlineStr"/>
      <c r="V257" s="345" t="inlineStr"/>
      <c r="W257" s="345" t="inlineStr"/>
      <c r="X257" s="345" t="inlineStr"/>
      <c r="Y257" s="345" t="inlineStr">
        <is>
          <t>confirmed</t>
        </is>
      </c>
      <c r="Z257" s="345" t="n">
        <v>100</v>
      </c>
      <c r="AA257" s="345" t="inlineStr"/>
      <c r="AB257" s="345" t="inlineStr">
        <is>
          <t>赛特尔25年.xls｜初中新课标化学｜第193行</t>
        </is>
      </c>
    </row>
    <row r="258" customFormat="1" s="195">
      <c r="A258" s="323" t="n">
        <v>286</v>
      </c>
      <c r="B258" s="240" t="n">
        <v>30702003201</v>
      </c>
      <c r="C258" s="243" t="inlineStr">
        <is>
          <t>二氧化锰</t>
        </is>
      </c>
      <c r="D258" s="242" t="inlineStr">
        <is>
          <t>试剂</t>
        </is>
      </c>
      <c r="E258" s="34" t="n">
        <v>1000</v>
      </c>
      <c r="F258" s="240" t="inlineStr">
        <is>
          <t>g</t>
        </is>
      </c>
      <c r="G258" s="31" t="n"/>
      <c r="H258" s="220" t="n"/>
      <c r="I258" s="34" t="n">
        <v>30702003201</v>
      </c>
      <c r="J258" s="164" t="inlineStr">
        <is>
          <t>试剂</t>
        </is>
      </c>
      <c r="K258" s="39" t="inlineStr">
        <is>
          <t>良师</t>
        </is>
      </c>
      <c r="L258" s="39" t="inlineStr">
        <is>
          <t>义乌市教学仪器有限公司</t>
        </is>
      </c>
      <c r="M258" s="345" t="n">
        <v>1000</v>
      </c>
      <c r="N258" s="345" t="n">
        <v>0.15</v>
      </c>
      <c r="O258" s="345" t="n">
        <v>150</v>
      </c>
      <c r="P258" s="345" t="inlineStr">
        <is>
          <t>g</t>
        </is>
      </c>
      <c r="Q258" s="345" t="inlineStr"/>
      <c r="R258" s="345" t="inlineStr"/>
      <c r="S258" s="345" t="inlineStr"/>
      <c r="T258" s="345" t="inlineStr">
        <is>
          <t>试剂</t>
        </is>
      </c>
      <c r="U258" s="345" t="inlineStr"/>
      <c r="V258" s="345" t="inlineStr"/>
      <c r="W258" s="345" t="inlineStr"/>
      <c r="X258" s="345" t="inlineStr"/>
      <c r="Y258" s="345" t="inlineStr">
        <is>
          <t>confirmed</t>
        </is>
      </c>
      <c r="Z258" s="345" t="n">
        <v>100</v>
      </c>
      <c r="AA258" s="345" t="inlineStr"/>
      <c r="AB258" s="345" t="inlineStr">
        <is>
          <t>赛特尔25年.xls｜初中新课标化学｜第200行</t>
        </is>
      </c>
    </row>
    <row r="259" customFormat="1" s="195">
      <c r="A259" s="323" t="n">
        <v>287</v>
      </c>
      <c r="B259" s="240" t="n">
        <v>30702003501</v>
      </c>
      <c r="C259" s="243" t="inlineStr">
        <is>
          <t>三氧化二铁</t>
        </is>
      </c>
      <c r="D259" s="242" t="inlineStr">
        <is>
          <t>试剂</t>
        </is>
      </c>
      <c r="E259" s="34" t="n">
        <v>100</v>
      </c>
      <c r="F259" s="240" t="inlineStr">
        <is>
          <t>g</t>
        </is>
      </c>
      <c r="G259" s="31" t="n"/>
      <c r="H259" s="220" t="n"/>
      <c r="I259" s="34" t="n">
        <v>30702003501</v>
      </c>
      <c r="J259" s="164" t="inlineStr">
        <is>
          <t>试剂</t>
        </is>
      </c>
      <c r="K259" s="39" t="inlineStr">
        <is>
          <t>良师</t>
        </is>
      </c>
      <c r="L259" s="39" t="inlineStr">
        <is>
          <t>义乌市教学仪器有限公司</t>
        </is>
      </c>
      <c r="M259" s="345" t="n">
        <v>100</v>
      </c>
      <c r="N259" s="345" t="n">
        <v>0.08</v>
      </c>
      <c r="O259" s="345" t="n">
        <v>8</v>
      </c>
      <c r="P259" s="345" t="inlineStr">
        <is>
          <t>g</t>
        </is>
      </c>
      <c r="Q259" s="345" t="inlineStr"/>
      <c r="R259" s="345" t="inlineStr"/>
      <c r="S259" s="345" t="inlineStr"/>
      <c r="T259" s="345" t="inlineStr">
        <is>
          <t>试剂</t>
        </is>
      </c>
      <c r="U259" s="345" t="inlineStr"/>
      <c r="V259" s="345" t="inlineStr"/>
      <c r="W259" s="345" t="inlineStr"/>
      <c r="X259" s="345" t="inlineStr"/>
      <c r="Y259" s="345" t="inlineStr">
        <is>
          <t>confirmed</t>
        </is>
      </c>
      <c r="Z259" s="345" t="n">
        <v>100</v>
      </c>
      <c r="AA259" s="345" t="inlineStr"/>
      <c r="AB259" s="345" t="inlineStr">
        <is>
          <t>赛特尔25年.xls｜初中新课标化学｜第201行</t>
        </is>
      </c>
    </row>
    <row r="260" customFormat="1" s="195">
      <c r="A260" s="323" t="n">
        <v>288</v>
      </c>
      <c r="B260" s="240" t="n">
        <v>30702004001</v>
      </c>
      <c r="C260" s="243" t="inlineStr">
        <is>
          <t>氧化铜</t>
        </is>
      </c>
      <c r="D260" s="242" t="inlineStr">
        <is>
          <t>试剂</t>
        </is>
      </c>
      <c r="E260" s="34" t="n">
        <v>100</v>
      </c>
      <c r="F260" s="240" t="inlineStr">
        <is>
          <t>g</t>
        </is>
      </c>
      <c r="G260" s="31" t="n"/>
      <c r="H260" s="220" t="n"/>
      <c r="I260" s="34" t="n">
        <v>30702004001</v>
      </c>
      <c r="J260" s="164" t="inlineStr">
        <is>
          <t>试剂</t>
        </is>
      </c>
      <c r="K260" s="39" t="inlineStr">
        <is>
          <t>良师</t>
        </is>
      </c>
      <c r="L260" s="39" t="inlineStr">
        <is>
          <t>义乌市教学仪器有限公司</t>
        </is>
      </c>
      <c r="M260" s="345" t="n">
        <v>100</v>
      </c>
      <c r="N260" s="345" t="n">
        <v>0.14</v>
      </c>
      <c r="O260" s="345" t="n">
        <v>14</v>
      </c>
      <c r="P260" s="345" t="inlineStr">
        <is>
          <t>g</t>
        </is>
      </c>
      <c r="Q260" s="345" t="inlineStr"/>
      <c r="R260" s="345" t="inlineStr"/>
      <c r="S260" s="345" t="inlineStr"/>
      <c r="T260" s="345" t="inlineStr">
        <is>
          <t>试剂</t>
        </is>
      </c>
      <c r="U260" s="345" t="inlineStr"/>
      <c r="V260" s="345" t="inlineStr"/>
      <c r="W260" s="345" t="inlineStr"/>
      <c r="X260" s="345" t="inlineStr"/>
      <c r="Y260" s="345" t="inlineStr">
        <is>
          <t>confirmed</t>
        </is>
      </c>
      <c r="Z260" s="345" t="n">
        <v>100</v>
      </c>
      <c r="AA260" s="345" t="inlineStr"/>
      <c r="AB260" s="345" t="inlineStr">
        <is>
          <t>赛特尔25年.xls｜初中新课标化学｜第202行</t>
        </is>
      </c>
    </row>
    <row r="261" customFormat="1" s="195">
      <c r="A261" s="323" t="n">
        <v>289</v>
      </c>
      <c r="B261" s="240" t="n">
        <v>30702004301</v>
      </c>
      <c r="C261" s="243" t="inlineStr">
        <is>
          <t>氧化铝</t>
        </is>
      </c>
      <c r="D261" s="242" t="inlineStr">
        <is>
          <t>试剂</t>
        </is>
      </c>
      <c r="E261" s="34" t="n">
        <v>100</v>
      </c>
      <c r="F261" s="240" t="inlineStr">
        <is>
          <t>g</t>
        </is>
      </c>
      <c r="G261" s="31" t="n"/>
      <c r="H261" s="220" t="n"/>
      <c r="I261" s="34" t="n">
        <v>30702004301</v>
      </c>
      <c r="J261" s="164" t="inlineStr">
        <is>
          <t>试剂</t>
        </is>
      </c>
      <c r="K261" s="39" t="inlineStr">
        <is>
          <t>良师</t>
        </is>
      </c>
      <c r="L261" s="39" t="inlineStr">
        <is>
          <t>义乌市教学仪器有限公司</t>
        </is>
      </c>
      <c r="M261" s="345" t="n">
        <v>100</v>
      </c>
      <c r="N261" s="345" t="n">
        <v>0.04</v>
      </c>
      <c r="O261" s="345" t="n">
        <v>4</v>
      </c>
      <c r="P261" s="345" t="inlineStr">
        <is>
          <t>g</t>
        </is>
      </c>
      <c r="Q261" s="345" t="inlineStr"/>
      <c r="R261" s="345" t="inlineStr"/>
      <c r="S261" s="345" t="inlineStr"/>
      <c r="T261" s="345" t="inlineStr">
        <is>
          <t>试剂</t>
        </is>
      </c>
      <c r="U261" s="345" t="inlineStr"/>
      <c r="V261" s="345" t="inlineStr"/>
      <c r="W261" s="345" t="inlineStr"/>
      <c r="X261" s="345" t="inlineStr"/>
      <c r="Y261" s="345" t="inlineStr">
        <is>
          <t>confirmed</t>
        </is>
      </c>
      <c r="Z261" s="345" t="n">
        <v>0</v>
      </c>
      <c r="AA261" s="345" t="inlineStr">
        <is>
          <t>没有找到可靠候选</t>
        </is>
      </c>
      <c r="AB261" s="345" t="inlineStr">
        <is>
          <t>赛特尔25年.xls｜高中化学｜第322行</t>
        </is>
      </c>
    </row>
    <row r="262" customFormat="1" s="195">
      <c r="A262" s="323" t="n">
        <v>290</v>
      </c>
      <c r="B262" s="240" t="n">
        <v>30704001101</v>
      </c>
      <c r="C262" s="243" t="inlineStr">
        <is>
          <t>氯化铝</t>
        </is>
      </c>
      <c r="D262" s="242" t="inlineStr">
        <is>
          <t>试剂</t>
        </is>
      </c>
      <c r="E262" s="34" t="n">
        <v>100</v>
      </c>
      <c r="F262" s="240" t="inlineStr">
        <is>
          <t>g</t>
        </is>
      </c>
      <c r="G262" s="31" t="n"/>
      <c r="H262" s="220" t="n"/>
      <c r="I262" s="34" t="n">
        <v>30704001101</v>
      </c>
      <c r="J262" s="164" t="inlineStr">
        <is>
          <t>试剂</t>
        </is>
      </c>
      <c r="K262" s="39" t="inlineStr">
        <is>
          <t>良师</t>
        </is>
      </c>
      <c r="L262" s="39" t="inlineStr">
        <is>
          <t>义乌市教学仪器有限公司</t>
        </is>
      </c>
      <c r="M262" s="345" t="n">
        <v>100</v>
      </c>
      <c r="N262" s="345" t="n">
        <v>0.05</v>
      </c>
      <c r="O262" s="345" t="n">
        <v>5</v>
      </c>
      <c r="P262" s="345" t="inlineStr">
        <is>
          <t>g</t>
        </is>
      </c>
      <c r="Q262" s="345" t="inlineStr"/>
      <c r="R262" s="345" t="inlineStr"/>
      <c r="S262" s="345" t="inlineStr"/>
      <c r="T262" s="345" t="inlineStr">
        <is>
          <t>试剂</t>
        </is>
      </c>
      <c r="U262" s="345" t="inlineStr"/>
      <c r="V262" s="345" t="inlineStr"/>
      <c r="W262" s="345" t="inlineStr"/>
      <c r="X262" s="345" t="inlineStr"/>
      <c r="Y262" s="345" t="inlineStr">
        <is>
          <t>confirmed</t>
        </is>
      </c>
      <c r="Z262" s="345" t="n">
        <v>0</v>
      </c>
      <c r="AA262" s="345" t="inlineStr">
        <is>
          <t>没有找到可靠候选</t>
        </is>
      </c>
      <c r="AB262" s="345" t="inlineStr">
        <is>
          <t>赛特尔25年.xls｜高中化学｜第323行</t>
        </is>
      </c>
    </row>
    <row r="263" customFormat="1" s="195">
      <c r="A263" s="323" t="n">
        <v>291</v>
      </c>
      <c r="B263" s="240" t="n">
        <v>30704000101</v>
      </c>
      <c r="C263" s="243" t="inlineStr">
        <is>
          <t>氯化钾</t>
        </is>
      </c>
      <c r="D263" s="242" t="inlineStr">
        <is>
          <t>试剂</t>
        </is>
      </c>
      <c r="E263" s="34" t="n">
        <v>500</v>
      </c>
      <c r="F263" s="240" t="inlineStr">
        <is>
          <t>g</t>
        </is>
      </c>
      <c r="G263" s="31" t="n"/>
      <c r="H263" s="220" t="n"/>
      <c r="I263" s="34" t="n">
        <v>30704000101</v>
      </c>
      <c r="J263" s="164" t="inlineStr">
        <is>
          <t>试剂</t>
        </is>
      </c>
      <c r="K263" s="39" t="inlineStr">
        <is>
          <t>良师</t>
        </is>
      </c>
      <c r="L263" s="39" t="inlineStr">
        <is>
          <t>义乌市教学仪器有限公司</t>
        </is>
      </c>
      <c r="M263" s="345" t="n">
        <v>500</v>
      </c>
      <c r="N263" s="345" t="n">
        <v>0.05</v>
      </c>
      <c r="O263" s="345" t="n">
        <v>25</v>
      </c>
      <c r="P263" s="345" t="inlineStr">
        <is>
          <t>g</t>
        </is>
      </c>
      <c r="Q263" s="345" t="inlineStr"/>
      <c r="R263" s="345" t="inlineStr"/>
      <c r="S263" s="345" t="inlineStr"/>
      <c r="T263" s="345" t="inlineStr">
        <is>
          <t>试剂</t>
        </is>
      </c>
      <c r="U263" s="345" t="inlineStr"/>
      <c r="V263" s="345" t="inlineStr"/>
      <c r="W263" s="345" t="inlineStr"/>
      <c r="X263" s="345" t="inlineStr"/>
      <c r="Y263" s="345" t="inlineStr">
        <is>
          <t>confirmed</t>
        </is>
      </c>
      <c r="Z263" s="345" t="n">
        <v>100</v>
      </c>
      <c r="AA263" s="345" t="inlineStr"/>
      <c r="AB263" s="345" t="inlineStr">
        <is>
          <t>赛特尔25年.xls｜初中新课标化学｜第205行</t>
        </is>
      </c>
    </row>
    <row r="264" customFormat="1" s="195">
      <c r="A264" s="323" t="n">
        <v>292</v>
      </c>
      <c r="B264" s="240" t="n">
        <v>30704000201</v>
      </c>
      <c r="C264" s="243" t="inlineStr">
        <is>
          <t>氯化钠</t>
        </is>
      </c>
      <c r="D264" s="242" t="inlineStr">
        <is>
          <t>试剂</t>
        </is>
      </c>
      <c r="E264" s="34" t="n">
        <v>1000</v>
      </c>
      <c r="F264" s="240" t="inlineStr">
        <is>
          <t>g</t>
        </is>
      </c>
      <c r="G264" s="31" t="n"/>
      <c r="H264" s="220" t="n"/>
      <c r="I264" s="34" t="n">
        <v>30704000201</v>
      </c>
      <c r="J264" s="164" t="inlineStr">
        <is>
          <t>试剂</t>
        </is>
      </c>
      <c r="K264" s="39" t="inlineStr">
        <is>
          <t>良师</t>
        </is>
      </c>
      <c r="L264" s="39" t="inlineStr">
        <is>
          <t>义乌市教学仪器有限公司</t>
        </is>
      </c>
      <c r="M264" s="345" t="n">
        <v>1000</v>
      </c>
      <c r="N264" s="345" t="n">
        <v>0.02</v>
      </c>
      <c r="O264" s="345" t="n">
        <v>20</v>
      </c>
      <c r="P264" s="345" t="inlineStr">
        <is>
          <t>g</t>
        </is>
      </c>
      <c r="Q264" s="345" t="inlineStr"/>
      <c r="R264" s="345" t="inlineStr"/>
      <c r="S264" s="345" t="inlineStr"/>
      <c r="T264" s="345" t="inlineStr">
        <is>
          <t>试剂</t>
        </is>
      </c>
      <c r="U264" s="345" t="inlineStr"/>
      <c r="V264" s="345" t="inlineStr"/>
      <c r="W264" s="345" t="inlineStr"/>
      <c r="X264" s="345" t="inlineStr"/>
      <c r="Y264" s="345" t="inlineStr">
        <is>
          <t>confirmed</t>
        </is>
      </c>
      <c r="Z264" s="345" t="n">
        <v>100</v>
      </c>
      <c r="AA264" s="345" t="inlineStr"/>
      <c r="AB264" s="345" t="inlineStr">
        <is>
          <t>赛特尔25年.xls｜初中新课标生物｜第159行</t>
        </is>
      </c>
    </row>
    <row r="265" customFormat="1" s="195">
      <c r="A265" s="323" t="n">
        <v>293</v>
      </c>
      <c r="B265" s="240" t="n">
        <v>30704000202</v>
      </c>
      <c r="C265" s="243" t="inlineStr">
        <is>
          <t>氯化钠</t>
        </is>
      </c>
      <c r="D265" s="242" t="inlineStr">
        <is>
          <t>工业</t>
        </is>
      </c>
      <c r="E265" s="34" t="n">
        <v>2000</v>
      </c>
      <c r="F265" s="240" t="inlineStr">
        <is>
          <t>g</t>
        </is>
      </c>
      <c r="G265" s="31" t="n"/>
      <c r="H265" s="220" t="n"/>
      <c r="I265" s="34" t="n">
        <v>30704000202</v>
      </c>
      <c r="J265" s="164" t="inlineStr">
        <is>
          <t>工业</t>
        </is>
      </c>
      <c r="K265" s="39" t="inlineStr">
        <is>
          <t>良师</t>
        </is>
      </c>
      <c r="L265" s="39" t="inlineStr">
        <is>
          <t>义乌市教学仪器有限公司</t>
        </is>
      </c>
      <c r="M265" s="345" t="n">
        <v>2000</v>
      </c>
      <c r="N265" s="345" t="n">
        <v>0.02</v>
      </c>
      <c r="O265" s="345" t="n">
        <v>40</v>
      </c>
      <c r="P265" s="345" t="inlineStr">
        <is>
          <t>g</t>
        </is>
      </c>
      <c r="Q265" s="345" t="inlineStr"/>
      <c r="R265" s="345" t="inlineStr"/>
      <c r="S265" s="345" t="inlineStr"/>
      <c r="T265" s="345" t="inlineStr">
        <is>
          <t>试剂</t>
        </is>
      </c>
      <c r="U265" s="345" t="inlineStr"/>
      <c r="V265" s="345" t="inlineStr"/>
      <c r="W265" s="345" t="inlineStr"/>
      <c r="X265" s="345" t="inlineStr"/>
      <c r="Y265" s="345" t="inlineStr">
        <is>
          <t>confirmed</t>
        </is>
      </c>
      <c r="Z265" s="345" t="n">
        <v>100</v>
      </c>
      <c r="AA265" s="345" t="inlineStr"/>
      <c r="AB265" s="345" t="inlineStr">
        <is>
          <t>赛特尔25年.xls｜初中新课标生物｜第159行</t>
        </is>
      </c>
    </row>
    <row r="266" customFormat="1" s="195">
      <c r="A266" s="323" t="n">
        <v>294</v>
      </c>
      <c r="B266" s="240" t="n">
        <v>30704000402</v>
      </c>
      <c r="C266" s="243" t="inlineStr">
        <is>
          <t>无水氯化钙</t>
        </is>
      </c>
      <c r="D266" s="242" t="inlineStr">
        <is>
          <t>工业</t>
        </is>
      </c>
      <c r="E266" s="34" t="n">
        <v>1000</v>
      </c>
      <c r="F266" s="240" t="inlineStr">
        <is>
          <t>g</t>
        </is>
      </c>
      <c r="G266" s="31" t="n"/>
      <c r="H266" s="220" t="n"/>
      <c r="I266" s="34" t="n">
        <v>30704000402</v>
      </c>
      <c r="J266" s="164" t="inlineStr">
        <is>
          <t>工业</t>
        </is>
      </c>
      <c r="K266" s="39" t="inlineStr">
        <is>
          <t>良师</t>
        </is>
      </c>
      <c r="L266" s="39" t="inlineStr">
        <is>
          <t>义乌市教学仪器有限公司</t>
        </is>
      </c>
      <c r="M266" s="345" t="n">
        <v>1000</v>
      </c>
      <c r="N266" s="345" t="n">
        <v>0.02</v>
      </c>
      <c r="O266" s="345" t="n">
        <v>20</v>
      </c>
      <c r="P266" s="345" t="inlineStr">
        <is>
          <t>g</t>
        </is>
      </c>
      <c r="Q266" s="345" t="inlineStr"/>
      <c r="R266" s="345" t="inlineStr"/>
      <c r="S266" s="345" t="inlineStr"/>
      <c r="T266" s="345" t="inlineStr">
        <is>
          <t>工业</t>
        </is>
      </c>
      <c r="U266" s="345" t="inlineStr"/>
      <c r="V266" s="345" t="inlineStr"/>
      <c r="W266" s="345" t="inlineStr"/>
      <c r="X266" s="345" t="inlineStr"/>
      <c r="Y266" s="345" t="inlineStr">
        <is>
          <t>confirmed</t>
        </is>
      </c>
      <c r="Z266" s="345" t="n">
        <v>100</v>
      </c>
      <c r="AA266" s="345" t="inlineStr"/>
      <c r="AB266" s="345" t="inlineStr">
        <is>
          <t>赛特尔25年.xls｜初中新课标化学｜第209行</t>
        </is>
      </c>
    </row>
    <row r="267" customFormat="1" s="195">
      <c r="A267" s="323" t="n">
        <v>295</v>
      </c>
      <c r="B267" s="240" t="n">
        <v>30704000601</v>
      </c>
      <c r="C267" s="243" t="inlineStr">
        <is>
          <t>氯化镁</t>
        </is>
      </c>
      <c r="D267" s="242" t="inlineStr">
        <is>
          <t>试剂</t>
        </is>
      </c>
      <c r="E267" s="34" t="n">
        <v>100</v>
      </c>
      <c r="F267" s="240" t="inlineStr">
        <is>
          <t>g</t>
        </is>
      </c>
      <c r="G267" s="31" t="n"/>
      <c r="H267" s="220" t="n"/>
      <c r="I267" s="34" t="n">
        <v>30704000601</v>
      </c>
      <c r="J267" s="164" t="inlineStr">
        <is>
          <t>试剂</t>
        </is>
      </c>
      <c r="K267" s="39" t="inlineStr">
        <is>
          <t>良师</t>
        </is>
      </c>
      <c r="L267" s="39" t="inlineStr">
        <is>
          <t>义乌市教学仪器有限公司</t>
        </is>
      </c>
      <c r="M267" s="345" t="n">
        <v>100</v>
      </c>
      <c r="N267" s="345" t="n">
        <v>0.05</v>
      </c>
      <c r="O267" s="345" t="n">
        <v>5</v>
      </c>
      <c r="P267" s="345" t="inlineStr">
        <is>
          <t>g</t>
        </is>
      </c>
      <c r="Q267" s="345" t="inlineStr"/>
      <c r="R267" s="345" t="inlineStr"/>
      <c r="S267" s="345" t="inlineStr"/>
      <c r="T267" s="345" t="inlineStr">
        <is>
          <t>试剂</t>
        </is>
      </c>
      <c r="U267" s="345" t="inlineStr"/>
      <c r="V267" s="345" t="inlineStr"/>
      <c r="W267" s="345" t="inlineStr"/>
      <c r="X267" s="345" t="inlineStr"/>
      <c r="Y267" s="345" t="inlineStr">
        <is>
          <t>confirmed</t>
        </is>
      </c>
      <c r="Z267" s="345" t="n">
        <v>100</v>
      </c>
      <c r="AA267" s="345" t="inlineStr"/>
      <c r="AB267" s="345" t="inlineStr">
        <is>
          <t>赛特尔25年.xls｜初中新课标化学｜第210行</t>
        </is>
      </c>
    </row>
    <row r="268" customFormat="1" s="195">
      <c r="A268" s="323" t="n">
        <v>296</v>
      </c>
      <c r="B268" s="240" t="n">
        <v>30704000801</v>
      </c>
      <c r="C268" s="243" t="inlineStr">
        <is>
          <t>三氯化铁</t>
        </is>
      </c>
      <c r="D268" s="242" t="inlineStr">
        <is>
          <t>试剂</t>
        </is>
      </c>
      <c r="E268" s="34" t="n">
        <v>500</v>
      </c>
      <c r="F268" s="240" t="inlineStr">
        <is>
          <t>g</t>
        </is>
      </c>
      <c r="G268" s="31" t="n"/>
      <c r="H268" s="220" t="n"/>
      <c r="I268" s="34" t="n">
        <v>30704000801</v>
      </c>
      <c r="J268" s="164" t="inlineStr">
        <is>
          <t>试剂</t>
        </is>
      </c>
      <c r="K268" s="39" t="inlineStr">
        <is>
          <t>良师</t>
        </is>
      </c>
      <c r="L268" s="39" t="inlineStr">
        <is>
          <t>义乌市教学仪器有限公司</t>
        </is>
      </c>
      <c r="M268" s="345" t="n">
        <v>500</v>
      </c>
      <c r="N268" s="345" t="n">
        <v>0.03</v>
      </c>
      <c r="O268" s="345" t="n">
        <v>15</v>
      </c>
      <c r="P268" s="345" t="inlineStr">
        <is>
          <t>g</t>
        </is>
      </c>
      <c r="Q268" s="345" t="inlineStr"/>
      <c r="R268" s="345" t="inlineStr"/>
      <c r="S268" s="345" t="inlineStr"/>
      <c r="T268" s="345" t="inlineStr">
        <is>
          <t>试剂</t>
        </is>
      </c>
      <c r="U268" s="345" t="inlineStr"/>
      <c r="V268" s="345" t="inlineStr"/>
      <c r="W268" s="345" t="inlineStr"/>
      <c r="X268" s="345" t="inlineStr"/>
      <c r="Y268" s="345" t="inlineStr">
        <is>
          <t>confirmed</t>
        </is>
      </c>
      <c r="Z268" s="345" t="n">
        <v>100</v>
      </c>
      <c r="AA268" s="345" t="inlineStr"/>
      <c r="AB268" s="345" t="inlineStr">
        <is>
          <t>赛特尔25年.xls｜初中新课标化学｜第211行</t>
        </is>
      </c>
    </row>
    <row r="269" customFormat="1" s="195">
      <c r="A269" s="323" t="n">
        <v>297</v>
      </c>
      <c r="B269" s="240" t="n">
        <v>30704002002</v>
      </c>
      <c r="C269" s="243" t="inlineStr">
        <is>
          <t>氯化铵</t>
        </is>
      </c>
      <c r="D269" s="242" t="inlineStr">
        <is>
          <t>工业</t>
        </is>
      </c>
      <c r="E269" s="34" t="n">
        <v>1000</v>
      </c>
      <c r="F269" s="240" t="inlineStr">
        <is>
          <t>g</t>
        </is>
      </c>
      <c r="G269" s="31" t="n"/>
      <c r="H269" s="220" t="n"/>
      <c r="I269" s="34" t="n">
        <v>30704002002</v>
      </c>
      <c r="J269" s="164" t="inlineStr">
        <is>
          <t>工业</t>
        </is>
      </c>
      <c r="K269" s="39" t="inlineStr">
        <is>
          <t>良师</t>
        </is>
      </c>
      <c r="L269" s="39" t="inlineStr">
        <is>
          <t>义乌市教学仪器有限公司</t>
        </is>
      </c>
      <c r="M269" s="345" t="n">
        <v>1000</v>
      </c>
      <c r="N269" s="345" t="n">
        <v>0.03</v>
      </c>
      <c r="O269" s="345" t="n">
        <v>30</v>
      </c>
      <c r="P269" s="345" t="inlineStr">
        <is>
          <t>g</t>
        </is>
      </c>
      <c r="Q269" s="345" t="inlineStr"/>
      <c r="R269" s="345" t="inlineStr"/>
      <c r="S269" s="345" t="inlineStr"/>
      <c r="T269" s="345" t="inlineStr">
        <is>
          <t>工业</t>
        </is>
      </c>
      <c r="U269" s="345" t="inlineStr"/>
      <c r="V269" s="345" t="inlineStr"/>
      <c r="W269" s="345" t="inlineStr"/>
      <c r="X269" s="345" t="inlineStr"/>
      <c r="Y269" s="345" t="inlineStr">
        <is>
          <t>confirmed</t>
        </is>
      </c>
      <c r="Z269" s="345" t="n">
        <v>100</v>
      </c>
      <c r="AA269" s="345" t="inlineStr"/>
      <c r="AB269" s="345" t="inlineStr">
        <is>
          <t>赛特尔25年.xls｜初中新课标化学｜第212行</t>
        </is>
      </c>
    </row>
    <row r="270" customFormat="1" s="195">
      <c r="A270" s="323" t="n">
        <v>298</v>
      </c>
      <c r="B270" s="240" t="n">
        <v>30704000901</v>
      </c>
      <c r="C270" s="243" t="inlineStr">
        <is>
          <t>氯化亚铁</t>
        </is>
      </c>
      <c r="D270" s="242" t="inlineStr">
        <is>
          <t>试剂</t>
        </is>
      </c>
      <c r="E270" s="34" t="n">
        <v>100</v>
      </c>
      <c r="F270" s="240" t="inlineStr">
        <is>
          <t>g</t>
        </is>
      </c>
      <c r="G270" s="31" t="n"/>
      <c r="H270" s="220" t="n"/>
      <c r="I270" s="34" t="n">
        <v>30704000901</v>
      </c>
      <c r="J270" s="164" t="inlineStr">
        <is>
          <t>试剂</t>
        </is>
      </c>
      <c r="K270" s="39" t="inlineStr">
        <is>
          <t>良师</t>
        </is>
      </c>
      <c r="L270" s="39" t="inlineStr">
        <is>
          <t>义乌市教学仪器有限公司</t>
        </is>
      </c>
      <c r="M270" s="345" t="n">
        <v>100</v>
      </c>
      <c r="N270" s="345" t="n">
        <v>0.03</v>
      </c>
      <c r="O270" s="345" t="n">
        <v>3</v>
      </c>
      <c r="P270" s="345" t="inlineStr">
        <is>
          <t>g</t>
        </is>
      </c>
      <c r="Q270" s="345" t="inlineStr"/>
      <c r="R270" s="345" t="inlineStr"/>
      <c r="S270" s="345" t="inlineStr"/>
      <c r="T270" s="345" t="inlineStr"/>
      <c r="U270" s="345" t="inlineStr"/>
      <c r="V270" s="345" t="inlineStr"/>
      <c r="W270" s="345" t="inlineStr"/>
      <c r="X270" s="345" t="inlineStr"/>
      <c r="Y270" s="345" t="inlineStr">
        <is>
          <t>confirmed</t>
        </is>
      </c>
      <c r="Z270" s="345" t="n">
        <v>0</v>
      </c>
      <c r="AA270" s="345" t="inlineStr">
        <is>
          <t>没有找到可靠候选</t>
        </is>
      </c>
      <c r="AB270" s="345" t="inlineStr">
        <is>
          <t>赛特尔25年.xls｜高中化学｜第314行</t>
        </is>
      </c>
    </row>
    <row r="271" customFormat="1" s="195">
      <c r="A271" s="323" t="n">
        <v>299</v>
      </c>
      <c r="B271" s="240" t="n">
        <v>30704004101</v>
      </c>
      <c r="C271" s="243" t="inlineStr">
        <is>
          <t>氯化亚锡</t>
        </is>
      </c>
      <c r="D271" s="242" t="inlineStr">
        <is>
          <t>试剂</t>
        </is>
      </c>
      <c r="E271" s="34" t="n">
        <v>500</v>
      </c>
      <c r="F271" s="240" t="inlineStr">
        <is>
          <t>g</t>
        </is>
      </c>
      <c r="G271" s="31" t="n"/>
      <c r="H271" s="220" t="n"/>
      <c r="I271" s="34" t="n">
        <v>30704004101</v>
      </c>
      <c r="J271" s="164" t="inlineStr">
        <is>
          <t>试剂</t>
        </is>
      </c>
      <c r="K271" s="39" t="inlineStr">
        <is>
          <t>良师</t>
        </is>
      </c>
      <c r="L271" s="39" t="inlineStr">
        <is>
          <t>义乌市教学仪器有限公司</t>
        </is>
      </c>
      <c r="M271" s="345" t="n">
        <v>500</v>
      </c>
      <c r="N271" s="345" t="n">
        <v>0.24</v>
      </c>
      <c r="O271" s="345" t="n">
        <v>120</v>
      </c>
      <c r="P271" s="345" t="inlineStr">
        <is>
          <t>g</t>
        </is>
      </c>
      <c r="Q271" s="345" t="inlineStr"/>
      <c r="R271" s="345" t="inlineStr"/>
      <c r="S271" s="345" t="inlineStr"/>
      <c r="T271" s="345" t="inlineStr">
        <is>
          <t>试剂</t>
        </is>
      </c>
      <c r="U271" s="345" t="inlineStr"/>
      <c r="V271" s="345" t="inlineStr"/>
      <c r="W271" s="345" t="inlineStr"/>
      <c r="X271" s="345" t="inlineStr"/>
      <c r="Y271" s="345" t="inlineStr">
        <is>
          <t>confirmed</t>
        </is>
      </c>
      <c r="Z271" s="345" t="n">
        <v>0</v>
      </c>
      <c r="AA271" s="345" t="inlineStr">
        <is>
          <t>没有找到可靠候选</t>
        </is>
      </c>
      <c r="AB271" s="345" t="inlineStr">
        <is>
          <t>赛特尔25年.xls｜高中化学｜第332行</t>
        </is>
      </c>
    </row>
    <row r="272" customFormat="1" s="195">
      <c r="A272" s="323" t="n">
        <v>300</v>
      </c>
      <c r="B272" s="240" t="n">
        <v>30705000201</v>
      </c>
      <c r="C272" s="243" t="inlineStr">
        <is>
          <t>溴化钠</t>
        </is>
      </c>
      <c r="D272" s="242" t="inlineStr">
        <is>
          <t>试剂</t>
        </is>
      </c>
      <c r="E272" s="34" t="n">
        <v>500</v>
      </c>
      <c r="F272" s="240" t="inlineStr">
        <is>
          <t>g</t>
        </is>
      </c>
      <c r="G272" s="31" t="n"/>
      <c r="H272" s="220" t="n"/>
      <c r="I272" s="34" t="n">
        <v>30705000201</v>
      </c>
      <c r="J272" s="164" t="inlineStr">
        <is>
          <t>试剂</t>
        </is>
      </c>
      <c r="K272" s="39" t="inlineStr">
        <is>
          <t>良师</t>
        </is>
      </c>
      <c r="L272" s="39" t="inlineStr">
        <is>
          <t>义乌市教学仪器有限公司</t>
        </is>
      </c>
      <c r="M272" s="345" t="n">
        <v>500</v>
      </c>
      <c r="N272" s="345" t="n">
        <v>0.08</v>
      </c>
      <c r="O272" s="345" t="n">
        <v>40</v>
      </c>
      <c r="P272" s="345" t="inlineStr">
        <is>
          <t>g</t>
        </is>
      </c>
      <c r="Q272" s="345" t="inlineStr"/>
      <c r="R272" s="345" t="inlineStr"/>
      <c r="S272" s="345" t="inlineStr"/>
      <c r="T272" s="345" t="inlineStr">
        <is>
          <t>试剂</t>
        </is>
      </c>
      <c r="U272" s="345" t="inlineStr"/>
      <c r="V272" s="345" t="inlineStr"/>
      <c r="W272" s="345" t="inlineStr"/>
      <c r="X272" s="345" t="inlineStr"/>
      <c r="Y272" s="345" t="inlineStr">
        <is>
          <t>confirmed</t>
        </is>
      </c>
      <c r="Z272" s="345" t="n">
        <v>0</v>
      </c>
      <c r="AA272" s="345" t="inlineStr">
        <is>
          <t>没有找到可靠候选</t>
        </is>
      </c>
      <c r="AB272" s="345" t="inlineStr">
        <is>
          <t>赛特尔25年.xls｜高中化学｜第333行</t>
        </is>
      </c>
    </row>
    <row r="273" customFormat="1" s="195">
      <c r="A273" s="323" t="n">
        <v>301</v>
      </c>
      <c r="B273" s="240" t="n">
        <v>30705000101</v>
      </c>
      <c r="C273" s="243" t="inlineStr">
        <is>
          <t>溴化钾</t>
        </is>
      </c>
      <c r="D273" s="242" t="inlineStr">
        <is>
          <t>试剂</t>
        </is>
      </c>
      <c r="E273" s="34" t="n">
        <v>100</v>
      </c>
      <c r="F273" s="240" t="inlineStr">
        <is>
          <t>g</t>
        </is>
      </c>
      <c r="G273" s="31" t="n"/>
      <c r="H273" s="220" t="n"/>
      <c r="I273" s="34" t="n">
        <v>30705000101</v>
      </c>
      <c r="J273" s="164" t="inlineStr">
        <is>
          <t>试剂</t>
        </is>
      </c>
      <c r="K273" s="39" t="inlineStr">
        <is>
          <t>良师</t>
        </is>
      </c>
      <c r="L273" s="39" t="inlineStr">
        <is>
          <t>义乌市教学仪器有限公司</t>
        </is>
      </c>
      <c r="M273" s="345" t="n">
        <v>100</v>
      </c>
      <c r="N273" s="345" t="n">
        <v>0.1</v>
      </c>
      <c r="O273" s="345" t="n">
        <v>10</v>
      </c>
      <c r="P273" s="345" t="inlineStr">
        <is>
          <t>g</t>
        </is>
      </c>
      <c r="Q273" s="345" t="inlineStr"/>
      <c r="R273" s="345" t="inlineStr"/>
      <c r="S273" s="345" t="inlineStr"/>
      <c r="T273" s="345" t="inlineStr">
        <is>
          <t>试剂</t>
        </is>
      </c>
      <c r="U273" s="345" t="inlineStr"/>
      <c r="V273" s="345" t="inlineStr"/>
      <c r="W273" s="345" t="inlineStr"/>
      <c r="X273" s="345" t="inlineStr"/>
      <c r="Y273" s="345" t="inlineStr">
        <is>
          <t>confirmed</t>
        </is>
      </c>
      <c r="Z273" s="345" t="n">
        <v>0</v>
      </c>
      <c r="AA273" s="345" t="inlineStr">
        <is>
          <t>没有找到可靠候选</t>
        </is>
      </c>
      <c r="AB273" s="345" t="inlineStr">
        <is>
          <t>赛特尔25年.xls｜高中化学｜第334行</t>
        </is>
      </c>
    </row>
    <row r="274" customFormat="1" s="195">
      <c r="A274" s="323" t="n">
        <v>302</v>
      </c>
      <c r="B274" s="240" t="n">
        <v>30705001501</v>
      </c>
      <c r="C274" s="243" t="inlineStr">
        <is>
          <t>溴化铜</t>
        </is>
      </c>
      <c r="D274" s="242" t="inlineStr">
        <is>
          <t>试剂</t>
        </is>
      </c>
      <c r="E274" s="34" t="n">
        <v>100</v>
      </c>
      <c r="F274" s="240" t="inlineStr">
        <is>
          <t>g</t>
        </is>
      </c>
      <c r="G274" s="31" t="n"/>
      <c r="H274" s="220" t="n"/>
      <c r="I274" s="34" t="n">
        <v>30705001501</v>
      </c>
      <c r="J274" s="164" t="inlineStr">
        <is>
          <t>试剂</t>
        </is>
      </c>
      <c r="K274" s="39" t="inlineStr">
        <is>
          <t>良师</t>
        </is>
      </c>
      <c r="L274" s="39" t="inlineStr">
        <is>
          <t>义乌市教学仪器有限公司</t>
        </is>
      </c>
      <c r="M274" s="345" t="n">
        <v>100</v>
      </c>
      <c r="N274" s="345" t="n">
        <v>0.14</v>
      </c>
      <c r="O274" s="345" t="n">
        <v>14</v>
      </c>
      <c r="P274" s="345" t="inlineStr">
        <is>
          <t>g</t>
        </is>
      </c>
      <c r="Q274" s="345" t="inlineStr"/>
      <c r="R274" s="345" t="inlineStr"/>
      <c r="S274" s="345" t="inlineStr"/>
      <c r="T274" s="345" t="inlineStr"/>
      <c r="U274" s="345" t="inlineStr"/>
      <c r="V274" s="345" t="inlineStr"/>
      <c r="W274" s="345" t="inlineStr"/>
      <c r="X274" s="345" t="inlineStr"/>
      <c r="Y274" s="345" t="inlineStr">
        <is>
          <t>confirmed</t>
        </is>
      </c>
      <c r="Z274" s="345" t="n">
        <v>0</v>
      </c>
      <c r="AA274" s="345" t="inlineStr">
        <is>
          <t>没有找到可靠候选</t>
        </is>
      </c>
      <c r="AB274" s="345" t="inlineStr">
        <is>
          <t>赛特尔25年.xls｜高中化学｜第315行</t>
        </is>
      </c>
    </row>
    <row r="275" customFormat="1" s="195">
      <c r="A275" s="323" t="n">
        <v>303</v>
      </c>
      <c r="B275" s="240" t="n">
        <v>30706003501</v>
      </c>
      <c r="C275" s="243" t="inlineStr">
        <is>
          <t>碘化铅</t>
        </is>
      </c>
      <c r="D275" s="242" t="inlineStr">
        <is>
          <t>试剂</t>
        </is>
      </c>
      <c r="E275" s="34" t="n">
        <v>100</v>
      </c>
      <c r="F275" s="240" t="inlineStr">
        <is>
          <t>g</t>
        </is>
      </c>
      <c r="G275" s="31" t="n"/>
      <c r="H275" s="220" t="n"/>
      <c r="I275" s="34" t="n">
        <v>30706003501</v>
      </c>
      <c r="J275" s="164" t="inlineStr">
        <is>
          <t>试剂</t>
        </is>
      </c>
      <c r="K275" s="39" t="inlineStr">
        <is>
          <t>良师</t>
        </is>
      </c>
      <c r="L275" s="39" t="inlineStr">
        <is>
          <t>义乌市教学仪器有限公司</t>
        </is>
      </c>
      <c r="M275" s="345" t="n">
        <v>100</v>
      </c>
      <c r="N275" s="345" t="n">
        <v>0.9</v>
      </c>
      <c r="O275" s="345" t="n">
        <v>90</v>
      </c>
      <c r="P275" s="345" t="inlineStr">
        <is>
          <t>g</t>
        </is>
      </c>
      <c r="Q275" s="345" t="inlineStr"/>
      <c r="R275" s="345" t="inlineStr"/>
      <c r="S275" s="345" t="inlineStr"/>
      <c r="T275" s="345" t="inlineStr">
        <is>
          <t>试剂</t>
        </is>
      </c>
      <c r="U275" s="345" t="inlineStr"/>
      <c r="V275" s="345" t="inlineStr"/>
      <c r="W275" s="345" t="inlineStr"/>
      <c r="X275" s="345" t="inlineStr"/>
      <c r="Y275" s="345" t="inlineStr">
        <is>
          <t>confirmed</t>
        </is>
      </c>
      <c r="Z275" s="345" t="n">
        <v>100</v>
      </c>
      <c r="AA275" s="345" t="inlineStr"/>
      <c r="AB275" s="345" t="inlineStr">
        <is>
          <t>赛特尔25年.xls｜初中新课标生物｜第157行</t>
        </is>
      </c>
    </row>
    <row r="276" customFormat="1" s="195">
      <c r="A276" s="323" t="n">
        <v>304</v>
      </c>
      <c r="B276" s="240" t="n">
        <v>30706000101</v>
      </c>
      <c r="C276" s="243" t="inlineStr">
        <is>
          <t>碘化钾</t>
        </is>
      </c>
      <c r="D276" s="242" t="inlineStr">
        <is>
          <t>试剂</t>
        </is>
      </c>
      <c r="E276" s="34" t="n">
        <v>100</v>
      </c>
      <c r="F276" s="240" t="inlineStr">
        <is>
          <t>g</t>
        </is>
      </c>
      <c r="G276" s="31" t="n"/>
      <c r="H276" s="220" t="n"/>
      <c r="I276" s="34" t="n">
        <v>30706000101</v>
      </c>
      <c r="J276" s="164" t="inlineStr">
        <is>
          <t>试剂</t>
        </is>
      </c>
      <c r="K276" s="39" t="inlineStr">
        <is>
          <t>良师</t>
        </is>
      </c>
      <c r="L276" s="39" t="inlineStr">
        <is>
          <t>义乌市教学仪器有限公司</t>
        </is>
      </c>
      <c r="M276" s="345" t="n">
        <v>100</v>
      </c>
      <c r="N276" s="345" t="n">
        <v>0.5600000000000001</v>
      </c>
      <c r="O276" s="345" t="n">
        <v>56</v>
      </c>
      <c r="P276" s="345" t="inlineStr">
        <is>
          <t>g</t>
        </is>
      </c>
      <c r="Q276" s="345" t="inlineStr"/>
      <c r="R276" s="345" t="inlineStr"/>
      <c r="S276" s="345" t="inlineStr"/>
      <c r="T276" s="345" t="inlineStr">
        <is>
          <t>试剂</t>
        </is>
      </c>
      <c r="U276" s="345" t="inlineStr"/>
      <c r="V276" s="345" t="inlineStr"/>
      <c r="W276" s="345" t="inlineStr"/>
      <c r="X276" s="345" t="inlineStr"/>
      <c r="Y276" s="345" t="inlineStr">
        <is>
          <t>confirmed</t>
        </is>
      </c>
      <c r="Z276" s="345" t="n">
        <v>100</v>
      </c>
      <c r="AA276" s="345" t="inlineStr"/>
      <c r="AB276" s="345" t="inlineStr">
        <is>
          <t>赛特尔25年.xls｜初中新课标生物｜第158行</t>
        </is>
      </c>
    </row>
    <row r="277" customFormat="1" s="195">
      <c r="A277" s="323" t="n">
        <v>305</v>
      </c>
      <c r="B277" s="240" t="n">
        <v>30707050201</v>
      </c>
      <c r="C277" s="243" t="inlineStr">
        <is>
          <t>无水亚硫酸钠</t>
        </is>
      </c>
      <c r="D277" s="242" t="inlineStr">
        <is>
          <t>试剂</t>
        </is>
      </c>
      <c r="E277" s="34" t="n">
        <v>1000</v>
      </c>
      <c r="F277" s="240" t="inlineStr">
        <is>
          <t>g</t>
        </is>
      </c>
      <c r="G277" s="31" t="n"/>
      <c r="H277" s="220" t="n"/>
      <c r="I277" s="34" t="n">
        <v>30707050201</v>
      </c>
      <c r="J277" s="164" t="inlineStr">
        <is>
          <t>试剂</t>
        </is>
      </c>
      <c r="K277" s="39" t="inlineStr">
        <is>
          <t>良师</t>
        </is>
      </c>
      <c r="L277" s="39" t="inlineStr">
        <is>
          <t>义乌市教学仪器有限公司</t>
        </is>
      </c>
      <c r="M277" s="345" t="n">
        <v>1000</v>
      </c>
      <c r="N277" s="345" t="n">
        <v>0.02</v>
      </c>
      <c r="O277" s="345" t="n">
        <v>20</v>
      </c>
      <c r="P277" s="345" t="inlineStr">
        <is>
          <t>g</t>
        </is>
      </c>
      <c r="Q277" s="345" t="inlineStr"/>
      <c r="R277" s="345" t="inlineStr"/>
      <c r="S277" s="345" t="inlineStr"/>
      <c r="T277" s="345" t="inlineStr">
        <is>
          <t>试剂</t>
        </is>
      </c>
      <c r="U277" s="345" t="inlineStr"/>
      <c r="V277" s="345" t="inlineStr"/>
      <c r="W277" s="345" t="inlineStr"/>
      <c r="X277" s="345" t="inlineStr"/>
      <c r="Y277" s="345" t="inlineStr">
        <is>
          <t>confirmed</t>
        </is>
      </c>
      <c r="Z277" s="345" t="n">
        <v>0</v>
      </c>
      <c r="AA277" s="345" t="inlineStr">
        <is>
          <t>匹配到商品档案但无历史价格记录</t>
        </is>
      </c>
      <c r="AB277" s="345" t="inlineStr">
        <is>
          <t>赛特尔25年.xls｜高中化学｜第338行</t>
        </is>
      </c>
    </row>
    <row r="278" customFormat="1" s="195">
      <c r="A278" s="323" t="n">
        <v>306</v>
      </c>
      <c r="B278" s="240" t="n">
        <v>30707000901</v>
      </c>
      <c r="C278" s="243" t="inlineStr">
        <is>
          <t>硫酸亚铁</t>
        </is>
      </c>
      <c r="D278" s="242" t="inlineStr">
        <is>
          <t>试剂</t>
        </is>
      </c>
      <c r="E278" s="34" t="n">
        <v>1000</v>
      </c>
      <c r="F278" s="240" t="inlineStr">
        <is>
          <t>g</t>
        </is>
      </c>
      <c r="G278" s="31" t="n"/>
      <c r="H278" s="220" t="n"/>
      <c r="I278" s="34" t="n">
        <v>30707000901</v>
      </c>
      <c r="J278" s="164" t="inlineStr">
        <is>
          <t>试剂</t>
        </is>
      </c>
      <c r="K278" s="39" t="inlineStr">
        <is>
          <t>良师</t>
        </is>
      </c>
      <c r="L278" s="39" t="inlineStr">
        <is>
          <t>义乌市教学仪器有限公司</t>
        </is>
      </c>
      <c r="M278" s="345" t="n">
        <v>1000</v>
      </c>
      <c r="N278" s="345" t="n">
        <v>0.03</v>
      </c>
      <c r="O278" s="345" t="n">
        <v>30</v>
      </c>
      <c r="P278" s="345" t="inlineStr">
        <is>
          <t>g</t>
        </is>
      </c>
      <c r="Q278" s="345" t="inlineStr"/>
      <c r="R278" s="345" t="inlineStr"/>
      <c r="S278" s="345" t="inlineStr"/>
      <c r="T278" s="345" t="inlineStr">
        <is>
          <t>工业</t>
        </is>
      </c>
      <c r="U278" s="345" t="inlineStr"/>
      <c r="V278" s="345" t="inlineStr"/>
      <c r="W278" s="345" t="inlineStr"/>
      <c r="X278" s="345" t="inlineStr"/>
      <c r="Y278" s="345" t="inlineStr">
        <is>
          <t>confirmed</t>
        </is>
      </c>
      <c r="Z278" s="345" t="n">
        <v>0</v>
      </c>
      <c r="AA278" s="345" t="inlineStr">
        <is>
          <t>没有找到可靠候选</t>
        </is>
      </c>
      <c r="AB278" s="345" t="inlineStr">
        <is>
          <t>赛特尔25年.xls｜初中化学｜第256行</t>
        </is>
      </c>
    </row>
    <row r="279" customFormat="1" s="195">
      <c r="A279" s="323" t="n">
        <v>307</v>
      </c>
      <c r="B279" s="240" t="n">
        <v>30707010901</v>
      </c>
      <c r="C279" s="243" t="inlineStr">
        <is>
          <t>硫酸亚铁铵</t>
        </is>
      </c>
      <c r="D279" s="242" t="inlineStr">
        <is>
          <t>试剂</t>
        </is>
      </c>
      <c r="E279" s="34" t="n">
        <v>500</v>
      </c>
      <c r="F279" s="240" t="inlineStr">
        <is>
          <t>g</t>
        </is>
      </c>
      <c r="G279" s="31" t="n"/>
      <c r="H279" s="220" t="n"/>
      <c r="I279" s="34" t="n">
        <v>30707010901</v>
      </c>
      <c r="J279" s="164" t="inlineStr">
        <is>
          <t>试剂</t>
        </is>
      </c>
      <c r="K279" s="39" t="inlineStr">
        <is>
          <t>良师</t>
        </is>
      </c>
      <c r="L279" s="39" t="inlineStr">
        <is>
          <t>义乌市教学仪器有限公司</t>
        </is>
      </c>
      <c r="M279" s="345" t="n">
        <v>500</v>
      </c>
      <c r="N279" s="345" t="n">
        <v>0.03</v>
      </c>
      <c r="O279" s="345" t="n">
        <v>15</v>
      </c>
      <c r="P279" s="345" t="inlineStr">
        <is>
          <t>g</t>
        </is>
      </c>
      <c r="Q279" s="345" t="inlineStr"/>
      <c r="R279" s="345" t="inlineStr"/>
      <c r="S279" s="345" t="inlineStr"/>
      <c r="T279" s="345" t="inlineStr">
        <is>
          <t>工业</t>
        </is>
      </c>
      <c r="U279" s="345" t="inlineStr"/>
      <c r="V279" s="345" t="inlineStr"/>
      <c r="W279" s="345" t="inlineStr"/>
      <c r="X279" s="345" t="inlineStr"/>
      <c r="Y279" s="345" t="inlineStr">
        <is>
          <t>confirmed</t>
        </is>
      </c>
      <c r="Z279" s="345" t="n">
        <v>0</v>
      </c>
      <c r="AA279" s="345" t="inlineStr">
        <is>
          <t>没有找到可靠候选</t>
        </is>
      </c>
      <c r="AB279" s="345" t="inlineStr">
        <is>
          <t>赛特尔25年.xls｜初中化学｜第256行</t>
        </is>
      </c>
    </row>
    <row r="280" customFormat="1" s="195">
      <c r="A280" s="323" t="n">
        <v>308</v>
      </c>
      <c r="B280" s="240" t="n">
        <v>30707000101</v>
      </c>
      <c r="C280" s="243" t="inlineStr">
        <is>
          <t>硫酸钾</t>
        </is>
      </c>
      <c r="D280" s="242" t="inlineStr">
        <is>
          <t>试剂</t>
        </is>
      </c>
      <c r="E280" s="34" t="n">
        <v>500</v>
      </c>
      <c r="F280" s="240" t="inlineStr">
        <is>
          <t>g</t>
        </is>
      </c>
      <c r="G280" s="31" t="n"/>
      <c r="H280" s="220" t="n"/>
      <c r="I280" s="34" t="n">
        <v>30707000101</v>
      </c>
      <c r="J280" s="164" t="inlineStr">
        <is>
          <t>试剂</t>
        </is>
      </c>
      <c r="K280" s="39" t="inlineStr">
        <is>
          <t>良师</t>
        </is>
      </c>
      <c r="L280" s="39" t="inlineStr">
        <is>
          <t>义乌市教学仪器有限公司</t>
        </is>
      </c>
      <c r="M280" s="345" t="n">
        <v>500</v>
      </c>
      <c r="N280" s="345" t="n">
        <v>0.06</v>
      </c>
      <c r="O280" s="345" t="n">
        <v>30</v>
      </c>
      <c r="P280" s="345" t="inlineStr">
        <is>
          <t>g</t>
        </is>
      </c>
      <c r="Q280" s="345" t="inlineStr"/>
      <c r="R280" s="345" t="inlineStr"/>
      <c r="S280" s="345" t="inlineStr"/>
      <c r="T280" s="345" t="inlineStr">
        <is>
          <t>试剂</t>
        </is>
      </c>
      <c r="U280" s="345" t="inlineStr"/>
      <c r="V280" s="345" t="inlineStr"/>
      <c r="W280" s="345" t="inlineStr"/>
      <c r="X280" s="345" t="inlineStr"/>
      <c r="Y280" s="345" t="inlineStr">
        <is>
          <t>confirmed</t>
        </is>
      </c>
      <c r="Z280" s="345" t="n">
        <v>100</v>
      </c>
      <c r="AA280" s="345" t="inlineStr"/>
      <c r="AB280" s="345" t="inlineStr">
        <is>
          <t>赛特尔25年.xls｜初中新课标化学｜第214行</t>
        </is>
      </c>
    </row>
    <row r="281" customFormat="1" s="195">
      <c r="A281" s="323" t="n">
        <v>309</v>
      </c>
      <c r="B281" s="240" t="n">
        <v>30707000201</v>
      </c>
      <c r="C281" s="243" t="inlineStr">
        <is>
          <t>硫酸钠</t>
        </is>
      </c>
      <c r="D281" s="242" t="inlineStr">
        <is>
          <t>试剂</t>
        </is>
      </c>
      <c r="E281" s="34" t="n">
        <v>500</v>
      </c>
      <c r="F281" s="240" t="inlineStr">
        <is>
          <t>g</t>
        </is>
      </c>
      <c r="G281" s="31" t="n"/>
      <c r="H281" s="220" t="n"/>
      <c r="I281" s="34" t="n">
        <v>30707000201</v>
      </c>
      <c r="J281" s="164" t="inlineStr">
        <is>
          <t>试剂</t>
        </is>
      </c>
      <c r="K281" s="39" t="inlineStr">
        <is>
          <t>良师</t>
        </is>
      </c>
      <c r="L281" s="39" t="inlineStr">
        <is>
          <t>义乌市教学仪器有限公司</t>
        </is>
      </c>
      <c r="M281" s="345" t="n">
        <v>500</v>
      </c>
      <c r="N281" s="345" t="n">
        <v>0.03</v>
      </c>
      <c r="O281" s="345" t="n">
        <v>15</v>
      </c>
      <c r="P281" s="345" t="inlineStr">
        <is>
          <t>g</t>
        </is>
      </c>
      <c r="Q281" s="345" t="inlineStr"/>
      <c r="R281" s="345" t="inlineStr"/>
      <c r="S281" s="345" t="inlineStr"/>
      <c r="T281" s="345" t="inlineStr">
        <is>
          <t>俗称海波，分析纯</t>
        </is>
      </c>
      <c r="U281" s="345" t="inlineStr"/>
      <c r="V281" s="345" t="inlineStr"/>
      <c r="W281" s="345" t="inlineStr"/>
      <c r="X281" s="345" t="inlineStr"/>
      <c r="Y281" s="345" t="inlineStr">
        <is>
          <t>confirmed</t>
        </is>
      </c>
      <c r="Z281" s="345" t="n">
        <v>90</v>
      </c>
      <c r="AA281" s="345" t="inlineStr"/>
      <c r="AB281" s="345" t="inlineStr">
        <is>
          <t>赛特尔25年.xls｜初中新课标物理｜第103行</t>
        </is>
      </c>
    </row>
    <row r="282" customFormat="1" s="195">
      <c r="A282" s="323" t="n">
        <v>310</v>
      </c>
      <c r="B282" s="240" t="n">
        <v>30707001101</v>
      </c>
      <c r="C282" s="243" t="inlineStr">
        <is>
          <t>硫酸铝</t>
        </is>
      </c>
      <c r="D282" s="242" t="inlineStr">
        <is>
          <t>试剂</t>
        </is>
      </c>
      <c r="E282" s="34" t="n">
        <v>500</v>
      </c>
      <c r="F282" s="240" t="inlineStr">
        <is>
          <t>g</t>
        </is>
      </c>
      <c r="G282" s="31" t="n"/>
      <c r="H282" s="220" t="n"/>
      <c r="I282" s="34" t="n">
        <v>30707001101</v>
      </c>
      <c r="J282" s="164" t="inlineStr">
        <is>
          <t>试剂</t>
        </is>
      </c>
      <c r="K282" s="39" t="inlineStr">
        <is>
          <t>良师</t>
        </is>
      </c>
      <c r="L282" s="39" t="inlineStr">
        <is>
          <t>义乌市教学仪器有限公司</t>
        </is>
      </c>
      <c r="M282" s="345" t="n">
        <v>500</v>
      </c>
      <c r="N282" s="345" t="n">
        <v>0.03</v>
      </c>
      <c r="O282" s="345" t="n">
        <v>15</v>
      </c>
      <c r="P282" s="345" t="inlineStr">
        <is>
          <t>g</t>
        </is>
      </c>
      <c r="Q282" s="345" t="inlineStr"/>
      <c r="R282" s="345" t="inlineStr"/>
      <c r="S282" s="345" t="inlineStr"/>
      <c r="T282" s="345" t="inlineStr">
        <is>
          <t>试剂</t>
        </is>
      </c>
      <c r="U282" s="345" t="inlineStr"/>
      <c r="V282" s="345" t="inlineStr"/>
      <c r="W282" s="345" t="inlineStr"/>
      <c r="X282" s="345" t="inlineStr"/>
      <c r="Y282" s="345" t="inlineStr">
        <is>
          <t>confirmed</t>
        </is>
      </c>
      <c r="Z282" s="345" t="n">
        <v>100</v>
      </c>
      <c r="AA282" s="345" t="inlineStr"/>
      <c r="AB282" s="345" t="inlineStr">
        <is>
          <t>赛特尔25年.xls｜初中新课标化学｜第215行</t>
        </is>
      </c>
    </row>
    <row r="283" customFormat="1" s="195">
      <c r="A283" s="323" t="n">
        <v>311</v>
      </c>
      <c r="B283" s="240" t="n">
        <v>30707001501</v>
      </c>
      <c r="C283" s="243" t="inlineStr">
        <is>
          <t>硫酸铜(蓝矾、胆矾)</t>
        </is>
      </c>
      <c r="D283" s="242" t="inlineStr">
        <is>
          <t>工业</t>
        </is>
      </c>
      <c r="E283" s="34" t="n">
        <v>2000</v>
      </c>
      <c r="F283" s="240" t="inlineStr">
        <is>
          <t>g</t>
        </is>
      </c>
      <c r="G283" s="31" t="n"/>
      <c r="H283" s="220" t="n"/>
      <c r="I283" s="34" t="n">
        <v>30707001501</v>
      </c>
      <c r="J283" s="164" t="inlineStr">
        <is>
          <t>工业</t>
        </is>
      </c>
      <c r="K283" s="39" t="inlineStr">
        <is>
          <t>良师</t>
        </is>
      </c>
      <c r="L283" s="39" t="inlineStr">
        <is>
          <t>义乌市教学仪器有限公司</t>
        </is>
      </c>
      <c r="M283" s="345" t="n">
        <v>2000</v>
      </c>
      <c r="N283" s="345" t="n">
        <v>0.07000000000000001</v>
      </c>
      <c r="O283" s="345" t="n">
        <v>140</v>
      </c>
      <c r="P283" s="345" t="inlineStr">
        <is>
          <t>g</t>
        </is>
      </c>
      <c r="Q283" s="345" t="inlineStr"/>
      <c r="R283" s="345" t="inlineStr"/>
      <c r="S283" s="345" t="inlineStr"/>
      <c r="T283" s="345" t="inlineStr">
        <is>
          <t>工业</t>
        </is>
      </c>
      <c r="U283" s="345" t="inlineStr"/>
      <c r="V283" s="345" t="inlineStr"/>
      <c r="W283" s="345" t="inlineStr"/>
      <c r="X283" s="345" t="inlineStr"/>
      <c r="Y283" s="345" t="inlineStr">
        <is>
          <t>confirmed</t>
        </is>
      </c>
      <c r="Z283" s="345" t="n">
        <v>100</v>
      </c>
      <c r="AA283" s="345" t="inlineStr"/>
      <c r="AB283" s="345" t="inlineStr">
        <is>
          <t>赛特尔25年.xls｜初中新课标生物｜第160行</t>
        </is>
      </c>
    </row>
    <row r="284" customFormat="1" s="195">
      <c r="A284" s="323" t="n">
        <v>312</v>
      </c>
      <c r="B284" s="240" t="n">
        <v>30707001601</v>
      </c>
      <c r="C284" s="243" t="inlineStr">
        <is>
          <t>无水硫酸铜</t>
        </is>
      </c>
      <c r="D284" s="242" t="inlineStr">
        <is>
          <t>试剂</t>
        </is>
      </c>
      <c r="E284" s="34" t="n">
        <v>500</v>
      </c>
      <c r="F284" s="240" t="inlineStr">
        <is>
          <t>g</t>
        </is>
      </c>
      <c r="G284" s="31" t="n"/>
      <c r="H284" s="220" t="n"/>
      <c r="I284" s="34" t="n">
        <v>30707001601</v>
      </c>
      <c r="J284" s="164" t="inlineStr">
        <is>
          <t>试剂</t>
        </is>
      </c>
      <c r="K284" s="39" t="inlineStr">
        <is>
          <t>良师</t>
        </is>
      </c>
      <c r="L284" s="39" t="inlineStr">
        <is>
          <t>义乌市教学仪器有限公司</t>
        </is>
      </c>
      <c r="M284" s="345" t="n">
        <v>500</v>
      </c>
      <c r="N284" s="345" t="n">
        <v>0.1</v>
      </c>
      <c r="O284" s="345" t="n">
        <v>50</v>
      </c>
      <c r="P284" s="345" t="inlineStr">
        <is>
          <t>g</t>
        </is>
      </c>
      <c r="Q284" s="345" t="inlineStr"/>
      <c r="R284" s="345" t="inlineStr"/>
      <c r="S284" s="345" t="inlineStr"/>
      <c r="T284" s="345" t="inlineStr">
        <is>
          <t>试剂</t>
        </is>
      </c>
      <c r="U284" s="345" t="inlineStr"/>
      <c r="V284" s="345" t="inlineStr"/>
      <c r="W284" s="345" t="inlineStr"/>
      <c r="X284" s="345" t="inlineStr"/>
      <c r="Y284" s="345" t="inlineStr">
        <is>
          <t>confirmed</t>
        </is>
      </c>
      <c r="Z284" s="345" t="n">
        <v>100</v>
      </c>
      <c r="AA284" s="345" t="inlineStr"/>
      <c r="AB284" s="345" t="inlineStr">
        <is>
          <t>赛特尔25年.xls｜初中新课标化学｜第217行</t>
        </is>
      </c>
    </row>
    <row r="285" customFormat="1" s="195">
      <c r="A285" s="323" t="n">
        <v>313</v>
      </c>
      <c r="B285" s="240" t="n">
        <v>30707002001</v>
      </c>
      <c r="C285" s="243" t="inlineStr">
        <is>
          <t>硫酸铵</t>
        </is>
      </c>
      <c r="D285" s="242" t="inlineStr">
        <is>
          <t>工业</t>
        </is>
      </c>
      <c r="E285" s="34" t="n">
        <v>100</v>
      </c>
      <c r="F285" s="240" t="inlineStr">
        <is>
          <t>g</t>
        </is>
      </c>
      <c r="G285" s="31" t="n"/>
      <c r="H285" s="220" t="n"/>
      <c r="I285" s="34" t="n">
        <v>30707002001</v>
      </c>
      <c r="J285" s="164" t="inlineStr">
        <is>
          <t>工业</t>
        </is>
      </c>
      <c r="K285" s="39" t="inlineStr">
        <is>
          <t>良师</t>
        </is>
      </c>
      <c r="L285" s="39" t="inlineStr">
        <is>
          <t>义乌市教学仪器有限公司</t>
        </is>
      </c>
      <c r="M285" s="345" t="n">
        <v>100</v>
      </c>
      <c r="N285" s="345" t="n">
        <v>0.02</v>
      </c>
      <c r="O285" s="345" t="n">
        <v>2</v>
      </c>
      <c r="P285" s="345" t="inlineStr">
        <is>
          <t>g</t>
        </is>
      </c>
      <c r="Q285" s="345" t="inlineStr"/>
      <c r="R285" s="345" t="inlineStr"/>
      <c r="S285" s="345" t="inlineStr"/>
      <c r="T285" s="345" t="inlineStr">
        <is>
          <t>工业</t>
        </is>
      </c>
      <c r="U285" s="345" t="inlineStr"/>
      <c r="V285" s="345" t="inlineStr"/>
      <c r="W285" s="345" t="inlineStr"/>
      <c r="X285" s="345" t="inlineStr"/>
      <c r="Y285" s="345" t="inlineStr">
        <is>
          <t>confirmed</t>
        </is>
      </c>
      <c r="Z285" s="345" t="n">
        <v>100</v>
      </c>
      <c r="AA285" s="345" t="inlineStr"/>
      <c r="AB285" s="345" t="inlineStr">
        <is>
          <t>赛特尔25年.xls｜初中新课标化学｜第218行</t>
        </is>
      </c>
    </row>
    <row r="286" customFormat="1" s="195">
      <c r="A286" s="323" t="n">
        <v>314</v>
      </c>
      <c r="B286" s="240" t="n">
        <v>30707010102</v>
      </c>
      <c r="C286" s="243" t="inlineStr">
        <is>
          <t>硫酸铝钾(明矾)</t>
        </is>
      </c>
      <c r="D286" s="242" t="inlineStr">
        <is>
          <t>工业</t>
        </is>
      </c>
      <c r="E286" s="34" t="n">
        <v>1000</v>
      </c>
      <c r="F286" s="240" t="inlineStr">
        <is>
          <t>g</t>
        </is>
      </c>
      <c r="G286" s="31" t="n"/>
      <c r="H286" s="220" t="n"/>
      <c r="I286" s="34" t="n">
        <v>30707010102</v>
      </c>
      <c r="J286" s="164" t="inlineStr">
        <is>
          <t>工业</t>
        </is>
      </c>
      <c r="K286" s="39" t="inlineStr">
        <is>
          <t>良师</t>
        </is>
      </c>
      <c r="L286" s="39" t="inlineStr">
        <is>
          <t>义乌市教学仪器有限公司</t>
        </is>
      </c>
      <c r="M286" s="345" t="n">
        <v>1000</v>
      </c>
      <c r="N286" s="345" t="n">
        <v>0.02</v>
      </c>
      <c r="O286" s="345" t="n">
        <v>20</v>
      </c>
      <c r="P286" s="345" t="inlineStr">
        <is>
          <t>g</t>
        </is>
      </c>
      <c r="Q286" s="345" t="inlineStr"/>
      <c r="R286" s="345" t="inlineStr"/>
      <c r="S286" s="345" t="inlineStr"/>
      <c r="T286" s="345" t="inlineStr">
        <is>
          <t>工业</t>
        </is>
      </c>
      <c r="U286" s="345" t="inlineStr"/>
      <c r="V286" s="345" t="inlineStr"/>
      <c r="W286" s="345" t="inlineStr"/>
      <c r="X286" s="345" t="inlineStr"/>
      <c r="Y286" s="345" t="inlineStr">
        <is>
          <t>confirmed</t>
        </is>
      </c>
      <c r="Z286" s="345" t="n">
        <v>100</v>
      </c>
      <c r="AA286" s="345" t="inlineStr"/>
      <c r="AB286" s="345" t="inlineStr">
        <is>
          <t>赛特尔25年.xls｜初中新课标化学｜第219行</t>
        </is>
      </c>
    </row>
    <row r="287" customFormat="1" s="195">
      <c r="A287" s="323" t="n">
        <v>315</v>
      </c>
      <c r="B287" s="240" t="n">
        <v>30707000801</v>
      </c>
      <c r="C287" s="243" t="inlineStr">
        <is>
          <t>硫酸铁</t>
        </is>
      </c>
      <c r="D287" s="242" t="inlineStr">
        <is>
          <t>试剂</t>
        </is>
      </c>
      <c r="E287" s="34" t="n">
        <v>500</v>
      </c>
      <c r="F287" s="240" t="inlineStr">
        <is>
          <t>g</t>
        </is>
      </c>
      <c r="G287" s="31" t="n"/>
      <c r="H287" s="220" t="n"/>
      <c r="I287" s="34" t="n">
        <v>30707000801</v>
      </c>
      <c r="J287" s="164" t="inlineStr">
        <is>
          <t>试剂</t>
        </is>
      </c>
      <c r="K287" s="39" t="inlineStr">
        <is>
          <t>良师</t>
        </is>
      </c>
      <c r="L287" s="39" t="inlineStr">
        <is>
          <t>义乌市教学仪器有限公司</t>
        </is>
      </c>
      <c r="M287" s="345" t="n">
        <v>500</v>
      </c>
      <c r="N287" s="345" t="n">
        <v>0.03</v>
      </c>
      <c r="O287" s="345" t="n">
        <v>15</v>
      </c>
      <c r="P287" s="345" t="inlineStr">
        <is>
          <t>g</t>
        </is>
      </c>
      <c r="Q287" s="345" t="inlineStr"/>
      <c r="R287" s="345" t="inlineStr"/>
      <c r="S287" s="345" t="inlineStr"/>
      <c r="T287" s="345" t="inlineStr">
        <is>
          <t>工业</t>
        </is>
      </c>
      <c r="U287" s="345" t="inlineStr"/>
      <c r="V287" s="345" t="inlineStr"/>
      <c r="W287" s="345" t="inlineStr"/>
      <c r="X287" s="345" t="inlineStr"/>
      <c r="Y287" s="345" t="inlineStr">
        <is>
          <t>confirmed</t>
        </is>
      </c>
      <c r="Z287" s="345" t="n">
        <v>0</v>
      </c>
      <c r="AA287" s="345" t="inlineStr">
        <is>
          <t>没有找到可靠候选</t>
        </is>
      </c>
      <c r="AB287" s="345" t="inlineStr">
        <is>
          <t>赛特尔25年.xls｜初中化学｜第256行</t>
        </is>
      </c>
    </row>
    <row r="288" customFormat="1" s="195">
      <c r="A288" s="323" t="n">
        <v>316</v>
      </c>
      <c r="B288" s="240" t="n">
        <v>30707002401</v>
      </c>
      <c r="C288" s="243" t="inlineStr">
        <is>
          <t>硫酸锰</t>
        </is>
      </c>
      <c r="D288" s="242" t="inlineStr">
        <is>
          <t>试剂</t>
        </is>
      </c>
      <c r="E288" s="34" t="n">
        <v>500</v>
      </c>
      <c r="F288" s="240" t="inlineStr">
        <is>
          <t>g</t>
        </is>
      </c>
      <c r="G288" s="31" t="n"/>
      <c r="H288" s="220" t="n"/>
      <c r="I288" s="34" t="n">
        <v>30707002401</v>
      </c>
      <c r="J288" s="164" t="inlineStr">
        <is>
          <t>试剂</t>
        </is>
      </c>
      <c r="K288" s="39" t="inlineStr">
        <is>
          <t>良师</t>
        </is>
      </c>
      <c r="L288" s="39" t="inlineStr">
        <is>
          <t>义乌市教学仪器有限公司</t>
        </is>
      </c>
      <c r="M288" s="345" t="n">
        <v>500</v>
      </c>
      <c r="N288" s="345" t="n">
        <v>0.03</v>
      </c>
      <c r="O288" s="345" t="n">
        <v>15</v>
      </c>
      <c r="P288" s="345" t="inlineStr">
        <is>
          <t>g</t>
        </is>
      </c>
      <c r="Q288" s="345" t="inlineStr"/>
      <c r="R288" s="345" t="inlineStr"/>
      <c r="S288" s="345" t="inlineStr"/>
      <c r="T288" s="345" t="inlineStr">
        <is>
          <t>工业</t>
        </is>
      </c>
      <c r="U288" s="345" t="inlineStr"/>
      <c r="V288" s="345" t="inlineStr"/>
      <c r="W288" s="345" t="inlineStr"/>
      <c r="X288" s="345" t="inlineStr"/>
      <c r="Y288" s="345" t="inlineStr">
        <is>
          <t>confirmed</t>
        </is>
      </c>
      <c r="Z288" s="345" t="n">
        <v>0</v>
      </c>
      <c r="AA288" s="345" t="inlineStr">
        <is>
          <t>没有找到可靠候选</t>
        </is>
      </c>
      <c r="AB288" s="345" t="inlineStr">
        <is>
          <t>赛特尔25年.xls｜初中化学｜第256行</t>
        </is>
      </c>
    </row>
    <row r="289" customFormat="1" s="195">
      <c r="A289" s="323" t="n">
        <v>317</v>
      </c>
      <c r="B289" s="240" t="n">
        <v>30707002201</v>
      </c>
      <c r="C289" s="243" t="inlineStr">
        <is>
          <t>硫酸锌</t>
        </is>
      </c>
      <c r="D289" s="242" t="inlineStr">
        <is>
          <t>试剂</t>
        </is>
      </c>
      <c r="E289" s="34" t="n">
        <v>500</v>
      </c>
      <c r="F289" s="240" t="inlineStr">
        <is>
          <t>g</t>
        </is>
      </c>
      <c r="G289" s="31" t="n"/>
      <c r="H289" s="220" t="n"/>
      <c r="I289" s="34" t="n">
        <v>30707002201</v>
      </c>
      <c r="J289" s="164" t="inlineStr">
        <is>
          <t>试剂</t>
        </is>
      </c>
      <c r="K289" s="39" t="inlineStr">
        <is>
          <t>良师</t>
        </is>
      </c>
      <c r="L289" s="39" t="inlineStr">
        <is>
          <t>义乌市教学仪器有限公司</t>
        </is>
      </c>
      <c r="M289" s="345" t="n">
        <v>500</v>
      </c>
      <c r="N289" s="345" t="n">
        <v>0.03</v>
      </c>
      <c r="O289" s="345" t="n">
        <v>15</v>
      </c>
      <c r="P289" s="345" t="inlineStr">
        <is>
          <t>g</t>
        </is>
      </c>
      <c r="Q289" s="345" t="inlineStr"/>
      <c r="R289" s="345" t="inlineStr"/>
      <c r="S289" s="345" t="inlineStr"/>
      <c r="T289" s="345" t="inlineStr">
        <is>
          <t>工业</t>
        </is>
      </c>
      <c r="U289" s="345" t="inlineStr"/>
      <c r="V289" s="345" t="inlineStr"/>
      <c r="W289" s="345" t="inlineStr"/>
      <c r="X289" s="345" t="inlineStr"/>
      <c r="Y289" s="345" t="inlineStr">
        <is>
          <t>confirmed</t>
        </is>
      </c>
      <c r="Z289" s="345" t="n">
        <v>0</v>
      </c>
      <c r="AA289" s="345" t="inlineStr">
        <is>
          <t>没有找到可靠候选</t>
        </is>
      </c>
      <c r="AB289" s="345" t="inlineStr">
        <is>
          <t>赛特尔25年.xls｜初中化学｜第256行</t>
        </is>
      </c>
    </row>
    <row r="290" customFormat="1" s="195">
      <c r="A290" s="323" t="n">
        <v>318</v>
      </c>
      <c r="B290" s="240" t="n">
        <v>30708000501</v>
      </c>
      <c r="C290" s="243" t="inlineStr">
        <is>
          <t>硫化亚铁</t>
        </is>
      </c>
      <c r="D290" s="242" t="inlineStr">
        <is>
          <t>试剂</t>
        </is>
      </c>
      <c r="E290" s="34" t="n">
        <v>500</v>
      </c>
      <c r="F290" s="240" t="inlineStr">
        <is>
          <t>g</t>
        </is>
      </c>
      <c r="G290" s="31" t="n"/>
      <c r="H290" s="220" t="n"/>
      <c r="I290" s="34" t="n">
        <v>30708000501</v>
      </c>
      <c r="J290" s="164" t="inlineStr">
        <is>
          <t>试剂</t>
        </is>
      </c>
      <c r="K290" s="39" t="inlineStr">
        <is>
          <t>良师</t>
        </is>
      </c>
      <c r="L290" s="39" t="inlineStr">
        <is>
          <t>义乌市教学仪器有限公司</t>
        </is>
      </c>
      <c r="M290" s="345" t="n">
        <v>500</v>
      </c>
      <c r="N290" s="345" t="n">
        <v>0.03</v>
      </c>
      <c r="O290" s="345" t="n">
        <v>15</v>
      </c>
      <c r="P290" s="345" t="inlineStr">
        <is>
          <t>g</t>
        </is>
      </c>
      <c r="Q290" s="345" t="inlineStr"/>
      <c r="R290" s="345" t="inlineStr"/>
      <c r="S290" s="345" t="inlineStr"/>
      <c r="T290" s="345" t="inlineStr"/>
      <c r="U290" s="345" t="inlineStr"/>
      <c r="V290" s="345" t="inlineStr"/>
      <c r="W290" s="345" t="inlineStr"/>
      <c r="X290" s="345" t="inlineStr"/>
      <c r="Y290" s="345" t="inlineStr">
        <is>
          <t>confirmed</t>
        </is>
      </c>
      <c r="Z290" s="345" t="n">
        <v>0</v>
      </c>
      <c r="AA290" s="345" t="inlineStr">
        <is>
          <t>没有找到可靠候选</t>
        </is>
      </c>
      <c r="AB290" s="345" t="inlineStr">
        <is>
          <t>赛特尔25年.xls｜高中化学｜第314行</t>
        </is>
      </c>
    </row>
    <row r="291" customFormat="1" s="195">
      <c r="A291" s="323" t="n">
        <v>319</v>
      </c>
      <c r="B291" s="240" t="n">
        <v>30710000201</v>
      </c>
      <c r="C291" s="243" t="inlineStr">
        <is>
          <t>碳酸钠</t>
        </is>
      </c>
      <c r="D291" s="242" t="inlineStr">
        <is>
          <t>工业</t>
        </is>
      </c>
      <c r="E291" s="34" t="n">
        <v>1000</v>
      </c>
      <c r="F291" s="240" t="inlineStr">
        <is>
          <t>g</t>
        </is>
      </c>
      <c r="G291" s="31" t="n"/>
      <c r="H291" s="220" t="n"/>
      <c r="I291" s="34" t="n">
        <v>30710000201</v>
      </c>
      <c r="J291" s="164" t="inlineStr">
        <is>
          <t>工业</t>
        </is>
      </c>
      <c r="K291" s="39" t="inlineStr">
        <is>
          <t>良师</t>
        </is>
      </c>
      <c r="L291" s="39" t="inlineStr">
        <is>
          <t>义乌市教学仪器有限公司</t>
        </is>
      </c>
      <c r="M291" s="345" t="n">
        <v>1000</v>
      </c>
      <c r="N291" s="345" t="n">
        <v>0.01</v>
      </c>
      <c r="O291" s="345" t="n">
        <v>10</v>
      </c>
      <c r="P291" s="345" t="inlineStr">
        <is>
          <t>g</t>
        </is>
      </c>
      <c r="Q291" s="345" t="inlineStr"/>
      <c r="R291" s="345" t="inlineStr"/>
      <c r="S291" s="345" t="inlineStr"/>
      <c r="T291" s="345" t="inlineStr">
        <is>
          <t>工业</t>
        </is>
      </c>
      <c r="U291" s="345" t="inlineStr"/>
      <c r="V291" s="345" t="inlineStr"/>
      <c r="W291" s="345" t="inlineStr"/>
      <c r="X291" s="345" t="inlineStr"/>
      <c r="Y291" s="345" t="inlineStr">
        <is>
          <t>confirmed</t>
        </is>
      </c>
      <c r="Z291" s="345" t="n">
        <v>100</v>
      </c>
      <c r="AA291" s="345" t="inlineStr"/>
      <c r="AB291" s="345" t="inlineStr">
        <is>
          <t>赛特尔25年.xls｜初中新课标化学｜第221行</t>
        </is>
      </c>
    </row>
    <row r="292" customFormat="1" s="195">
      <c r="A292" s="323" t="n">
        <v>320</v>
      </c>
      <c r="B292" s="240" t="n">
        <v>30710000301</v>
      </c>
      <c r="C292" s="243" t="inlineStr">
        <is>
          <t>碳酸氢钠</t>
        </is>
      </c>
      <c r="D292" s="242" t="inlineStr">
        <is>
          <t>工业</t>
        </is>
      </c>
      <c r="E292" s="34" t="n">
        <v>1000</v>
      </c>
      <c r="F292" s="240" t="inlineStr">
        <is>
          <t>g</t>
        </is>
      </c>
      <c r="G292" s="31" t="n"/>
      <c r="H292" s="220" t="n"/>
      <c r="I292" s="34" t="n">
        <v>30710000301</v>
      </c>
      <c r="J292" s="164" t="inlineStr">
        <is>
          <t>工业</t>
        </is>
      </c>
      <c r="K292" s="39" t="inlineStr">
        <is>
          <t>良师</t>
        </is>
      </c>
      <c r="L292" s="39" t="inlineStr">
        <is>
          <t>义乌市教学仪器有限公司</t>
        </is>
      </c>
      <c r="M292" s="345" t="n">
        <v>1000</v>
      </c>
      <c r="N292" s="345" t="n">
        <v>0.01</v>
      </c>
      <c r="O292" s="345" t="n">
        <v>10</v>
      </c>
      <c r="P292" s="345" t="inlineStr">
        <is>
          <t>g</t>
        </is>
      </c>
      <c r="Q292" s="345" t="inlineStr"/>
      <c r="R292" s="345" t="inlineStr"/>
      <c r="S292" s="345" t="inlineStr"/>
      <c r="T292" s="345" t="inlineStr">
        <is>
          <t>工业</t>
        </is>
      </c>
      <c r="U292" s="345" t="inlineStr"/>
      <c r="V292" s="345" t="inlineStr"/>
      <c r="W292" s="345" t="inlineStr"/>
      <c r="X292" s="345" t="inlineStr"/>
      <c r="Y292" s="345" t="inlineStr">
        <is>
          <t>confirmed</t>
        </is>
      </c>
      <c r="Z292" s="345" t="n">
        <v>100</v>
      </c>
      <c r="AA292" s="345" t="inlineStr"/>
      <c r="AB292" s="345" t="inlineStr">
        <is>
          <t>赛特尔25年.xls｜初中新课标生物｜第161行</t>
        </is>
      </c>
    </row>
    <row r="293" customFormat="1" s="195">
      <c r="A293" s="323" t="n">
        <v>321</v>
      </c>
      <c r="B293" s="240" t="n">
        <v>30710000401</v>
      </c>
      <c r="C293" s="243" t="inlineStr">
        <is>
          <t>大理石</t>
        </is>
      </c>
      <c r="D293" s="242" t="inlineStr">
        <is>
          <t>块状，试剂</t>
        </is>
      </c>
      <c r="E293" s="34" t="n">
        <v>1000</v>
      </c>
      <c r="F293" s="240" t="inlineStr">
        <is>
          <t>g</t>
        </is>
      </c>
      <c r="G293" s="31" t="n"/>
      <c r="H293" s="220" t="n"/>
      <c r="I293" s="34" t="n">
        <v>30710000401</v>
      </c>
      <c r="J293" s="164" t="inlineStr">
        <is>
          <t>块状，试剂</t>
        </is>
      </c>
      <c r="K293" s="39" t="inlineStr">
        <is>
          <t>良师</t>
        </is>
      </c>
      <c r="L293" s="39" t="inlineStr">
        <is>
          <t>义乌市教学仪器有限公司</t>
        </is>
      </c>
      <c r="M293" s="345" t="n">
        <v>1000</v>
      </c>
      <c r="N293" s="345" t="n">
        <v>0.02</v>
      </c>
      <c r="O293" s="345" t="n">
        <v>20</v>
      </c>
      <c r="P293" s="345" t="inlineStr">
        <is>
          <t>g</t>
        </is>
      </c>
      <c r="Q293" s="345" t="inlineStr"/>
      <c r="R293" s="345" t="inlineStr"/>
      <c r="S293" s="345" t="inlineStr"/>
      <c r="T293" s="345" t="inlineStr">
        <is>
          <t>块状</t>
        </is>
      </c>
      <c r="U293" s="345" t="inlineStr"/>
      <c r="V293" s="345" t="inlineStr"/>
      <c r="W293" s="345" t="inlineStr"/>
      <c r="X293" s="345" t="inlineStr"/>
      <c r="Y293" s="345" t="inlineStr">
        <is>
          <t>confirmed</t>
        </is>
      </c>
      <c r="Z293" s="345" t="n">
        <v>100</v>
      </c>
      <c r="AA293" s="345" t="inlineStr"/>
      <c r="AB293" s="345" t="inlineStr">
        <is>
          <t>赛特尔25年.xls｜初中新课标化学｜第223行</t>
        </is>
      </c>
    </row>
    <row r="294" customFormat="1" s="195">
      <c r="A294" s="323" t="n">
        <v>322</v>
      </c>
      <c r="B294" s="240" t="n">
        <v>30710000402</v>
      </c>
      <c r="C294" s="243" t="inlineStr">
        <is>
          <t>碳酸钙</t>
        </is>
      </c>
      <c r="D294" s="242" t="inlineStr">
        <is>
          <t>粉末，试剂</t>
        </is>
      </c>
      <c r="E294" s="34" t="n">
        <v>500</v>
      </c>
      <c r="F294" s="240" t="inlineStr">
        <is>
          <t>g</t>
        </is>
      </c>
      <c r="G294" s="31" t="n"/>
      <c r="H294" s="220" t="n"/>
      <c r="I294" s="34" t="n">
        <v>30710000402</v>
      </c>
      <c r="J294" s="164" t="inlineStr">
        <is>
          <t>粉末，试剂</t>
        </is>
      </c>
      <c r="K294" s="39" t="inlineStr">
        <is>
          <t>良师</t>
        </is>
      </c>
      <c r="L294" s="39" t="inlineStr">
        <is>
          <t>义乌市教学仪器有限公司</t>
        </is>
      </c>
      <c r="M294" s="345" t="n">
        <v>500</v>
      </c>
      <c r="N294" s="345" t="n">
        <v>0.02</v>
      </c>
      <c r="O294" s="345" t="n">
        <v>10</v>
      </c>
      <c r="P294" s="345" t="inlineStr">
        <is>
          <t>g</t>
        </is>
      </c>
      <c r="Q294" s="345" t="inlineStr"/>
      <c r="R294" s="345" t="inlineStr"/>
      <c r="S294" s="345" t="inlineStr"/>
      <c r="T294" s="345" t="inlineStr">
        <is>
          <t>粉末</t>
        </is>
      </c>
      <c r="U294" s="345" t="inlineStr"/>
      <c r="V294" s="345" t="inlineStr"/>
      <c r="W294" s="345" t="inlineStr"/>
      <c r="X294" s="345" t="inlineStr"/>
      <c r="Y294" s="345" t="inlineStr">
        <is>
          <t>confirmed</t>
        </is>
      </c>
      <c r="Z294" s="345" t="n">
        <v>100</v>
      </c>
      <c r="AA294" s="345" t="inlineStr"/>
      <c r="AB294" s="345" t="inlineStr">
        <is>
          <t>赛特尔25年.xls｜初中新课标化学｜第224行</t>
        </is>
      </c>
    </row>
    <row r="295" customFormat="1" s="195">
      <c r="A295" s="323" t="n">
        <v>323</v>
      </c>
      <c r="B295" s="240" t="n">
        <v>30710002102</v>
      </c>
      <c r="C295" s="243" t="inlineStr">
        <is>
          <t>碳酸氢铵</t>
        </is>
      </c>
      <c r="D295" s="242" t="inlineStr">
        <is>
          <t>工业</t>
        </is>
      </c>
      <c r="E295" s="34" t="n">
        <v>500</v>
      </c>
      <c r="F295" s="240" t="inlineStr">
        <is>
          <t>g</t>
        </is>
      </c>
      <c r="G295" s="31" t="n"/>
      <c r="H295" s="220" t="n"/>
      <c r="I295" s="34" t="n">
        <v>30710002102</v>
      </c>
      <c r="J295" s="164" t="inlineStr">
        <is>
          <t>工业</t>
        </is>
      </c>
      <c r="K295" s="39" t="inlineStr">
        <is>
          <t>良师</t>
        </is>
      </c>
      <c r="L295" s="39" t="inlineStr">
        <is>
          <t>义乌市教学仪器有限公司</t>
        </is>
      </c>
      <c r="M295" s="345" t="n">
        <v>500</v>
      </c>
      <c r="N295" s="345" t="n">
        <v>0.01</v>
      </c>
      <c r="O295" s="345" t="n">
        <v>5</v>
      </c>
      <c r="P295" s="345" t="inlineStr">
        <is>
          <t>g</t>
        </is>
      </c>
      <c r="Q295" s="345" t="inlineStr"/>
      <c r="R295" s="345" t="inlineStr"/>
      <c r="S295" s="345" t="inlineStr"/>
      <c r="T295" s="345" t="inlineStr">
        <is>
          <t>工业</t>
        </is>
      </c>
      <c r="U295" s="345" t="inlineStr"/>
      <c r="V295" s="345" t="inlineStr"/>
      <c r="W295" s="345" t="inlineStr"/>
      <c r="X295" s="345" t="inlineStr"/>
      <c r="Y295" s="345" t="inlineStr">
        <is>
          <t>confirmed</t>
        </is>
      </c>
      <c r="Z295" s="345" t="n">
        <v>100</v>
      </c>
      <c r="AA295" s="345" t="inlineStr"/>
      <c r="AB295" s="345" t="inlineStr">
        <is>
          <t>赛特尔25年.xls｜初中新课标化学｜第225行</t>
        </is>
      </c>
    </row>
    <row r="296" customFormat="1" s="195">
      <c r="A296" s="323" t="n">
        <v>324</v>
      </c>
      <c r="B296" s="240" t="n">
        <v>30711020201</v>
      </c>
      <c r="C296" s="243" t="inlineStr">
        <is>
          <t>硅酸钠</t>
        </is>
      </c>
      <c r="D296" s="242" t="inlineStr">
        <is>
          <t>试剂</t>
        </is>
      </c>
      <c r="E296" s="34" t="n">
        <v>100</v>
      </c>
      <c r="F296" s="240" t="inlineStr">
        <is>
          <t>mL</t>
        </is>
      </c>
      <c r="G296" s="31" t="n"/>
      <c r="H296" s="220" t="n"/>
      <c r="I296" s="34" t="n">
        <v>30711020201</v>
      </c>
      <c r="J296" s="164" t="inlineStr">
        <is>
          <t>试剂</t>
        </is>
      </c>
      <c r="K296" s="39" t="inlineStr">
        <is>
          <t>良师</t>
        </is>
      </c>
      <c r="L296" s="39" t="inlineStr">
        <is>
          <t>义乌市教学仪器有限公司</t>
        </is>
      </c>
      <c r="M296" s="345" t="n">
        <v>100</v>
      </c>
      <c r="N296" s="345" t="n">
        <v>0.03</v>
      </c>
      <c r="O296" s="345" t="n">
        <v>3</v>
      </c>
      <c r="P296" s="345" t="inlineStr">
        <is>
          <t>mL</t>
        </is>
      </c>
      <c r="Q296" s="345" t="inlineStr"/>
      <c r="R296" s="345" t="inlineStr"/>
      <c r="S296" s="345" t="inlineStr"/>
      <c r="T296" s="345" t="inlineStr">
        <is>
          <t>试剂</t>
        </is>
      </c>
      <c r="U296" s="345" t="inlineStr"/>
      <c r="V296" s="345" t="inlineStr"/>
      <c r="W296" s="345" t="inlineStr"/>
      <c r="X296" s="345" t="inlineStr"/>
      <c r="Y296" s="345" t="inlineStr">
        <is>
          <t>confirmed</t>
        </is>
      </c>
      <c r="Z296" s="345" t="n">
        <v>0</v>
      </c>
      <c r="AA296" s="345" t="inlineStr">
        <is>
          <t>没有找到可靠候选</t>
        </is>
      </c>
      <c r="AB296" s="345" t="inlineStr">
        <is>
          <t>赛特尔25年.xls｜高中化学｜第357行</t>
        </is>
      </c>
    </row>
    <row r="297" customFormat="1" s="195">
      <c r="A297" s="323" t="n">
        <v>325</v>
      </c>
      <c r="B297" s="240" t="n">
        <v>30726000201</v>
      </c>
      <c r="C297" s="243" t="inlineStr">
        <is>
          <t>乙酸钠</t>
        </is>
      </c>
      <c r="D297" s="242" t="inlineStr">
        <is>
          <t>试剂</t>
        </is>
      </c>
      <c r="E297" s="34" t="n">
        <v>500</v>
      </c>
      <c r="F297" s="240" t="inlineStr">
        <is>
          <t>g</t>
        </is>
      </c>
      <c r="G297" s="31" t="n"/>
      <c r="H297" s="220" t="n"/>
      <c r="I297" s="34" t="n">
        <v>30726000201</v>
      </c>
      <c r="J297" s="164" t="inlineStr">
        <is>
          <t>试剂</t>
        </is>
      </c>
      <c r="K297" s="39" t="inlineStr">
        <is>
          <t>良师</t>
        </is>
      </c>
      <c r="L297" s="39" t="inlineStr">
        <is>
          <t>义乌市教学仪器有限公司</t>
        </is>
      </c>
      <c r="M297" s="345" t="n">
        <v>500</v>
      </c>
      <c r="N297" s="345" t="n">
        <v>0.02</v>
      </c>
      <c r="O297" s="345" t="n">
        <v>10</v>
      </c>
      <c r="P297" s="345" t="inlineStr">
        <is>
          <t>g</t>
        </is>
      </c>
      <c r="Q297" s="345" t="inlineStr"/>
      <c r="R297" s="345" t="inlineStr"/>
      <c r="S297" s="345" t="inlineStr"/>
      <c r="T297" s="345" t="inlineStr">
        <is>
          <t>标准</t>
        </is>
      </c>
      <c r="U297" s="345" t="inlineStr"/>
      <c r="V297" s="345" t="inlineStr"/>
      <c r="W297" s="345" t="inlineStr"/>
      <c r="X297" s="345" t="inlineStr"/>
      <c r="Y297" s="345" t="inlineStr">
        <is>
          <t>confirmed</t>
        </is>
      </c>
      <c r="Z297" s="345" t="n">
        <v>0</v>
      </c>
      <c r="AA297" s="345" t="inlineStr">
        <is>
          <t>没有找到可靠候选</t>
        </is>
      </c>
      <c r="AB297" s="345" t="inlineStr">
        <is>
          <t>赛特尔25年.xls｜初中化学｜第260行</t>
        </is>
      </c>
    </row>
    <row r="298" customFormat="1" s="195">
      <c r="A298" s="323" t="n">
        <v>326</v>
      </c>
      <c r="B298" s="240" t="n">
        <v>30726001801</v>
      </c>
      <c r="C298" s="243" t="inlineStr">
        <is>
          <t>乙酸铅</t>
        </is>
      </c>
      <c r="D298" s="242" t="inlineStr">
        <is>
          <t>试剂</t>
        </is>
      </c>
      <c r="E298" s="34" t="n">
        <v>100</v>
      </c>
      <c r="F298" s="240" t="inlineStr">
        <is>
          <t>g</t>
        </is>
      </c>
      <c r="G298" s="31" t="n"/>
      <c r="H298" s="220" t="n"/>
      <c r="I298" s="34" t="n">
        <v>30726001801</v>
      </c>
      <c r="J298" s="164" t="inlineStr">
        <is>
          <t>试剂</t>
        </is>
      </c>
      <c r="K298" s="39" t="inlineStr">
        <is>
          <t>良师</t>
        </is>
      </c>
      <c r="L298" s="39" t="inlineStr">
        <is>
          <t>义乌市教学仪器有限公司</t>
        </is>
      </c>
      <c r="M298" s="345" t="n">
        <v>100</v>
      </c>
      <c r="N298" s="345" t="n">
        <v>0.02</v>
      </c>
      <c r="O298" s="345" t="n">
        <v>2</v>
      </c>
      <c r="P298" s="345" t="inlineStr">
        <is>
          <t>g</t>
        </is>
      </c>
      <c r="Q298" s="345" t="inlineStr"/>
      <c r="R298" s="345" t="inlineStr"/>
      <c r="S298" s="345" t="inlineStr"/>
      <c r="T298" s="345" t="inlineStr">
        <is>
          <t>标准</t>
        </is>
      </c>
      <c r="U298" s="345" t="inlineStr"/>
      <c r="V298" s="345" t="inlineStr"/>
      <c r="W298" s="345" t="inlineStr"/>
      <c r="X298" s="345" t="inlineStr"/>
      <c r="Y298" s="345" t="inlineStr">
        <is>
          <t>confirmed</t>
        </is>
      </c>
      <c r="Z298" s="345" t="n">
        <v>0</v>
      </c>
      <c r="AA298" s="345" t="inlineStr">
        <is>
          <t>没有找到可靠候选</t>
        </is>
      </c>
      <c r="AB298" s="345" t="inlineStr">
        <is>
          <t>赛特尔25年.xls｜初中化学｜第260行</t>
        </is>
      </c>
    </row>
    <row r="299" customFormat="1" s="195">
      <c r="A299" s="323" t="n">
        <v>327</v>
      </c>
      <c r="B299" s="240" t="n">
        <v>30709020101</v>
      </c>
      <c r="C299" s="243" t="inlineStr">
        <is>
          <t>硫氰酸钾</t>
        </is>
      </c>
      <c r="D299" s="242" t="inlineStr">
        <is>
          <t>试剂</t>
        </is>
      </c>
      <c r="E299" s="34" t="n">
        <v>500</v>
      </c>
      <c r="F299" s="240" t="inlineStr">
        <is>
          <t>g</t>
        </is>
      </c>
      <c r="G299" s="31" t="n"/>
      <c r="H299" s="220" t="n"/>
      <c r="I299" s="34" t="n">
        <v>30709020101</v>
      </c>
      <c r="J299" s="164" t="inlineStr">
        <is>
          <t>试剂</t>
        </is>
      </c>
      <c r="K299" s="39" t="inlineStr">
        <is>
          <t>良师</t>
        </is>
      </c>
      <c r="L299" s="39" t="inlineStr">
        <is>
          <t>义乌市教学仪器有限公司</t>
        </is>
      </c>
      <c r="M299" s="345" t="n">
        <v>500</v>
      </c>
      <c r="N299" s="345" t="n">
        <v>0.06</v>
      </c>
      <c r="O299" s="345" t="n">
        <v>30</v>
      </c>
      <c r="P299" s="345" t="inlineStr">
        <is>
          <t>g</t>
        </is>
      </c>
      <c r="Q299" s="345" t="inlineStr"/>
      <c r="R299" s="345" t="inlineStr"/>
      <c r="S299" s="345" t="inlineStr"/>
      <c r="T299" s="345" t="inlineStr">
        <is>
          <t>试剂</t>
        </is>
      </c>
      <c r="U299" s="345" t="inlineStr"/>
      <c r="V299" s="345" t="inlineStr"/>
      <c r="W299" s="345" t="inlineStr"/>
      <c r="X299" s="345" t="inlineStr"/>
      <c r="Y299" s="345" t="inlineStr">
        <is>
          <t>confirmed</t>
        </is>
      </c>
      <c r="Z299" s="345" t="n">
        <v>85.7</v>
      </c>
      <c r="AA299" s="345" t="inlineStr"/>
      <c r="AB299" s="345" t="inlineStr">
        <is>
          <t>赛特尔25年.xls｜初中新课标化学｜第214行</t>
        </is>
      </c>
    </row>
    <row r="300" customFormat="1" s="195">
      <c r="A300" s="323" t="n">
        <v>328</v>
      </c>
      <c r="B300" s="358" t="n">
        <v>30709021001</v>
      </c>
      <c r="C300" s="244" t="inlineStr">
        <is>
          <t>铁氰化钾</t>
        </is>
      </c>
      <c r="D300" s="242" t="inlineStr">
        <is>
          <t>试剂</t>
        </is>
      </c>
      <c r="E300" s="34" t="n">
        <v>500</v>
      </c>
      <c r="F300" s="240" t="inlineStr">
        <is>
          <t>g</t>
        </is>
      </c>
      <c r="G300" s="31" t="n"/>
      <c r="H300" s="220" t="n"/>
      <c r="I300" s="359" t="n">
        <v>30709021001</v>
      </c>
      <c r="J300" s="164" t="inlineStr">
        <is>
          <t>试剂</t>
        </is>
      </c>
      <c r="K300" s="39" t="inlineStr">
        <is>
          <t>良师</t>
        </is>
      </c>
      <c r="L300" s="39" t="inlineStr">
        <is>
          <t>义乌市教学仪器有限公司</t>
        </is>
      </c>
      <c r="M300" s="345" t="n">
        <v>500</v>
      </c>
      <c r="N300" s="345" t="n">
        <v>0.03</v>
      </c>
      <c r="O300" s="345" t="n">
        <v>15</v>
      </c>
      <c r="P300" s="345" t="inlineStr">
        <is>
          <t>g</t>
        </is>
      </c>
      <c r="Q300" s="345" t="inlineStr"/>
      <c r="R300" s="345" t="inlineStr"/>
      <c r="S300" s="345" t="inlineStr"/>
      <c r="T300" s="345" t="inlineStr"/>
      <c r="U300" s="345" t="inlineStr"/>
      <c r="V300" s="345" t="inlineStr"/>
      <c r="W300" s="345" t="inlineStr"/>
      <c r="X300" s="345" t="inlineStr"/>
      <c r="Y300" s="345" t="inlineStr">
        <is>
          <t>confirmed</t>
        </is>
      </c>
      <c r="Z300" s="345" t="n">
        <v>0</v>
      </c>
      <c r="AA300" s="345" t="inlineStr">
        <is>
          <t>匹配到商品档案但无历史价格记录</t>
        </is>
      </c>
      <c r="AB300" s="345" t="inlineStr">
        <is>
          <t>赛特尔25年.xls｜高中化学｜第314行</t>
        </is>
      </c>
    </row>
    <row r="301" customFormat="1" s="195">
      <c r="A301" s="323" t="n">
        <v>329</v>
      </c>
      <c r="B301" s="358" t="n">
        <v>30709000101</v>
      </c>
      <c r="C301" s="244" t="inlineStr">
        <is>
          <t>硫代硫酸钠</t>
        </is>
      </c>
      <c r="D301" s="242" t="inlineStr">
        <is>
          <t>试剂</t>
        </is>
      </c>
      <c r="E301" s="34" t="n">
        <v>500</v>
      </c>
      <c r="F301" s="240" t="inlineStr">
        <is>
          <t>g</t>
        </is>
      </c>
      <c r="G301" s="31" t="n"/>
      <c r="H301" s="220" t="n"/>
      <c r="I301" s="359" t="n">
        <v>30709000101</v>
      </c>
      <c r="J301" s="164" t="inlineStr">
        <is>
          <t>试剂</t>
        </is>
      </c>
      <c r="K301" s="39" t="inlineStr">
        <is>
          <t>良师</t>
        </is>
      </c>
      <c r="L301" s="39" t="inlineStr">
        <is>
          <t>义乌市教学仪器有限公司</t>
        </is>
      </c>
      <c r="M301" s="345" t="n">
        <v>500</v>
      </c>
      <c r="N301" s="345" t="n">
        <v>0.03</v>
      </c>
      <c r="O301" s="345" t="n">
        <v>15</v>
      </c>
      <c r="P301" s="345" t="inlineStr">
        <is>
          <t>g</t>
        </is>
      </c>
      <c r="Q301" s="345" t="inlineStr"/>
      <c r="R301" s="345" t="inlineStr"/>
      <c r="S301" s="345" t="inlineStr"/>
      <c r="T301" s="345" t="inlineStr">
        <is>
          <t>工业</t>
        </is>
      </c>
      <c r="U301" s="345" t="inlineStr"/>
      <c r="V301" s="345" t="inlineStr"/>
      <c r="W301" s="345" t="inlineStr"/>
      <c r="X301" s="345" t="inlineStr"/>
      <c r="Y301" s="345" t="inlineStr">
        <is>
          <t>confirmed</t>
        </is>
      </c>
      <c r="Z301" s="345" t="n">
        <v>0</v>
      </c>
      <c r="AA301" s="345" t="inlineStr">
        <is>
          <t>匹配到商品档案但无历史价格记录</t>
        </is>
      </c>
      <c r="AB301" s="345" t="inlineStr">
        <is>
          <t>赛特尔25年.xls｜初中化学｜第256行</t>
        </is>
      </c>
    </row>
    <row r="302" customFormat="1" s="195">
      <c r="A302" s="323" t="n">
        <v>330</v>
      </c>
      <c r="B302" s="240" t="n">
        <v>30714000501</v>
      </c>
      <c r="C302" s="243" t="inlineStr">
        <is>
          <t>硼酸</t>
        </is>
      </c>
      <c r="D302" s="242" t="inlineStr">
        <is>
          <t>试剂</t>
        </is>
      </c>
      <c r="E302" s="34" t="n">
        <v>500</v>
      </c>
      <c r="F302" s="240" t="inlineStr">
        <is>
          <t>g</t>
        </is>
      </c>
      <c r="G302" s="31" t="n"/>
      <c r="H302" s="220" t="n"/>
      <c r="I302" s="34" t="n">
        <v>30714000501</v>
      </c>
      <c r="J302" s="164" t="inlineStr">
        <is>
          <t>试剂</t>
        </is>
      </c>
      <c r="K302" s="39" t="inlineStr">
        <is>
          <t>良师</t>
        </is>
      </c>
      <c r="L302" s="39" t="inlineStr">
        <is>
          <t>义乌市教学仪器有限公司</t>
        </is>
      </c>
      <c r="M302" s="345" t="n">
        <v>500</v>
      </c>
      <c r="N302" s="345" t="n">
        <v>0.02</v>
      </c>
      <c r="O302" s="345" t="n">
        <v>10</v>
      </c>
      <c r="P302" s="345" t="inlineStr">
        <is>
          <t>g</t>
        </is>
      </c>
      <c r="Q302" s="345" t="inlineStr"/>
      <c r="R302" s="345" t="inlineStr"/>
      <c r="S302" s="345" t="inlineStr"/>
      <c r="T302" s="345" t="inlineStr">
        <is>
          <t>试剂</t>
        </is>
      </c>
      <c r="U302" s="345" t="inlineStr"/>
      <c r="V302" s="345" t="inlineStr"/>
      <c r="W302" s="345" t="inlineStr"/>
      <c r="X302" s="345" t="inlineStr"/>
      <c r="Y302" s="345" t="inlineStr">
        <is>
          <t>confirmed</t>
        </is>
      </c>
      <c r="Z302" s="345" t="n">
        <v>0</v>
      </c>
      <c r="AA302" s="345" t="inlineStr">
        <is>
          <t>没有找到可靠候选</t>
        </is>
      </c>
      <c r="AB302" s="345" t="inlineStr">
        <is>
          <t>赛特尔25年.xls｜高中化学｜第363行</t>
        </is>
      </c>
    </row>
    <row r="303" customFormat="1" s="195">
      <c r="A303" s="323" t="n">
        <v>331</v>
      </c>
      <c r="B303" s="240" t="n">
        <v>30715002301</v>
      </c>
      <c r="C303" s="243" t="inlineStr">
        <is>
          <t>氢氧化钡</t>
        </is>
      </c>
      <c r="D303" s="242" t="inlineStr">
        <is>
          <t>试剂</t>
        </is>
      </c>
      <c r="E303" s="34" t="n">
        <v>500</v>
      </c>
      <c r="F303" s="240" t="inlineStr">
        <is>
          <t>g</t>
        </is>
      </c>
      <c r="G303" s="31" t="n"/>
      <c r="H303" s="220" t="n"/>
      <c r="I303" s="34" t="n">
        <v>30715002301</v>
      </c>
      <c r="J303" s="164" t="inlineStr">
        <is>
          <t>试剂</t>
        </is>
      </c>
      <c r="K303" s="39" t="inlineStr">
        <is>
          <t>良师</t>
        </is>
      </c>
      <c r="L303" s="39" t="inlineStr">
        <is>
          <t>义乌市教学仪器有限公司</t>
        </is>
      </c>
      <c r="M303" s="345" t="n">
        <v>500</v>
      </c>
      <c r="N303" s="345" t="n">
        <v>0.04</v>
      </c>
      <c r="O303" s="345" t="n">
        <v>20</v>
      </c>
      <c r="P303" s="345" t="inlineStr">
        <is>
          <t>g</t>
        </is>
      </c>
      <c r="Q303" s="345" t="inlineStr"/>
      <c r="R303" s="345" t="inlineStr"/>
      <c r="S303" s="345" t="inlineStr"/>
      <c r="T303" s="345" t="inlineStr">
        <is>
          <t>试剂</t>
        </is>
      </c>
      <c r="U303" s="345" t="inlineStr"/>
      <c r="V303" s="345" t="inlineStr"/>
      <c r="W303" s="345" t="inlineStr"/>
      <c r="X303" s="345" t="inlineStr"/>
      <c r="Y303" s="345" t="inlineStr">
        <is>
          <t>confirmed</t>
        </is>
      </c>
      <c r="Z303" s="345" t="n">
        <v>100</v>
      </c>
      <c r="AA303" s="345" t="inlineStr"/>
      <c r="AB303" s="345" t="inlineStr">
        <is>
          <t>赛特尔25年.xls｜初中新课标化学｜第242行</t>
        </is>
      </c>
    </row>
    <row r="304" customFormat="1" s="195">
      <c r="A304" s="323" t="n">
        <v>332</v>
      </c>
      <c r="B304" s="240" t="n">
        <v>30715000501</v>
      </c>
      <c r="C304" s="243" t="inlineStr">
        <is>
          <t>氨水</t>
        </is>
      </c>
      <c r="D304" s="242" t="inlineStr">
        <is>
          <t>试剂</t>
        </is>
      </c>
      <c r="E304" s="34" t="n">
        <v>1000</v>
      </c>
      <c r="F304" s="240" t="inlineStr">
        <is>
          <t>mL</t>
        </is>
      </c>
      <c r="G304" s="31" t="n"/>
      <c r="H304" s="220" t="n"/>
      <c r="I304" s="34" t="n">
        <v>30715000501</v>
      </c>
      <c r="J304" s="164" t="inlineStr">
        <is>
          <t>试剂</t>
        </is>
      </c>
      <c r="K304" s="39" t="inlineStr">
        <is>
          <t>良师</t>
        </is>
      </c>
      <c r="L304" s="39" t="inlineStr">
        <is>
          <t>义乌市教学仪器有限公司</t>
        </is>
      </c>
      <c r="M304" s="345" t="n">
        <v>1000</v>
      </c>
      <c r="N304" s="345" t="n">
        <v>0.02</v>
      </c>
      <c r="O304" s="345" t="n">
        <v>20</v>
      </c>
      <c r="P304" s="345" t="inlineStr">
        <is>
          <t>mL</t>
        </is>
      </c>
      <c r="Q304" s="345" t="inlineStr"/>
      <c r="R304" s="345" t="inlineStr"/>
      <c r="S304" s="345" t="inlineStr"/>
      <c r="T304" s="345" t="inlineStr">
        <is>
          <t>试剂</t>
        </is>
      </c>
      <c r="U304" s="345" t="inlineStr"/>
      <c r="V304" s="345" t="inlineStr"/>
      <c r="W304" s="345" t="inlineStr"/>
      <c r="X304" s="345" t="inlineStr"/>
      <c r="Y304" s="345" t="inlineStr">
        <is>
          <t>confirmed</t>
        </is>
      </c>
      <c r="Z304" s="345" t="n">
        <v>100</v>
      </c>
      <c r="AA304" s="345" t="inlineStr"/>
      <c r="AB304" s="345" t="inlineStr">
        <is>
          <t>赛特尔25年.xls｜初中新课标化学｜第243行</t>
        </is>
      </c>
    </row>
    <row r="305" customFormat="1" s="195">
      <c r="A305" s="323" t="n">
        <v>333</v>
      </c>
      <c r="B305" s="240" t="n">
        <v>30702002001</v>
      </c>
      <c r="C305" s="243" t="inlineStr">
        <is>
          <t>氧化钙</t>
        </is>
      </c>
      <c r="D305" s="242" t="inlineStr">
        <is>
          <t>试剂</t>
        </is>
      </c>
      <c r="E305" s="34" t="n">
        <v>500</v>
      </c>
      <c r="F305" s="240" t="inlineStr">
        <is>
          <t>g</t>
        </is>
      </c>
      <c r="G305" s="31" t="n"/>
      <c r="H305" s="220" t="n"/>
      <c r="I305" s="34" t="n">
        <v>30702002001</v>
      </c>
      <c r="J305" s="164" t="inlineStr">
        <is>
          <t>试剂</t>
        </is>
      </c>
      <c r="K305" s="39" t="inlineStr">
        <is>
          <t>良师</t>
        </is>
      </c>
      <c r="L305" s="39" t="inlineStr">
        <is>
          <t>义乌市教学仪器有限公司</t>
        </is>
      </c>
      <c r="M305" s="345" t="n">
        <v>500</v>
      </c>
      <c r="N305" s="345" t="n">
        <v>0.03</v>
      </c>
      <c r="O305" s="345" t="n">
        <v>15</v>
      </c>
      <c r="P305" s="345" t="inlineStr">
        <is>
          <t>g</t>
        </is>
      </c>
      <c r="Q305" s="345" t="inlineStr"/>
      <c r="R305" s="345" t="inlineStr"/>
      <c r="S305" s="345" t="inlineStr"/>
      <c r="T305" s="345" t="inlineStr">
        <is>
          <t>试剂</t>
        </is>
      </c>
      <c r="U305" s="345" t="inlineStr"/>
      <c r="V305" s="345" t="inlineStr"/>
      <c r="W305" s="345" t="inlineStr"/>
      <c r="X305" s="345" t="inlineStr"/>
      <c r="Y305" s="345" t="inlineStr">
        <is>
          <t>confirmed</t>
        </is>
      </c>
      <c r="Z305" s="345" t="n">
        <v>100</v>
      </c>
      <c r="AA305" s="345" t="inlineStr"/>
      <c r="AB305" s="345" t="inlineStr">
        <is>
          <t>赛特尔25年.xls｜初中新课标化学｜第203行</t>
        </is>
      </c>
    </row>
    <row r="306" customFormat="1" s="195">
      <c r="A306" s="323" t="n">
        <v>334</v>
      </c>
      <c r="B306" s="240" t="n">
        <v>30715001101</v>
      </c>
      <c r="C306" s="243" t="inlineStr">
        <is>
          <t>氢氧化钙</t>
        </is>
      </c>
      <c r="D306" s="242" t="inlineStr">
        <is>
          <t>试剂</t>
        </is>
      </c>
      <c r="E306" s="34" t="n">
        <v>1000</v>
      </c>
      <c r="F306" s="240" t="inlineStr">
        <is>
          <t>g</t>
        </is>
      </c>
      <c r="G306" s="31" t="n"/>
      <c r="H306" s="220" t="n"/>
      <c r="I306" s="34" t="n">
        <v>30715001101</v>
      </c>
      <c r="J306" s="164" t="inlineStr">
        <is>
          <t>试剂</t>
        </is>
      </c>
      <c r="K306" s="39" t="inlineStr">
        <is>
          <t>良师</t>
        </is>
      </c>
      <c r="L306" s="39" t="inlineStr">
        <is>
          <t>义乌市教学仪器有限公司</t>
        </is>
      </c>
      <c r="M306" s="345" t="n">
        <v>1000</v>
      </c>
      <c r="N306" s="345" t="n">
        <v>0.01</v>
      </c>
      <c r="O306" s="345" t="n">
        <v>10</v>
      </c>
      <c r="P306" s="345" t="inlineStr">
        <is>
          <t>g</t>
        </is>
      </c>
      <c r="Q306" s="345" t="inlineStr"/>
      <c r="R306" s="345" t="inlineStr"/>
      <c r="S306" s="345" t="inlineStr"/>
      <c r="T306" s="345" t="inlineStr">
        <is>
          <t>试剂</t>
        </is>
      </c>
      <c r="U306" s="345" t="inlineStr"/>
      <c r="V306" s="345" t="inlineStr"/>
      <c r="W306" s="345" t="inlineStr"/>
      <c r="X306" s="345" t="inlineStr"/>
      <c r="Y306" s="345" t="inlineStr">
        <is>
          <t>confirmed</t>
        </is>
      </c>
      <c r="Z306" s="345" t="n">
        <v>0</v>
      </c>
      <c r="AA306" s="345" t="inlineStr">
        <is>
          <t>匹配到商品档案但无历史价格记录</t>
        </is>
      </c>
      <c r="AB306" s="345" t="inlineStr">
        <is>
          <t>赛特尔25年.xls｜高中生物｜第207行</t>
        </is>
      </c>
    </row>
    <row r="307" customFormat="1" s="195">
      <c r="A307" s="323" t="n">
        <v>335</v>
      </c>
      <c r="B307" s="240" t="n">
        <v>30715001301</v>
      </c>
      <c r="C307" s="243" t="inlineStr">
        <is>
          <t>碱石灰</t>
        </is>
      </c>
      <c r="D307" s="242" t="inlineStr">
        <is>
          <t>试剂</t>
        </is>
      </c>
      <c r="E307" s="34" t="n">
        <v>500</v>
      </c>
      <c r="F307" s="240" t="inlineStr">
        <is>
          <t>g</t>
        </is>
      </c>
      <c r="G307" s="31" t="n"/>
      <c r="H307" s="220" t="n"/>
      <c r="I307" s="34" t="n">
        <v>30715001301</v>
      </c>
      <c r="J307" s="164" t="inlineStr">
        <is>
          <t>试剂</t>
        </is>
      </c>
      <c r="K307" s="39" t="inlineStr">
        <is>
          <t>良师</t>
        </is>
      </c>
      <c r="L307" s="39" t="inlineStr">
        <is>
          <t>义乌市教学仪器有限公司</t>
        </is>
      </c>
      <c r="M307" s="345" t="n">
        <v>500</v>
      </c>
      <c r="N307" s="345" t="n">
        <v>0.03</v>
      </c>
      <c r="O307" s="345" t="n">
        <v>15</v>
      </c>
      <c r="P307" s="345" t="inlineStr">
        <is>
          <t>g</t>
        </is>
      </c>
      <c r="Q307" s="345" t="inlineStr"/>
      <c r="R307" s="345" t="inlineStr"/>
      <c r="S307" s="345" t="inlineStr"/>
      <c r="T307" s="345" t="inlineStr">
        <is>
          <t>工业</t>
        </is>
      </c>
      <c r="U307" s="345" t="inlineStr"/>
      <c r="V307" s="345" t="inlineStr"/>
      <c r="W307" s="345" t="inlineStr"/>
      <c r="X307" s="345" t="inlineStr"/>
      <c r="Y307" s="345" t="inlineStr">
        <is>
          <t>confirmed</t>
        </is>
      </c>
      <c r="Z307" s="345" t="n">
        <v>100</v>
      </c>
      <c r="AA307" s="345" t="inlineStr"/>
      <c r="AB307" s="345" t="inlineStr">
        <is>
          <t>赛特尔25年.xls｜初中新课标化学｜第245行</t>
        </is>
      </c>
    </row>
    <row r="308" customFormat="1" s="195">
      <c r="A308" s="323" t="n">
        <v>336</v>
      </c>
      <c r="B308" s="240" t="n">
        <v>30715001501</v>
      </c>
      <c r="C308" s="243" t="inlineStr">
        <is>
          <t>氢氧化镁</t>
        </is>
      </c>
      <c r="D308" s="242" t="inlineStr">
        <is>
          <t>试剂</t>
        </is>
      </c>
      <c r="E308" s="34" t="n">
        <v>500</v>
      </c>
      <c r="F308" s="240" t="inlineStr">
        <is>
          <t>g</t>
        </is>
      </c>
      <c r="G308" s="31" t="n"/>
      <c r="H308" s="220" t="n"/>
      <c r="I308" s="34" t="n">
        <v>30715001501</v>
      </c>
      <c r="J308" s="164" t="inlineStr">
        <is>
          <t>试剂</t>
        </is>
      </c>
      <c r="K308" s="39" t="inlineStr">
        <is>
          <t>良师</t>
        </is>
      </c>
      <c r="L308" s="39" t="inlineStr">
        <is>
          <t>义乌市教学仪器有限公司</t>
        </is>
      </c>
      <c r="M308" s="345" t="n">
        <v>500</v>
      </c>
      <c r="N308" s="345" t="n">
        <v>0.01</v>
      </c>
      <c r="O308" s="345" t="n">
        <v>5</v>
      </c>
      <c r="P308" s="345" t="inlineStr">
        <is>
          <t>g</t>
        </is>
      </c>
      <c r="Q308" s="345" t="inlineStr"/>
      <c r="R308" s="345" t="inlineStr"/>
      <c r="S308" s="345" t="inlineStr"/>
      <c r="T308" s="345" t="inlineStr">
        <is>
          <t>试剂</t>
        </is>
      </c>
      <c r="U308" s="345" t="inlineStr"/>
      <c r="V308" s="345" t="inlineStr"/>
      <c r="W308" s="345" t="inlineStr"/>
      <c r="X308" s="345" t="inlineStr"/>
      <c r="Y308" s="345" t="inlineStr">
        <is>
          <t>confirmed</t>
        </is>
      </c>
      <c r="Z308" s="345" t="n">
        <v>0</v>
      </c>
      <c r="AA308" s="345" t="inlineStr">
        <is>
          <t>匹配到商品档案但无历史价格记录</t>
        </is>
      </c>
      <c r="AB308" s="345" t="inlineStr">
        <is>
          <t>赛特尔25年.xls｜高中生物｜第207行</t>
        </is>
      </c>
    </row>
    <row r="309" customFormat="1" s="195">
      <c r="A309" s="323" t="n">
        <v>337</v>
      </c>
      <c r="B309" s="240" t="n">
        <v>30715001601</v>
      </c>
      <c r="C309" s="243" t="inlineStr">
        <is>
          <t>氢氧化铝</t>
        </is>
      </c>
      <c r="D309" s="242" t="inlineStr">
        <is>
          <t>试剂</t>
        </is>
      </c>
      <c r="E309" s="34" t="n">
        <v>500</v>
      </c>
      <c r="F309" s="240" t="inlineStr">
        <is>
          <t>g</t>
        </is>
      </c>
      <c r="G309" s="31" t="n"/>
      <c r="H309" s="220" t="n"/>
      <c r="I309" s="34" t="n">
        <v>30715001601</v>
      </c>
      <c r="J309" s="164" t="inlineStr">
        <is>
          <t>试剂</t>
        </is>
      </c>
      <c r="K309" s="39" t="inlineStr">
        <is>
          <t>良师</t>
        </is>
      </c>
      <c r="L309" s="39" t="inlineStr">
        <is>
          <t>义乌市教学仪器有限公司</t>
        </is>
      </c>
      <c r="M309" s="345" t="n">
        <v>500</v>
      </c>
      <c r="N309" s="345" t="n">
        <v>0.04</v>
      </c>
      <c r="O309" s="345" t="n">
        <v>20</v>
      </c>
      <c r="P309" s="345" t="inlineStr">
        <is>
          <t>g</t>
        </is>
      </c>
      <c r="Q309" s="345" t="inlineStr"/>
      <c r="R309" s="345" t="inlineStr"/>
      <c r="S309" s="345" t="inlineStr"/>
      <c r="T309" s="345" t="inlineStr">
        <is>
          <t>试剂</t>
        </is>
      </c>
      <c r="U309" s="345" t="inlineStr"/>
      <c r="V309" s="345" t="inlineStr"/>
      <c r="W309" s="345" t="inlineStr"/>
      <c r="X309" s="345" t="inlineStr"/>
      <c r="Y309" s="345" t="inlineStr">
        <is>
          <t>confirmed</t>
        </is>
      </c>
      <c r="Z309" s="345" t="n">
        <v>0</v>
      </c>
      <c r="AA309" s="345" t="inlineStr">
        <is>
          <t>没有找到可靠候选</t>
        </is>
      </c>
      <c r="AB309" s="345" t="inlineStr">
        <is>
          <t>赛特尔25年.xls｜高中化学｜第322行</t>
        </is>
      </c>
    </row>
    <row r="310" customFormat="1" s="195">
      <c r="A310" s="323" t="n">
        <v>338</v>
      </c>
      <c r="B310" s="240" t="n">
        <v>30722030101</v>
      </c>
      <c r="C310" s="243" t="inlineStr">
        <is>
          <t>丙三醇</t>
        </is>
      </c>
      <c r="D310" s="242" t="inlineStr">
        <is>
          <t>试剂</t>
        </is>
      </c>
      <c r="E310" s="34" t="n">
        <v>500</v>
      </c>
      <c r="F310" s="240" t="inlineStr">
        <is>
          <t>ml</t>
        </is>
      </c>
      <c r="G310" s="31" t="n"/>
      <c r="H310" s="220" t="n"/>
      <c r="I310" s="34" t="n">
        <v>30722030101</v>
      </c>
      <c r="J310" s="164" t="inlineStr">
        <is>
          <t>试剂</t>
        </is>
      </c>
      <c r="K310" s="39" t="inlineStr">
        <is>
          <t>良师</t>
        </is>
      </c>
      <c r="L310" s="39" t="inlineStr">
        <is>
          <t>义乌市教学仪器有限公司</t>
        </is>
      </c>
      <c r="M310" s="345" t="n">
        <v>500</v>
      </c>
      <c r="N310" s="345" t="n">
        <v>0.03</v>
      </c>
      <c r="O310" s="345" t="n">
        <v>15</v>
      </c>
      <c r="P310" s="345" t="inlineStr">
        <is>
          <t>ml</t>
        </is>
      </c>
      <c r="Q310" s="345" t="inlineStr"/>
      <c r="R310" s="345" t="inlineStr"/>
      <c r="S310" s="345" t="inlineStr"/>
      <c r="T310" s="345" t="inlineStr">
        <is>
          <t>试剂</t>
        </is>
      </c>
      <c r="U310" s="345" t="inlineStr"/>
      <c r="V310" s="345" t="inlineStr"/>
      <c r="W310" s="345" t="inlineStr"/>
      <c r="X310" s="345" t="inlineStr"/>
      <c r="Y310" s="345" t="inlineStr">
        <is>
          <t>confirmed</t>
        </is>
      </c>
      <c r="Z310" s="345" t="n">
        <v>0</v>
      </c>
      <c r="AA310" s="345" t="inlineStr">
        <is>
          <t>没有找到可靠候选</t>
        </is>
      </c>
      <c r="AB310" s="345" t="inlineStr">
        <is>
          <t>赛特尔25年.xls｜高中化学｜第371行</t>
        </is>
      </c>
    </row>
    <row r="311" customFormat="1" s="195">
      <c r="A311" s="323" t="n">
        <v>339</v>
      </c>
      <c r="B311" s="240" t="n">
        <v>30733000101</v>
      </c>
      <c r="C311" s="243" t="inlineStr">
        <is>
          <t>葡萄糖</t>
        </is>
      </c>
      <c r="D311" s="242" t="inlineStr">
        <is>
          <t>试剂</t>
        </is>
      </c>
      <c r="E311" s="34" t="n">
        <v>500</v>
      </c>
      <c r="F311" s="240" t="inlineStr">
        <is>
          <t>g</t>
        </is>
      </c>
      <c r="G311" s="31" t="n"/>
      <c r="H311" s="220" t="n"/>
      <c r="I311" s="34" t="n">
        <v>30733000101</v>
      </c>
      <c r="J311" s="164" t="inlineStr">
        <is>
          <t>试剂</t>
        </is>
      </c>
      <c r="K311" s="39" t="inlineStr">
        <is>
          <t>良师</t>
        </is>
      </c>
      <c r="L311" s="39" t="inlineStr">
        <is>
          <t>义乌市教学仪器有限公司</t>
        </is>
      </c>
      <c r="M311" s="345" t="n">
        <v>500</v>
      </c>
      <c r="N311" s="345" t="n">
        <v>0.03</v>
      </c>
      <c r="O311" s="345" t="n">
        <v>15</v>
      </c>
      <c r="P311" s="345" t="inlineStr">
        <is>
          <t>g</t>
        </is>
      </c>
      <c r="Q311" s="345" t="inlineStr"/>
      <c r="R311" s="345" t="inlineStr"/>
      <c r="S311" s="345" t="inlineStr"/>
      <c r="T311" s="345" t="inlineStr">
        <is>
          <t>试剂</t>
        </is>
      </c>
      <c r="U311" s="345" t="inlineStr"/>
      <c r="V311" s="345" t="inlineStr"/>
      <c r="W311" s="345" t="inlineStr"/>
      <c r="X311" s="345" t="inlineStr"/>
      <c r="Y311" s="345" t="inlineStr">
        <is>
          <t>confirmed</t>
        </is>
      </c>
      <c r="Z311" s="345" t="n">
        <v>100</v>
      </c>
      <c r="AA311" s="345" t="inlineStr"/>
      <c r="AB311" s="345" t="inlineStr">
        <is>
          <t>赛特尔25年.xls｜初中新课标生物｜第173行</t>
        </is>
      </c>
    </row>
    <row r="312" customFormat="1" s="195">
      <c r="A312" s="323" t="n">
        <v>340</v>
      </c>
      <c r="B312" s="240" t="n">
        <v>30733000201</v>
      </c>
      <c r="C312" s="243" t="inlineStr">
        <is>
          <t>蔗糖</t>
        </is>
      </c>
      <c r="D312" s="242" t="inlineStr">
        <is>
          <t>试剂</t>
        </is>
      </c>
      <c r="E312" s="34" t="n">
        <v>500</v>
      </c>
      <c r="F312" s="240" t="inlineStr">
        <is>
          <t>g</t>
        </is>
      </c>
      <c r="G312" s="31" t="n"/>
      <c r="H312" s="220" t="n"/>
      <c r="I312" s="34" t="n">
        <v>30733000201</v>
      </c>
      <c r="J312" s="164" t="inlineStr">
        <is>
          <t>试剂</t>
        </is>
      </c>
      <c r="K312" s="39" t="inlineStr">
        <is>
          <t>良师</t>
        </is>
      </c>
      <c r="L312" s="39" t="inlineStr">
        <is>
          <t>义乌市教学仪器有限公司</t>
        </is>
      </c>
      <c r="M312" s="345" t="n">
        <v>500</v>
      </c>
      <c r="N312" s="345" t="n">
        <v>0.03</v>
      </c>
      <c r="O312" s="345" t="n">
        <v>15</v>
      </c>
      <c r="P312" s="345" t="inlineStr">
        <is>
          <t>g</t>
        </is>
      </c>
      <c r="Q312" s="345" t="inlineStr"/>
      <c r="R312" s="345" t="inlineStr"/>
      <c r="S312" s="345" t="inlineStr"/>
      <c r="T312" s="345" t="inlineStr">
        <is>
          <t>试剂</t>
        </is>
      </c>
      <c r="U312" s="345" t="inlineStr"/>
      <c r="V312" s="345" t="inlineStr"/>
      <c r="W312" s="345" t="inlineStr"/>
      <c r="X312" s="345" t="inlineStr"/>
      <c r="Y312" s="345" t="inlineStr">
        <is>
          <t>confirmed</t>
        </is>
      </c>
      <c r="Z312" s="345" t="n">
        <v>100</v>
      </c>
      <c r="AA312" s="345" t="inlineStr"/>
      <c r="AB312" s="345" t="inlineStr">
        <is>
          <t>赛特尔25年.xls｜初中新课标生物｜第170行</t>
        </is>
      </c>
    </row>
    <row r="313" customFormat="1" s="195">
      <c r="A313" s="323" t="n">
        <v>341</v>
      </c>
      <c r="B313" s="240" t="n">
        <v>30734000101</v>
      </c>
      <c r="C313" s="243" t="inlineStr">
        <is>
          <t>可溶性淀粉</t>
        </is>
      </c>
      <c r="D313" s="242" t="inlineStr">
        <is>
          <t>试剂</t>
        </is>
      </c>
      <c r="E313" s="34" t="n">
        <v>500</v>
      </c>
      <c r="F313" s="240" t="inlineStr">
        <is>
          <t>g</t>
        </is>
      </c>
      <c r="G313" s="31" t="n"/>
      <c r="H313" s="220" t="n"/>
      <c r="I313" s="34" t="n">
        <v>30734000101</v>
      </c>
      <c r="J313" s="164" t="inlineStr">
        <is>
          <t>试剂</t>
        </is>
      </c>
      <c r="K313" s="39" t="inlineStr">
        <is>
          <t>良师</t>
        </is>
      </c>
      <c r="L313" s="39" t="inlineStr">
        <is>
          <t>义乌市教学仪器有限公司</t>
        </is>
      </c>
      <c r="M313" s="345" t="n">
        <v>500</v>
      </c>
      <c r="N313" s="345" t="n">
        <v>0.03</v>
      </c>
      <c r="O313" s="345" t="n">
        <v>15</v>
      </c>
      <c r="P313" s="345" t="inlineStr">
        <is>
          <t>g</t>
        </is>
      </c>
      <c r="Q313" s="345" t="inlineStr"/>
      <c r="R313" s="345" t="inlineStr"/>
      <c r="S313" s="345" t="inlineStr"/>
      <c r="T313" s="345" t="inlineStr">
        <is>
          <t>试剂</t>
        </is>
      </c>
      <c r="U313" s="345" t="inlineStr"/>
      <c r="V313" s="345" t="inlineStr"/>
      <c r="W313" s="345" t="inlineStr"/>
      <c r="X313" s="345" t="inlineStr"/>
      <c r="Y313" s="345" t="inlineStr">
        <is>
          <t>confirmed</t>
        </is>
      </c>
      <c r="Z313" s="345" t="n">
        <v>100</v>
      </c>
      <c r="AA313" s="345" t="inlineStr"/>
      <c r="AB313" s="345" t="inlineStr">
        <is>
          <t>赛特尔25年.xls｜初中新课标生物｜第171行</t>
        </is>
      </c>
    </row>
    <row r="314" customFormat="1" s="195">
      <c r="A314" s="323" t="n">
        <v>342</v>
      </c>
      <c r="B314" s="240" t="n">
        <v>30734010101</v>
      </c>
      <c r="C314" s="243" t="inlineStr">
        <is>
          <t>琼脂</t>
        </is>
      </c>
      <c r="D314" s="242" t="inlineStr">
        <is>
          <t>试剂</t>
        </is>
      </c>
      <c r="E314" s="34" t="n">
        <v>500</v>
      </c>
      <c r="F314" s="240" t="inlineStr">
        <is>
          <t>g</t>
        </is>
      </c>
      <c r="G314" s="31" t="n"/>
      <c r="H314" s="220" t="n"/>
      <c r="I314" s="34" t="n">
        <v>30734010101</v>
      </c>
      <c r="J314" s="164" t="inlineStr">
        <is>
          <t>试剂</t>
        </is>
      </c>
      <c r="K314" s="39" t="inlineStr">
        <is>
          <t>良师</t>
        </is>
      </c>
      <c r="L314" s="39" t="inlineStr">
        <is>
          <t>义乌市教学仪器有限公司</t>
        </is>
      </c>
      <c r="M314" s="345" t="n">
        <v>500</v>
      </c>
      <c r="N314" s="345" t="n">
        <v>0.4</v>
      </c>
      <c r="O314" s="345" t="n">
        <v>200</v>
      </c>
      <c r="P314" s="345" t="inlineStr">
        <is>
          <t>g</t>
        </is>
      </c>
      <c r="Q314" s="345" t="inlineStr"/>
      <c r="R314" s="345" t="inlineStr"/>
      <c r="S314" s="345" t="inlineStr"/>
      <c r="T314" s="345" t="inlineStr">
        <is>
          <t>试剂</t>
        </is>
      </c>
      <c r="U314" s="345" t="inlineStr"/>
      <c r="V314" s="345" t="inlineStr"/>
      <c r="W314" s="345" t="inlineStr"/>
      <c r="X314" s="345" t="inlineStr"/>
      <c r="Y314" s="345" t="inlineStr">
        <is>
          <t>confirmed</t>
        </is>
      </c>
      <c r="Z314" s="345" t="n">
        <v>100</v>
      </c>
      <c r="AA314" s="345" t="inlineStr"/>
      <c r="AB314" s="345" t="inlineStr">
        <is>
          <t>赛特尔25年.xls｜初中新课标生物｜第172行</t>
        </is>
      </c>
    </row>
    <row r="315" customFormat="1" s="195">
      <c r="A315" s="323" t="n">
        <v>343</v>
      </c>
      <c r="B315" s="240" t="n">
        <v>30720005101</v>
      </c>
      <c r="C315" s="243" t="inlineStr">
        <is>
          <t>煤油</t>
        </is>
      </c>
      <c r="D315" s="242" t="inlineStr">
        <is>
          <t>试剂</t>
        </is>
      </c>
      <c r="E315" s="34" t="n">
        <v>1000</v>
      </c>
      <c r="F315" s="240" t="inlineStr">
        <is>
          <t>mL</t>
        </is>
      </c>
      <c r="G315" s="31" t="n"/>
      <c r="H315" s="220" t="n"/>
      <c r="I315" s="34" t="n">
        <v>30720005101</v>
      </c>
      <c r="J315" s="164" t="inlineStr">
        <is>
          <t>试剂</t>
        </is>
      </c>
      <c r="K315" s="39" t="inlineStr">
        <is>
          <t>良师</t>
        </is>
      </c>
      <c r="L315" s="39" t="inlineStr">
        <is>
          <t>义乌市教学仪器有限公司</t>
        </is>
      </c>
      <c r="M315" s="345" t="n">
        <v>1000</v>
      </c>
      <c r="N315" s="345" t="n">
        <v>0.03</v>
      </c>
      <c r="O315" s="345" t="n">
        <v>30</v>
      </c>
      <c r="P315" s="345" t="inlineStr">
        <is>
          <t>mL</t>
        </is>
      </c>
      <c r="Q315" s="345" t="inlineStr"/>
      <c r="R315" s="345" t="inlineStr"/>
      <c r="S315" s="345" t="inlineStr"/>
      <c r="T315" s="345" t="inlineStr"/>
      <c r="U315" s="345" t="inlineStr"/>
      <c r="V315" s="345" t="inlineStr"/>
      <c r="W315" s="345" t="inlineStr"/>
      <c r="X315" s="345" t="inlineStr"/>
      <c r="Y315" s="345" t="inlineStr">
        <is>
          <t>confirmed</t>
        </is>
      </c>
      <c r="Z315" s="345" t="n">
        <v>100</v>
      </c>
      <c r="AA315" s="345" t="inlineStr"/>
      <c r="AB315" s="345" t="inlineStr">
        <is>
          <t>赛特尔25年.xls｜初中新课标化学｜第246行</t>
        </is>
      </c>
    </row>
    <row r="316" customFormat="1" s="195">
      <c r="A316" s="323" t="n">
        <v>344</v>
      </c>
      <c r="B316" s="240" t="n">
        <v>30731035004</v>
      </c>
      <c r="C316" s="243" t="inlineStr">
        <is>
          <t>植物油</t>
        </is>
      </c>
      <c r="D316" s="242" t="inlineStr">
        <is>
          <t>食用级</t>
        </is>
      </c>
      <c r="E316" s="34" t="n">
        <v>500</v>
      </c>
      <c r="F316" s="240" t="inlineStr">
        <is>
          <t>mL</t>
        </is>
      </c>
      <c r="G316" s="31" t="n"/>
      <c r="H316" s="220" t="n"/>
      <c r="I316" s="34" t="n">
        <v>30731035004</v>
      </c>
      <c r="J316" s="164" t="inlineStr">
        <is>
          <t>食用级</t>
        </is>
      </c>
      <c r="K316" s="39" t="inlineStr">
        <is>
          <t>良师</t>
        </is>
      </c>
      <c r="L316" s="39" t="inlineStr">
        <is>
          <t>义乌市教学仪器有限公司</t>
        </is>
      </c>
      <c r="M316" s="345" t="n">
        <v>500</v>
      </c>
      <c r="N316" s="345" t="n">
        <v>35</v>
      </c>
      <c r="O316" s="345" t="n">
        <v>17500</v>
      </c>
      <c r="P316" s="345" t="inlineStr">
        <is>
          <t>mL</t>
        </is>
      </c>
      <c r="Q316" s="345" t="inlineStr">
        <is>
          <t>群信</t>
        </is>
      </c>
      <c r="R316" s="345" t="inlineStr"/>
      <c r="S316" s="345" t="inlineStr"/>
      <c r="T316" s="345" t="inlineStr">
        <is>
          <t>83201</t>
        </is>
      </c>
      <c r="U316" s="345" t="inlineStr"/>
      <c r="V316" s="345" t="inlineStr"/>
      <c r="W316" s="345" t="inlineStr"/>
      <c r="X316" s="345" t="inlineStr"/>
      <c r="Y316" s="345" t="inlineStr">
        <is>
          <t>confirmed</t>
        </is>
      </c>
      <c r="Z316" s="345" t="n">
        <v>0</v>
      </c>
      <c r="AA316" s="345" t="inlineStr">
        <is>
          <t>匹配到商品档案但无历史价格记录</t>
        </is>
      </c>
      <c r="AB316" s="345" t="inlineStr">
        <is>
          <t>高中理化生报价.xlsx｜凯迪｜第1351行</t>
        </is>
      </c>
    </row>
    <row r="317" customFormat="1" s="195">
      <c r="A317" s="323" t="n">
        <v>345</v>
      </c>
      <c r="B317" s="240" t="n">
        <v>30720005501</v>
      </c>
      <c r="C317" s="243" t="inlineStr">
        <is>
          <t>石蜡</t>
        </is>
      </c>
      <c r="D317" s="242" t="inlineStr">
        <is>
          <t>试剂</t>
        </is>
      </c>
      <c r="E317" s="34" t="n">
        <v>500</v>
      </c>
      <c r="F317" s="240" t="inlineStr">
        <is>
          <t>g</t>
        </is>
      </c>
      <c r="G317" s="31" t="n"/>
      <c r="H317" s="220" t="n"/>
      <c r="I317" s="34" t="n">
        <v>30720005501</v>
      </c>
      <c r="J317" s="164" t="inlineStr">
        <is>
          <t>试剂</t>
        </is>
      </c>
      <c r="K317" s="39" t="inlineStr">
        <is>
          <t>良师</t>
        </is>
      </c>
      <c r="L317" s="39" t="inlineStr">
        <is>
          <t>义乌市教学仪器有限公司</t>
        </is>
      </c>
      <c r="M317" s="345" t="n">
        <v>500</v>
      </c>
      <c r="N317" s="345" t="n">
        <v>0.03</v>
      </c>
      <c r="O317" s="345" t="n">
        <v>15</v>
      </c>
      <c r="P317" s="345" t="inlineStr">
        <is>
          <t>g</t>
        </is>
      </c>
      <c r="Q317" s="345" t="inlineStr"/>
      <c r="R317" s="345" t="inlineStr"/>
      <c r="S317" s="345" t="inlineStr"/>
      <c r="T317" s="345" t="inlineStr">
        <is>
          <t>工业</t>
        </is>
      </c>
      <c r="U317" s="345" t="inlineStr"/>
      <c r="V317" s="345" t="inlineStr"/>
      <c r="W317" s="345" t="inlineStr"/>
      <c r="X317" s="345" t="inlineStr"/>
      <c r="Y317" s="345" t="inlineStr">
        <is>
          <t>confirmed</t>
        </is>
      </c>
      <c r="Z317" s="345" t="n">
        <v>100</v>
      </c>
      <c r="AA317" s="345" t="inlineStr"/>
      <c r="AB317" s="345" t="inlineStr">
        <is>
          <t>赛特尔25年.xls｜初中新课标物理｜第104行</t>
        </is>
      </c>
    </row>
    <row r="318" customFormat="1" s="195">
      <c r="A318" s="323" t="n">
        <v>346</v>
      </c>
      <c r="B318" s="240" t="n">
        <v>30720005601</v>
      </c>
      <c r="C318" s="243" t="inlineStr">
        <is>
          <t>石蜡油</t>
        </is>
      </c>
      <c r="D318" s="242" t="inlineStr">
        <is>
          <t>试剂</t>
        </is>
      </c>
      <c r="E318" s="34" t="n">
        <v>500</v>
      </c>
      <c r="F318" s="240" t="inlineStr">
        <is>
          <t>mL</t>
        </is>
      </c>
      <c r="G318" s="31" t="n"/>
      <c r="H318" s="220" t="n"/>
      <c r="I318" s="34" t="n">
        <v>30720005601</v>
      </c>
      <c r="J318" s="164" t="inlineStr">
        <is>
          <t>试剂</t>
        </is>
      </c>
      <c r="K318" s="39" t="inlineStr">
        <is>
          <t>良师</t>
        </is>
      </c>
      <c r="L318" s="39" t="inlineStr">
        <is>
          <t>义乌市教学仪器有限公司</t>
        </is>
      </c>
      <c r="M318" s="345" t="n">
        <v>500</v>
      </c>
      <c r="N318" s="345" t="n">
        <v>0.02</v>
      </c>
      <c r="O318" s="345" t="n">
        <v>10</v>
      </c>
      <c r="P318" s="345" t="inlineStr">
        <is>
          <t>mL</t>
        </is>
      </c>
      <c r="Q318" s="345" t="inlineStr"/>
      <c r="R318" s="345" t="inlineStr"/>
      <c r="S318" s="345" t="inlineStr"/>
      <c r="T318" s="345" t="inlineStr"/>
      <c r="U318" s="345" t="inlineStr"/>
      <c r="V318" s="345" t="inlineStr"/>
      <c r="W318" s="345" t="inlineStr"/>
      <c r="X318" s="345" t="inlineStr"/>
      <c r="Y318" s="345" t="inlineStr">
        <is>
          <t>confirmed</t>
        </is>
      </c>
      <c r="Z318" s="345" t="n">
        <v>0</v>
      </c>
      <c r="AA318" s="345" t="inlineStr">
        <is>
          <t>匹配到商品档案但无历史价格记录</t>
        </is>
      </c>
      <c r="AB318" s="345" t="inlineStr">
        <is>
          <t>赛特尔25年.xls｜高中化学｜第378行</t>
        </is>
      </c>
    </row>
    <row r="319" customFormat="1" s="195">
      <c r="A319" s="323" t="n">
        <v>347</v>
      </c>
      <c r="B319" s="240" t="n">
        <v>30725003101</v>
      </c>
      <c r="C319" s="243" t="inlineStr">
        <is>
          <t>苯甲酸</t>
        </is>
      </c>
      <c r="D319" s="242" t="inlineStr">
        <is>
          <t>试剂</t>
        </is>
      </c>
      <c r="E319" s="34" t="n">
        <v>500</v>
      </c>
      <c r="F319" s="240" t="inlineStr">
        <is>
          <t>g</t>
        </is>
      </c>
      <c r="G319" s="31" t="n"/>
      <c r="H319" s="220" t="n"/>
      <c r="I319" s="34" t="n">
        <v>30725003101</v>
      </c>
      <c r="J319" s="164" t="inlineStr">
        <is>
          <t>试剂</t>
        </is>
      </c>
      <c r="K319" s="39" t="inlineStr">
        <is>
          <t>良师</t>
        </is>
      </c>
      <c r="L319" s="39" t="inlineStr">
        <is>
          <t>义乌市教学仪器有限公司</t>
        </is>
      </c>
      <c r="M319" s="345" t="n">
        <v>500</v>
      </c>
      <c r="N319" s="345" t="n">
        <v>0.03</v>
      </c>
      <c r="O319" s="345" t="n">
        <v>15</v>
      </c>
      <c r="P319" s="345" t="inlineStr">
        <is>
          <t>g</t>
        </is>
      </c>
      <c r="Q319" s="345" t="inlineStr"/>
      <c r="R319" s="345" t="inlineStr"/>
      <c r="S319" s="345" t="inlineStr"/>
      <c r="T319" s="345" t="inlineStr">
        <is>
          <t>试剂</t>
        </is>
      </c>
      <c r="U319" s="345" t="inlineStr"/>
      <c r="V319" s="345" t="inlineStr"/>
      <c r="W319" s="345" t="inlineStr"/>
      <c r="X319" s="345" t="inlineStr"/>
      <c r="Y319" s="345" t="inlineStr">
        <is>
          <t>confirmed</t>
        </is>
      </c>
      <c r="Z319" s="345" t="n">
        <v>0</v>
      </c>
      <c r="AA319" s="345" t="inlineStr">
        <is>
          <t>没有找到可靠候选</t>
        </is>
      </c>
      <c r="AB319" s="345" t="inlineStr">
        <is>
          <t>赛特尔25年.xls｜高中化学｜第400行</t>
        </is>
      </c>
    </row>
    <row r="320" customFormat="1" s="195">
      <c r="A320" s="323" t="n">
        <v>348</v>
      </c>
      <c r="B320" s="240" t="n">
        <v>30725005101</v>
      </c>
      <c r="C320" s="243" t="inlineStr">
        <is>
          <t>硬脂酸</t>
        </is>
      </c>
      <c r="D320" s="242" t="inlineStr">
        <is>
          <t>试剂</t>
        </is>
      </c>
      <c r="E320" s="34" t="n">
        <v>500</v>
      </c>
      <c r="F320" s="240" t="inlineStr">
        <is>
          <t>g</t>
        </is>
      </c>
      <c r="G320" s="31" t="n"/>
      <c r="H320" s="220" t="n"/>
      <c r="I320" s="34" t="n">
        <v>30725005101</v>
      </c>
      <c r="J320" s="164" t="inlineStr">
        <is>
          <t>试剂</t>
        </is>
      </c>
      <c r="K320" s="39" t="inlineStr">
        <is>
          <t>良师</t>
        </is>
      </c>
      <c r="L320" s="39" t="inlineStr">
        <is>
          <t>义乌市教学仪器有限公司</t>
        </is>
      </c>
      <c r="M320" s="345" t="n">
        <v>500</v>
      </c>
      <c r="N320" s="345" t="n">
        <v>0.05</v>
      </c>
      <c r="O320" s="345" t="n">
        <v>25</v>
      </c>
      <c r="P320" s="345" t="inlineStr">
        <is>
          <t>g</t>
        </is>
      </c>
      <c r="Q320" s="345" t="inlineStr"/>
      <c r="R320" s="345" t="inlineStr"/>
      <c r="S320" s="345" t="inlineStr"/>
      <c r="T320" s="345" t="inlineStr">
        <is>
          <t>试剂</t>
        </is>
      </c>
      <c r="U320" s="345" t="inlineStr"/>
      <c r="V320" s="345" t="inlineStr"/>
      <c r="W320" s="345" t="inlineStr"/>
      <c r="X320" s="345" t="inlineStr"/>
      <c r="Y320" s="345" t="inlineStr">
        <is>
          <t>confirmed</t>
        </is>
      </c>
      <c r="Z320" s="345" t="n">
        <v>0</v>
      </c>
      <c r="AA320" s="345" t="inlineStr">
        <is>
          <t>没有找到可靠候选</t>
        </is>
      </c>
      <c r="AB320" s="345" t="inlineStr">
        <is>
          <t>赛特尔25年.xls｜高中化学｜第381行</t>
        </is>
      </c>
    </row>
    <row r="321" customFormat="1" s="195">
      <c r="A321" s="323" t="n">
        <v>349</v>
      </c>
      <c r="B321" s="240" t="n">
        <v>30727005401</v>
      </c>
      <c r="C321" s="243" t="inlineStr">
        <is>
          <t>硬脂酸丁酯</t>
        </is>
      </c>
      <c r="D321" s="242" t="inlineStr">
        <is>
          <t>试剂</t>
        </is>
      </c>
      <c r="E321" s="34" t="n">
        <v>500</v>
      </c>
      <c r="F321" s="240" t="inlineStr">
        <is>
          <t>g</t>
        </is>
      </c>
      <c r="G321" s="31" t="n"/>
      <c r="H321" s="220" t="n"/>
      <c r="I321" s="34" t="n">
        <v>30727005401</v>
      </c>
      <c r="J321" s="164" t="inlineStr">
        <is>
          <t>试剂</t>
        </is>
      </c>
      <c r="K321" s="39" t="inlineStr">
        <is>
          <t>良师</t>
        </is>
      </c>
      <c r="L321" s="39" t="inlineStr">
        <is>
          <t>义乌市教学仪器有限公司</t>
        </is>
      </c>
      <c r="M321" s="345" t="n">
        <v>500</v>
      </c>
      <c r="N321" s="345" t="n">
        <v>0.05</v>
      </c>
      <c r="O321" s="345" t="n">
        <v>25</v>
      </c>
      <c r="P321" s="345" t="inlineStr">
        <is>
          <t>g</t>
        </is>
      </c>
      <c r="Q321" s="345" t="inlineStr"/>
      <c r="R321" s="345" t="inlineStr"/>
      <c r="S321" s="345" t="inlineStr"/>
      <c r="T321" s="345" t="inlineStr">
        <is>
          <t>试剂</t>
        </is>
      </c>
      <c r="U321" s="345" t="inlineStr"/>
      <c r="V321" s="345" t="inlineStr"/>
      <c r="W321" s="345" t="inlineStr"/>
      <c r="X321" s="345" t="inlineStr"/>
      <c r="Y321" s="345" t="inlineStr">
        <is>
          <t>confirmed</t>
        </is>
      </c>
      <c r="Z321" s="345" t="n">
        <v>0</v>
      </c>
      <c r="AA321" s="345" t="inlineStr">
        <is>
          <t>没有找到可靠候选</t>
        </is>
      </c>
      <c r="AB321" s="345" t="inlineStr">
        <is>
          <t>赛特尔25年.xls｜高中化学｜第381行</t>
        </is>
      </c>
    </row>
    <row r="322" customFormat="1" s="195">
      <c r="A322" s="323" t="n">
        <v>350</v>
      </c>
      <c r="B322" s="240" t="n">
        <v>30750000101</v>
      </c>
      <c r="C322" s="243" t="inlineStr">
        <is>
          <t>石蕊</t>
        </is>
      </c>
      <c r="D322" s="242" t="inlineStr">
        <is>
          <t>指示剂</t>
        </is>
      </c>
      <c r="E322" s="34" t="n">
        <v>100</v>
      </c>
      <c r="F322" s="240" t="inlineStr">
        <is>
          <t>g</t>
        </is>
      </c>
      <c r="G322" s="31" t="n"/>
      <c r="H322" s="220" t="n"/>
      <c r="I322" s="34" t="n">
        <v>30750000101</v>
      </c>
      <c r="J322" s="164" t="inlineStr">
        <is>
          <t>指示剂</t>
        </is>
      </c>
      <c r="K322" s="39" t="inlineStr">
        <is>
          <t>良师</t>
        </is>
      </c>
      <c r="L322" s="39" t="inlineStr">
        <is>
          <t>义乌市教学仪器有限公司</t>
        </is>
      </c>
      <c r="M322" s="345" t="n">
        <v>100</v>
      </c>
      <c r="N322" s="345" t="n">
        <v>1.8</v>
      </c>
      <c r="O322" s="345" t="n">
        <v>180</v>
      </c>
      <c r="P322" s="345" t="inlineStr">
        <is>
          <t>g</t>
        </is>
      </c>
      <c r="Q322" s="345" t="inlineStr"/>
      <c r="R322" s="345" t="inlineStr"/>
      <c r="S322" s="345" t="inlineStr"/>
      <c r="T322" s="345" t="inlineStr">
        <is>
          <t>指示剂</t>
        </is>
      </c>
      <c r="U322" s="345" t="inlineStr"/>
      <c r="V322" s="345" t="inlineStr"/>
      <c r="W322" s="345" t="inlineStr"/>
      <c r="X322" s="345" t="inlineStr"/>
      <c r="Y322" s="345" t="inlineStr">
        <is>
          <t>confirmed</t>
        </is>
      </c>
      <c r="Z322" s="345" t="n">
        <v>100</v>
      </c>
      <c r="AA322" s="345" t="inlineStr"/>
      <c r="AB322" s="345" t="inlineStr">
        <is>
          <t>赛特尔25年.xls｜初中新课标化学｜第252行</t>
        </is>
      </c>
    </row>
    <row r="323" customFormat="1" s="195">
      <c r="A323" s="323" t="n">
        <v>351</v>
      </c>
      <c r="B323" s="240" t="n">
        <v>30750000201</v>
      </c>
      <c r="C323" s="243" t="inlineStr">
        <is>
          <t>酚酞</t>
        </is>
      </c>
      <c r="D323" s="242" t="inlineStr">
        <is>
          <t>指示剂</t>
        </is>
      </c>
      <c r="E323" s="34" t="n">
        <v>100</v>
      </c>
      <c r="F323" s="240" t="inlineStr">
        <is>
          <t>g</t>
        </is>
      </c>
      <c r="G323" s="31" t="n"/>
      <c r="H323" s="220" t="n"/>
      <c r="I323" s="34" t="n">
        <v>30750000201</v>
      </c>
      <c r="J323" s="164" t="inlineStr">
        <is>
          <t>指示剂</t>
        </is>
      </c>
      <c r="K323" s="39" t="inlineStr">
        <is>
          <t>良师</t>
        </is>
      </c>
      <c r="L323" s="39" t="inlineStr">
        <is>
          <t>义乌市教学仪器有限公司</t>
        </is>
      </c>
      <c r="M323" s="345" t="n">
        <v>100</v>
      </c>
      <c r="N323" s="345" t="n">
        <v>0.48</v>
      </c>
      <c r="O323" s="345" t="n">
        <v>48</v>
      </c>
      <c r="P323" s="345" t="inlineStr">
        <is>
          <t>g</t>
        </is>
      </c>
      <c r="Q323" s="345" t="inlineStr"/>
      <c r="R323" s="345" t="inlineStr"/>
      <c r="S323" s="345" t="inlineStr"/>
      <c r="T323" s="345" t="inlineStr">
        <is>
          <t>指示剂</t>
        </is>
      </c>
      <c r="U323" s="345" t="n">
        <v>0.53</v>
      </c>
      <c r="V323" s="345" t="inlineStr"/>
      <c r="W323" s="345" t="inlineStr"/>
      <c r="X323" s="345" t="inlineStr"/>
      <c r="Y323" s="345" t="inlineStr">
        <is>
          <t>confirmed</t>
        </is>
      </c>
      <c r="Z323" s="345" t="n">
        <v>100</v>
      </c>
      <c r="AA323" s="345" t="inlineStr">
        <is>
          <t>同分多价：最高分候选存在不同历史价格</t>
        </is>
      </c>
      <c r="AB323" s="345" t="inlineStr">
        <is>
          <t>赛特尔25年.xls｜初中新课标生物｜第176行</t>
        </is>
      </c>
    </row>
    <row r="324" customFormat="1" s="195">
      <c r="A324" s="323" t="n">
        <v>352</v>
      </c>
      <c r="B324" s="240" t="n">
        <v>30750000401</v>
      </c>
      <c r="C324" s="243" t="inlineStr">
        <is>
          <t>品红</t>
        </is>
      </c>
      <c r="D324" s="242" t="inlineStr">
        <is>
          <t>染料</t>
        </is>
      </c>
      <c r="E324" s="34" t="n">
        <v>100</v>
      </c>
      <c r="F324" s="240" t="inlineStr">
        <is>
          <t>g</t>
        </is>
      </c>
      <c r="G324" s="31" t="n"/>
      <c r="H324" s="220" t="n"/>
      <c r="I324" s="34" t="n">
        <v>30750000401</v>
      </c>
      <c r="J324" s="164" t="inlineStr">
        <is>
          <t>染料</t>
        </is>
      </c>
      <c r="K324" s="39" t="inlineStr">
        <is>
          <t>良师</t>
        </is>
      </c>
      <c r="L324" s="39" t="inlineStr">
        <is>
          <t>义乌市教学仪器有限公司</t>
        </is>
      </c>
      <c r="M324" s="345" t="n">
        <v>100</v>
      </c>
      <c r="N324" s="345" t="n">
        <v>0.8</v>
      </c>
      <c r="O324" s="345" t="n">
        <v>80</v>
      </c>
      <c r="P324" s="345" t="inlineStr">
        <is>
          <t>g</t>
        </is>
      </c>
      <c r="Q324" s="345" t="inlineStr"/>
      <c r="R324" s="345" t="inlineStr"/>
      <c r="S324" s="345" t="inlineStr"/>
      <c r="T324" s="345" t="inlineStr">
        <is>
          <t>染料</t>
        </is>
      </c>
      <c r="U324" s="345" t="inlineStr"/>
      <c r="V324" s="345" t="inlineStr"/>
      <c r="W324" s="345" t="inlineStr"/>
      <c r="X324" s="345" t="inlineStr"/>
      <c r="Y324" s="345" t="inlineStr">
        <is>
          <t>confirmed</t>
        </is>
      </c>
      <c r="Z324" s="345" t="n">
        <v>100</v>
      </c>
      <c r="AA324" s="345" t="inlineStr"/>
      <c r="AB324" s="345" t="inlineStr">
        <is>
          <t>赛特尔25年.xls｜初中新课标化学｜第254行</t>
        </is>
      </c>
    </row>
    <row r="325" customFormat="1" s="195">
      <c r="A325" s="323" t="n">
        <v>353</v>
      </c>
      <c r="B325" s="240" t="n">
        <v>30750000601</v>
      </c>
      <c r="C325" s="243" t="inlineStr">
        <is>
          <t>甲基橙</t>
        </is>
      </c>
      <c r="D325" s="242" t="inlineStr">
        <is>
          <t>指示剂</t>
        </is>
      </c>
      <c r="E325" s="34" t="n">
        <v>100</v>
      </c>
      <c r="F325" s="240" t="inlineStr">
        <is>
          <t>g</t>
        </is>
      </c>
      <c r="G325" s="31" t="n"/>
      <c r="H325" s="220" t="n"/>
      <c r="I325" s="34" t="n">
        <v>30750000601</v>
      </c>
      <c r="J325" s="164" t="inlineStr">
        <is>
          <t>指示剂</t>
        </is>
      </c>
      <c r="K325" s="39" t="inlineStr">
        <is>
          <t>良师</t>
        </is>
      </c>
      <c r="L325" s="39" t="inlineStr">
        <is>
          <t>义乌市教学仪器有限公司</t>
        </is>
      </c>
      <c r="M325" s="345" t="n">
        <v>100</v>
      </c>
      <c r="N325" s="345" t="n">
        <v>0.8</v>
      </c>
      <c r="O325" s="345" t="n">
        <v>80</v>
      </c>
      <c r="P325" s="345" t="inlineStr">
        <is>
          <t>g</t>
        </is>
      </c>
      <c r="Q325" s="345" t="inlineStr"/>
      <c r="R325" s="345" t="inlineStr"/>
      <c r="S325" s="345" t="inlineStr"/>
      <c r="T325" s="345" t="inlineStr">
        <is>
          <t>指示剂</t>
        </is>
      </c>
      <c r="U325" s="345" t="inlineStr"/>
      <c r="V325" s="345" t="inlineStr"/>
      <c r="W325" s="345" t="inlineStr"/>
      <c r="X325" s="345" t="inlineStr"/>
      <c r="Y325" s="345" t="inlineStr">
        <is>
          <t>confirmed</t>
        </is>
      </c>
      <c r="Z325" s="345" t="n">
        <v>0</v>
      </c>
      <c r="AA325" s="345" t="inlineStr">
        <is>
          <t>没有找到可靠候选</t>
        </is>
      </c>
      <c r="AB325" s="345" t="inlineStr">
        <is>
          <t>赛特尔25年.xls｜高中化学｜第387行</t>
        </is>
      </c>
    </row>
    <row r="326" customFormat="1" s="257">
      <c r="A326" s="323" t="n">
        <v>354</v>
      </c>
      <c r="B326" s="26" t="n">
        <v>30751000101</v>
      </c>
      <c r="C326" s="87" t="inlineStr">
        <is>
          <t>pH广泛试纸</t>
        </is>
      </c>
      <c r="D326" s="138" t="inlineStr">
        <is>
          <t>1～14</t>
        </is>
      </c>
      <c r="E326" s="31" t="n">
        <v>20</v>
      </c>
      <c r="F326" s="26" t="inlineStr">
        <is>
          <t>本</t>
        </is>
      </c>
      <c r="G326" s="31" t="n"/>
      <c r="H326" s="330" t="n"/>
      <c r="I326" s="26" t="n">
        <v>30751000101</v>
      </c>
      <c r="J326" s="33" t="inlineStr">
        <is>
          <t>1～14</t>
        </is>
      </c>
      <c r="K326" s="39" t="inlineStr">
        <is>
          <t>必利</t>
        </is>
      </c>
      <c r="L326" s="39" t="inlineStr">
        <is>
          <t>上海必利试剂有限公司</t>
        </is>
      </c>
      <c r="M326" s="345" t="n">
        <v>20</v>
      </c>
      <c r="N326" s="345" t="n">
        <v>3</v>
      </c>
      <c r="O326" s="345" t="n">
        <v>60</v>
      </c>
      <c r="P326" s="345" t="inlineStr">
        <is>
          <t>本</t>
        </is>
      </c>
      <c r="Q326" s="345" t="inlineStr"/>
      <c r="R326" s="345" t="inlineStr"/>
      <c r="S326" s="345" t="inlineStr"/>
      <c r="T326" s="345" t="inlineStr"/>
      <c r="U326" s="345" t="n">
        <v>3</v>
      </c>
      <c r="V326" s="345" t="inlineStr"/>
      <c r="W326" s="345" t="n">
        <v>6</v>
      </c>
      <c r="X326" s="345" t="inlineStr"/>
      <c r="Y326" s="345" t="inlineStr">
        <is>
          <t>confirmed</t>
        </is>
      </c>
      <c r="Z326" s="345" t="n">
        <v>76.90000000000001</v>
      </c>
      <c r="AA326" s="345" t="inlineStr">
        <is>
          <t>价格分歧&gt;30%：历史报价分歧较大，需人工核对</t>
        </is>
      </c>
      <c r="AB326" s="345" t="inlineStr">
        <is>
          <t>赛特尔25年.xls｜初中新课标生物｜第181行</t>
        </is>
      </c>
    </row>
    <row r="327" customFormat="1" s="190">
      <c r="A327" s="323" t="n">
        <v>355</v>
      </c>
      <c r="B327" s="67" t="n">
        <v>30751001001</v>
      </c>
      <c r="C327" s="87" t="inlineStr">
        <is>
          <t>蓝石蕊试纸</t>
        </is>
      </c>
      <c r="D327" s="68" t="inlineStr">
        <is>
          <t>10 mm×75 mm，100 条/本</t>
        </is>
      </c>
      <c r="E327" s="67" t="n">
        <v>15</v>
      </c>
      <c r="F327" s="67" t="inlineStr">
        <is>
          <t>本</t>
        </is>
      </c>
      <c r="G327" s="67" t="n"/>
      <c r="H327" s="147" t="n"/>
      <c r="I327" s="26" t="n">
        <v>30751001001</v>
      </c>
      <c r="J327" s="164" t="inlineStr">
        <is>
          <t>10 mm×75 mm，100 条/本</t>
        </is>
      </c>
      <c r="K327" s="39" t="inlineStr">
        <is>
          <t>必利</t>
        </is>
      </c>
      <c r="L327" s="39" t="inlineStr">
        <is>
          <t>上海必利试剂有限公司</t>
        </is>
      </c>
      <c r="M327" s="345" t="n">
        <v>15</v>
      </c>
      <c r="N327" s="345" t="n">
        <v>3</v>
      </c>
      <c r="O327" s="345" t="n">
        <v>45</v>
      </c>
      <c r="P327" s="345" t="inlineStr">
        <is>
          <t>本</t>
        </is>
      </c>
      <c r="Q327" s="345" t="inlineStr"/>
      <c r="R327" s="345" t="inlineStr"/>
      <c r="S327" s="345" t="inlineStr"/>
      <c r="T327" s="345" t="inlineStr"/>
      <c r="U327" s="345" t="n">
        <v>3</v>
      </c>
      <c r="V327" s="345" t="inlineStr"/>
      <c r="W327" s="345" t="n">
        <v>3.3</v>
      </c>
      <c r="X327" s="345" t="inlineStr"/>
      <c r="Y327" s="345" t="inlineStr">
        <is>
          <t>confirmed</t>
        </is>
      </c>
      <c r="Z327" s="345" t="n">
        <v>100</v>
      </c>
      <c r="AA327" s="345" t="inlineStr"/>
      <c r="AB327" s="345" t="inlineStr">
        <is>
          <t>赛特尔25年.xls｜初中新课标化学｜第256行</t>
        </is>
      </c>
    </row>
    <row r="328" customFormat="1" s="190">
      <c r="A328" s="323" t="n">
        <v>356</v>
      </c>
      <c r="B328" s="67" t="n">
        <v>30751001101</v>
      </c>
      <c r="C328" s="87" t="inlineStr">
        <is>
          <t>红石蕊试纸</t>
        </is>
      </c>
      <c r="D328" s="68" t="inlineStr">
        <is>
          <t>10 mm×75 mm，100 条/本</t>
        </is>
      </c>
      <c r="E328" s="67" t="n">
        <v>15</v>
      </c>
      <c r="F328" s="67" t="inlineStr">
        <is>
          <t>本</t>
        </is>
      </c>
      <c r="G328" s="67" t="n"/>
      <c r="H328" s="147" t="n"/>
      <c r="I328" s="26" t="n">
        <v>30751001101</v>
      </c>
      <c r="J328" s="164" t="inlineStr">
        <is>
          <t>10 mm×75 mm，100 条/本</t>
        </is>
      </c>
      <c r="K328" s="39" t="inlineStr">
        <is>
          <t>必利</t>
        </is>
      </c>
      <c r="L328" s="39" t="inlineStr">
        <is>
          <t>上海必利试剂有限公司</t>
        </is>
      </c>
      <c r="M328" s="345" t="n">
        <v>15</v>
      </c>
      <c r="N328" s="345" t="n">
        <v>3</v>
      </c>
      <c r="O328" s="345" t="n">
        <v>45</v>
      </c>
      <c r="P328" s="345" t="inlineStr">
        <is>
          <t>本</t>
        </is>
      </c>
      <c r="Q328" s="345" t="inlineStr"/>
      <c r="R328" s="345" t="inlineStr"/>
      <c r="S328" s="345" t="inlineStr"/>
      <c r="T328" s="345" t="inlineStr"/>
      <c r="U328" s="345" t="n">
        <v>3</v>
      </c>
      <c r="V328" s="345" t="inlineStr"/>
      <c r="W328" s="345" t="n">
        <v>3.3</v>
      </c>
      <c r="X328" s="345" t="inlineStr"/>
      <c r="Y328" s="345" t="inlineStr">
        <is>
          <t>confirmed</t>
        </is>
      </c>
      <c r="Z328" s="345" t="n">
        <v>100</v>
      </c>
      <c r="AA328" s="345" t="inlineStr"/>
      <c r="AB328" s="345" t="inlineStr">
        <is>
          <t>赛特尔25年.xls｜初中新课标化学｜第257行</t>
        </is>
      </c>
    </row>
    <row r="329" customFormat="1" s="190">
      <c r="A329" s="323" t="n">
        <v>357</v>
      </c>
      <c r="B329" s="67" t="n">
        <v>30751002001</v>
      </c>
      <c r="C329" s="87" t="inlineStr">
        <is>
          <t>淀粉碘化钾试纸</t>
        </is>
      </c>
      <c r="D329" s="68" t="inlineStr">
        <is>
          <t>10 mm×75 mm，100 条/本</t>
        </is>
      </c>
      <c r="E329" s="67" t="n">
        <v>10</v>
      </c>
      <c r="F329" s="67" t="inlineStr">
        <is>
          <t>本</t>
        </is>
      </c>
      <c r="G329" s="131" t="n"/>
      <c r="H329" s="147" t="n"/>
      <c r="I329" s="26" t="n">
        <v>30751002001</v>
      </c>
      <c r="J329" s="164" t="inlineStr">
        <is>
          <t>10 mm×75 mm，100 条/本</t>
        </is>
      </c>
      <c r="K329" s="39" t="inlineStr">
        <is>
          <t>必利</t>
        </is>
      </c>
      <c r="L329" s="39" t="inlineStr">
        <is>
          <t>上海必利试剂有限公司</t>
        </is>
      </c>
      <c r="M329" s="345" t="n">
        <v>10</v>
      </c>
      <c r="N329" s="345" t="n">
        <v>4</v>
      </c>
      <c r="O329" s="345" t="n">
        <v>40</v>
      </c>
      <c r="P329" s="345" t="inlineStr">
        <is>
          <t>本</t>
        </is>
      </c>
      <c r="Q329" s="345" t="inlineStr"/>
      <c r="R329" s="345" t="inlineStr"/>
      <c r="S329" s="345" t="inlineStr"/>
      <c r="T329" s="345" t="inlineStr"/>
      <c r="U329" s="345" t="inlineStr"/>
      <c r="V329" s="345" t="inlineStr"/>
      <c r="W329" s="345" t="inlineStr"/>
      <c r="X329" s="345" t="inlineStr"/>
      <c r="Y329" s="345" t="inlineStr">
        <is>
          <t>confirmed</t>
        </is>
      </c>
      <c r="Z329" s="345" t="n">
        <v>100</v>
      </c>
      <c r="AA329" s="345" t="inlineStr"/>
      <c r="AB329" s="345" t="inlineStr">
        <is>
          <t>赛特尔25年.xls｜高中化学｜第391行</t>
        </is>
      </c>
    </row>
    <row r="330" customFormat="1" s="195">
      <c r="A330" s="323" t="n">
        <v>358</v>
      </c>
      <c r="B330" s="34" t="n">
        <v>30750001001</v>
      </c>
      <c r="C330" s="243" t="inlineStr">
        <is>
          <t>亚甲基蓝</t>
        </is>
      </c>
      <c r="D330" s="242" t="inlineStr">
        <is>
          <t>染料</t>
        </is>
      </c>
      <c r="E330" s="34" t="n">
        <v>100</v>
      </c>
      <c r="F330" s="240" t="inlineStr">
        <is>
          <t>g</t>
        </is>
      </c>
      <c r="G330" s="31" t="n"/>
      <c r="H330" s="220" t="n"/>
      <c r="I330" s="34" t="n">
        <v>30750001001</v>
      </c>
      <c r="J330" s="164" t="inlineStr">
        <is>
          <t>染料</t>
        </is>
      </c>
      <c r="K330" s="39" t="inlineStr">
        <is>
          <t>乐百仕</t>
        </is>
      </c>
      <c r="L330" s="39" t="inlineStr">
        <is>
          <t>江苏乐百仕教育科技有限公司</t>
        </is>
      </c>
      <c r="M330" s="345" t="n">
        <v>100</v>
      </c>
      <c r="N330" s="345" t="n">
        <v>0.96</v>
      </c>
      <c r="O330" s="345" t="n">
        <v>96</v>
      </c>
      <c r="P330" s="345" t="inlineStr">
        <is>
          <t>g</t>
        </is>
      </c>
      <c r="Q330" s="345" t="inlineStr"/>
      <c r="R330" s="345" t="inlineStr"/>
      <c r="S330" s="345" t="inlineStr"/>
      <c r="T330" s="345" t="inlineStr">
        <is>
          <t>试剂</t>
        </is>
      </c>
      <c r="U330" s="345" t="inlineStr"/>
      <c r="V330" s="345" t="inlineStr"/>
      <c r="W330" s="345" t="inlineStr"/>
      <c r="X330" s="345" t="inlineStr"/>
      <c r="Y330" s="345" t="inlineStr">
        <is>
          <t>confirmed</t>
        </is>
      </c>
      <c r="Z330" s="345" t="n">
        <v>100</v>
      </c>
      <c r="AA330" s="345" t="inlineStr"/>
      <c r="AB330" s="345" t="inlineStr">
        <is>
          <t>赛特尔25年.xls｜初中新课标生物｜第178行</t>
        </is>
      </c>
    </row>
    <row r="331" customFormat="1" s="192">
      <c r="A331" s="323" t="n">
        <v>359</v>
      </c>
      <c r="B331" s="103" t="n">
        <v>30751009106</v>
      </c>
      <c r="C331" s="140" t="inlineStr">
        <is>
          <t>定性滤纸</t>
        </is>
      </c>
      <c r="D331" s="139" t="inlineStr">
        <is>
          <t>快速，11 cm，100 张/盒</t>
        </is>
      </c>
      <c r="E331" s="131" t="n">
        <v>15</v>
      </c>
      <c r="F331" s="131" t="inlineStr">
        <is>
          <t>盒</t>
        </is>
      </c>
      <c r="G331" s="131">
        <f>_xlfn.DISPIMG("ID_6F79375986664FB6A657B22ABDBE5456",1)</f>
        <v/>
      </c>
      <c r="H331" s="229" t="n"/>
      <c r="I331" s="108" t="n">
        <v>30751009106</v>
      </c>
      <c r="J331" s="109" t="inlineStr">
        <is>
          <t>快速，11 cm，100 张/盒</t>
        </is>
      </c>
      <c r="K331" s="39" t="inlineStr">
        <is>
          <t>乐百仕</t>
        </is>
      </c>
      <c r="L331" s="39" t="inlineStr">
        <is>
          <t>江苏乐百仕教育科技有限公司</t>
        </is>
      </c>
      <c r="M331" s="345" t="n">
        <v>15</v>
      </c>
      <c r="N331" s="345" t="n">
        <v>10</v>
      </c>
      <c r="O331" s="345" t="n">
        <v>150</v>
      </c>
      <c r="P331" s="345" t="inlineStr">
        <is>
          <t>盒</t>
        </is>
      </c>
      <c r="Q331" s="345" t="inlineStr"/>
      <c r="R331" s="345" t="inlineStr"/>
      <c r="S331" s="345" t="inlineStr"/>
      <c r="T331" s="345" t="inlineStr"/>
      <c r="U331" s="345" t="n">
        <v>10</v>
      </c>
      <c r="V331" s="345" t="inlineStr"/>
      <c r="W331" s="345" t="n">
        <v>11</v>
      </c>
      <c r="X331" s="345" t="inlineStr"/>
      <c r="Y331" s="345" t="inlineStr">
        <is>
          <t>confirmed</t>
        </is>
      </c>
      <c r="Z331" s="345" t="n">
        <v>100</v>
      </c>
      <c r="AA331" s="345" t="inlineStr"/>
      <c r="AB331" s="345" t="inlineStr">
        <is>
          <t>赛特尔25年.xls｜初中新课标生物｜第183行</t>
        </is>
      </c>
    </row>
    <row r="332" customFormat="1" s="192">
      <c r="A332" s="323" t="n">
        <v>360</v>
      </c>
      <c r="B332" s="103" t="n">
        <v>30751009104</v>
      </c>
      <c r="C332" s="140" t="inlineStr">
        <is>
          <t>定性滤纸</t>
        </is>
      </c>
      <c r="D332" s="139" t="inlineStr">
        <is>
          <t>快速，15 cm，100 张/盒</t>
        </is>
      </c>
      <c r="E332" s="131" t="n">
        <v>5</v>
      </c>
      <c r="F332" s="131" t="inlineStr">
        <is>
          <t>盒</t>
        </is>
      </c>
      <c r="G332" s="131">
        <f>_xlfn.DISPIMG("ID_2A676685E0BD4E978E8B6BBE4B99252B",1)</f>
        <v/>
      </c>
      <c r="H332" s="229" t="n"/>
      <c r="I332" s="108" t="n">
        <v>30751009104</v>
      </c>
      <c r="J332" s="109" t="inlineStr">
        <is>
          <t>快速，15 cm，100 张/盒</t>
        </is>
      </c>
      <c r="K332" s="39" t="inlineStr">
        <is>
          <t>乐百仕</t>
        </is>
      </c>
      <c r="L332" s="39" t="inlineStr">
        <is>
          <t>江苏乐百仕教育科技有限公司</t>
        </is>
      </c>
      <c r="M332" s="345" t="n">
        <v>5</v>
      </c>
      <c r="N332" s="345" t="n">
        <v>10</v>
      </c>
      <c r="O332" s="345" t="n">
        <v>50</v>
      </c>
      <c r="P332" s="345" t="inlineStr">
        <is>
          <t>盒</t>
        </is>
      </c>
      <c r="Q332" s="345" t="inlineStr"/>
      <c r="R332" s="345" t="inlineStr"/>
      <c r="S332" s="345" t="inlineStr"/>
      <c r="T332" s="345" t="inlineStr"/>
      <c r="U332" s="345" t="n">
        <v>10</v>
      </c>
      <c r="V332" s="345" t="inlineStr"/>
      <c r="W332" s="345" t="n">
        <v>11</v>
      </c>
      <c r="X332" s="345" t="inlineStr"/>
      <c r="Y332" s="345" t="inlineStr">
        <is>
          <t>confirmed</t>
        </is>
      </c>
      <c r="Z332" s="345" t="n">
        <v>100</v>
      </c>
      <c r="AA332" s="345" t="inlineStr"/>
      <c r="AB332" s="345" t="inlineStr">
        <is>
          <t>赛特尔25年.xls｜初中新课标生物｜第183行</t>
        </is>
      </c>
    </row>
    <row r="333" customFormat="1" s="195">
      <c r="A333" s="323" t="n">
        <v>361</v>
      </c>
      <c r="B333" s="240" t="n">
        <v>30752001106</v>
      </c>
      <c r="C333" s="243" t="inlineStr">
        <is>
          <t>脱脂棉</t>
        </is>
      </c>
      <c r="D333" s="242" t="inlineStr">
        <is>
          <t>医用</t>
        </is>
      </c>
      <c r="E333" s="34" t="n">
        <v>500</v>
      </c>
      <c r="F333" s="240" t="inlineStr">
        <is>
          <t>g</t>
        </is>
      </c>
      <c r="G333" s="31">
        <f>_xlfn.DISPIMG("ID_4C61DD097D264720B3919462EAF17183",1)</f>
        <v/>
      </c>
      <c r="H333" s="220" t="n"/>
      <c r="I333" s="34" t="n">
        <v>30752001106</v>
      </c>
      <c r="J333" s="164" t="inlineStr">
        <is>
          <t>符合教学要求</t>
        </is>
      </c>
      <c r="K333" s="37" t="inlineStr">
        <is>
          <t>和美</t>
        </is>
      </c>
      <c r="L333" s="357" t="inlineStr">
        <is>
          <t>江苏和美电子科技有限公司</t>
        </is>
      </c>
      <c r="M333" s="345" t="n">
        <v>500</v>
      </c>
      <c r="N333" s="345" t="n">
        <v>0.02</v>
      </c>
      <c r="O333" s="345" t="n">
        <v>10</v>
      </c>
      <c r="P333" s="345" t="inlineStr">
        <is>
          <t>g</t>
        </is>
      </c>
      <c r="Q333" s="345" t="inlineStr"/>
      <c r="R333" s="345" t="inlineStr"/>
      <c r="S333" s="345" t="inlineStr"/>
      <c r="T333" s="345" t="inlineStr">
        <is>
          <t>医用</t>
        </is>
      </c>
      <c r="U333" s="345" t="inlineStr"/>
      <c r="V333" s="345" t="inlineStr"/>
      <c r="W333" s="345" t="inlineStr"/>
      <c r="X333" s="345" t="inlineStr"/>
      <c r="Y333" s="345" t="inlineStr">
        <is>
          <t>confirmed</t>
        </is>
      </c>
      <c r="Z333" s="345" t="n">
        <v>0</v>
      </c>
      <c r="AA333" s="345" t="inlineStr">
        <is>
          <t>匹配到商品档案但无历史价格记录</t>
        </is>
      </c>
      <c r="AB333" s="345" t="inlineStr">
        <is>
          <t>赛特尔25年.xls｜初中新课标生物｜第168行</t>
        </is>
      </c>
    </row>
    <row r="334" customFormat="1" s="195">
      <c r="A334" s="323" t="n">
        <v>362</v>
      </c>
      <c r="B334" s="240" t="n">
        <v>30752005101</v>
      </c>
      <c r="C334" s="243" t="inlineStr">
        <is>
          <t>硅胶</t>
        </is>
      </c>
      <c r="D334" s="242" t="inlineStr">
        <is>
          <t>试剂</t>
        </is>
      </c>
      <c r="E334" s="34" t="n">
        <v>500</v>
      </c>
      <c r="F334" s="240" t="inlineStr">
        <is>
          <t>g</t>
        </is>
      </c>
      <c r="G334" s="31" t="n"/>
      <c r="H334" s="220" t="n"/>
      <c r="I334" s="34" t="n">
        <v>30752005101</v>
      </c>
      <c r="J334" s="164" t="inlineStr">
        <is>
          <t>试剂</t>
        </is>
      </c>
      <c r="K334" s="39" t="inlineStr">
        <is>
          <t>乐百仕</t>
        </is>
      </c>
      <c r="L334" s="39" t="inlineStr">
        <is>
          <t>江苏乐百仕教育科技有限公司</t>
        </is>
      </c>
      <c r="M334" s="345" t="n">
        <v>500</v>
      </c>
      <c r="N334" s="345" t="n">
        <v>45</v>
      </c>
      <c r="O334" s="345" t="n">
        <v>22500</v>
      </c>
      <c r="P334" s="345" t="inlineStr">
        <is>
          <t>g</t>
        </is>
      </c>
      <c r="Q334" s="345" t="inlineStr"/>
      <c r="R334" s="345" t="inlineStr"/>
      <c r="S334" s="345" t="inlineStr"/>
      <c r="T334" s="345" t="inlineStr">
        <is>
          <t>包含昆虫、鸟类、鱼类、哺乳类的主要代表动物</t>
        </is>
      </c>
      <c r="U334" s="345" t="inlineStr"/>
      <c r="V334" s="345" t="inlineStr"/>
      <c r="W334" s="345" t="inlineStr"/>
      <c r="X334" s="345" t="inlineStr"/>
      <c r="Y334" s="345" t="inlineStr">
        <is>
          <t>confirmed</t>
        </is>
      </c>
      <c r="Z334" s="345" t="n">
        <v>0</v>
      </c>
      <c r="AA334" s="345" t="inlineStr">
        <is>
          <t>匹配到商品档案但无历史价格记录</t>
        </is>
      </c>
      <c r="AB334" s="345" t="inlineStr">
        <is>
          <t>赛特尔25年.xls｜小学新课标科学｜第119行</t>
        </is>
      </c>
    </row>
    <row r="335" customFormat="1" s="195">
      <c r="A335" s="41" t="n">
        <v>363</v>
      </c>
      <c r="B335" s="71" t="inlineStr">
        <is>
          <t>VI.0</t>
        </is>
      </c>
      <c r="C335" s="75" t="inlineStr">
        <is>
          <t>高中化学虚拟仿真实验资源</t>
        </is>
      </c>
      <c r="D335" s="80" t="inlineStr">
        <is>
          <t>1.针对人教版高中化学课程配套开发的虚拟仿真实验平台，平台提供151个化学教材实验资源，该平台采用H5技术，模拟真实实验环境，精准还原实验现象，确保实验结果科学合理。实验资源按照年级、教材、章节进行分类，方便用户查找。同时，用户可以通过模糊搜索功能，快速找到相关教材实验资源。
2.提供可编辑表格功能，用于记录实验数据，可依据所填数据生成相应的实验数据图像；
3.系统提供化学探究实验室，实验用品分为四大类（实验器材类、固体药品类、液体药品类、气体药品类），包含中学化学教材主流实验用品模型246个，并提供模糊搜索功能及常用元素筛选功能；实验用品模型参数支持任意调节，用户可以自由拼装，创建新实验；
4.实验室提供实验目的要求查看、操作步骤提示、实验数据记录、实验保存、清屏、重置、锁屏及屏幕缩放功能，针对实验中存在较为复杂的操作过程，提供短视频讲解演示功能，帮助用户快速熟悉实验和完成操作学习；
5.系统基于实验引擎，提供身临其镜的实验操作反馈，如重力场下器材之间的碰撞受力、化学反应中的烟、雾、沉淀、溶解、扩散、火焰、絮状、析出等动态效果及音效，高度还原实验操作的整个过程；
6.系统提供化学反应原理展示功能，将反应数据可视化，包括化学反应方程式、体积、质量、物质的量、物质的量浓度等，并以表格形式直观呈现；
7.化学实验提供实验用品模型清洗功能，帮助养成实验室正确操作规范，确保化学实验操作的完整性；
8.仿真实验室提供电子白板功能，辅助教师进行实验讲解过程中板书记录；并提供不少于3种画笔颜色选择，板书记录支持撤销、还原及一键清空功能。
9.系统提供实验库管理功能，保存到库里的实验资源支持编辑、删除、查找、筛选等功能；
10.系统提供足迹查看功能，自动记录使用足迹，方便下次查找，并且支持编辑、删除等功能；</t>
        </is>
      </c>
      <c r="E335" s="84" t="n">
        <v>1</v>
      </c>
      <c r="F335" s="84" t="inlineStr">
        <is>
          <t>套</t>
        </is>
      </c>
      <c r="G335" s="53" t="n"/>
      <c r="H335" s="245" t="n"/>
      <c r="I335" s="50" t="inlineStr">
        <is>
          <t>VI.0</t>
        </is>
      </c>
      <c r="J335" s="77" t="inlineStr">
        <is>
          <t>1.针对人教版高中化学课程配套开发的虚拟仿真实验平台，平台提供151个化学教材实验资源，该平台采用H5技术，模拟真实实验环境，精准还原实验现象，确保实验结果科学合理。实验资源按照年级、教材、章节进行分类，方便用户查找。同时，用户可以通过模糊搜索功能，快速找到相关教材实验资源。
2.提供可编辑表格功能，用于记录实验数据，可依据所填数据生成相应的实验数据图像；
3.系统提供化学探究实验室，实验用品分为四大类（实验器材类、固体药品类、液体药品类、气体药品类），包含中学化学教材主流实验用品模型246个，并提供模糊搜索功能及常用元素筛选功能；实验用品模型参数支持任意调节，用户可以自由拼装，创建新实验；
4.实验室提供实验目的要求查看、操作步骤提示、实验数据记录、实验保存、清屏、重置、锁屏及屏幕缩放功能，针对实验中存在较为复杂的操作过程，提供短视频讲解演示功能，帮助用户快速熟悉实验和完成操作学习；
5.系统基于实验引擎，提供身临其镜的实验操作反馈，如重力场下器材之间的碰撞受力、化学反应中的烟、雾、沉淀、溶解、扩散、火焰、絮状、析出等动态效果及音效，高度还原实验操作的整个过程；
6.系统提供化学反应原理展示功能，将反应数据可视化，包括化学反应方程式、体积、质量、物质的量、物质的量浓度等，并以表格形式直观呈现；
7.化学实验提供实验用品模型清洗功能，帮助养成实验室正确操作规范，确保化学实验操作的完整性；
8.仿真实验室提供电子白板功能，辅助教师进行实验讲解过程中板书记录；并提供不少于3种画笔颜色选择，板书记录支持撤销、还原及一键清空功能。
9.系统提供实验库管理功能，保存到库里的实验资源支持编辑、删除、查找、筛选等功能；
10.系统提供足迹查看功能，自动记录使用足迹，方便下次查找，并且支持编辑、删除等功能；</t>
        </is>
      </c>
      <c r="K335" s="48" t="inlineStr">
        <is>
          <t>乐百仕</t>
        </is>
      </c>
      <c r="L335" s="48" t="inlineStr">
        <is>
          <t>江苏乐百仕教育科技有限公司</t>
        </is>
      </c>
      <c r="M335" s="345" t="n">
        <v>1</v>
      </c>
      <c r="N335" s="345" t="n">
        <v>35</v>
      </c>
      <c r="O335" s="345" t="n">
        <v>35</v>
      </c>
      <c r="P335" s="345" t="inlineStr">
        <is>
          <t>套</t>
        </is>
      </c>
      <c r="Q335" s="345" t="inlineStr">
        <is>
          <t>群信</t>
        </is>
      </c>
      <c r="R335" s="345" t="inlineStr"/>
      <c r="S335" s="345" t="inlineStr"/>
      <c r="T335" s="345" t="inlineStr">
        <is>
          <t>80202</t>
        </is>
      </c>
      <c r="U335" s="345" t="inlineStr"/>
      <c r="V335" s="345" t="inlineStr"/>
      <c r="W335" s="345" t="inlineStr"/>
      <c r="X335" s="345" t="inlineStr"/>
      <c r="Y335" s="345" t="inlineStr">
        <is>
          <t>confirmed</t>
        </is>
      </c>
      <c r="Z335" s="345" t="n">
        <v>0</v>
      </c>
      <c r="AA335" s="345" t="inlineStr">
        <is>
          <t>匹配到商品档案但无历史价格记录</t>
        </is>
      </c>
      <c r="AB335" s="345" t="inlineStr">
        <is>
          <t>高中理化生报价.xlsx｜凯迪｜第1109行</t>
        </is>
      </c>
    </row>
    <row r="336" customFormat="1" s="197">
      <c r="A336" s="246" t="n"/>
      <c r="B336" s="181" t="n"/>
      <c r="C336" s="247" t="n"/>
      <c r="D336" s="248" t="n"/>
      <c r="E336" s="180" t="n"/>
      <c r="F336" s="180" t="n"/>
      <c r="G336" s="180" t="n"/>
      <c r="H336" s="249" t="n"/>
    </row>
  </sheetData>
  <mergeCells count="2">
    <mergeCell ref="A1:H1"/>
    <mergeCell ref="I2:L2"/>
  </mergeCells>
  <pageMargins left="0.75" right="0.75" top="1" bottom="1" header="0.5" footer="0.5"/>
  <pageSetup orientation="portrait" paperSize="8"/>
</worksheet>
</file>

<file path=xl/worksheets/sheet3.xml><?xml version="1.0" encoding="utf-8"?>
<worksheet xmlns="http://schemas.openxmlformats.org/spreadsheetml/2006/main">
  <sheetPr>
    <outlinePr summaryBelow="1" summaryRight="1"/>
    <pageSetUpPr/>
  </sheetPr>
  <dimension ref="A1:AC258"/>
  <sheetViews>
    <sheetView tabSelected="1" workbookViewId="0">
      <selection activeCell="Q5" sqref="Q5"/>
    </sheetView>
  </sheetViews>
  <sheetFormatPr baseColWidth="8" defaultColWidth="8" defaultRowHeight="41" customHeight="1"/>
  <cols>
    <col width="5.75" customWidth="1" style="13" min="1" max="1"/>
    <col width="13.75" customWidth="1" style="13" min="2" max="2"/>
    <col width="14.8" customWidth="1" style="13" min="3" max="3"/>
    <col width="25.7" customWidth="1" style="13" min="4" max="4"/>
    <col width="8" customWidth="1" style="13" min="5" max="6"/>
    <col width="14.5" customWidth="1" style="13" min="7" max="7"/>
    <col width="6.75" customWidth="1" style="13" min="8" max="8"/>
    <col width="8" customWidth="1" style="13" min="9" max="9"/>
    <col width="13.6" customWidth="1" style="14" min="10" max="10"/>
    <col width="8" customWidth="1" style="14" min="11" max="15"/>
    <col width="8" customWidth="1" style="13" min="16" max="16384"/>
  </cols>
  <sheetData>
    <row r="1" customFormat="1" s="195">
      <c r="A1" s="15" t="inlineStr">
        <is>
          <t>高中生物新课标仪器（依据：教育部JY/T 0656－2025《普通高中生物学教学装备配置标准》）</t>
        </is>
      </c>
      <c r="B1" s="342" t="n"/>
      <c r="C1" s="342" t="n"/>
      <c r="D1" s="342" t="n"/>
      <c r="E1" s="342" t="n"/>
      <c r="F1" s="342" t="n"/>
      <c r="G1" s="342" t="n"/>
      <c r="H1" s="342" t="n"/>
      <c r="I1" s="343" t="n"/>
      <c r="J1" s="18" t="n"/>
      <c r="K1" s="18" t="n"/>
      <c r="L1" s="18" t="n"/>
      <c r="M1" s="18" t="n"/>
      <c r="N1" s="18" t="n"/>
      <c r="O1" s="18" t="n"/>
    </row>
    <row r="2" customFormat="1" s="2">
      <c r="A2" s="20" t="inlineStr">
        <is>
          <t>序号</t>
        </is>
      </c>
      <c r="B2" s="20" t="inlineStr">
        <is>
          <t>分类代码</t>
        </is>
      </c>
      <c r="C2" s="20" t="inlineStr">
        <is>
          <t>器材名称</t>
        </is>
      </c>
      <c r="D2" s="20" t="inlineStr">
        <is>
          <t>规格、品名、教学性能要求</t>
        </is>
      </c>
      <c r="E2" s="20" t="inlineStr">
        <is>
          <t>数量</t>
        </is>
      </c>
      <c r="F2" s="21" t="inlineStr">
        <is>
          <t>单位</t>
        </is>
      </c>
      <c r="G2" s="20" t="inlineStr">
        <is>
          <t>产品图片</t>
        </is>
      </c>
      <c r="H2" s="20" t="inlineStr">
        <is>
          <t>配备要求</t>
        </is>
      </c>
      <c r="I2" s="22" t="inlineStr">
        <is>
          <t>备注</t>
        </is>
      </c>
      <c r="J2" s="23" t="inlineStr">
        <is>
          <t>中标</t>
        </is>
      </c>
      <c r="K2" s="342" t="n"/>
      <c r="L2" s="342" t="n"/>
      <c r="M2" s="343" t="n"/>
      <c r="N2" s="360" t="inlineStr">
        <is>
          <t>数量</t>
        </is>
      </c>
      <c r="O2" s="360" t="inlineStr">
        <is>
          <t>确认单价</t>
        </is>
      </c>
      <c r="P2" s="344" t="inlineStr">
        <is>
          <t>总价</t>
        </is>
      </c>
      <c r="Q2" s="344" t="inlineStr">
        <is>
          <t>单位</t>
        </is>
      </c>
      <c r="R2" s="344" t="inlineStr">
        <is>
          <t>品牌</t>
        </is>
      </c>
      <c r="S2" s="344" t="inlineStr">
        <is>
          <t>制造商</t>
        </is>
      </c>
      <c r="T2" s="344" t="inlineStr">
        <is>
          <t>型号</t>
        </is>
      </c>
      <c r="U2" s="344" t="inlineStr">
        <is>
          <t>参数</t>
        </is>
      </c>
      <c r="V2" s="344" t="inlineStr">
        <is>
          <t>报价2单价</t>
        </is>
      </c>
      <c r="W2" s="344" t="inlineStr">
        <is>
          <t>报价2制造商</t>
        </is>
      </c>
      <c r="X2" s="344" t="inlineStr">
        <is>
          <t>报价3单价</t>
        </is>
      </c>
      <c r="Y2" s="344" t="inlineStr">
        <is>
          <t>报价3制造商</t>
        </is>
      </c>
      <c r="Z2" s="344" t="inlineStr">
        <is>
          <t>匹配状态</t>
        </is>
      </c>
      <c r="AA2" s="344" t="inlineStr">
        <is>
          <t>匹配分</t>
        </is>
      </c>
      <c r="AB2" s="344" t="inlineStr">
        <is>
          <t>风险提示</t>
        </is>
      </c>
      <c r="AC2" s="344" t="inlineStr">
        <is>
          <t>历史来源</t>
        </is>
      </c>
    </row>
    <row r="3" customFormat="1" s="5">
      <c r="A3" s="323" t="n">
        <v>1</v>
      </c>
      <c r="B3" s="26" t="n">
        <v>30802001301</v>
      </c>
      <c r="C3" s="27" t="inlineStr">
        <is>
          <t>灭火毯</t>
        </is>
      </c>
      <c r="D3" s="141" t="inlineStr">
        <is>
          <t>玻璃纤维材质，应有涂覆层，1200 mm×1800 mm</t>
        </is>
      </c>
      <c r="E3" s="31" t="n">
        <v>1</v>
      </c>
      <c r="F3" s="30" t="inlineStr">
        <is>
          <t>件</t>
        </is>
      </c>
      <c r="G3" s="31">
        <f>_xlfn.DISPIMG("ID_4138518FD7D74A61AA69F188C892468C",1)</f>
        <v/>
      </c>
      <c r="H3" s="31" t="n"/>
      <c r="I3" s="32" t="n"/>
      <c r="J3" s="26" t="n">
        <v>30802001301</v>
      </c>
      <c r="K3" s="33" t="inlineStr">
        <is>
          <t>玻璃纤维材质，应有涂覆层，1200 mm×1800 mm</t>
        </is>
      </c>
      <c r="L3" s="34" t="inlineStr">
        <is>
          <t>坦安</t>
        </is>
      </c>
      <c r="M3" s="34" t="inlineStr">
        <is>
          <t>济南坦安新材料科技有限公司</t>
        </is>
      </c>
      <c r="N3" s="361" t="n">
        <v>1</v>
      </c>
      <c r="O3" s="361" t="n">
        <v>48</v>
      </c>
      <c r="P3" s="345" t="n">
        <v>48</v>
      </c>
      <c r="Q3" s="345" t="inlineStr">
        <is>
          <t>件</t>
        </is>
      </c>
      <c r="R3" s="345" t="inlineStr"/>
      <c r="S3" s="345" t="inlineStr"/>
      <c r="T3" s="345" t="inlineStr"/>
      <c r="U3" s="345" t="inlineStr">
        <is>
          <t>玻璃纤维材质， 1200 mm×1800 mm</t>
        </is>
      </c>
      <c r="V3" s="345" t="inlineStr"/>
      <c r="W3" s="345" t="inlineStr"/>
      <c r="X3" s="345" t="inlineStr"/>
      <c r="Y3" s="345" t="inlineStr"/>
      <c r="Z3" s="345" t="inlineStr">
        <is>
          <t>confirmed</t>
        </is>
      </c>
      <c r="AA3" s="345" t="n">
        <v>100</v>
      </c>
      <c r="AB3" s="345" t="inlineStr"/>
      <c r="AC3" s="345" t="inlineStr">
        <is>
          <t>赛特尔25年.xls｜初中新课标生物｜第6行</t>
        </is>
      </c>
    </row>
    <row r="4" customFormat="1" s="5">
      <c r="A4" s="323" t="n">
        <v>2</v>
      </c>
      <c r="B4" s="36" t="n">
        <v>30802000802</v>
      </c>
      <c r="C4" s="30" t="inlineStr">
        <is>
          <t>简易急救箱</t>
        </is>
      </c>
      <c r="D4" s="141" t="inlineStr">
        <is>
          <t>包括：烧伤药膏1瓶，医用酒精 50 mL，碘伏50mL，创可贴 10 条，胶布1卷，绷带5 卷，卫生棉签1包，剪刀1把，镊子1把，止血带1根（长度≥30cm）等</t>
        </is>
      </c>
      <c r="E4" s="31" t="n">
        <v>1</v>
      </c>
      <c r="F4" s="26" t="inlineStr">
        <is>
          <t>箱</t>
        </is>
      </c>
      <c r="G4" s="31">
        <f>_xlfn.DISPIMG("ID_DC552975518C44D6AA731177191AAD2F",1)</f>
        <v/>
      </c>
      <c r="H4" s="31" t="n"/>
      <c r="I4" s="32" t="n"/>
      <c r="J4" s="36" t="n">
        <v>30802000802</v>
      </c>
      <c r="K4" s="33" t="inlineStr">
        <is>
          <t>包括：烧伤药膏1瓶，医用酒精 50 mL，碘伏50mL，创可贴 10 条，胶布1卷，绷带5 卷，卫生棉签1包，剪刀1把，镊子1把，止血带1根（长度≥30cm）等</t>
        </is>
      </c>
      <c r="L4" s="37" t="inlineStr">
        <is>
          <t>和美</t>
        </is>
      </c>
      <c r="M4" s="346" t="inlineStr">
        <is>
          <t>江苏和美电子科技有限公司</t>
        </is>
      </c>
      <c r="N4" s="361" t="n">
        <v>1</v>
      </c>
      <c r="O4" s="361" t="n">
        <v>80</v>
      </c>
      <c r="P4" s="345" t="n">
        <v>80</v>
      </c>
      <c r="Q4" s="345" t="inlineStr">
        <is>
          <t>箱</t>
        </is>
      </c>
      <c r="R4" s="345" t="inlineStr"/>
      <c r="S4" s="345" t="inlineStr"/>
      <c r="T4" s="345" t="inlineStr"/>
      <c r="U4" s="345" t="inlineStr"/>
      <c r="V4" s="345" t="inlineStr"/>
      <c r="W4" s="345" t="inlineStr"/>
      <c r="X4" s="345" t="inlineStr"/>
      <c r="Y4" s="345" t="inlineStr"/>
      <c r="Z4" s="345" t="inlineStr">
        <is>
          <t>confirmed</t>
        </is>
      </c>
      <c r="AA4" s="345" t="n">
        <v>0</v>
      </c>
      <c r="AB4" s="345" t="inlineStr">
        <is>
          <t>没有找到可靠候选</t>
        </is>
      </c>
      <c r="AC4" s="345" t="inlineStr">
        <is>
          <t>赛特尔25年.xls｜初中化学｜第278行</t>
        </is>
      </c>
    </row>
    <row r="5" customFormat="1" s="5">
      <c r="A5" s="323" t="n">
        <v>3</v>
      </c>
      <c r="B5" s="26" t="n">
        <v>30802000101</v>
      </c>
      <c r="C5" s="27" t="inlineStr">
        <is>
          <t>实验服</t>
        </is>
      </c>
      <c r="D5" s="141" t="inlineStr">
        <is>
          <t>耐酸碱，可分为大中小号</t>
        </is>
      </c>
      <c r="E5" s="31" t="n">
        <v>49</v>
      </c>
      <c r="F5" s="30" t="inlineStr">
        <is>
          <t>件</t>
        </is>
      </c>
      <c r="G5" s="31">
        <f>_xlfn.DISPIMG("ID_210DF2BE08034B28858129FF26D51E42",1)</f>
        <v/>
      </c>
      <c r="H5" s="31" t="n"/>
      <c r="I5" s="32" t="n"/>
      <c r="J5" s="26" t="n">
        <v>30802000101</v>
      </c>
      <c r="K5" s="33" t="inlineStr">
        <is>
          <t>耐酸碱，可分为大中小号</t>
        </is>
      </c>
      <c r="L5" s="39" t="inlineStr">
        <is>
          <t>乐百仕</t>
        </is>
      </c>
      <c r="M5" s="39" t="inlineStr">
        <is>
          <t>江苏乐百仕教育科技有限公司</t>
        </is>
      </c>
      <c r="N5" s="361" t="n">
        <v>49</v>
      </c>
      <c r="O5" s="361" t="n">
        <v>29</v>
      </c>
      <c r="P5" s="345" t="n">
        <v>1421</v>
      </c>
      <c r="Q5" s="345" t="inlineStr">
        <is>
          <t>件</t>
        </is>
      </c>
      <c r="R5" s="345" t="inlineStr"/>
      <c r="S5" s="345" t="inlineStr"/>
      <c r="T5" s="345" t="inlineStr"/>
      <c r="U5" s="345" t="inlineStr">
        <is>
          <t>可分为大中小号</t>
        </is>
      </c>
      <c r="V5" s="345" t="inlineStr"/>
      <c r="W5" s="345" t="inlineStr"/>
      <c r="X5" s="345" t="inlineStr"/>
      <c r="Y5" s="345" t="inlineStr"/>
      <c r="Z5" s="345" t="inlineStr">
        <is>
          <t>confirmed</t>
        </is>
      </c>
      <c r="AA5" s="345" t="n">
        <v>100</v>
      </c>
      <c r="AB5" s="345" t="inlineStr"/>
      <c r="AC5" s="345" t="inlineStr">
        <is>
          <t>赛特尔25年.xls｜初中新课标生物｜第8行</t>
        </is>
      </c>
    </row>
    <row r="6" customFormat="1" s="5">
      <c r="A6" s="323" t="n">
        <v>4</v>
      </c>
      <c r="B6" s="26" t="n">
        <v>30802000204</v>
      </c>
      <c r="C6" s="27" t="inlineStr">
        <is>
          <t>护目镜</t>
        </is>
      </c>
      <c r="D6" s="141" t="inlineStr">
        <is>
          <t>封闭型，耐酸碱，抗冲击，耐磨，便于清洗</t>
        </is>
      </c>
      <c r="E6" s="31" t="n">
        <v>25</v>
      </c>
      <c r="F6" s="26" t="inlineStr">
        <is>
          <t>个</t>
        </is>
      </c>
      <c r="G6" s="31">
        <f>_xlfn.DISPIMG("ID_CF923DBEAC894E9FB3046D83EC44DAF0",1)</f>
        <v/>
      </c>
      <c r="H6" s="31" t="n"/>
      <c r="I6" s="32" t="n"/>
      <c r="J6" s="26" t="n">
        <v>30802000204</v>
      </c>
      <c r="K6" s="33" t="inlineStr">
        <is>
          <t>封闭型，耐酸碱，抗冲击，耐磨，便于清洗</t>
        </is>
      </c>
      <c r="L6" s="39" t="inlineStr">
        <is>
          <t>乐百仕</t>
        </is>
      </c>
      <c r="M6" s="39" t="inlineStr">
        <is>
          <t>江苏乐百仕教育科技有限公司</t>
        </is>
      </c>
      <c r="N6" s="361" t="n">
        <v>25</v>
      </c>
      <c r="O6" s="361" t="n">
        <v>6</v>
      </c>
      <c r="P6" s="345" t="n">
        <v>150</v>
      </c>
      <c r="Q6" s="345" t="inlineStr">
        <is>
          <t>个</t>
        </is>
      </c>
      <c r="R6" s="345" t="inlineStr"/>
      <c r="S6" s="345" t="inlineStr"/>
      <c r="T6" s="345" t="inlineStr"/>
      <c r="U6" s="345" t="inlineStr"/>
      <c r="V6" s="345" t="n">
        <v>6</v>
      </c>
      <c r="W6" s="345" t="inlineStr"/>
      <c r="X6" s="345" t="n">
        <v>6.5</v>
      </c>
      <c r="Y6" s="345" t="inlineStr"/>
      <c r="Z6" s="345" t="inlineStr">
        <is>
          <t>confirmed</t>
        </is>
      </c>
      <c r="AA6" s="345" t="n">
        <v>100</v>
      </c>
      <c r="AB6" s="345" t="inlineStr"/>
      <c r="AC6" s="345" t="inlineStr">
        <is>
          <t>高中理化生报价.xlsx｜凯迪｜第1342行</t>
        </is>
      </c>
    </row>
    <row r="7" customFormat="1" s="5">
      <c r="A7" s="323" t="n">
        <v>6</v>
      </c>
      <c r="B7" s="26" t="n">
        <v>30802000503</v>
      </c>
      <c r="C7" s="27" t="inlineStr">
        <is>
          <t>防护手套</t>
        </is>
      </c>
      <c r="D7" s="141" t="inlineStr">
        <is>
          <t>乳胶材质</t>
        </is>
      </c>
      <c r="E7" s="31" t="n">
        <v>25</v>
      </c>
      <c r="F7" s="26" t="inlineStr">
        <is>
          <t>副</t>
        </is>
      </c>
      <c r="G7" s="31">
        <f>_xlfn.DISPIMG("ID_B758E4C339914FBE9F5C49D805351043",1)</f>
        <v/>
      </c>
      <c r="H7" s="31" t="n"/>
      <c r="I7" s="32" t="n"/>
      <c r="J7" s="26" t="n">
        <v>30802000503</v>
      </c>
      <c r="K7" s="33" t="inlineStr">
        <is>
          <t>乳胶材质</t>
        </is>
      </c>
      <c r="L7" s="39" t="inlineStr">
        <is>
          <t>乐百仕</t>
        </is>
      </c>
      <c r="M7" s="39" t="inlineStr">
        <is>
          <t>江苏乐百仕教育科技有限公司</t>
        </is>
      </c>
      <c r="N7" s="361" t="n">
        <v>25</v>
      </c>
      <c r="O7" s="361" t="n">
        <v>30</v>
      </c>
      <c r="P7" s="345" t="n">
        <v>750</v>
      </c>
      <c r="Q7" s="345" t="inlineStr">
        <is>
          <t>副</t>
        </is>
      </c>
      <c r="R7" s="345" t="inlineStr"/>
      <c r="S7" s="345" t="inlineStr"/>
      <c r="T7" s="345" t="inlineStr"/>
      <c r="U7" s="345" t="inlineStr"/>
      <c r="V7" s="345" t="inlineStr"/>
      <c r="W7" s="345" t="inlineStr"/>
      <c r="X7" s="345" t="inlineStr"/>
      <c r="Y7" s="345" t="inlineStr"/>
      <c r="Z7" s="345" t="inlineStr">
        <is>
          <t>confirmed</t>
        </is>
      </c>
      <c r="AA7" s="345" t="n">
        <v>0</v>
      </c>
      <c r="AB7" s="345" t="inlineStr">
        <is>
          <t>匹配到商品档案但无历史价格记录</t>
        </is>
      </c>
      <c r="AC7" s="345" t="inlineStr">
        <is>
          <t>赛特尔25年.xls｜初中新课标物理｜第6行</t>
        </is>
      </c>
    </row>
    <row r="8" customFormat="1" s="5">
      <c r="A8" s="323" t="n">
        <v>7</v>
      </c>
      <c r="B8" s="26" t="n">
        <v>30802000513</v>
      </c>
      <c r="C8" s="27" t="inlineStr">
        <is>
          <t>一次性手套</t>
        </is>
      </c>
      <c r="D8" s="141" t="inlineStr">
        <is>
          <t>聚乙烯材质</t>
        </is>
      </c>
      <c r="E8" s="31" t="n">
        <v>2</v>
      </c>
      <c r="F8" s="26" t="inlineStr">
        <is>
          <t>包</t>
        </is>
      </c>
      <c r="G8" s="31">
        <f>_xlfn.DISPIMG("ID_47B0650268AC49CFAC20A07910C2A013",1)</f>
        <v/>
      </c>
      <c r="H8" s="31" t="n"/>
      <c r="I8" s="32" t="n"/>
      <c r="J8" s="26" t="n">
        <v>30802000513</v>
      </c>
      <c r="K8" s="33" t="inlineStr">
        <is>
          <t>聚乙烯材质</t>
        </is>
      </c>
      <c r="L8" s="39" t="inlineStr">
        <is>
          <t>乐百仕</t>
        </is>
      </c>
      <c r="M8" s="39" t="inlineStr">
        <is>
          <t>江苏乐百仕教育科技有限公司</t>
        </is>
      </c>
      <c r="N8" s="361" t="n">
        <v>2</v>
      </c>
      <c r="O8" s="361" t="n">
        <v>18</v>
      </c>
      <c r="P8" s="345" t="n">
        <v>36</v>
      </c>
      <c r="Q8" s="345" t="inlineStr">
        <is>
          <t>包</t>
        </is>
      </c>
      <c r="R8" s="345" t="inlineStr"/>
      <c r="S8" s="345" t="inlineStr"/>
      <c r="T8" s="345" t="inlineStr"/>
      <c r="U8" s="345" t="inlineStr">
        <is>
          <t>塑料材质</t>
        </is>
      </c>
      <c r="V8" s="345" t="inlineStr"/>
      <c r="W8" s="345" t="inlineStr"/>
      <c r="X8" s="345" t="inlineStr"/>
      <c r="Y8" s="345" t="inlineStr"/>
      <c r="Z8" s="345" t="inlineStr">
        <is>
          <t>confirmed</t>
        </is>
      </c>
      <c r="AA8" s="345" t="n">
        <v>83.3</v>
      </c>
      <c r="AB8" s="345" t="inlineStr"/>
      <c r="AC8" s="345" t="inlineStr">
        <is>
          <t>赛特尔25年.xls｜初中新课标生物｜第12行</t>
        </is>
      </c>
    </row>
    <row r="9" customFormat="1" s="5">
      <c r="A9" s="323" t="n">
        <v>8</v>
      </c>
      <c r="B9" s="26" t="n">
        <v>30802004101</v>
      </c>
      <c r="C9" s="27" t="inlineStr">
        <is>
          <t>一次性鞋套</t>
        </is>
      </c>
      <c r="D9" s="141" t="inlineStr">
        <is>
          <t>塑料材质或无纺布</t>
        </is>
      </c>
      <c r="E9" s="31" t="n">
        <v>100</v>
      </c>
      <c r="F9" s="30" t="inlineStr">
        <is>
          <t>双</t>
        </is>
      </c>
      <c r="G9" s="31">
        <f>_xlfn.DISPIMG("ID_E1996C62F1D641E4AEB1C457A85B807E",1)</f>
        <v/>
      </c>
      <c r="H9" s="31" t="n"/>
      <c r="I9" s="32" t="n"/>
      <c r="J9" s="26" t="n">
        <v>30802004101</v>
      </c>
      <c r="K9" s="33" t="inlineStr">
        <is>
          <t>无纺布</t>
        </is>
      </c>
      <c r="L9" s="39" t="inlineStr">
        <is>
          <t>乐百仕</t>
        </is>
      </c>
      <c r="M9" s="39" t="inlineStr">
        <is>
          <t>江苏乐百仕教育科技有限公司</t>
        </is>
      </c>
      <c r="N9" s="361" t="n">
        <v>100</v>
      </c>
      <c r="O9" s="361" t="n">
        <v>18</v>
      </c>
      <c r="P9" s="345" t="n">
        <v>1800</v>
      </c>
      <c r="Q9" s="345" t="inlineStr">
        <is>
          <t>双</t>
        </is>
      </c>
      <c r="R9" s="345" t="inlineStr"/>
      <c r="S9" s="345" t="inlineStr"/>
      <c r="T9" s="345" t="inlineStr"/>
      <c r="U9" s="345" t="inlineStr">
        <is>
          <t>塑料材质</t>
        </is>
      </c>
      <c r="V9" s="345" t="inlineStr"/>
      <c r="W9" s="345" t="inlineStr"/>
      <c r="X9" s="345" t="inlineStr"/>
      <c r="Y9" s="345" t="inlineStr"/>
      <c r="Z9" s="345" t="inlineStr">
        <is>
          <t>confirmed</t>
        </is>
      </c>
      <c r="AA9" s="345" t="n">
        <v>0</v>
      </c>
      <c r="AB9" s="345" t="inlineStr">
        <is>
          <t>匹配到商品档案但无历史价格记录</t>
        </is>
      </c>
      <c r="AC9" s="345" t="inlineStr">
        <is>
          <t>赛特尔25年.xls｜初中新课标生物｜第12行</t>
        </is>
      </c>
    </row>
    <row r="10" customFormat="1" s="5">
      <c r="A10" s="323" t="n">
        <v>9</v>
      </c>
      <c r="B10" s="26" t="n">
        <v>30802004201</v>
      </c>
      <c r="C10" s="27" t="inlineStr">
        <is>
          <t>一次性使用医用口罩</t>
        </is>
      </c>
      <c r="D10" s="141" t="n"/>
      <c r="E10" s="31" t="n">
        <v>100</v>
      </c>
      <c r="F10" s="30" t="inlineStr">
        <is>
          <t>个</t>
        </is>
      </c>
      <c r="G10" s="31">
        <f>_xlfn.DISPIMG("ID_004C2C52F1E843E38462B19378A2F45B",1)</f>
        <v/>
      </c>
      <c r="H10" s="31" t="n"/>
      <c r="I10" s="32" t="n"/>
      <c r="J10" s="26" t="n">
        <v>30802004201</v>
      </c>
      <c r="K10" s="40" t="inlineStr">
        <is>
          <t>符合教学要求</t>
        </is>
      </c>
      <c r="L10" s="37" t="inlineStr">
        <is>
          <t>和美</t>
        </is>
      </c>
      <c r="M10" s="346" t="inlineStr">
        <is>
          <t>江苏和美电子科技有限公司</t>
        </is>
      </c>
      <c r="N10" s="361" t="n">
        <v>100</v>
      </c>
      <c r="O10" s="361" t="n">
        <v>18</v>
      </c>
      <c r="P10" s="345" t="n">
        <v>1800</v>
      </c>
      <c r="Q10" s="345" t="inlineStr">
        <is>
          <t>个</t>
        </is>
      </c>
      <c r="R10" s="345" t="inlineStr"/>
      <c r="S10" s="345" t="inlineStr"/>
      <c r="T10" s="345" t="inlineStr"/>
      <c r="U10" s="345" t="inlineStr">
        <is>
          <t>塑料材质</t>
        </is>
      </c>
      <c r="V10" s="345" t="inlineStr"/>
      <c r="W10" s="345" t="inlineStr"/>
      <c r="X10" s="345" t="inlineStr"/>
      <c r="Y10" s="345" t="inlineStr"/>
      <c r="Z10" s="345" t="inlineStr">
        <is>
          <t>confirmed</t>
        </is>
      </c>
      <c r="AA10" s="345" t="n">
        <v>0</v>
      </c>
      <c r="AB10" s="345" t="inlineStr">
        <is>
          <t>匹配到商品档案但无历史价格记录</t>
        </is>
      </c>
      <c r="AC10" s="345" t="inlineStr">
        <is>
          <t>赛特尔25年.xls｜初中新课标生物｜第12行</t>
        </is>
      </c>
    </row>
    <row r="11" customFormat="1" s="192">
      <c r="A11" s="41" t="n">
        <v>11</v>
      </c>
      <c r="B11" s="42" t="n">
        <v>30199004008</v>
      </c>
      <c r="C11" s="43" t="inlineStr">
        <is>
          <t>生物显微镜</t>
        </is>
      </c>
      <c r="D11" s="44" t="inlineStr">
        <is>
          <t>双目，消色差物镜：4×、10×、40×；广视场目镜：WF10×；带照明光源，亮度连续可调；双层移动式载物台</t>
        </is>
      </c>
      <c r="E11" s="45" t="n">
        <v>13</v>
      </c>
      <c r="F11" s="45" t="inlineStr">
        <is>
          <t>台</t>
        </is>
      </c>
      <c r="G11" s="45">
        <f>_xlfn.DISPIMG("ID_C418BBB818F5496591FBAD35AC0A8E43",1)</f>
        <v/>
      </c>
      <c r="H11" s="45" t="n"/>
      <c r="I11" s="45" t="n"/>
      <c r="J11" s="46" t="n">
        <v>30199004008</v>
      </c>
      <c r="K11" s="47" t="inlineStr">
        <is>
          <t>双目，消色差物镜：4×、10×、40×；广视场目镜：WF10×；带照明光源，亮度连续可调；双层移动式载物台</t>
        </is>
      </c>
      <c r="L11" s="48" t="inlineStr">
        <is>
          <t>乐百仕</t>
        </is>
      </c>
      <c r="M11" s="48" t="inlineStr">
        <is>
          <t>江苏乐百仕教育科技有限公司</t>
        </is>
      </c>
      <c r="N11" s="362" t="n">
        <v>13</v>
      </c>
      <c r="O11" s="362" t="n">
        <v>280</v>
      </c>
      <c r="P11" s="345" t="n">
        <v>3640</v>
      </c>
      <c r="Q11" s="345" t="inlineStr">
        <is>
          <t>台</t>
        </is>
      </c>
      <c r="R11" s="345" t="inlineStr"/>
      <c r="S11" s="345" t="inlineStr"/>
      <c r="T11" s="345" t="inlineStr"/>
      <c r="U11" s="345" t="inlineStr"/>
      <c r="V11" s="345" t="n">
        <v>480</v>
      </c>
      <c r="W11" s="345" t="inlineStr"/>
      <c r="X11" s="345" t="n">
        <v>820</v>
      </c>
      <c r="Y11" s="345" t="inlineStr"/>
      <c r="Z11" s="345" t="inlineStr">
        <is>
          <t>confirmed</t>
        </is>
      </c>
      <c r="AA11" s="345" t="n">
        <v>80</v>
      </c>
      <c r="AB11" s="345" t="inlineStr">
        <is>
          <t>价格分歧&gt;30%：历史报价分歧较大，需人工核对；同分多价：最高分候选存在不同历史价格</t>
        </is>
      </c>
      <c r="AC11" s="345" t="inlineStr">
        <is>
          <t>赛特尔25年.xls｜初中新课标物理｜第146行</t>
        </is>
      </c>
    </row>
    <row r="12" customFormat="1" s="195">
      <c r="A12" s="41" t="n">
        <v>12</v>
      </c>
      <c r="B12" s="50" t="n">
        <v>30199004721</v>
      </c>
      <c r="C12" s="51" t="inlineStr">
        <is>
          <t>学生用数码显微镜</t>
        </is>
      </c>
      <c r="D12" s="52" t="inlineStr">
        <is>
          <t>双目，消色差物镜：4×、10×、40×、100×（选配）；广视场目镜：WF10×；带照明光源，亮度连续可调；双层移动式载物台；需外接电脑等其他设备（配套相关图像处理软件），拍照≥500 万像素，录像分辨率≥720 p/30 fps</t>
        </is>
      </c>
      <c r="E12" s="53" t="n">
        <v>1</v>
      </c>
      <c r="F12" s="50" t="inlineStr">
        <is>
          <t>台</t>
        </is>
      </c>
      <c r="G12" s="53">
        <f>_xlfn.DISPIMG("ID_B90BD16A48474F1EB7418D7526F66307",1)</f>
        <v/>
      </c>
      <c r="H12" s="45" t="n"/>
      <c r="I12" s="363" t="n"/>
      <c r="J12" s="50" t="n">
        <v>30199004721</v>
      </c>
      <c r="K12" s="54" t="inlineStr">
        <is>
          <t>双目，消色差物镜：4×、10×、40×、100×（选配）；广视场目镜：WF10×；带照明光源，亮度连续可调；双层移动式载物台；需外接电脑等其他设备（配套相关图像处理软件），拍照≥500 万像素，录像分辨率≥720 p/30 fps</t>
        </is>
      </c>
      <c r="L12" s="48" t="inlineStr">
        <is>
          <t>乐百仕</t>
        </is>
      </c>
      <c r="M12" s="48" t="inlineStr">
        <is>
          <t>江苏乐百仕教育科技有限公司</t>
        </is>
      </c>
      <c r="N12" s="364" t="n">
        <v>1</v>
      </c>
      <c r="O12" s="364" t="n">
        <v>1680</v>
      </c>
      <c r="P12" s="345" t="n">
        <v>1680</v>
      </c>
      <c r="Q12" s="345" t="inlineStr">
        <is>
          <t>台</t>
        </is>
      </c>
      <c r="R12" s="345" t="inlineStr"/>
      <c r="S12" s="345" t="inlineStr"/>
      <c r="T12" s="345" t="inlineStr"/>
      <c r="U12" s="345" t="inlineStr"/>
      <c r="V12" s="345" t="n">
        <v>1800</v>
      </c>
      <c r="W12" s="345" t="inlineStr"/>
      <c r="X12" s="345" t="n">
        <v>2150</v>
      </c>
      <c r="Y12" s="345" t="inlineStr"/>
      <c r="Z12" s="345" t="inlineStr">
        <is>
          <t>confirmed</t>
        </is>
      </c>
      <c r="AA12" s="345" t="n">
        <v>100</v>
      </c>
      <c r="AB12" s="345" t="inlineStr">
        <is>
          <t>价格分歧&gt;30%：历史报价分歧较大，需人工核对；同分多价：最高分候选存在不同历史价格</t>
        </is>
      </c>
      <c r="AC12" s="345" t="inlineStr">
        <is>
          <t>赛特尔25年.xls｜初中新课标生物｜第187行</t>
        </is>
      </c>
    </row>
    <row r="13" customFormat="1" s="195">
      <c r="A13" s="323" t="n">
        <v>17</v>
      </c>
      <c r="B13" s="31" t="n">
        <v>30199005502</v>
      </c>
      <c r="C13" s="137" t="inlineStr">
        <is>
          <t>望远镜</t>
        </is>
      </c>
      <c r="D13" s="141" t="inlineStr">
        <is>
          <t>双筒，7×35</t>
        </is>
      </c>
      <c r="E13" s="31" t="n">
        <v>1</v>
      </c>
      <c r="F13" s="31" t="inlineStr">
        <is>
          <t>台</t>
        </is>
      </c>
      <c r="G13" s="323">
        <f>_xlfn.DISPIMG("ID_77AFE10E6F1B4CA6812DF6FD30602993",1)</f>
        <v/>
      </c>
      <c r="H13" s="31" t="n"/>
      <c r="I13" s="220" t="n"/>
      <c r="J13" s="31" t="n">
        <v>30199005502</v>
      </c>
      <c r="K13" s="33" t="inlineStr">
        <is>
          <t>双筒，7×35</t>
        </is>
      </c>
      <c r="L13" s="39" t="inlineStr">
        <is>
          <t>乐百仕</t>
        </is>
      </c>
      <c r="M13" s="39" t="inlineStr">
        <is>
          <t>江苏乐百仕教育科技有限公司</t>
        </is>
      </c>
      <c r="N13" s="364" t="n">
        <v>1</v>
      </c>
      <c r="O13" s="364" t="n">
        <v>49.5</v>
      </c>
      <c r="P13" s="345" t="n">
        <v>49.5</v>
      </c>
      <c r="Q13" s="345" t="inlineStr">
        <is>
          <t>台</t>
        </is>
      </c>
      <c r="R13" s="345" t="inlineStr"/>
      <c r="S13" s="345" t="inlineStr"/>
      <c r="T13" s="345" t="inlineStr"/>
      <c r="U13" s="345" t="inlineStr"/>
      <c r="V13" s="345" t="inlineStr"/>
      <c r="W13" s="345" t="inlineStr"/>
      <c r="X13" s="345" t="inlineStr"/>
      <c r="Y13" s="345" t="inlineStr"/>
      <c r="Z13" s="345" t="inlineStr">
        <is>
          <t>confirmed</t>
        </is>
      </c>
      <c r="AA13" s="345" t="n">
        <v>0</v>
      </c>
      <c r="AB13" s="345" t="inlineStr">
        <is>
          <t>没有找到可靠候选</t>
        </is>
      </c>
      <c r="AC13" s="345" t="inlineStr">
        <is>
          <t>普教清单.xlsx｜初中物理｜第260行</t>
        </is>
      </c>
    </row>
    <row r="14" customFormat="1" s="195">
      <c r="A14" s="323" t="n">
        <v>19</v>
      </c>
      <c r="B14" s="31" t="n">
        <v>30199005103</v>
      </c>
      <c r="C14" s="137" t="inlineStr">
        <is>
          <t>放大镜</t>
        </is>
      </c>
      <c r="D14" s="141" t="inlineStr">
        <is>
          <t>手持式，有效通光孔径 50 mm，5×</t>
        </is>
      </c>
      <c r="E14" s="59" t="n">
        <v>25</v>
      </c>
      <c r="F14" s="58" t="inlineStr">
        <is>
          <t>个</t>
        </is>
      </c>
      <c r="G14" s="59">
        <f>_xlfn.DISPIMG("ID_BE9280F29CE44C929B5B7F0D4F28F6E9",1)</f>
        <v/>
      </c>
      <c r="H14" s="31" t="n"/>
      <c r="I14" s="220" t="n"/>
      <c r="J14" s="31" t="n">
        <v>30199005103</v>
      </c>
      <c r="K14" s="33" t="inlineStr">
        <is>
          <t>手持式，有效通光孔径 50 mm，5×</t>
        </is>
      </c>
      <c r="L14" s="39" t="inlineStr">
        <is>
          <t>乐百仕</t>
        </is>
      </c>
      <c r="M14" s="39" t="inlineStr">
        <is>
          <t>江苏乐百仕教育科技有限公司</t>
        </is>
      </c>
      <c r="N14" s="364" t="n">
        <v>25</v>
      </c>
      <c r="O14" s="364" t="n">
        <v>2</v>
      </c>
      <c r="P14" s="345" t="n">
        <v>50</v>
      </c>
      <c r="Q14" s="345" t="inlineStr">
        <is>
          <t>个</t>
        </is>
      </c>
      <c r="R14" s="345" t="inlineStr"/>
      <c r="S14" s="345" t="inlineStr"/>
      <c r="T14" s="345" t="inlineStr"/>
      <c r="U14" s="345" t="inlineStr"/>
      <c r="V14" s="345" t="n">
        <v>2</v>
      </c>
      <c r="W14" s="345" t="inlineStr"/>
      <c r="X14" s="345" t="n">
        <v>2.2</v>
      </c>
      <c r="Y14" s="345" t="inlineStr"/>
      <c r="Z14" s="345" t="inlineStr">
        <is>
          <t>confirmed</t>
        </is>
      </c>
      <c r="AA14" s="345" t="n">
        <v>100</v>
      </c>
      <c r="AB14" s="345" t="inlineStr"/>
      <c r="AC14" s="345" t="inlineStr">
        <is>
          <t>赛特尔25年.xls｜初中新课标生物｜第192行</t>
        </is>
      </c>
    </row>
    <row r="15" customFormat="1" s="5">
      <c r="A15" s="323" t="n">
        <v>21</v>
      </c>
      <c r="B15" s="60" t="n">
        <v>30309003502</v>
      </c>
      <c r="C15" s="37" t="inlineStr">
        <is>
          <t>果酒果醋发酵装置</t>
        </is>
      </c>
      <c r="D15" s="61" t="inlineStr">
        <is>
          <t>透明，最大容积 1 L，具水封及气泡限速装置，可进行气泡观察计数</t>
        </is>
      </c>
      <c r="E15" s="62" t="n">
        <v>13</v>
      </c>
      <c r="F15" s="63" t="inlineStr">
        <is>
          <t>个</t>
        </is>
      </c>
      <c r="G15" s="64" t="n"/>
      <c r="H15" s="34" t="n"/>
      <c r="I15" s="32" t="n"/>
      <c r="J15" s="34" t="n">
        <v>30309003502</v>
      </c>
      <c r="K15" s="65" t="inlineStr">
        <is>
          <t>透明，最大容积 1 L，具水封及气泡限速装置，可进行气泡观察计数</t>
        </is>
      </c>
      <c r="L15" s="39" t="inlineStr">
        <is>
          <t>乐百仕</t>
        </is>
      </c>
      <c r="M15" s="39" t="inlineStr">
        <is>
          <t>江苏乐百仕教育科技有限公司</t>
        </is>
      </c>
      <c r="N15" s="361" t="n">
        <v>13</v>
      </c>
      <c r="O15" s="361" t="n">
        <v>28</v>
      </c>
      <c r="P15" s="345" t="n">
        <v>364</v>
      </c>
      <c r="Q15" s="345" t="inlineStr">
        <is>
          <t>个</t>
        </is>
      </c>
      <c r="R15" s="345" t="inlineStr">
        <is>
          <t>群信</t>
        </is>
      </c>
      <c r="S15" s="345" t="inlineStr"/>
      <c r="T15" s="345" t="inlineStr"/>
      <c r="U15" s="345" t="inlineStr">
        <is>
          <t>27033</t>
        </is>
      </c>
      <c r="V15" s="345" t="n">
        <v>38</v>
      </c>
      <c r="W15" s="345" t="inlineStr"/>
      <c r="X15" s="345" t="inlineStr"/>
      <c r="Y15" s="345" t="inlineStr"/>
      <c r="Z15" s="345" t="inlineStr">
        <is>
          <t>confirmed</t>
        </is>
      </c>
      <c r="AA15" s="345" t="n">
        <v>100</v>
      </c>
      <c r="AB15" s="345" t="inlineStr">
        <is>
          <t>价格分歧&gt;30%：历史报价分歧较大，需人工核对；同分多价：最高分候选存在不同历史价格</t>
        </is>
      </c>
      <c r="AC15" s="345" t="inlineStr">
        <is>
          <t>高中理化生报价.xlsx｜凯迪｜第1442行</t>
        </is>
      </c>
    </row>
    <row r="16" customFormat="1" s="5">
      <c r="A16" s="323" t="n">
        <v>23</v>
      </c>
      <c r="B16" s="67" t="n">
        <v>30309002101</v>
      </c>
      <c r="C16" s="27" t="inlineStr">
        <is>
          <t>电泳仪</t>
        </is>
      </c>
      <c r="D16" s="68" t="inlineStr">
        <is>
          <t>四组输出，输出电压：2 V～200 V、输出电流：2 mA～200 mA，具有 36 V 电压限制、稳压和稳流功能</t>
        </is>
      </c>
      <c r="E16" s="69" t="n">
        <v>1</v>
      </c>
      <c r="F16" s="30" t="inlineStr">
        <is>
          <t>台</t>
        </is>
      </c>
      <c r="G16" s="67">
        <f>_xlfn.DISPIMG("ID_673FBE4EA00E4775B208E3FA1FC467EF",1)</f>
        <v/>
      </c>
      <c r="H16" s="26" t="n"/>
      <c r="I16" s="32" t="n"/>
      <c r="J16" s="26" t="n">
        <v>30309002101</v>
      </c>
      <c r="K16" s="164" t="inlineStr">
        <is>
          <t>四组输出，输出电压：2 V～200 V、输出电流：2 mA～200 mA，具有 36 V 电压限制、稳压和稳流功能</t>
        </is>
      </c>
      <c r="L16" s="39" t="inlineStr">
        <is>
          <t>乐百仕</t>
        </is>
      </c>
      <c r="M16" s="39" t="inlineStr">
        <is>
          <t>江苏乐百仕教育科技有限公司</t>
        </is>
      </c>
      <c r="N16" s="361" t="n">
        <v>1</v>
      </c>
      <c r="O16" s="361" t="n">
        <v>880</v>
      </c>
      <c r="P16" s="345" t="n">
        <v>880</v>
      </c>
      <c r="Q16" s="345" t="inlineStr">
        <is>
          <t>台</t>
        </is>
      </c>
      <c r="R16" s="345" t="inlineStr">
        <is>
          <t>群信</t>
        </is>
      </c>
      <c r="S16" s="345" t="inlineStr"/>
      <c r="T16" s="345" t="inlineStr"/>
      <c r="U16" s="345" t="inlineStr">
        <is>
          <t>27020</t>
        </is>
      </c>
      <c r="V16" s="345" t="inlineStr"/>
      <c r="W16" s="345" t="inlineStr"/>
      <c r="X16" s="345" t="inlineStr"/>
      <c r="Y16" s="345" t="inlineStr"/>
      <c r="Z16" s="345" t="inlineStr">
        <is>
          <t>confirmed</t>
        </is>
      </c>
      <c r="AA16" s="345" t="n">
        <v>100</v>
      </c>
      <c r="AB16" s="345" t="inlineStr"/>
      <c r="AC16" s="345" t="inlineStr">
        <is>
          <t>高中理化生报价.xlsx｜凯迪｜第1426行</t>
        </is>
      </c>
    </row>
    <row r="17" customFormat="1" s="5">
      <c r="A17" s="323" t="n">
        <v>24</v>
      </c>
      <c r="B17" s="67" t="n">
        <v>30309002301</v>
      </c>
      <c r="C17" s="27" t="inlineStr">
        <is>
          <t>水平电泳槽</t>
        </is>
      </c>
      <c r="D17" s="68" t="inlineStr">
        <is>
          <t>聚碳酸脂注塑成型，凝胶托盘带有荧光标尺，具有开盖断电功能，凝胶板规格：60 mm×60 mm</t>
        </is>
      </c>
      <c r="E17" s="69" t="n">
        <v>1</v>
      </c>
      <c r="F17" s="30" t="inlineStr">
        <is>
          <t>个</t>
        </is>
      </c>
      <c r="G17" s="67">
        <f>_xlfn.DISPIMG("ID_14C379B0C9AC42019CC7783A109053A2",1)</f>
        <v/>
      </c>
      <c r="H17" s="26" t="n"/>
      <c r="I17" s="32" t="n"/>
      <c r="J17" s="26" t="n">
        <v>30309002301</v>
      </c>
      <c r="K17" s="164" t="inlineStr">
        <is>
          <t>聚碳酸脂注塑成型，凝胶托盘带有荧光标尺，具有开盖断电功能，凝胶板规格：60 mm×60 mm</t>
        </is>
      </c>
      <c r="L17" s="39" t="inlineStr">
        <is>
          <t>乐百仕</t>
        </is>
      </c>
      <c r="M17" s="39" t="inlineStr">
        <is>
          <t>江苏乐百仕教育科技有限公司</t>
        </is>
      </c>
      <c r="N17" s="361" t="n">
        <v>1</v>
      </c>
      <c r="O17" s="361" t="n">
        <v>135</v>
      </c>
      <c r="P17" s="345" t="n">
        <v>135</v>
      </c>
      <c r="Q17" s="345" t="inlineStr">
        <is>
          <t>个</t>
        </is>
      </c>
      <c r="R17" s="345" t="inlineStr">
        <is>
          <t>群信</t>
        </is>
      </c>
      <c r="S17" s="345" t="inlineStr"/>
      <c r="T17" s="345" t="inlineStr"/>
      <c r="U17" s="345" t="inlineStr">
        <is>
          <t>27022</t>
        </is>
      </c>
      <c r="V17" s="345" t="inlineStr"/>
      <c r="W17" s="345" t="inlineStr"/>
      <c r="X17" s="345" t="inlineStr"/>
      <c r="Y17" s="345" t="inlineStr"/>
      <c r="Z17" s="345" t="inlineStr">
        <is>
          <t>confirmed</t>
        </is>
      </c>
      <c r="AA17" s="345" t="n">
        <v>100</v>
      </c>
      <c r="AB17" s="345" t="inlineStr"/>
      <c r="AC17" s="345" t="inlineStr">
        <is>
          <t>高中理化生报价.xlsx｜凯迪｜第1428行</t>
        </is>
      </c>
    </row>
    <row r="18" customFormat="1" s="5">
      <c r="A18" s="323" t="n">
        <v>26</v>
      </c>
      <c r="B18" s="67" t="n">
        <v>30309002901</v>
      </c>
      <c r="C18" s="27" t="inlineStr">
        <is>
          <t>DNA电泳图谱观察仪</t>
        </is>
      </c>
      <c r="D18" s="68" t="inlineStr">
        <is>
          <t>非紫外光源，观察凝胶面积＞100 mm×100 mm</t>
        </is>
      </c>
      <c r="E18" s="69" t="n">
        <v>1</v>
      </c>
      <c r="F18" s="30" t="inlineStr">
        <is>
          <t>台</t>
        </is>
      </c>
      <c r="G18" s="67">
        <f>_xlfn.DISPIMG("ID_CC87289F77CC42F591C01E1500501349",1)</f>
        <v/>
      </c>
      <c r="H18" s="26" t="n"/>
      <c r="I18" s="32" t="n"/>
      <c r="J18" s="26" t="n">
        <v>30309002901</v>
      </c>
      <c r="K18" s="164" t="inlineStr">
        <is>
          <t>非紫外光源，观察凝胶面积＞100 mm×100 mm</t>
        </is>
      </c>
      <c r="L18" s="39" t="inlineStr">
        <is>
          <t>乐百仕</t>
        </is>
      </c>
      <c r="M18" s="39" t="inlineStr">
        <is>
          <t>江苏乐百仕教育科技有限公司</t>
        </is>
      </c>
      <c r="N18" s="361" t="n">
        <v>1</v>
      </c>
      <c r="O18" s="361" t="n">
        <v>500</v>
      </c>
      <c r="P18" s="345" t="n">
        <v>500</v>
      </c>
      <c r="Q18" s="345" t="inlineStr">
        <is>
          <t>台</t>
        </is>
      </c>
      <c r="R18" s="345" t="inlineStr">
        <is>
          <t>群信</t>
        </is>
      </c>
      <c r="S18" s="345" t="inlineStr"/>
      <c r="T18" s="345" t="inlineStr"/>
      <c r="U18" s="345" t="inlineStr">
        <is>
          <t>27028</t>
        </is>
      </c>
      <c r="V18" s="345" t="inlineStr"/>
      <c r="W18" s="345" t="inlineStr"/>
      <c r="X18" s="345" t="inlineStr"/>
      <c r="Y18" s="345" t="inlineStr"/>
      <c r="Z18" s="345" t="inlineStr">
        <is>
          <t>confirmed</t>
        </is>
      </c>
      <c r="AA18" s="345" t="n">
        <v>100</v>
      </c>
      <c r="AB18" s="345" t="inlineStr"/>
      <c r="AC18" s="345" t="inlineStr">
        <is>
          <t>高中理化生报价.xlsx｜凯迪｜第1437行</t>
        </is>
      </c>
    </row>
    <row r="19" customFormat="1" s="5">
      <c r="A19" s="323" t="n">
        <v>27</v>
      </c>
      <c r="B19" s="71" t="n">
        <v>30309003201</v>
      </c>
      <c r="C19" s="72" t="inlineStr">
        <is>
          <t>PCR仪</t>
        </is>
      </c>
      <c r="D19" s="73" t="inlineStr">
        <is>
          <t>96孔，具有程序设定、储存功能，温度调节精度不大于 0.25 ℃，温度稳定性和升降温速度适宜，具有 4 ℃保温功能</t>
        </is>
      </c>
      <c r="E19" s="74" t="n">
        <v>1</v>
      </c>
      <c r="F19" s="75" t="inlineStr">
        <is>
          <t>台</t>
        </is>
      </c>
      <c r="G19" s="71">
        <f>_xlfn.DISPIMG("ID_8A9FEB1BAC70407E92121608BF28DDA9",1)</f>
        <v/>
      </c>
      <c r="H19" s="50" t="n"/>
      <c r="I19" s="76" t="n"/>
      <c r="J19" s="50" t="inlineStr">
        <is>
          <t>QI-96</t>
        </is>
      </c>
      <c r="K19" s="77" t="inlineStr">
        <is>
          <t>96孔，具有程序设定、储存功能，温度调节精度不大于 0.25 ℃，温度稳定性和升降温速度适宜，具有 4 ℃保温功能</t>
        </is>
      </c>
      <c r="L19" s="48" t="inlineStr">
        <is>
          <t>翰仁</t>
        </is>
      </c>
      <c r="M19" s="48" t="inlineStr">
        <is>
          <t>合肥翰仁科学仪器有限公司</t>
        </is>
      </c>
      <c r="N19" s="361" t="n">
        <v>1</v>
      </c>
      <c r="O19" s="361" t="n">
        <v>1600</v>
      </c>
      <c r="P19" s="345" t="n">
        <v>1600</v>
      </c>
      <c r="Q19" s="345" t="inlineStr">
        <is>
          <t>台</t>
        </is>
      </c>
      <c r="R19" s="345" t="inlineStr">
        <is>
          <t>群信</t>
        </is>
      </c>
      <c r="S19" s="345" t="inlineStr"/>
      <c r="T19" s="345" t="inlineStr"/>
      <c r="U19" s="345" t="inlineStr">
        <is>
          <t>27030</t>
        </is>
      </c>
      <c r="V19" s="345" t="inlineStr"/>
      <c r="W19" s="345" t="inlineStr"/>
      <c r="X19" s="345" t="inlineStr"/>
      <c r="Y19" s="345" t="inlineStr"/>
      <c r="Z19" s="345" t="inlineStr">
        <is>
          <t>confirmed</t>
        </is>
      </c>
      <c r="AA19" s="345" t="n">
        <v>100</v>
      </c>
      <c r="AB19" s="345" t="inlineStr"/>
      <c r="AC19" s="345" t="inlineStr">
        <is>
          <t>高中理化生报价.xlsx｜凯迪｜第1439行</t>
        </is>
      </c>
    </row>
    <row r="20" customFormat="1" s="6">
      <c r="A20" s="323" t="n">
        <v>30</v>
      </c>
      <c r="B20" s="78" t="inlineStr">
        <is>
          <t>JXC-301</t>
        </is>
      </c>
      <c r="C20" s="84" t="inlineStr">
        <is>
          <t>分子与细胞</t>
        </is>
      </c>
      <c r="D20" s="80" t="inlineStr">
        <is>
          <t>箱体规格：450×320×170mm(±10mm)。
材质：PC材料箱盖，增强型ZQ-ABS树脂材料箱体，增强型PP材质活动卡扣；结构：整体采用加厚增强型扣盖卡扣式设计，箱体为上下面耦合卡槽定位，内置活动式上下双层内衬，嵌入式专槽定位，方便器材取用保管；叠加方式：既可叠加组合摆放，也可放置于仪器柜或货架。
主要配置及特征参数：
酵母菌装片1片、水绵装片1片、人体上皮组织玻片1片、结缔组织玻片1片、肌肉组织玻片1片、神经组织切片1片、人血涂片1片、蛙血涂片1片、迎春叶横切玻片1片、黑藻叶装片1片、洋葱根尖细胞有丝分裂固定装片1片、尖头镊子（不锈钢，直头125mm）1把、玻璃烧杯（高硼硅3.3，100mL，72mm×54mm）3个、小试管（高硼硅3.3 φ15mm×150mm）6支、刻度试管（玻璃，20mL）4个、表面皿（玻璃，100mm）1个、90°玻璃弯管（高硼硅3.3，D=8mm，L=85mm+55mm）6支、90°玻璃弯管（高硼硅3.3，D=8mm，L=60mm+190mm）6支、硅胶管（φ7mm×φ10mm，L=80mm）6根、点样毛细管（0.3mmx100mm，1000支装）1盒、37号红色双孔硅胶塞（37mm/29mm/30mm，孔径φ7mm）5个、长颈漏斗（高硼硅3.3，280mm×40mm，细管φ8mm）1个、玻璃漏斗（高硼硅3.3，短颈平口，d=60mm，h=110mm）1个、载玻片1盒、盖玻片1盒、双面刀片1盒、单面刀片1盒、红水温度计（-10～110℃）1支、培养皿（玻璃，D=90mm）1套、短胶头滴管（高硼硅3.3，细嘴，D=10mm，L=90mm）3支、一次性注射器（塑料，30mL）1个、玻璃棒（高硼硅3.3，D=6mm，L=300mm）1支、12色彩泥套装1盒、尼龙布（120mm×120mm）1块、钢直尺（30cm）1把、pH精密试纸（5.5-9）1本、PH广泛试纸（1～14）1本、洗耳球（60mL）1个、研钵（陶瓷，60mL，附研杵）1个、打孔器（4件套）1套、短柄药匙（塑料，红黄绿三色各1个）1套、毛笔1支、铅笔1支、记号笔1支、大头针1盒、卫生香1盒、吸水纸1盒、棉塞1包、医用纱布1包、玻璃纸（赛璐玢，20×30cm）2张、止水夹（不锈钢）1个等。
核心产品技术指标：
玻璃烧杯：
规格：外形尺寸：100mL：72×54mm（±5mm），壁厚2.0mm；材质：优质高硼硅BORO3.3；工艺：精工烧结，依据实验和设计要求定制，无毛刺锐角，丝印白色品牌LOGO；功能描述：管体具有低膨胀率、耐高温、高强度、高硬度、高透光率和高化学稳定性的优良特性，用作配制溶液和作为较大量的试剂化学反应容器。材质：优质高硼硅BORO3.3；工艺：精工烧结，依据实验和设计要求定制，无毛刺锐角，丝印白色品牌LOGO；功能描述：杯体具有低膨胀率、耐高温、高强度、高硬度、高透光率和高化学稳定性的优良特性，用作配制溶液和作为较大量的试剂化学反应容器。
小试管φ15mm×150mm：
规格：外形尺寸15×150mm（±5mm）；材质：优质高硼硅BORO3.3；工艺：精工烧结，依据实验和设计要求定制，无毛刺锐角；功能描述：管体具有低膨胀率、耐高温、高强度、高硬度、高透光率和高化学稳定性的优良特性，既可用作少量试剂的化学反应容器，也可在常温或加热时使用。
红色硅胶塞：
规格：根据实验需要分为无孔、单孔和双孔；横截面尺寸：①、23号胶塞：20.9×16×27mm（±5mm）；②、30号胶塞：30×22×30mm（±5mm）；③、37号胶塞：37×29×30mm（±5mm）；材质：优质红色硅胶；工艺：采用先进精密硅胶注塑技术一次成型无毛边、无合缝线，硬度适中、易插拔不阻涩；功能描述：用于实验中玻璃仪器的密封或与玻璃导管、温度计等配合使用，满足多种不同实验的密封及导气需求。耐高温、耐酸碱。
▲可完成的基本实验活动：（需提供第三方检测机构出具的检测报告予以证明可完成以下实验内容）
1.检测生物组织中的糖类、脂肪和蛋白质；
2.制作生物膜结构模型；
3.观察叶绿体和细胞质流动；
4.使用高倍显微镜观察各种细胞；
5.制作真核细胞的三维结构模型；
6.通过模拟实验探究膜的透性；
7.观察植物细胞的质壁分离和复原；
8.探究酶催化的专一性、高效性及影响酶活性的因素；
9.叶绿体色素的提取和分离；
10.探究环境因素对光合作用强度的影响；
11.探究酵母菌的呼吸方式；
12.制作并观察植物根尖细胞有丝分裂临时装片。</t>
        </is>
      </c>
      <c r="E20" s="81" t="n">
        <v>1</v>
      </c>
      <c r="F20" s="84" t="inlineStr">
        <is>
          <t>箱</t>
        </is>
      </c>
      <c r="G20" s="81">
        <f>_xlfn.DISPIMG("ID_DBE4C4C85BD34F5C95D704BFCDE3E8AE",1)</f>
        <v/>
      </c>
      <c r="H20" s="50" t="n"/>
      <c r="I20" s="82" t="n"/>
      <c r="J20" s="84" t="inlineStr">
        <is>
          <t>JXC-301</t>
        </is>
      </c>
      <c r="K20" s="77" t="inlineStr">
        <is>
          <t>箱体大小：450×320×170mm(±20mm)。
材质：PC材料箱盖，增强型ZQ-ABS树脂材料箱体，增强型PP材质活动卡扣；结构：整体采用加厚增强型扣盖卡扣式设计，箱体为上下面耦合卡槽定位，内置活动式上下双层内衬，嵌入式专槽定位，方便器材取用保管；叠加方式：既可叠加组合摆放，也可放置于仪器柜或货架。
主要配置及特征参数：
酵母菌装片1片、水绵装片1片、人体上皮组织玻片1片、结缔组织玻片1片、肌肉组织玻片1片、神经组织切片1片、人血涂片1片、蛙血涂片1片、迎春叶横切玻片1片、黑藻叶装片1片、洋葱根尖细胞有丝分裂固定装片1片、尖头镊子（不锈钢，直头125mm）1把、玻璃烧杯（高硼硅3.3，100mL，72mm×54mm）3个、小试管（高硼硅3.3 φ15mm×150mm）6支、刻度试管（玻璃，20mL）4个、表面皿（玻璃，100mm）1个、90°玻璃弯管（高硼硅3.3，D=8mm，L=85mm+55mm）6支、90°玻璃弯管（高硼硅3.3，D=8mm，L=60mm+190mm）6支、硅胶管（φ7mm×φ10mm，L=80mm）6根、点样毛细管（0.3mmx100mm，1000支装）1盒、37号红色双孔硅胶塞（37mm/29mm/30mm，孔径φ7mm）5个、长颈漏斗（高硼硅3.3，280mm×40mm，细管φ8mm）1个、玻璃漏斗（高硼硅3.3，短颈平口，d=60mm，h=110mm）1个、载玻片1盒、盖玻片1盒、双面刀片1盒、单面刀片1盒、红水温度计（-10～110℃）1支、培养皿（玻璃，D=90mm）1套、短胶头滴管（高硼硅3.3，细嘴，D=10mm，L=90mm）3支、一次性注射器（塑料，30mL）1个、玻璃棒（高硼硅3.3，D=6mm，L=300mm）1支、12色彩泥套装1盒、尼龙布（120mm×120mm）1块、钢直尺（30cm）1把、pH精密试纸（5.5-9）1本、PH广泛试纸（1～14）1本、洗耳球（60mL）1个、研钵（陶瓷，60mL，附研杵）1个、打孔器（4件套）1套、短柄药匙（塑料，红黄绿三色各1个）1套、毛笔1支、铅笔1支、记号笔1支、大头针1盒、卫生香1盒、吸水纸1盒、棉塞1包、医用纱布1包、玻璃纸（赛璐玢，20×30cm）2张、止水夹（不锈钢）1个等。
核心产品技术指标：
玻璃烧杯：
规格：外形尺寸：100mL：72×54mm（±5mm），壁厚2.0mm；材质：优质高硼硅BORO3.3；工艺：精工烧结，依据实验和设计要求定制，无毛刺锐角，丝印白色品牌LOGO；功能描述：管体具有低膨胀率、耐高温、高强度、高硬度、高透光率和高化学稳定性的优良特性，用作配制溶液和作为较大量的试剂化学反应容器。材质：优质高硼硅BORO3.3；工艺：精工烧结，依据实验和设计要求定制，无毛刺锐角，丝印白色品牌LOGO；功能描述：杯体具有低膨胀率、耐高温、高强度、高硬度、高透光率和高化学稳定性的优良特性，用作配制溶液和作为较大量的试剂化学反应容器。
小试管φ15mm×150mm：
规格：外形尺寸15×150mm（±5mm）；材质：优质高硼硅BORO3.3；工艺：精工烧结，依据实验和设计要求定制，无毛刺锐角；功能描述：管体具有低膨胀率、耐高温、高强度、高硬度、高透光率和高化学稳定性的优良特性，既可用作少量试剂的化学反应容器，也可在常温或加热时使用。
红色硅胶塞：
规格：根据实验需要分为无孔、单孔和双孔；横截面尺寸：①、23号胶塞：20.9×16×27mm（±5mm）；②、30号胶塞：30×22×30mm（±5mm）；③、37号胶塞：37×29×30mm（±5mm）；材质：优质红色硅胶；工艺：采用先进精密硅胶注塑技术一次成型无毛边、无合缝线，硬度适中、易插拔不阻涩；功能描述：用于实验中玻璃仪器的密封或与玻璃导管、温度计等配合使用，满足多种不同实验的密封及导气需求。耐高温、耐酸碱。
▲可完成的基本实验活动：（需提供第三方检测机构出具的检测报告予以证明可完成以下实验内容）
1.检测生物组织中的糖类、脂肪和蛋白质；
2.制作生物膜结构模型；
3.观察叶绿体和细胞质流动；
4.使用高倍显微镜观察各种细胞；
5.制作真核细胞的三维结构模型；
6.通过模拟实验探究膜的透性；
7.观察植物细胞的质壁分离和复原；
8.探究酶催化的专一性、高效性及影响酶活性的因素；
9.叶绿体色素的提取和分离；
10.探究环境因素对光合作用强度的影响；
11.探究酵母菌的呼吸方式；
12.制作并观察植物根尖细胞有丝分裂临时装片。</t>
        </is>
      </c>
      <c r="L20" s="48" t="inlineStr">
        <is>
          <t>乐百仕</t>
        </is>
      </c>
      <c r="M20" s="48" t="inlineStr">
        <is>
          <t>江苏乐百仕教育科技有限公司</t>
        </is>
      </c>
      <c r="N20" s="365" t="n">
        <v>1</v>
      </c>
      <c r="O20" s="365" t="n">
        <v>50</v>
      </c>
      <c r="P20" s="345" t="n">
        <v>50</v>
      </c>
      <c r="Q20" s="345" t="inlineStr">
        <is>
          <t>箱</t>
        </is>
      </c>
      <c r="R20" s="345" t="inlineStr"/>
      <c r="S20" s="345" t="inlineStr"/>
      <c r="T20" s="345" t="inlineStr"/>
      <c r="U20" s="345" t="inlineStr">
        <is>
          <t>CD-ROM</t>
        </is>
      </c>
      <c r="V20" s="345" t="inlineStr"/>
      <c r="W20" s="345" t="inlineStr"/>
      <c r="X20" s="345" t="inlineStr"/>
      <c r="Y20" s="345" t="inlineStr"/>
      <c r="Z20" s="345" t="inlineStr">
        <is>
          <t>confirmed</t>
        </is>
      </c>
      <c r="AA20" s="345" t="n">
        <v>0</v>
      </c>
      <c r="AB20" s="345" t="inlineStr">
        <is>
          <t>没有找到可靠候选</t>
        </is>
      </c>
      <c r="AC20" s="345" t="inlineStr">
        <is>
          <t>赛特尔25年.xls｜高中生物｜第135行</t>
        </is>
      </c>
    </row>
    <row r="21" customFormat="1" s="6">
      <c r="A21" s="323" t="n">
        <v>31</v>
      </c>
      <c r="B21" s="78" t="inlineStr">
        <is>
          <t>JXC-302</t>
        </is>
      </c>
      <c r="C21" s="84" t="inlineStr">
        <is>
          <t>遗传与进化</t>
        </is>
      </c>
      <c r="D21" s="80" t="inlineStr">
        <is>
          <t>箱体规格：450×320×170mm(±10mm)。
材质：PC材料箱盖，增强型ZQ-ABS树脂材料箱体，增强型PP材质活动卡扣；结构：整体采用加厚增强型扣盖卡扣式设计，箱体为上下面耦合卡槽定位，内置活动式上下双层内衬，嵌入式专槽定位，方便器材取用保管；叠加方式：既可叠加组合摆放，也可放置于仪器柜或货架。
主要配置及特征参数：
小试管（高硼硅3.3 φ15mm×150mm）3支、载玻片1盒、盖玻片1盒、培养皿（玻璃，D=90mm）3套、接种环（镍铬合金材料，含手柄，环φ2mm）1个、钢直尺（30cm）1把、尖头镊子（不锈钢，直头125mm）1把、DNA双螺旋结构模型（组件配置：脱氧核糖32，腺嘌呤8，胸腺嘧啶8，胞嘧啶8，鸟嘌呤8，磷酸32）1套、铅笔1支、记号笔1支、PH广泛试纸（1～14）1本、玻璃棒（高硼硅3.3，D=6mm，L=300mm）1支、12色彩泥套装1盒、蓝球（D=15mm，20个袋装）1袋、红球（D=15mm，20个袋装）1袋、小桶（250mL）2个、透明胶带（小号）1卷、吸水纸1盒、涂布器（玻璃）1个、医用纱布1包、连盖离心管（2mL）5个、棉塞1袋、酒精棉球1瓶、蝗虫精母细胞减数分裂装片1片、洋葱花药减数分裂装片1片等。
核心产品技术指标：
小试管φ15mm×150mm：
规格：外形尺寸15×150mm（±5mm）；材质：优质高硼硅BORO3.3；工艺：精工烧结，依据实验和设计要求定制，无毛刺锐角；功能描述：管体具有低膨胀率、耐高温、高强度、高硬度、高透光率和高化学稳定性的优良特性，既可用作少量试剂的化学反应容器，也可在常温或加热时使用。
▲可完成的基本实验活动：（需提供第三方检测机构出具的检测报告予以证明可完成以下实验内容）
13.制作DNA分子双螺旋结构模型；
14.观察动物细胞、植物细胞减数分裂装片；
15.建立模型模拟减数分裂过程中染色体变化；
16.模拟植物或动物性状分离的杂交实验；
17.调查一种常见的人类遗传病并探讨其预防措施；
18.用数学方法模拟自然选择对种群基因频率的影响；
19.探究抗生素对细菌的选择作用；
低温诱导植物细胞染色体数目的变化。</t>
        </is>
      </c>
      <c r="E21" s="81" t="n">
        <v>1</v>
      </c>
      <c r="F21" s="84" t="inlineStr">
        <is>
          <t>箱</t>
        </is>
      </c>
      <c r="G21" s="81">
        <f>_xlfn.DISPIMG("ID_DAF3AB00C4B046B1B0B30E0C34762EE8",1)</f>
        <v/>
      </c>
      <c r="H21" s="50" t="n"/>
      <c r="I21" s="82" t="n"/>
      <c r="J21" s="84" t="inlineStr">
        <is>
          <t>JXC-302</t>
        </is>
      </c>
      <c r="K21" s="77" t="inlineStr">
        <is>
          <t>箱体大小：450×320×170mm(±20mm)。
材质：PC材料箱盖，增强型ZQ-ABS树脂材料箱体，增强型PP材质活动卡扣；结构：整体采用加厚增强型扣盖卡扣式设计，箱体为上下面耦合卡槽定位，内置活动式上下双层内衬，嵌入式专槽定位，方便器材取用保管；叠加方式：既可叠加组合摆放，也可放置于仪器柜或货架。
主要配置及特征参数：
小试管（高硼硅3.3 φ15mm×150mm）3支、载玻片1盒、盖玻片1盒、培养皿（玻璃，D=90mm）3套、接种环（镍铬合金材料，含手柄，环φ2mm）1个、钢直尺（30cm）1把、尖头镊子（不锈钢，直头125mm）1把、DNA双螺旋结构模型（组件配置：脱氧核糖32，腺嘌呤8，胸腺嘧啶8，胞嘧啶8，鸟嘌呤8，磷酸32）1套、铅笔1支、记号笔1支、PH广泛试纸（1～14）1本、玻璃棒（高硼硅3.3，D=6mm，L=300mm）1支、12色彩泥套装1盒、蓝球（D=15mm，20个袋装）1袋、红球（D=15mm，20个袋装）1袋、小桶（250mL）2个、透明胶带（小号）1卷、吸水纸1盒、涂布器（玻璃）1个、医用纱布1包、连盖离心管（2mL）5个、棉塞1袋、酒精棉球1瓶、蝗虫精母细胞减数分裂装片1片、洋葱花药减数分裂装片1片等。
核心产品技术指标：
小试管φ15mm×150mm：
规格：外形尺寸15×150mm（±5mm）；材质：优质高硼硅BORO3.3；工艺：精工烧结，依据实验和设计要求定制，无毛刺锐角；功能描述：管体具有低膨胀率、耐高温、高强度、高硬度、高透光率和高化学稳定性的优良特性，既可用作少量试剂的化学反应容器，也可在常温或加热时使用。
▲可完成的基本实验活动：（需提供第三方检测机构出具的检测报告予以证明可完成以下实验内容）
13.制作DNA分子双螺旋结构模型；
14.观察动物细胞、植物细胞减数分裂装片；
15.建立模型模拟减数分裂过程中染色体变化；
16.模拟植物或动物性状分离的杂交实验；
17.调查一种常见的人类遗传病并探讨其预防措施；
18.用数学方法模拟自然选择对种群基因频率的影响；
19.探究抗生素对细菌的选择作用；
低温诱导植物细胞染色体数目的变化。</t>
        </is>
      </c>
      <c r="L21" s="48" t="inlineStr">
        <is>
          <t>乐百仕</t>
        </is>
      </c>
      <c r="M21" s="48" t="inlineStr">
        <is>
          <t>江苏乐百仕教育科技有限公司</t>
        </is>
      </c>
      <c r="N21" s="365" t="n">
        <v>1</v>
      </c>
      <c r="O21" s="365" t="n">
        <v>50</v>
      </c>
      <c r="P21" s="345" t="n">
        <v>50</v>
      </c>
      <c r="Q21" s="345" t="inlineStr">
        <is>
          <t>箱</t>
        </is>
      </c>
      <c r="R21" s="345" t="inlineStr"/>
      <c r="S21" s="345" t="inlineStr"/>
      <c r="T21" s="345" t="inlineStr"/>
      <c r="U21" s="345" t="inlineStr">
        <is>
          <t>CD-ROM</t>
        </is>
      </c>
      <c r="V21" s="345" t="inlineStr"/>
      <c r="W21" s="345" t="inlineStr"/>
      <c r="X21" s="345" t="inlineStr"/>
      <c r="Y21" s="345" t="inlineStr"/>
      <c r="Z21" s="345" t="inlineStr">
        <is>
          <t>confirmed</t>
        </is>
      </c>
      <c r="AA21" s="345" t="n">
        <v>0</v>
      </c>
      <c r="AB21" s="345" t="inlineStr">
        <is>
          <t>没有找到可靠候选</t>
        </is>
      </c>
      <c r="AC21" s="345" t="inlineStr">
        <is>
          <t>赛特尔25年.xls｜高中生物｜第136行</t>
        </is>
      </c>
    </row>
    <row r="22" customFormat="1" s="6">
      <c r="A22" s="323" t="n">
        <v>32</v>
      </c>
      <c r="B22" s="78" t="inlineStr">
        <is>
          <t>JXC-303</t>
        </is>
      </c>
      <c r="C22" s="84" t="inlineStr">
        <is>
          <t>稳态与调节</t>
        </is>
      </c>
      <c r="D22" s="80" t="inlineStr">
        <is>
          <t>箱体规格：450×320×170mm(±10mm)。
材质：PC材料箱盖，增强型ZQ-ABS树脂材料箱体，增强型PP材质活动卡扣；结构：整体采用加厚增强型扣盖卡扣式设计，箱体为上下面耦合卡槽定位，内置活动式上下双层内衬，嵌入式专槽定位，方便器材取用保管；叠加方式：既可叠加组合摆放，也可放置于仪器柜或货架。
主要配置及特征参数：
喷瓶（透明，50mL）2个、玻璃烧杯（高硼硅3.3，100mL，72mm×54mm）4个、玻璃烧杯（高硼硅3.3，50mL，62mm×42mm）1个、玻璃量筒（高硼硅3.3，10mL，142mm×16mm×1.8mm）2个、玻璃量筒（高硼硅3.3，50mL，195mm×25.7mm×2mm）1个、容量瓶（100mL，配玻璃塞）1个、试管（高硼硅3.3 φ20mm×195mm）2支、记号笔1支、PH计（酸度计）1个、玻璃棒（高硼硅3.3，D=6mm，L=300mm）1支、短胶头滴管（高硼硅3.3，细嘴，D=10mm，L=90mm）1支、尖头镊子（不锈钢，直头125mm）1把、自封袋10个、标签纸1包、护目镜1个、橡胶手套2双、pH广泛试纸（1～14）1本等。
核心产品技术指标：
玻璃烧杯：
玻规格：外形尺寸：①、50mL：62×42mm（±5mm），壁厚2.0mm；②、100mL：72×54mm（±5mm），壁厚2.0mm；工艺：精工烧结，依据实验和设计要求定制，无毛刺锐角，丝印白色品牌LOGO；功能描述：管体具有低膨胀率、耐高温、高强度、高硬度、高透光率和高化学稳定性的优良特性，用作配制溶液和作为较大量的试剂化学反应容器。
玻璃量筒：
规格：外形尺寸：①、10mL：142×16×1.8mm，壁厚1.8mm；②、50mL：195×25.7×2mm，壁厚2mm；材质：优质高硼硅BORO3.3；工艺：精工烧结，依据实验和设计要求定制，无毛刺锐角，丝印红色品牌LOGO；功能描述：管体具有低膨胀率、耐高温、高强度、高硬度、高透光率和高化学稳定性的优良特性，用来定量量取液体。
试管φ20mm×195mm：
规格：外形尺寸195×20mm（±5mm），壁厚2mm；材质：优质高硼硅BORO3.3；工艺：精工烧结，依据实验和设计要求定制，无毛刺锐角；功能描述：管体具有低膨胀率、耐高温、高强度、高硬度、高透光率和高化学稳定性的优良特性，既可用作少量试剂的化学反应容器，也可在常温或加热时使用。
短胶头滴管：
规格：外形尺寸90×10×1.5mm（±5mm），壁厚1.5mm；材质：优质高硼硅BORO3.3；工艺：精工烧结，依据实验和设计要求定制，无毛刺锐角，统一的宝塔口尺寸；功能描述：管体具有低膨胀率、耐高温、高强度、高硬度、高透光率和高化学稳定性的优良特性，用于吸取或滴加少量液体试剂。
▲可完成的基本实验活动：（需提供第三方检测机构出具的检测报告予以证明可完成以下实验内容）
20.观察血液 分层现象；
21.比较清水、缓冲液、体液对pH变化的调节作用；
22.探究植物生长调节剂对扦插枝条生根的作用；
23.探究乙烯利对水果的催熟作用。</t>
        </is>
      </c>
      <c r="E22" s="81" t="n">
        <v>1</v>
      </c>
      <c r="F22" s="84" t="inlineStr">
        <is>
          <t>箱</t>
        </is>
      </c>
      <c r="G22" s="81">
        <f>_xlfn.DISPIMG("ID_F46317EE7E1345B9A0F031158979DBBC",1)</f>
        <v/>
      </c>
      <c r="H22" s="50" t="n"/>
      <c r="I22" s="82" t="n"/>
      <c r="J22" s="84" t="inlineStr">
        <is>
          <t>JXC-303</t>
        </is>
      </c>
      <c r="K22" s="77" t="inlineStr">
        <is>
          <t>箱体大小：450×320×170mm(±20mm)。
材质：PC材料箱盖，增强型ZQ-ABS树脂材料箱体，增强型PP材质活动卡扣；结构：整体采用加厚增强型扣盖卡扣式设计，箱体为上下面耦合卡槽定位，内置活动式上下双层内衬，嵌入式专槽定位，方便器材取用保管；叠加方式：既可叠加组合摆放，也可放置于仪器柜或货架。
主要配置及特征参数：
喷瓶（透明，50mL）2个、玻璃烧杯（高硼硅3.3，100mL，72mm×54mm）4个、玻璃烧杯（高硼硅3.3，50mL，62mm×42mm）1个、玻璃量筒（高硼硅3.3，10mL，142mm×16mm×1.8mm）2个、玻璃量筒（高硼硅3.3，50mL，195mm×25.7mm×2mm）1个、容量瓶（100mL，配玻璃塞）1个、试管（高硼硅3.3 φ20mm×195mm）2支、记号笔1支、PH计（酸度计）1个、玻璃棒（高硼硅3.3，D=6mm，L=300mm）1支、短胶头滴管（高硼硅3.3，细嘴，D=10mm，L=90mm）1支、尖头镊子（不锈钢，直头125mm）1把、自封袋10个、标签纸1包、护目镜1个、橡胶手套2双、pH广泛试纸（1～14）1本等。
核心产品技术指标：
玻璃烧杯：
玻规格：外形尺寸：①、50mL：62×42mm（±5mm），壁厚2.0mm；②、100mL：72×54mm（±5mm），壁厚2.0mm；工艺：精工烧结，依据实验和设计要求定制，无毛刺锐角，丝印白色品牌LOGO；功能描述：管体具有低膨胀率、耐高温、高强度、高硬度、高透光率和高化学稳定性的优良特性，用作配制溶液和作为较大量的试剂化学反应容器。
玻璃量筒：
规格：外形尺寸：①、10mL：142×16×1.8mm，壁厚1.8mm；②、50mL：195×25.7×2mm，壁厚2mm；材质：优质高硼硅BORO3.3；工艺：精工烧结，依据实验和设计要求定制，无毛刺锐角，丝印红色品牌LOGO；功能描述：管体具有低膨胀率、耐高温、高强度、高硬度、高透光率和高化学稳定性的优良特性，用来定量量取液体。
试管φ20mm×195mm：
规格：外形尺寸195×20mm（±5mm），壁厚2mm；材质：优质高硼硅BORO3.3；工艺：精工烧结，依据实验和设计要求定制，无毛刺锐角；功能描述：管体具有低膨胀率、耐高温、高强度、高硬度、高透光率和高化学稳定性的优良特性，既可用作少量试剂的化学反应容器，也可在常温或加热时使用。
短胶头滴管：
规格：外形尺寸90×10×1.5mm（±5mm），壁厚1.5mm；材质：优质高硼硅BORO3.3；工艺：精工烧结，依据实验和设计要求定制，无毛刺锐角，统一的宝塔口尺寸；功能描述：管体具有低膨胀率、耐高温、高强度、高硬度、高透光率和高化学稳定性的优良特性，用于吸取或滴加少量液体试剂。
▲可完成的基本实验活动：（需提供第三方检测机构出具的检测报告予以证明可完成以下实验内容）
20.观察血液 分层现象；
21.比较清水、缓冲液、体液对pH变化的调节作用；
22.探究植物生长调节剂对扦插枝条生根的作用；
23.探究乙烯利对水果的催熟作用。</t>
        </is>
      </c>
      <c r="L22" s="48" t="inlineStr">
        <is>
          <t>乐百仕</t>
        </is>
      </c>
      <c r="M22" s="48" t="inlineStr">
        <is>
          <t>江苏乐百仕教育科技有限公司</t>
        </is>
      </c>
      <c r="N22" s="365" t="n">
        <v>1</v>
      </c>
      <c r="O22" s="365" t="n">
        <v>60</v>
      </c>
      <c r="P22" s="345" t="n">
        <v>60</v>
      </c>
      <c r="Q22" s="345" t="inlineStr">
        <is>
          <t>箱</t>
        </is>
      </c>
      <c r="R22" s="345" t="inlineStr"/>
      <c r="S22" s="345" t="inlineStr"/>
      <c r="T22" s="345" t="inlineStr"/>
      <c r="U22" s="345" t="inlineStr">
        <is>
          <t>12幅，对开</t>
        </is>
      </c>
      <c r="V22" s="345" t="inlineStr"/>
      <c r="W22" s="345" t="inlineStr"/>
      <c r="X22" s="345" t="inlineStr"/>
      <c r="Y22" s="345" t="inlineStr"/>
      <c r="Z22" s="345" t="inlineStr">
        <is>
          <t>confirmed</t>
        </is>
      </c>
      <c r="AA22" s="345" t="n">
        <v>0</v>
      </c>
      <c r="AB22" s="345" t="inlineStr">
        <is>
          <t>没有找到可靠候选</t>
        </is>
      </c>
      <c r="AC22" s="345" t="inlineStr">
        <is>
          <t>赛特尔25年.xls｜高中生物｜第122行</t>
        </is>
      </c>
    </row>
    <row r="23" customFormat="1" s="6">
      <c r="A23" s="323" t="n">
        <v>33</v>
      </c>
      <c r="B23" s="78" t="inlineStr">
        <is>
          <t>JXC-304</t>
        </is>
      </c>
      <c r="C23" s="84" t="inlineStr">
        <is>
          <t>生物与环境</t>
        </is>
      </c>
      <c r="D23" s="80" t="inlineStr">
        <is>
          <t>箱体规格：450×320×170mm(±10mm)。
材质：炭黑色优质PC材料箱盖，橙色增强型ABS树脂材料箱体，紫色增强型PP材质活动卡扣；结构：整体采用加厚增强型扣盖卡扣式设计，箱体为上下面耦合卡槽定位，内置活动式上下双层内衬，嵌入式专槽定位，方便器材取用保管；叠加方式：既可叠加组合摆放，也可放置于仪器柜或货架。
主要配置及特征参数：
玻璃锥形瓶（高硼硅3.3，250mL，147mm×82mm）1个、小试管（高硼硅3.3 φ15mm×150mm）1支、刻度试管（玻璃，20mL）4个、生态瓶（85mm×85mm）1个、吸虫器（储虫瓶105mm×64mm，带有30号红色双孔橡胶塞、吸虫管、吸气管、硅胶管等）1套、短胶头滴管（高硼硅3.3，细嘴，D=10mm，L=90mm）1支、长胶头滴管（高硼硅3.3，细嘴 D=10mm，L=200mm）2支、玻璃棒（高硼硅3.3，D=6mm，L=300mm）1个、血球计数板（10个）1盒、盖玻片1盒、载玻片1盒、培养皿（玻璃，D=90mm）1套、白瓷盘（160mm×220mm×30mm）1个、枪状镊子（圆头，扁口带牙L=160mm）1把、放大镜（带LED灯）1把、记号笔1支、卷尺（2m）1把、标签纸 1包、接种环（镍铬合金材料，含手柄，环φ2mm）1个、医用纱布1包、过滤纱布袋（18cm×25cm）1个、棉塞1袋、连盖离心管（2mL）10个、离心管架（24孔，0.5/1.5/2mL）1个等。
核心产品技术指标：
小试管φ15mm×150mm：
规格：外形尺寸15×150mm（±5mm）；材质：优质高硼硅BORO3.3；工艺：精工烧结，依据实验和设计要求定制，无毛刺锐角；功能描述：管体具有低膨胀率、耐高温、高强度、高硬度、高透光率和高化学稳定性的优良特性，既可用作少量试剂的化学反应容器，也可在常温或加热时使用。
短胶头滴管：
规格：外形尺寸90×10×1.5mm（±5mm），壁厚1.5mm；材质：优质高硼硅BORO3.3；工艺：精工烧结，依据实验和设计要求定制，无毛刺锐角，统一的宝塔口尺寸；功能描述：管体具有低膨胀率、耐高温、高强度、高硬度、高透光率和高化学稳定性的优良特性，用于吸取或滴加少量液体试剂。
可完成的基本实验活动：
24.调查草地中某种生物的种群密度；
25.探究培养液中酵母种群数量的动态变化；
26.研究土壤中动物类群的丰富度；
27.调查某个附近生态系统中的能量流动；
28.探究土壤微生物的分解作用；
29.设计并制作封闭的生态瓶(缸)，观察生态系统的稳定性；
30.调查当地环境存在的主要问题并提出保护建议或行动计划；
31.参观人工生态系统。</t>
        </is>
      </c>
      <c r="E23" s="81" t="n">
        <v>1</v>
      </c>
      <c r="F23" s="84" t="inlineStr">
        <is>
          <t>箱</t>
        </is>
      </c>
      <c r="G23" s="81">
        <f>_xlfn.DISPIMG("ID_EEFEC64433AD4B53A70E5CFE0824350E",1)</f>
        <v/>
      </c>
      <c r="H23" s="50" t="n"/>
      <c r="I23" s="82" t="n"/>
      <c r="J23" s="84" t="inlineStr">
        <is>
          <t>JXC-304</t>
        </is>
      </c>
      <c r="K23" s="77" t="inlineStr">
        <is>
          <t>箱体大小：450×320×170mm(±20mm)。
材质：炭黑色优质PC材料箱盖，橙色增强型ABS树脂材料箱体，紫色增强型PP材质活动卡扣；结构：整体采用加厚增强型扣盖卡扣式设计，箱体为上下面耦合卡槽定位，内置活动式上下双层内衬，嵌入式专槽定位，方便器材取用保管；叠加方式：既可叠加组合摆放，也可放置于仪器柜或货架。
主要配置及特征参数：
玻璃锥形瓶（高硼硅3.3，250mL，147mm×82mm）1个、小试管（高硼硅3.3 φ15mm×150mm）1支、刻度试管（玻璃，20mL）4个、生态瓶（85mm×85mm）1个、吸虫器（储虫瓶105mm×64mm，带有30号红色双孔橡胶塞、吸虫管、吸气管、硅胶管等）1套、短胶头滴管（高硼硅3.3，细嘴，D=10mm，L=90mm）1支、长胶头滴管（高硼硅3.3，细嘴 D=10mm，L=200mm）2支、玻璃棒（高硼硅3.3，D=6mm，L=300mm）1个、血球计数板（10个）1盒、盖玻片1盒、载玻片1盒、培养皿（玻璃，D=90mm）1套、白瓷盘（160mm×220mm×30mm）1个、枪状镊子（圆头，扁口带牙L=160mm）1把、放大镜（带LED灯）1把、记号笔1支、卷尺（2m）1把、标签纸 1包、接种环（镍铬合金材料，含手柄，环φ2mm）1个、医用纱布1包、过滤纱布袋（18cm×25cm）1个、棉塞1袋、连盖离心管（2mL）10个、离心管架（24孔，0.5/1.5/2mL）1个等。
核心产品技术指标：
小试管φ15mm×150mm：
规格：外形尺寸15×150mm（±5mm）；材质：优质高硼硅BORO3.3；工艺：精工烧结，依据实验和设计要求定制，无毛刺锐角；功能描述：管体具有低膨胀率、耐高温、高强度、高硬度、高透光率和高化学稳定性的优良特性，既可用作少量试剂的化学反应容器，也可在常温或加热时使用。
短胶头滴管：
规格：外形尺寸90×10×1.5mm（±5mm），壁厚1.5mm；材质：优质高硼硅BORO3.3；工艺：精工烧结，依据实验和设计要求定制，无毛刺锐角，统一的宝塔口尺寸；功能描述：管体具有低膨胀率、耐高温、高强度、高硬度、高透光率和高化学稳定性的优良特性，用于吸取或滴加少量液体试剂。
可完成的基本实验活动：
24.调查草地中某种生物的种群密度；
25.探究培养液中酵母种群数量的动态变化；
26.研究土壤中动物类群的丰富度；
27.调查某个附近生态系统中的能量流动；
28.探究土壤微生物的分解作用；
29.设计并制作封闭的生态瓶(缸)，观察生态系统的稳定性；
30.调查当地环境存在的主要问题并提出保护建议或行动计划；
31.参观人工生态系统。</t>
        </is>
      </c>
      <c r="L23" s="48" t="inlineStr">
        <is>
          <t>乐百仕</t>
        </is>
      </c>
      <c r="M23" s="48" t="inlineStr">
        <is>
          <t>江苏乐百仕教育科技有限公司</t>
        </is>
      </c>
      <c r="N23" s="365" t="n">
        <v>1</v>
      </c>
      <c r="O23" s="365" t="n">
        <v>4</v>
      </c>
      <c r="P23" s="345" t="n">
        <v>4</v>
      </c>
      <c r="Q23" s="345" t="inlineStr">
        <is>
          <t>箱</t>
        </is>
      </c>
      <c r="R23" s="345" t="inlineStr"/>
      <c r="S23" s="345" t="inlineStr"/>
      <c r="T23" s="345" t="inlineStr"/>
      <c r="U23" s="345" t="inlineStr"/>
      <c r="V23" s="345" t="inlineStr"/>
      <c r="W23" s="345" t="inlineStr"/>
      <c r="X23" s="345" t="inlineStr"/>
      <c r="Y23" s="345" t="inlineStr"/>
      <c r="Z23" s="345" t="inlineStr">
        <is>
          <t>confirmed</t>
        </is>
      </c>
      <c r="AA23" s="345" t="n">
        <v>0</v>
      </c>
      <c r="AB23" s="345" t="inlineStr">
        <is>
          <t>没有找到可靠候选</t>
        </is>
      </c>
      <c r="AC23" s="345" t="inlineStr">
        <is>
          <t>赛特尔25年.xls｜初中新课标生物｜第81行</t>
        </is>
      </c>
    </row>
    <row r="24" customFormat="1" s="6">
      <c r="A24" s="323" t="n">
        <v>34</v>
      </c>
      <c r="B24" s="78" t="inlineStr">
        <is>
          <t>JXC-305</t>
        </is>
      </c>
      <c r="C24" s="84" t="inlineStr">
        <is>
          <t>生物技术与工程</t>
        </is>
      </c>
      <c r="D24" s="80" t="inlineStr">
        <is>
          <t>箱体规格：450×320×170mm(±10mm)。
材质：炭黑色优质PC材料箱盖，橙色增强型ABS树脂材料箱体，紫色增强型PP材质活动卡扣；结构：整体采用加厚增强型扣盖卡扣式设计，箱体为上下面耦合卡槽定位，内置活动式上下双层内衬，嵌入式专槽定位，方便器材取用保管；叠加方式：既可叠加组合摆放，也可放置于仪器柜或货架。
主要配置及特征参数：
玻璃量筒（高硼硅3.3，10mL，142mm×16mm×1.8mm）1个、试管（高硼硅3.3 φ20mm×195mm）2支、小试管（高硼硅3.3 φ15mm×150mm）6支、玻璃锥形瓶（高硼硅3.3，100mL，105mm×64mm）1个、酸奶布丁瓶（100mL）1个、玻璃烧杯（高硼硅3.3，100mL，72mm×54mm）1个、锥形瓶（玻璃，50mL）4个、培养皿（玻璃，D=90mm）3套、玻璃漏斗（高硼硅3.3，短颈平口，d=60mm，h=110mm）1个、玻璃棒（高硼硅3.3，D=6mm，L=300mm）1支、红水温度计（-10～110℃）1个、枪状镊子（圆头，扁口带牙L=160mm）1把、研钵（陶瓷，60mL，附研杵）1个、计数器（橘黄色，手持式）1个、陶瓷刀1把、砧板（塑料）1个、涂布器（玻璃）1件、接种环（镍铬合金材料，含手柄，环φ2mm）1个、封口膜（120mm×120mm，膜φ16mm）10张、橡皮筋1袋、棉塞1袋、牛皮纸（全开）1张、标签纸1包、酒精棉球1瓶、医用纱布1包、短柄药匙（塑料，红黄绿三色各1个）1套、记号笔1支、过滤纱布袋1个、精密pH试纸（5.5-9）1本、工具三件套（铲子等）1套、取样纸袋（175×110mm）10个、微量连盖离心管（0.2mL）10支、微量连盖离心管（0.5mL）10支、离心管架（24孔，0.5/1.5/2mL）1个等。
核心产品技术指标：
玻璃量筒：
规格：外形尺寸：①、10mL：142×16×1.8mm，壁厚1.8mm；②、100mL：243×31.9×2mm，壁厚2.0mm；材质：优质高硼硅BORO3.3；工艺：精工烧结，依据实验和设计要求定制，无毛刺锐角，丝印红色品牌LOGO；功能描述：管体具有低膨胀率、耐高温、高强度、高硬度、高透光率和高化学稳定性的优良特性，用来定量量取液体。
试管φ20mm×195mm：
规格：外形尺寸195×20mm（±5mm），壁厚2mm；材质：优质高硼硅BORO3.3；工艺：精工烧结，依据实验和设计要求定制，无毛刺锐角；功能描述：管体具有低膨胀率、耐高温、高强度、高硬度、高透光率和高化学稳定性的优良特性，既可用作少量试剂的化学反应容器，也可在常温或加热时使用。
可完成的基本实验活动：
32.酵母菌的分离与纯化；
33.土壤中分解尿素的细菌的分离与计数；
34.利用乳酸菌发酵制作酸奶或泡菜；
35.利用酵母菌、醋酸菌分别制作果酒和果醋；
36.利用植物组织培养技术培育植物幼苗；
37.DNA的粗提取与鉴定；
38. DNA片段扩增与鉴定。</t>
        </is>
      </c>
      <c r="E24" s="81" t="n">
        <v>1</v>
      </c>
      <c r="F24" s="84" t="inlineStr">
        <is>
          <t>箱</t>
        </is>
      </c>
      <c r="G24" s="81">
        <f>_xlfn.DISPIMG("ID_C4FD34E8EAED43F5993F8D9EED17EA5B",1)</f>
        <v/>
      </c>
      <c r="H24" s="50" t="n"/>
      <c r="I24" s="82" t="n"/>
      <c r="J24" s="84" t="inlineStr">
        <is>
          <t>JXC-305</t>
        </is>
      </c>
      <c r="K24" s="77" t="inlineStr">
        <is>
          <t>箱体大小：450×320×170mm(±20mm)。
材质：炭黑色优质PC材料箱盖，橙色增强型ABS树脂材料箱体，紫色增强型PP材质活动卡扣；结构：整体采用加厚增强型扣盖卡扣式设计，箱体为上下面耦合卡槽定位，内置活动式上下双层内衬，嵌入式专槽定位，方便器材取用保管；叠加方式：既可叠加组合摆放，也可放置于仪器柜或货架。
主要配置及特征参数：
玻璃量筒（高硼硅3.3，10mL，142mm×16mm×1.8mm）1个、试管（高硼硅3.3 φ20mm×195mm）2支、小试管（高硼硅3.3 φ15mm×150mm）6支、玻璃锥形瓶（高硼硅3.3，100mL，105mm×64mm）1个、酸奶布丁瓶（100mL）1个、玻璃烧杯（高硼硅3.3，100mL，72mm×54mm）1个、锥形瓶（玻璃，50mL）4个、培养皿（玻璃，D=90mm）3套、玻璃漏斗（高硼硅3.3，短颈平口，d=60mm，h=110mm）1个、玻璃棒（高硼硅3.3，D=6mm，L=300mm）1支、红水温度计（-10～110℃）1个、枪状镊子（圆头，扁口带牙L=160mm）1把、研钵（陶瓷，60mL，附研杵）1个、计数器（橘黄色，手持式）1个、陶瓷刀1把、砧板（塑料）1个、涂布器（玻璃）1件、接种环（镍铬合金材料，含手柄，环φ2mm）1个、封口膜（120mm×120mm，膜φ16mm）10张、橡皮筋1袋、棉塞1袋、牛皮纸（全开）1张、标签纸1包、酒精棉球1瓶、医用纱布1包、短柄药匙（塑料，红黄绿三色各1个）1套、记号笔1支、过滤纱布袋1个、精密pH试纸（5.5-9）1本、工具三件套（铲子等）1套、取样纸袋（175×110mm）10个、微量连盖离心管（0.2mL）10支、微量连盖离心管（0.5mL）10支、离心管架（24孔，0.5/1.5/2mL）1个等。
核心产品技术指标：
玻璃量筒：
规格：外形尺寸：①、10mL：142×16×1.8mm，壁厚1.8mm；②、100mL：243×31.9×2mm，壁厚2.0mm；材质：优质高硼硅BORO3.3；工艺：精工烧结，依据实验和设计要求定制，无毛刺锐角，丝印红色品牌LOGO；功能描述：管体具有低膨胀率、耐高温、高强度、高硬度、高透光率和高化学稳定性的优良特性，用来定量量取液体。
试管φ20mm×195mm：
规格：外形尺寸195×20mm（±5mm），壁厚2mm；材质：优质高硼硅BORO3.3；工艺：精工烧结，依据实验和设计要求定制，无毛刺锐角；功能描述：管体具有低膨胀率、耐高温、高强度、高硬度、高透光率和高化学稳定性的优良特性，既可用作少量试剂的化学反应容器，也可在常温或加热时使用。
可完成的基本实验活动：
32.酵母菌的分离与纯化；
33.土壤中分解尿素的细菌的分离与计数；
34.利用乳酸菌发酵制作酸奶或泡菜；
35.利用酵母菌、醋酸菌分别制作果酒和果醋；
36.利用植物组织培养技术培育植物幼苗；
37.DNA的粗提取与鉴定；
38. DNA片段扩增与鉴定。</t>
        </is>
      </c>
      <c r="L24" s="48" t="inlineStr">
        <is>
          <t>乐百仕</t>
        </is>
      </c>
      <c r="M24" s="48" t="inlineStr">
        <is>
          <t>江苏乐百仕教育科技有限公司</t>
        </is>
      </c>
      <c r="N24" s="365" t="n">
        <v>1</v>
      </c>
      <c r="O24" s="365" t="n">
        <v>4</v>
      </c>
      <c r="P24" s="345" t="n">
        <v>4</v>
      </c>
      <c r="Q24" s="345" t="inlineStr">
        <is>
          <t>箱</t>
        </is>
      </c>
      <c r="R24" s="345" t="inlineStr"/>
      <c r="S24" s="345" t="inlineStr"/>
      <c r="T24" s="345" t="inlineStr"/>
      <c r="U24" s="345" t="inlineStr"/>
      <c r="V24" s="345" t="inlineStr"/>
      <c r="W24" s="345" t="inlineStr"/>
      <c r="X24" s="345" t="inlineStr"/>
      <c r="Y24" s="345" t="inlineStr"/>
      <c r="Z24" s="345" t="inlineStr">
        <is>
          <t>confirmed</t>
        </is>
      </c>
      <c r="AA24" s="345" t="n">
        <v>0</v>
      </c>
      <c r="AB24" s="345" t="inlineStr">
        <is>
          <t>没有找到可靠候选</t>
        </is>
      </c>
      <c r="AC24" s="345" t="inlineStr">
        <is>
          <t>赛特尔25年.xls｜初中新课标生物｜第87行</t>
        </is>
      </c>
    </row>
    <row r="25" customFormat="1" s="6">
      <c r="A25" s="323" t="n">
        <v>35</v>
      </c>
      <c r="B25" s="78" t="inlineStr">
        <is>
          <t>JXC-306</t>
        </is>
      </c>
      <c r="C25" s="84" t="inlineStr">
        <is>
          <t>高中生物配套实验仪器一</t>
        </is>
      </c>
      <c r="D25" s="80" t="inlineStr">
        <is>
          <t>箱体规格：450×320×170mm(±10mm)。
材质：炭黑色优质PC材料箱盖，橙色增强型ABS树脂材料箱体，紫色增强型PP材质活动卡扣；结构：整体采用加厚增强型扣盖卡扣式设计，箱体为上下面耦合卡槽定位，内置活动式上下双层内衬，嵌入式专槽定位，方便器材取用保管；叠加方式：既可叠加组合摆放，也可放置于仪器柜或货架。
主要配置及特征参数：
X型支座（黑色增强尼龙、镀锌圆钢，φ10mm凹凸式双轨插孔）1套、双向转接头（铝合金，配紫色M6螺丝2个）2个、250mm支撑杆（不锈钢，D=10mm，L=250mm）1根、600mm支撑杆-母杆（不锈钢，D=10mm，L=300mm）1根、600mm支撑杆-公杆（不锈钢，D=10mm，L=310mm）1根、铁三环（金属，黑色，配紫色M6螺丝，大中小各1个）1套、万用夹具（金属，黑色）2个、多功能卡夹（橙色ABS，70×35×25mm）1个、酒精灯（150mL）1个、电子点火器（230mm×45mm）1把、试管架（塑料，8孔8立柱，孔径22mm）1个、电子天平（1000g，精度0.1g）1台、电子秒表计时器（PVC）1个、LED灯（白色，插电款，三档白光+线+充电头）1套、打孔器（4件套）1套、钢丝钳（150mm）1把、剪刀1把、美工刀1把、解剖器（7件套）1套、木质试管夹（L=180mm）4个、三脚架（铁制可拆卸，环内径75 mm，h=150 mm）1个、陶土网（150mmx150mm）1个、滤纸（中速，D=110mm）1包、称量纸（100mm×100mm）1盒、小号试管刷（L=180mm，毛粗20mm）1把、大号试管刷（L=230mm，毛粗35mm）1把等。
核心产品技术指标：
X型支座：
材质：黑色增强尼龙、镀锌圆钢，确保强度且耐酸耐碱；工艺：塑料注塑成型、表面镀锌处理；产品结构：90度角双臂，半轴长165.5mm，底座高度24mm，顶部带φ10扩展孔，匍氏耦合对接挂钩、φ10凹凸式双轨插孔，自锁紧双下压扣，多功能杆插孔、斜顶式M6螺丝锁紧孔,底部配重盖采用超声波焊接技术；功能描述：Half-Half对偶插接式构造能够进行多种结构拓展：①、两件对插呈X型可作为常规铁架台底座；②、可对接不同长度的支撑杆组成不同种类的支撑座；③、可作为光学实验导轨；④、拓展为其他产品的轨道座；⑤、级联底座作为配重等。
双向转接头：
规格：30×30×65mm；材质：铝合金；工艺：精密压铸、电泳发黑；功能描述：①、两端固定口90°正交垂直，中间穿孔可以轴向固定；②、附带2个M6×25mm的防滑手紧螺丝，可以固定所有用到与支撑杆有关的实验设备。</t>
        </is>
      </c>
      <c r="E25" s="81" t="n">
        <v>1</v>
      </c>
      <c r="F25" s="84" t="inlineStr">
        <is>
          <t>箱</t>
        </is>
      </c>
      <c r="G25" s="81">
        <f>_xlfn.DISPIMG("ID_DD47558F87B54BCF982FA330FFD825DF",1)</f>
        <v/>
      </c>
      <c r="H25" s="50" t="n"/>
      <c r="I25" s="82" t="n"/>
      <c r="J25" s="84" t="inlineStr">
        <is>
          <t>JXC-306</t>
        </is>
      </c>
      <c r="K25" s="77" t="inlineStr">
        <is>
          <t>箱体大小：450×320×170mm(±20mm)。
材质：炭黑色优质PC材料箱盖，橙色增强型ABS树脂材料箱体，紫色增强型PP材质活动卡扣；结构：整体采用加厚增强型扣盖卡扣式设计，箱体为上下面耦合卡槽定位，内置活动式上下双层内衬，嵌入式专槽定位，方便器材取用保管；叠加方式：既可叠加组合摆放，也可放置于仪器柜或货架。
主要配置及特征参数：
X型支座（黑色增强尼龙、镀锌圆钢，φ10mm凹凸式双轨插孔）1套、双向转接头（铝合金，配紫色M6螺丝2个）2个、250mm支撑杆（不锈钢，D=10mm，L=250mm）1根、600mm支撑杆-母杆（不锈钢，D=10mm，L=300mm）1根、600mm支撑杆-公杆（不锈钢，D=10mm，L=310mm）1根、铁三环（金属，黑色，配紫色M6螺丝，大中小各1个）1套、万用夹具（金属，黑色）2个、多功能卡夹（橙色ABS，70×35×25mm）1个、酒精灯（150mL）1个、电子点火器（230mm×45mm）1把、试管架（塑料，8孔8立柱，孔径22mm）1个、电子天平（1000g，精度0.1g）1台、电子秒表计时器（PVC）1个、LED灯（白色，插电款，三档白光+线+充电头）1套、打孔器（4件套）1套、钢丝钳（150mm）1把、剪刀1把、美工刀1把、解剖器（7件套）1套、木质试管夹（L=180mm）4个、三脚架（铁制可拆卸，环内径75 mm，h=150 mm）1个、陶土网（150mmx150mm）1个、滤纸（中速，D=110mm）1包、称量纸（100mm×100mm）1盒、小号试管刷（L=180mm，毛粗20mm）1把、大号试管刷（L=230mm，毛粗35mm）1把等。
核心产品技术指标：
X型支座：
材质：黑色增强尼龙、镀锌圆钢，确保强度且耐酸耐碱；工艺：塑料注塑成型、表面镀锌处理；产品结构：90度角双臂，半轴长165.5mm，底座高度24mm，顶部带φ10扩展孔，匍氏耦合对接挂钩、φ10凹凸式双轨插孔，自锁紧双下压扣，多功能杆插孔、斜顶式M6螺丝锁紧孔,底部配重盖采用超声波焊接技术；功能描述：Half-Half对偶插接式构造能够进行多种结构拓展：①、两件对插呈X型可作为常规铁架台底座；②、可对接不同长度的支撑杆组成不同种类的支撑座；③、可作为光学实验导轨；④、拓展为其他产品的轨道座；⑤、级联底座作为配重等。
双向转接头：
规格：30×30×65mm；材质：铝合金；工艺：精密压铸、电泳发黑；功能描述：①、两端固定口90°正交垂直，中间穿孔可以轴向固定；②、附带2个M6×25mm的防滑手紧螺丝，可以固定所有用到与支撑杆有关的实验设备。</t>
        </is>
      </c>
      <c r="L25" s="48" t="inlineStr">
        <is>
          <t>乐百仕</t>
        </is>
      </c>
      <c r="M25" s="48" t="inlineStr">
        <is>
          <t>江苏乐百仕教育科技有限公司</t>
        </is>
      </c>
      <c r="N25" s="365" t="n">
        <v>1</v>
      </c>
      <c r="O25" s="365" t="n">
        <v>40</v>
      </c>
      <c r="P25" s="345" t="n">
        <v>40</v>
      </c>
      <c r="Q25" s="345" t="inlineStr">
        <is>
          <t>箱</t>
        </is>
      </c>
      <c r="R25" s="345" t="inlineStr"/>
      <c r="S25" s="345" t="inlineStr"/>
      <c r="T25" s="345" t="inlineStr"/>
      <c r="U25" s="345" t="inlineStr"/>
      <c r="V25" s="345" t="inlineStr"/>
      <c r="W25" s="345" t="inlineStr"/>
      <c r="X25" s="345" t="inlineStr"/>
      <c r="Y25" s="345" t="inlineStr"/>
      <c r="Z25" s="345" t="inlineStr">
        <is>
          <t>confirmed</t>
        </is>
      </c>
      <c r="AA25" s="345" t="n">
        <v>0</v>
      </c>
      <c r="AB25" s="345" t="inlineStr">
        <is>
          <t>没有找到可靠候选</t>
        </is>
      </c>
      <c r="AC25" s="345" t="inlineStr">
        <is>
          <t>赛特尔25年.xls｜初中生物｜第216行</t>
        </is>
      </c>
    </row>
    <row r="26" customFormat="1" s="6">
      <c r="A26" s="323" t="n">
        <v>36</v>
      </c>
      <c r="B26" s="78" t="inlineStr">
        <is>
          <t>JXC-307</t>
        </is>
      </c>
      <c r="C26" s="84" t="inlineStr">
        <is>
          <t>高中生物配套实验仪器二</t>
        </is>
      </c>
      <c r="D26" s="80" t="inlineStr">
        <is>
          <t>箱体规格：450×321×171mm(±5mm)。
材质：炭黑色优质PC材料箱盖，橙色增强型ABS树脂材料箱体，紫色增强型PP材质活动卡扣；结构：整体采用加厚增强型扣盖卡扣式设计，箱体为上下面耦合卡槽定位，方便器材取用保管；叠加方式：既可叠加组合摆放，也可放置于仪器柜或货架。
主要配置及特征参数：
微量移液器（0.5μL～10μL）1个、微量移液器（10μL～100μL）1个、微量移液器（100μL～1000μL）1个、微量移液器（1000μL～5000μL）1个、微量移液器吸头（包括：0.5μL～10μL吸头1袋，10μL～200μL吸头1袋，100μL～1000μL吸头1袋、1000μL～5000μL吸头1袋）1套、移液器架（可放4支微量移液器）1套等。</t>
        </is>
      </c>
      <c r="E26" s="81" t="n">
        <v>1</v>
      </c>
      <c r="F26" s="84" t="inlineStr">
        <is>
          <t>箱</t>
        </is>
      </c>
      <c r="G26" s="81">
        <f>_xlfn.DISPIMG("ID_20C5336C13B34C06A04A5C9F0ACE3969",1)</f>
        <v/>
      </c>
      <c r="H26" s="50" t="n"/>
      <c r="I26" s="82" t="n"/>
      <c r="J26" s="84" t="inlineStr">
        <is>
          <t>JXC-307</t>
        </is>
      </c>
      <c r="K26" s="77" t="inlineStr">
        <is>
          <t>箱体规格：450×321×171mm(±5mm)。
材质：炭黑色优质PC材料箱盖，橙色增强型ABS树脂材料箱体，紫色增强型PP材质活动卡扣；结构：整体采用加厚增强型扣盖卡扣式设计，箱体为上下面耦合卡槽定位，方便器材取用保管；叠加方式：既可叠加组合摆放，也可放置于仪器柜或货架。
主要配置及特征参数：
微量移液器（0.5μL～10μL）1个、微量移液器（10μL～100μL）1个、微量移液器（100μL～1000μL）1个、微量移液器（1000μL～5000μL）1个、微量移液器吸头（包括：0.5μL～10μL吸头1袋，10μL～200μL吸头1袋，100μL～1000μL吸头1袋、1000μL～5000μL吸头1袋）1套、移液器架（可放4支微量移液器）1套等。</t>
        </is>
      </c>
      <c r="L26" s="48" t="inlineStr">
        <is>
          <t>乐百仕</t>
        </is>
      </c>
      <c r="M26" s="48" t="inlineStr">
        <is>
          <t>江苏乐百仕教育科技有限公司</t>
        </is>
      </c>
      <c r="N26" s="365" t="n">
        <v>1</v>
      </c>
      <c r="O26" s="365" t="n">
        <v>40</v>
      </c>
      <c r="P26" s="345" t="n">
        <v>40</v>
      </c>
      <c r="Q26" s="345" t="inlineStr">
        <is>
          <t>箱</t>
        </is>
      </c>
      <c r="R26" s="345" t="inlineStr"/>
      <c r="S26" s="345" t="inlineStr"/>
      <c r="T26" s="345" t="inlineStr"/>
      <c r="U26" s="345" t="inlineStr"/>
      <c r="V26" s="345" t="inlineStr"/>
      <c r="W26" s="345" t="inlineStr"/>
      <c r="X26" s="345" t="inlineStr"/>
      <c r="Y26" s="345" t="inlineStr"/>
      <c r="Z26" s="345" t="inlineStr">
        <is>
          <t>confirmed</t>
        </is>
      </c>
      <c r="AA26" s="345" t="n">
        <v>0</v>
      </c>
      <c r="AB26" s="345" t="inlineStr">
        <is>
          <t>匹配到商品档案但无历史价格记录</t>
        </is>
      </c>
      <c r="AC26" s="345" t="inlineStr">
        <is>
          <t>赛特尔25年.xls｜初中生物｜第216行</t>
        </is>
      </c>
    </row>
    <row r="27" customFormat="1" s="6">
      <c r="A27" s="323" t="n">
        <v>37</v>
      </c>
      <c r="B27" s="78" t="inlineStr">
        <is>
          <t>JXC-308</t>
        </is>
      </c>
      <c r="C27" s="85" t="inlineStr">
        <is>
          <t>高中生物配套玻璃仪器</t>
        </is>
      </c>
      <c r="D27" s="80" t="inlineStr">
        <is>
          <t>主要配置及特征参数：
玻璃量筒（高硼硅3.3，10mL，142mm×16mm×1.8mm）2个、玻璃量筒（高硼硅3.3，50mL，195mm×25.7mm×2mm）2个、玻璃量筒（高硼硅3.3，100mL，243mm×31.9mm×2mm）2个、玻璃锥形瓶（高硼硅3.3，100mL，105mm×64mm） 6个、玻璃锥形瓶（高硼硅3.3，250mL，147mm×82mm） 5个、玻璃烧杯（高硼硅3.3，250mL，99mm×70mm）6个、玻璃烧杯（高硼硅3.3，500mL，120mm×88mm）2个、果酒果醋发酵装置透明（最大容积 1 L，具水封及气泡限速装置，可进行气泡观察计数1套）、泡菜坛（1000 mL）1个等。
核心产品技术指标：
玻璃量筒：
规格：外形尺寸：①、10mL：142×16×1.8mm，壁厚1.8mm；②、50mL：195×25.7×2mm，壁厚2mm；③、100mL：243×31.9×2mm，壁厚2.0mm；材质：优质高硼硅BORO3.3；工艺：精工烧结，依据实验和设计要求定制，无毛刺锐角，丝印红色品牌LOGO；功能描述：管体具有低膨胀率、耐高温、高强度、高硬度、高透光率和高化学稳定性的优良特性，用来定量量取液体。
玻璃烧杯：
规格：外形尺寸：①、250mL：99×70mm（±5mm），壁厚2.5mm；②、500mL：120×88mm（±5mm），壁厚2.5mm；材质：优质高硼硅BORO3.3；工艺：精工烧结，依据实验和设计要求定制，无毛刺锐角，丝印白色品牌LOGO；功能描述：管体具有低膨胀率、耐高温、高强度、高硬度、高透光率和高化学稳定性的优良特性，用作配制溶液和作为较大量的试剂化学反应容器。</t>
        </is>
      </c>
      <c r="E27" s="81" t="n">
        <v>1</v>
      </c>
      <c r="F27" s="84" t="inlineStr">
        <is>
          <t>套</t>
        </is>
      </c>
      <c r="G27" s="81" t="n"/>
      <c r="H27" s="50" t="n"/>
      <c r="I27" s="82" t="n"/>
      <c r="J27" s="84" t="inlineStr">
        <is>
          <t>JXC-308</t>
        </is>
      </c>
      <c r="K27" s="77" t="inlineStr">
        <is>
          <t>主要配置及特征参数：
玻璃量筒（高硼硅3.3，10mL，142mm×16mm×1.8mm）2个、玻璃量筒（高硼硅3.3，50mL，195mm×25.7mm×2mm）2个、玻璃量筒（高硼硅3.3，100mL，243mm×31.9mm×2mm）2个、玻璃锥形瓶（高硼硅3.3，100mL，105mm×64mm） 6个、玻璃锥形瓶（高硼硅3.3，250mL，147mm×82mm） 5个、玻璃烧杯（高硼硅3.3，250mL，99mm×70mm）6个、玻璃烧杯（高硼硅3.3，500mL，120mm×88mm）2个、果酒果醋发酵装置透明（最大容积 1 L，具水封及气泡限速装置，可进行气泡观察计数1套）、泡菜坛（1000 mL）1个等。
核心产品技术指标：
玻璃量筒：
规格：外形尺寸：①、10mL：142×16×1.8mm，壁厚1.8mm；②、50mL：195×25.7×2mm，壁厚2mm；③、100mL：243×31.9×2mm，壁厚2.0mm；材质：优质高硼硅BORO3.3；工艺：精工烧结，依据实验和设计要求定制，无毛刺锐角，丝印红色品牌LOGO；功能描述：管体具有低膨胀率、耐高温、高强度、高硬度、高透光率和高化学稳定性的优良特性，用来定量量取液体。
玻璃烧杯：
规格：外形尺寸：①、250mL：99×70mm（±5mm），壁厚2.5mm；②、500mL：120×88mm（±5mm），壁厚2.5mm；材质：优质高硼硅BORO3.3；工艺：精工烧结，依据实验和设计要求定制，无毛刺锐角，丝印白色品牌LOGO；功能描述：管体具有低膨胀率、耐高温、高强度、高硬度、高透光率和高化学稳定性的优良特性，用作配制溶液和作为较大量的试剂化学反应容器。</t>
        </is>
      </c>
      <c r="L27" s="48" t="inlineStr">
        <is>
          <t>乐百仕</t>
        </is>
      </c>
      <c r="M27" s="48" t="inlineStr">
        <is>
          <t>江苏乐百仕教育科技有限公司</t>
        </is>
      </c>
      <c r="N27" s="365" t="n">
        <v>1</v>
      </c>
      <c r="O27" s="365" t="n">
        <v>40</v>
      </c>
      <c r="P27" s="345" t="n">
        <v>40</v>
      </c>
      <c r="Q27" s="345" t="inlineStr">
        <is>
          <t>套</t>
        </is>
      </c>
      <c r="R27" s="345" t="inlineStr"/>
      <c r="S27" s="345" t="inlineStr"/>
      <c r="T27" s="345" t="inlineStr"/>
      <c r="U27" s="345" t="inlineStr"/>
      <c r="V27" s="345" t="inlineStr"/>
      <c r="W27" s="345" t="inlineStr"/>
      <c r="X27" s="345" t="inlineStr"/>
      <c r="Y27" s="345" t="inlineStr"/>
      <c r="Z27" s="345" t="inlineStr">
        <is>
          <t>confirmed</t>
        </is>
      </c>
      <c r="AA27" s="345" t="n">
        <v>0</v>
      </c>
      <c r="AB27" s="345" t="inlineStr">
        <is>
          <t>没有找到可靠候选</t>
        </is>
      </c>
      <c r="AC27" s="345" t="inlineStr">
        <is>
          <t>赛特尔25年.xls｜初中生物｜第216行</t>
        </is>
      </c>
    </row>
    <row r="28" customFormat="1" s="5">
      <c r="A28" s="323" t="n">
        <v>41</v>
      </c>
      <c r="B28" s="67" t="n">
        <v>30409300601</v>
      </c>
      <c r="C28" s="27" t="inlineStr">
        <is>
          <t>减数分裂中染色体变化模型组件</t>
        </is>
      </c>
      <c r="D28" s="68" t="inlineStr">
        <is>
          <t>材料环保，便于演示</t>
        </is>
      </c>
      <c r="E28" s="69" t="n">
        <v>13</v>
      </c>
      <c r="F28" s="30" t="inlineStr">
        <is>
          <t>套</t>
        </is>
      </c>
      <c r="G28" s="67">
        <f>_xlfn.DISPIMG("ID_050C044F194342D3B7E09DC4019AE8EC",1)</f>
        <v/>
      </c>
      <c r="H28" s="26" t="n"/>
      <c r="I28" s="32" t="n"/>
      <c r="J28" s="26" t="n">
        <v>30409300601</v>
      </c>
      <c r="K28" s="164" t="inlineStr">
        <is>
          <t>材料环保，便于演示</t>
        </is>
      </c>
      <c r="L28" s="39" t="inlineStr">
        <is>
          <t>乐百仕</t>
        </is>
      </c>
      <c r="M28" s="39" t="inlineStr">
        <is>
          <t>江苏乐百仕教育科技有限公司</t>
        </is>
      </c>
      <c r="N28" s="361" t="n">
        <v>13</v>
      </c>
      <c r="O28" s="361" t="n">
        <v>4</v>
      </c>
      <c r="P28" s="345" t="n">
        <v>52</v>
      </c>
      <c r="Q28" s="345" t="inlineStr">
        <is>
          <t>套</t>
        </is>
      </c>
      <c r="R28" s="345" t="inlineStr"/>
      <c r="S28" s="345" t="inlineStr"/>
      <c r="T28" s="345" t="inlineStr">
        <is>
          <t>3</t>
        </is>
      </c>
      <c r="U28" s="345" t="inlineStr"/>
      <c r="V28" s="345" t="n">
        <v>35</v>
      </c>
      <c r="W28" s="345" t="inlineStr"/>
      <c r="X28" s="345" t="n">
        <v>760</v>
      </c>
      <c r="Y28" s="345" t="inlineStr"/>
      <c r="Z28" s="345" t="inlineStr">
        <is>
          <t>confirmed</t>
        </is>
      </c>
      <c r="AA28" s="345" t="n">
        <v>90</v>
      </c>
      <c r="AB28" s="345" t="inlineStr">
        <is>
          <t>价格分歧&gt;30%：历史报价分歧较大，需人工核对；同分多价：最高分候选存在不同历史价格</t>
        </is>
      </c>
      <c r="AC28" s="345" t="inlineStr">
        <is>
          <t>赛特尔25年.xls｜小学新课标科学｜第130行</t>
        </is>
      </c>
    </row>
    <row r="29" customFormat="1" s="5">
      <c r="A29" s="323" t="n">
        <v>42</v>
      </c>
      <c r="B29" s="67" t="n">
        <v>30409300801</v>
      </c>
      <c r="C29" s="27" t="inlineStr">
        <is>
          <t>DNA双螺旋结构模型</t>
        </is>
      </c>
      <c r="D29" s="68" t="inlineStr">
        <is>
          <t>一个半螺旋，包括 16 个碱基对和其他相应元件，材料环保，便于演示</t>
        </is>
      </c>
      <c r="E29" s="86" t="n">
        <v>1</v>
      </c>
      <c r="F29" s="30" t="inlineStr">
        <is>
          <t>个</t>
        </is>
      </c>
      <c r="G29" s="67">
        <f>_xlfn.DISPIMG("ID_FCA692624C61471BA6C11B03EB46DE6D",1)</f>
        <v/>
      </c>
      <c r="H29" s="26" t="n"/>
      <c r="I29" s="32" t="n"/>
      <c r="J29" s="26" t="n">
        <v>30409300801</v>
      </c>
      <c r="K29" s="164" t="inlineStr">
        <is>
          <t>一个半螺旋，包括 16 个碱基对和其他相应元件，材料环保，便于演示</t>
        </is>
      </c>
      <c r="L29" s="39" t="inlineStr">
        <is>
          <t>乐百仕</t>
        </is>
      </c>
      <c r="M29" s="39" t="inlineStr">
        <is>
          <t>江苏乐百仕教育科技有限公司</t>
        </is>
      </c>
      <c r="N29" s="361" t="n">
        <v>1</v>
      </c>
      <c r="O29" s="361" t="n">
        <v>20</v>
      </c>
      <c r="P29" s="345" t="n">
        <v>20</v>
      </c>
      <c r="Q29" s="345" t="inlineStr">
        <is>
          <t>个</t>
        </is>
      </c>
      <c r="R29" s="345" t="inlineStr">
        <is>
          <t>群信</t>
        </is>
      </c>
      <c r="S29" s="345" t="inlineStr"/>
      <c r="T29" s="345" t="inlineStr"/>
      <c r="U29" s="345" t="inlineStr">
        <is>
          <t>33307</t>
        </is>
      </c>
      <c r="V29" s="345" t="inlineStr"/>
      <c r="W29" s="345" t="inlineStr"/>
      <c r="X29" s="345" t="inlineStr"/>
      <c r="Y29" s="345" t="inlineStr"/>
      <c r="Z29" s="345" t="inlineStr">
        <is>
          <t>confirmed</t>
        </is>
      </c>
      <c r="AA29" s="345" t="n">
        <v>100</v>
      </c>
      <c r="AB29" s="345" t="inlineStr"/>
      <c r="AC29" s="345" t="inlineStr">
        <is>
          <t>高中理化生报价.xlsx｜凯迪｜第1453行</t>
        </is>
      </c>
    </row>
    <row r="30" customFormat="1" s="5">
      <c r="A30" s="323" t="n">
        <v>43</v>
      </c>
      <c r="B30" s="67" t="n">
        <v>30409300901</v>
      </c>
      <c r="C30" s="27" t="inlineStr">
        <is>
          <t>DNA双螺旋结构模型组件</t>
        </is>
      </c>
      <c r="D30" s="68" t="inlineStr">
        <is>
          <t>四种碱基、脱氧核糖、磷酸彼此分离</t>
        </is>
      </c>
      <c r="E30" s="86" t="n">
        <v>25</v>
      </c>
      <c r="F30" s="87" t="inlineStr">
        <is>
          <t>套</t>
        </is>
      </c>
      <c r="G30" s="67">
        <f>_xlfn.DISPIMG("ID_07D5B75A6B5A4FDD88778A53CC9A4500",1)</f>
        <v/>
      </c>
      <c r="H30" s="26" t="n"/>
      <c r="I30" s="32" t="n"/>
      <c r="J30" s="26" t="n">
        <v>30409300901</v>
      </c>
      <c r="K30" s="164" t="inlineStr">
        <is>
          <t>四种碱基、脱氧核糖、磷酸彼此分离</t>
        </is>
      </c>
      <c r="L30" s="39" t="inlineStr">
        <is>
          <t>乐百仕</t>
        </is>
      </c>
      <c r="M30" s="39" t="inlineStr">
        <is>
          <t>江苏乐百仕教育科技有限公司</t>
        </is>
      </c>
      <c r="N30" s="361" t="n">
        <v>25</v>
      </c>
      <c r="O30" s="361" t="n">
        <v>4</v>
      </c>
      <c r="P30" s="345" t="n">
        <v>100</v>
      </c>
      <c r="Q30" s="345" t="inlineStr">
        <is>
          <t>套</t>
        </is>
      </c>
      <c r="R30" s="345" t="inlineStr"/>
      <c r="S30" s="345" t="inlineStr"/>
      <c r="T30" s="345" t="inlineStr">
        <is>
          <t>3</t>
        </is>
      </c>
      <c r="U30" s="345" t="inlineStr"/>
      <c r="V30" s="345" t="n">
        <v>35</v>
      </c>
      <c r="W30" s="345" t="inlineStr"/>
      <c r="X30" s="345" t="n">
        <v>760</v>
      </c>
      <c r="Y30" s="345" t="inlineStr"/>
      <c r="Z30" s="345" t="inlineStr">
        <is>
          <t>confirmed</t>
        </is>
      </c>
      <c r="AA30" s="345" t="n">
        <v>90</v>
      </c>
      <c r="AB30" s="345" t="inlineStr">
        <is>
          <t>价格分歧&gt;30%：历史报价分歧较大，需人工核对；同分多价：最高分候选存在不同历史价格</t>
        </is>
      </c>
      <c r="AC30" s="345" t="inlineStr">
        <is>
          <t>赛特尔25年.xls｜小学新课标科学｜第130行</t>
        </is>
      </c>
    </row>
    <row r="31" customFormat="1" s="5">
      <c r="A31" s="323" t="n">
        <v>45</v>
      </c>
      <c r="B31" s="67" t="n">
        <v>30409302601</v>
      </c>
      <c r="C31" s="27" t="inlineStr">
        <is>
          <t>转录和翻译磁片模型</t>
        </is>
      </c>
      <c r="D31" s="88" t="inlineStr">
        <is>
          <t>具有单独构件，可以分步演示。大小适合黑板展示</t>
        </is>
      </c>
      <c r="E31" s="69" t="n">
        <v>1</v>
      </c>
      <c r="F31" s="89" t="inlineStr">
        <is>
          <t>套</t>
        </is>
      </c>
      <c r="G31" s="67">
        <f>_xlfn.DISPIMG("ID_FA43F47951934A208194DB872F229762",1)</f>
        <v/>
      </c>
      <c r="H31" s="26" t="n"/>
      <c r="I31" s="32" t="n"/>
      <c r="J31" s="26" t="n">
        <v>30409302601</v>
      </c>
      <c r="K31" s="65" t="inlineStr">
        <is>
          <t>具有单独构件，可以分步演示。大小适合黑板展示</t>
        </is>
      </c>
      <c r="L31" s="39" t="inlineStr">
        <is>
          <t>乐百仕</t>
        </is>
      </c>
      <c r="M31" s="39" t="inlineStr">
        <is>
          <t>江苏乐百仕教育科技有限公司</t>
        </is>
      </c>
      <c r="N31" s="361" t="n">
        <v>1</v>
      </c>
      <c r="O31" s="361" t="n">
        <v>4</v>
      </c>
      <c r="P31" s="345" t="n">
        <v>4</v>
      </c>
      <c r="Q31" s="345" t="inlineStr">
        <is>
          <t>套</t>
        </is>
      </c>
      <c r="R31" s="345" t="inlineStr"/>
      <c r="S31" s="345" t="inlineStr"/>
      <c r="T31" s="345" t="inlineStr">
        <is>
          <t>3</t>
        </is>
      </c>
      <c r="U31" s="345" t="inlineStr"/>
      <c r="V31" s="345" t="n">
        <v>35</v>
      </c>
      <c r="W31" s="345" t="inlineStr"/>
      <c r="X31" s="345" t="n">
        <v>760</v>
      </c>
      <c r="Y31" s="345" t="inlineStr"/>
      <c r="Z31" s="345" t="inlineStr">
        <is>
          <t>confirmed</t>
        </is>
      </c>
      <c r="AA31" s="345" t="n">
        <v>90</v>
      </c>
      <c r="AB31" s="345" t="inlineStr">
        <is>
          <t>价格分歧&gt;30%：历史报价分歧较大，需人工核对；同分多价：最高分候选存在不同历史价格</t>
        </is>
      </c>
      <c r="AC31" s="345" t="inlineStr">
        <is>
          <t>赛特尔25年.xls｜小学新课标科学｜第130行</t>
        </is>
      </c>
    </row>
    <row r="32" customFormat="1" s="195">
      <c r="A32" s="323" t="n">
        <v>50</v>
      </c>
      <c r="B32" s="26" t="n">
        <v>30509003401</v>
      </c>
      <c r="C32" s="30" t="inlineStr">
        <is>
          <t>蚕豆叶下表皮装片</t>
        </is>
      </c>
      <c r="D32" s="141" t="inlineStr">
        <is>
          <t>显示气孔和保卫细胞</t>
        </is>
      </c>
      <c r="E32" s="31" t="n">
        <v>30</v>
      </c>
      <c r="F32" s="30" t="inlineStr">
        <is>
          <t>片</t>
        </is>
      </c>
      <c r="G32" s="31">
        <f>_xlfn.DISPIMG("ID_4C3C8C6FD4FF45B3B465CAF296F16B3C",1)</f>
        <v/>
      </c>
      <c r="H32" s="31" t="n"/>
      <c r="I32" s="220" t="n"/>
      <c r="J32" s="26" t="n">
        <v>30509003401</v>
      </c>
      <c r="K32" s="33" t="inlineStr">
        <is>
          <t>显示气孔和保卫细胞</t>
        </is>
      </c>
      <c r="L32" s="39" t="inlineStr">
        <is>
          <t>乐百仕</t>
        </is>
      </c>
      <c r="M32" s="39" t="inlineStr">
        <is>
          <t>江苏乐百仕教育科技有限公司</t>
        </is>
      </c>
      <c r="N32" s="364" t="n">
        <v>30</v>
      </c>
      <c r="O32" s="364" t="n">
        <v>2.4</v>
      </c>
      <c r="P32" s="345" t="n">
        <v>72</v>
      </c>
      <c r="Q32" s="345" t="inlineStr">
        <is>
          <t>片</t>
        </is>
      </c>
      <c r="R32" s="345" t="inlineStr"/>
      <c r="S32" s="345" t="inlineStr"/>
      <c r="T32" s="345" t="inlineStr"/>
      <c r="U32" s="345" t="inlineStr"/>
      <c r="V32" s="345" t="n">
        <v>2.4</v>
      </c>
      <c r="W32" s="345" t="inlineStr"/>
      <c r="X32" s="345" t="inlineStr"/>
      <c r="Y32" s="345" t="inlineStr"/>
      <c r="Z32" s="345" t="inlineStr">
        <is>
          <t>confirmed</t>
        </is>
      </c>
      <c r="AA32" s="345" t="n">
        <v>100</v>
      </c>
      <c r="AB32" s="345" t="inlineStr"/>
      <c r="AC32" s="345" t="inlineStr">
        <is>
          <t>赛特尔25年.xls｜初中新课标生物｜第212行</t>
        </is>
      </c>
    </row>
    <row r="33" customFormat="1" s="195">
      <c r="A33" s="323" t="n">
        <v>51</v>
      </c>
      <c r="B33" s="26" t="n">
        <v>30509003701</v>
      </c>
      <c r="C33" s="30" t="inlineStr">
        <is>
          <t>胞间连丝切片</t>
        </is>
      </c>
      <c r="D33" s="141" t="n"/>
      <c r="E33" s="31" t="n">
        <v>30</v>
      </c>
      <c r="F33" s="30" t="inlineStr">
        <is>
          <t>片</t>
        </is>
      </c>
      <c r="G33" s="31">
        <f>_xlfn.DISPIMG("ID_D11C6B223B8F43D2B7797FEF00317035",1)</f>
        <v/>
      </c>
      <c r="H33" s="31" t="n"/>
      <c r="I33" s="220" t="n"/>
      <c r="J33" s="26" t="n">
        <v>30509003701</v>
      </c>
      <c r="K33" s="40" t="inlineStr">
        <is>
          <t>符合教学要求</t>
        </is>
      </c>
      <c r="L33" s="39" t="inlineStr">
        <is>
          <t>乐百仕</t>
        </is>
      </c>
      <c r="M33" s="39" t="inlineStr">
        <is>
          <t>江苏乐百仕教育科技有限公司</t>
        </is>
      </c>
      <c r="N33" s="364" t="n">
        <v>30</v>
      </c>
      <c r="O33" s="364" t="n">
        <v>2.4</v>
      </c>
      <c r="P33" s="345" t="n">
        <v>72</v>
      </c>
      <c r="Q33" s="345" t="inlineStr">
        <is>
          <t>片</t>
        </is>
      </c>
      <c r="R33" s="345" t="inlineStr"/>
      <c r="S33" s="345" t="inlineStr"/>
      <c r="T33" s="345" t="inlineStr"/>
      <c r="U33" s="345" t="inlineStr"/>
      <c r="V33" s="345" t="n">
        <v>2.4</v>
      </c>
      <c r="W33" s="345" t="inlineStr"/>
      <c r="X33" s="345" t="inlineStr"/>
      <c r="Y33" s="345" t="inlineStr"/>
      <c r="Z33" s="345" t="inlineStr">
        <is>
          <t>confirmed</t>
        </is>
      </c>
      <c r="AA33" s="345" t="n">
        <v>100</v>
      </c>
      <c r="AB33" s="345" t="inlineStr"/>
      <c r="AC33" s="345" t="inlineStr">
        <is>
          <t>赛特尔25年.xls｜初中新课标生物｜第381行</t>
        </is>
      </c>
    </row>
    <row r="34" customFormat="1" s="195">
      <c r="A34" s="323" t="n">
        <v>52</v>
      </c>
      <c r="B34" s="26" t="n">
        <v>30509005001</v>
      </c>
      <c r="C34" s="30" t="inlineStr">
        <is>
          <t>迎春叶横切</t>
        </is>
      </c>
      <c r="D34" s="141" t="inlineStr">
        <is>
          <t>应显示叶片横断面的上下表皮、栅栏组织、海绵组织及叶脉等</t>
        </is>
      </c>
      <c r="E34" s="31" t="n">
        <v>30</v>
      </c>
      <c r="F34" s="30" t="inlineStr">
        <is>
          <t>片</t>
        </is>
      </c>
      <c r="G34" s="31">
        <f>_xlfn.DISPIMG("ID_CE2FA7AB88E54828BA5D01FA6AA66C7A",1)</f>
        <v/>
      </c>
      <c r="H34" s="31" t="n"/>
      <c r="I34" s="220" t="n"/>
      <c r="J34" s="26" t="n">
        <v>30509005001</v>
      </c>
      <c r="K34" s="33" t="inlineStr">
        <is>
          <t>应显示叶片横断面的上下表皮、栅栏组织、海绵组织及叶脉等</t>
        </is>
      </c>
      <c r="L34" s="39" t="inlineStr">
        <is>
          <t>乐百仕</t>
        </is>
      </c>
      <c r="M34" s="39" t="inlineStr">
        <is>
          <t>江苏乐百仕教育科技有限公司</t>
        </is>
      </c>
      <c r="N34" s="364" t="n">
        <v>30</v>
      </c>
      <c r="O34" s="364" t="n">
        <v>2.4</v>
      </c>
      <c r="P34" s="345" t="n">
        <v>72</v>
      </c>
      <c r="Q34" s="345" t="inlineStr">
        <is>
          <t>片</t>
        </is>
      </c>
      <c r="R34" s="345" t="inlineStr"/>
      <c r="S34" s="345" t="inlineStr"/>
      <c r="T34" s="345" t="inlineStr"/>
      <c r="U34" s="345" t="inlineStr"/>
      <c r="V34" s="345" t="n">
        <v>2.4</v>
      </c>
      <c r="W34" s="345" t="inlineStr"/>
      <c r="X34" s="345" t="inlineStr"/>
      <c r="Y34" s="345" t="inlineStr"/>
      <c r="Z34" s="345" t="inlineStr">
        <is>
          <t>confirmed</t>
        </is>
      </c>
      <c r="AA34" s="345" t="n">
        <v>100</v>
      </c>
      <c r="AB34" s="345" t="inlineStr"/>
      <c r="AC34" s="345" t="inlineStr">
        <is>
          <t>赛特尔25年.xls｜初中新课标生物｜第271行</t>
        </is>
      </c>
    </row>
    <row r="35" customFormat="1" s="195">
      <c r="A35" s="323" t="n">
        <v>53</v>
      </c>
      <c r="B35" s="26" t="n">
        <v>30509005501</v>
      </c>
      <c r="C35" s="30" t="inlineStr">
        <is>
          <t>黑藻叶装片</t>
        </is>
      </c>
      <c r="D35" s="141" t="inlineStr">
        <is>
          <t>显示细胞核和叶绿体</t>
        </is>
      </c>
      <c r="E35" s="31" t="n">
        <v>30</v>
      </c>
      <c r="F35" s="30" t="inlineStr">
        <is>
          <t>片</t>
        </is>
      </c>
      <c r="G35" s="31">
        <f>_xlfn.DISPIMG("ID_B5DF18D024F3402D8C29A69CB4494634",1)</f>
        <v/>
      </c>
      <c r="H35" s="31" t="n"/>
      <c r="I35" s="220" t="n"/>
      <c r="J35" s="26" t="n">
        <v>30509005501</v>
      </c>
      <c r="K35" s="33" t="inlineStr">
        <is>
          <t>显示细胞核和叶绿体</t>
        </is>
      </c>
      <c r="L35" s="39" t="inlineStr">
        <is>
          <t>乐百仕</t>
        </is>
      </c>
      <c r="M35" s="39" t="inlineStr">
        <is>
          <t>江苏乐百仕教育科技有限公司</t>
        </is>
      </c>
      <c r="N35" s="364" t="n">
        <v>30</v>
      </c>
      <c r="O35" s="364" t="n">
        <v>2</v>
      </c>
      <c r="P35" s="345" t="n">
        <v>60</v>
      </c>
      <c r="Q35" s="345" t="inlineStr">
        <is>
          <t>片</t>
        </is>
      </c>
      <c r="R35" s="345" t="inlineStr"/>
      <c r="S35" s="345" t="inlineStr"/>
      <c r="T35" s="345" t="inlineStr"/>
      <c r="U35" s="345" t="inlineStr"/>
      <c r="V35" s="345" t="n">
        <v>2.4</v>
      </c>
      <c r="W35" s="345" t="inlineStr"/>
      <c r="X35" s="345" t="n">
        <v>2.4</v>
      </c>
      <c r="Y35" s="345" t="inlineStr"/>
      <c r="Z35" s="345" t="inlineStr">
        <is>
          <t>confirmed</t>
        </is>
      </c>
      <c r="AA35" s="345" t="n">
        <v>66.7</v>
      </c>
      <c r="AB35" s="345" t="inlineStr">
        <is>
          <t>同分多价：最高分候选存在不同历史价格</t>
        </is>
      </c>
      <c r="AC35" s="345" t="inlineStr">
        <is>
          <t>高中理化生报价.xlsx｜凯迪｜第1464行</t>
        </is>
      </c>
    </row>
    <row r="36" customFormat="1" s="195">
      <c r="A36" s="323" t="n">
        <v>54</v>
      </c>
      <c r="B36" s="26" t="n">
        <v>30509005601</v>
      </c>
      <c r="C36" s="30" t="inlineStr">
        <is>
          <t>线粒体切片</t>
        </is>
      </c>
      <c r="D36" s="141" t="n"/>
      <c r="E36" s="31" t="n">
        <v>30</v>
      </c>
      <c r="F36" s="30" t="inlineStr">
        <is>
          <t>片</t>
        </is>
      </c>
      <c r="G36" s="31">
        <f>_xlfn.DISPIMG("ID_8B30E42CDCAD4F7CAD3A27C97E9ECDB2",1)</f>
        <v/>
      </c>
      <c r="H36" s="31" t="n"/>
      <c r="I36" s="220" t="n"/>
      <c r="J36" s="26" t="n">
        <v>30509005601</v>
      </c>
      <c r="K36" s="40" t="inlineStr">
        <is>
          <t>符合教学要求</t>
        </is>
      </c>
      <c r="L36" s="39" t="inlineStr">
        <is>
          <t>乐百仕</t>
        </is>
      </c>
      <c r="M36" s="39" t="inlineStr">
        <is>
          <t>江苏乐百仕教育科技有限公司</t>
        </is>
      </c>
      <c r="N36" s="364" t="n">
        <v>30</v>
      </c>
      <c r="O36" s="364" t="n">
        <v>6</v>
      </c>
      <c r="P36" s="345" t="n">
        <v>180</v>
      </c>
      <c r="Q36" s="345" t="inlineStr">
        <is>
          <t>片</t>
        </is>
      </c>
      <c r="R36" s="345" t="inlineStr">
        <is>
          <t>皖南</t>
        </is>
      </c>
      <c r="S36" s="345" t="inlineStr"/>
      <c r="T36" s="345" t="inlineStr"/>
      <c r="U36" s="345" t="inlineStr">
        <is>
          <t>43605</t>
        </is>
      </c>
      <c r="V36" s="345" t="inlineStr"/>
      <c r="W36" s="345" t="inlineStr"/>
      <c r="X36" s="345" t="inlineStr"/>
      <c r="Y36" s="345" t="inlineStr"/>
      <c r="Z36" s="345" t="inlineStr">
        <is>
          <t>confirmed</t>
        </is>
      </c>
      <c r="AA36" s="345" t="n">
        <v>100</v>
      </c>
      <c r="AB36" s="345" t="inlineStr"/>
      <c r="AC36" s="345" t="inlineStr">
        <is>
          <t>高中理化生报价.xlsx｜凯迪｜第1484行</t>
        </is>
      </c>
    </row>
    <row r="37" customFormat="1" s="195">
      <c r="A37" s="323" t="n">
        <v>55</v>
      </c>
      <c r="B37" s="26" t="n">
        <v>30509300301</v>
      </c>
      <c r="C37" s="30" t="inlineStr">
        <is>
          <t>酵母菌装片</t>
        </is>
      </c>
      <c r="D37" s="68" t="n"/>
      <c r="E37" s="31" t="n">
        <v>30</v>
      </c>
      <c r="F37" s="30" t="inlineStr">
        <is>
          <t>片</t>
        </is>
      </c>
      <c r="G37" s="31">
        <f>_xlfn.DISPIMG("ID_456BA14F9E3249158C572E317C673BD1",1)</f>
        <v/>
      </c>
      <c r="H37" s="31" t="n"/>
      <c r="I37" s="220" t="n"/>
      <c r="J37" s="26" t="n">
        <v>30509300301</v>
      </c>
      <c r="K37" s="40" t="inlineStr">
        <is>
          <t>符合教学要求</t>
        </is>
      </c>
      <c r="L37" s="39" t="inlineStr">
        <is>
          <t>乐百仕</t>
        </is>
      </c>
      <c r="M37" s="39" t="inlineStr">
        <is>
          <t>江苏乐百仕教育科技有限公司</t>
        </is>
      </c>
      <c r="N37" s="364" t="n">
        <v>30</v>
      </c>
      <c r="O37" s="364" t="n">
        <v>2.4</v>
      </c>
      <c r="P37" s="345" t="n">
        <v>72</v>
      </c>
      <c r="Q37" s="345" t="inlineStr">
        <is>
          <t>片</t>
        </is>
      </c>
      <c r="R37" s="345" t="inlineStr"/>
      <c r="S37" s="345" t="inlineStr"/>
      <c r="T37" s="345" t="inlineStr"/>
      <c r="U37" s="345" t="inlineStr"/>
      <c r="V37" s="345" t="n">
        <v>2.4</v>
      </c>
      <c r="W37" s="345" t="inlineStr"/>
      <c r="X37" s="345" t="inlineStr"/>
      <c r="Y37" s="345" t="inlineStr"/>
      <c r="Z37" s="345" t="inlineStr">
        <is>
          <t>confirmed</t>
        </is>
      </c>
      <c r="AA37" s="345" t="n">
        <v>100</v>
      </c>
      <c r="AB37" s="345" t="inlineStr"/>
      <c r="AC37" s="345" t="inlineStr">
        <is>
          <t>赛特尔25年.xls｜初中新课标生物｜第393行</t>
        </is>
      </c>
    </row>
    <row r="38" customFormat="1" s="195">
      <c r="A38" s="323" t="n">
        <v>56</v>
      </c>
      <c r="B38" s="26" t="n">
        <v>30509006601</v>
      </c>
      <c r="C38" s="30" t="inlineStr">
        <is>
          <t>水绵装片</t>
        </is>
      </c>
      <c r="D38" s="68" t="n"/>
      <c r="E38" s="31" t="n">
        <v>30</v>
      </c>
      <c r="F38" s="30" t="inlineStr">
        <is>
          <t>片</t>
        </is>
      </c>
      <c r="G38" s="31">
        <f>_xlfn.DISPIMG("ID_725E81217A4E44CE91310D4F70BB3497",1)</f>
        <v/>
      </c>
      <c r="H38" s="31" t="n"/>
      <c r="I38" s="220" t="n"/>
      <c r="J38" s="26" t="n">
        <v>30509006601</v>
      </c>
      <c r="K38" s="40" t="inlineStr">
        <is>
          <t>符合教学要求</t>
        </is>
      </c>
      <c r="L38" s="39" t="inlineStr">
        <is>
          <t>乐百仕</t>
        </is>
      </c>
      <c r="M38" s="39" t="inlineStr">
        <is>
          <t>江苏乐百仕教育科技有限公司</t>
        </is>
      </c>
      <c r="N38" s="364" t="n">
        <v>30</v>
      </c>
      <c r="O38" s="364" t="n">
        <v>2.4</v>
      </c>
      <c r="P38" s="345" t="n">
        <v>72</v>
      </c>
      <c r="Q38" s="345" t="inlineStr">
        <is>
          <t>片</t>
        </is>
      </c>
      <c r="R38" s="345" t="inlineStr"/>
      <c r="S38" s="345" t="inlineStr"/>
      <c r="T38" s="345" t="inlineStr"/>
      <c r="U38" s="345" t="inlineStr"/>
      <c r="V38" s="345" t="n">
        <v>2.4</v>
      </c>
      <c r="W38" s="345" t="inlineStr"/>
      <c r="X38" s="345" t="inlineStr"/>
      <c r="Y38" s="345" t="inlineStr"/>
      <c r="Z38" s="345" t="inlineStr">
        <is>
          <t>confirmed</t>
        </is>
      </c>
      <c r="AA38" s="345" t="n">
        <v>100</v>
      </c>
      <c r="AB38" s="345" t="inlineStr"/>
      <c r="AC38" s="345" t="inlineStr">
        <is>
          <t>赛特尔25年.xls｜初中新课标生物｜第386行</t>
        </is>
      </c>
    </row>
    <row r="39" customFormat="1" s="195">
      <c r="A39" s="323" t="n">
        <v>57</v>
      </c>
      <c r="B39" s="26" t="n">
        <v>30509300701</v>
      </c>
      <c r="C39" s="30" t="inlineStr">
        <is>
          <t>大肠杆菌涂片</t>
        </is>
      </c>
      <c r="D39" s="68" t="n"/>
      <c r="E39" s="31" t="n">
        <v>30</v>
      </c>
      <c r="F39" s="30" t="inlineStr">
        <is>
          <t>片</t>
        </is>
      </c>
      <c r="G39" s="31">
        <f>_xlfn.DISPIMG("ID_EE5CB20FAAD0467A8BFC34D17F7F894C",1)</f>
        <v/>
      </c>
      <c r="H39" s="31" t="n"/>
      <c r="I39" s="31" t="n"/>
      <c r="J39" s="26" t="n">
        <v>30509300701</v>
      </c>
      <c r="K39" s="40" t="inlineStr">
        <is>
          <t>符合教学要求</t>
        </is>
      </c>
      <c r="L39" s="39" t="inlineStr">
        <is>
          <t>乐百仕</t>
        </is>
      </c>
      <c r="M39" s="39" t="inlineStr">
        <is>
          <t>江苏乐百仕教育科技有限公司</t>
        </is>
      </c>
      <c r="N39" s="364" t="n">
        <v>30</v>
      </c>
      <c r="O39" s="364" t="n">
        <v>4</v>
      </c>
      <c r="P39" s="345" t="n">
        <v>120</v>
      </c>
      <c r="Q39" s="345" t="inlineStr">
        <is>
          <t>片</t>
        </is>
      </c>
      <c r="R39" s="345" t="inlineStr">
        <is>
          <t>皖南</t>
        </is>
      </c>
      <c r="S39" s="345" t="inlineStr"/>
      <c r="T39" s="345" t="inlineStr"/>
      <c r="U39" s="345" t="inlineStr">
        <is>
          <t>43312</t>
        </is>
      </c>
      <c r="V39" s="345" t="inlineStr"/>
      <c r="W39" s="345" t="inlineStr"/>
      <c r="X39" s="345" t="inlineStr"/>
      <c r="Y39" s="345" t="inlineStr"/>
      <c r="Z39" s="345" t="inlineStr">
        <is>
          <t>confirmed</t>
        </is>
      </c>
      <c r="AA39" s="345" t="n">
        <v>100</v>
      </c>
      <c r="AB39" s="345" t="inlineStr"/>
      <c r="AC39" s="345" t="inlineStr">
        <is>
          <t>高中理化生报价.xlsx｜凯迪｜第1468行</t>
        </is>
      </c>
    </row>
    <row r="40" customFormat="1" s="195">
      <c r="A40" s="323" t="n">
        <v>58</v>
      </c>
      <c r="B40" s="26" t="n">
        <v>30509300201</v>
      </c>
      <c r="C40" s="30" t="inlineStr">
        <is>
          <t>细菌三型涂片</t>
        </is>
      </c>
      <c r="D40" s="68" t="n"/>
      <c r="E40" s="31" t="n">
        <v>30</v>
      </c>
      <c r="F40" s="30" t="inlineStr">
        <is>
          <t>片</t>
        </is>
      </c>
      <c r="G40" s="31">
        <f>_xlfn.DISPIMG("ID_5C9B05B3D8D1407EB05E309704CDD8B9",1)</f>
        <v/>
      </c>
      <c r="H40" s="31" t="n"/>
      <c r="I40" s="363" t="n"/>
      <c r="J40" s="26" t="n">
        <v>30509300201</v>
      </c>
      <c r="K40" s="40" t="inlineStr">
        <is>
          <t>符合教学要求</t>
        </is>
      </c>
      <c r="L40" s="39" t="inlineStr">
        <is>
          <t>乐百仕</t>
        </is>
      </c>
      <c r="M40" s="39" t="inlineStr">
        <is>
          <t>江苏乐百仕教育科技有限公司</t>
        </is>
      </c>
      <c r="N40" s="364" t="n">
        <v>30</v>
      </c>
      <c r="O40" s="364" t="n">
        <v>2.4</v>
      </c>
      <c r="P40" s="345" t="n">
        <v>72</v>
      </c>
      <c r="Q40" s="345" t="inlineStr">
        <is>
          <t>片</t>
        </is>
      </c>
      <c r="R40" s="345" t="inlineStr"/>
      <c r="S40" s="345" t="inlineStr"/>
      <c r="T40" s="345" t="inlineStr"/>
      <c r="U40" s="345" t="inlineStr"/>
      <c r="V40" s="345" t="n">
        <v>2.4</v>
      </c>
      <c r="W40" s="345" t="inlineStr"/>
      <c r="X40" s="345" t="inlineStr"/>
      <c r="Y40" s="345" t="inlineStr"/>
      <c r="Z40" s="345" t="inlineStr">
        <is>
          <t>confirmed</t>
        </is>
      </c>
      <c r="AA40" s="345" t="n">
        <v>100</v>
      </c>
      <c r="AB40" s="345" t="inlineStr"/>
      <c r="AC40" s="345" t="inlineStr">
        <is>
          <t>赛特尔25年.xls｜初中新课标生物｜第392行</t>
        </is>
      </c>
    </row>
    <row r="41" customFormat="1" s="195">
      <c r="A41" s="323" t="n">
        <v>59</v>
      </c>
      <c r="B41" s="26" t="n">
        <v>30509106801</v>
      </c>
      <c r="C41" s="30" t="inlineStr">
        <is>
          <t>草履虫分裂生殖装片</t>
        </is>
      </c>
      <c r="D41" s="68" t="n"/>
      <c r="E41" s="31" t="n">
        <v>30</v>
      </c>
      <c r="F41" s="30" t="inlineStr">
        <is>
          <t>片</t>
        </is>
      </c>
      <c r="G41" s="31">
        <f>_xlfn.DISPIMG("ID_0CE5D610A2864C54822F488DC47EED7F",1)</f>
        <v/>
      </c>
      <c r="H41" s="31" t="n"/>
      <c r="I41" s="220" t="n"/>
      <c r="J41" s="26" t="n">
        <v>30509106801</v>
      </c>
      <c r="K41" s="40" t="inlineStr">
        <is>
          <t>符合教学要求</t>
        </is>
      </c>
      <c r="L41" s="39" t="inlineStr">
        <is>
          <t>乐百仕</t>
        </is>
      </c>
      <c r="M41" s="39" t="inlineStr">
        <is>
          <t>江苏乐百仕教育科技有限公司</t>
        </is>
      </c>
      <c r="N41" s="364" t="n">
        <v>30</v>
      </c>
      <c r="O41" s="364" t="n">
        <v>6</v>
      </c>
      <c r="P41" s="345" t="n">
        <v>180</v>
      </c>
      <c r="Q41" s="345" t="inlineStr">
        <is>
          <t>片</t>
        </is>
      </c>
      <c r="R41" s="345" t="inlineStr"/>
      <c r="S41" s="345" t="inlineStr"/>
      <c r="T41" s="345" t="inlineStr"/>
      <c r="U41" s="345" t="inlineStr"/>
      <c r="V41" s="345" t="n">
        <v>6</v>
      </c>
      <c r="W41" s="345" t="inlineStr"/>
      <c r="X41" s="345" t="inlineStr"/>
      <c r="Y41" s="345" t="inlineStr"/>
      <c r="Z41" s="345" t="inlineStr">
        <is>
          <t>confirmed</t>
        </is>
      </c>
      <c r="AA41" s="345" t="n">
        <v>100</v>
      </c>
      <c r="AB41" s="345" t="inlineStr"/>
      <c r="AC41" s="345" t="inlineStr">
        <is>
          <t>赛特尔25年.xls｜初中新课标生物｜第214行</t>
        </is>
      </c>
    </row>
    <row r="42" customFormat="1" s="195">
      <c r="A42" s="323" t="n">
        <v>60</v>
      </c>
      <c r="B42" s="26" t="n">
        <v>30509202401</v>
      </c>
      <c r="C42" s="30" t="inlineStr">
        <is>
          <t>人血涂片</t>
        </is>
      </c>
      <c r="D42" s="141" t="inlineStr">
        <is>
          <t>染色均匀</t>
        </is>
      </c>
      <c r="E42" s="31" t="n">
        <v>30</v>
      </c>
      <c r="F42" s="30" t="inlineStr">
        <is>
          <t>片</t>
        </is>
      </c>
      <c r="G42" s="31">
        <f>_xlfn.DISPIMG("ID_B537AF2E08454F2081674B0CC60B268A",1)</f>
        <v/>
      </c>
      <c r="H42" s="31" t="n"/>
      <c r="I42" s="220" t="n"/>
      <c r="J42" s="26" t="n">
        <v>30509202401</v>
      </c>
      <c r="K42" s="33" t="inlineStr">
        <is>
          <t>染色均匀</t>
        </is>
      </c>
      <c r="L42" s="39" t="inlineStr">
        <is>
          <t>乐百仕</t>
        </is>
      </c>
      <c r="M42" s="39" t="inlineStr">
        <is>
          <t>江苏乐百仕教育科技有限公司</t>
        </is>
      </c>
      <c r="N42" s="364" t="n">
        <v>30</v>
      </c>
      <c r="O42" s="364" t="n">
        <v>2.4</v>
      </c>
      <c r="P42" s="345" t="n">
        <v>72</v>
      </c>
      <c r="Q42" s="345" t="inlineStr">
        <is>
          <t>片</t>
        </is>
      </c>
      <c r="R42" s="345" t="inlineStr"/>
      <c r="S42" s="345" t="inlineStr"/>
      <c r="T42" s="345" t="inlineStr"/>
      <c r="U42" s="345" t="inlineStr"/>
      <c r="V42" s="345" t="n">
        <v>2.4</v>
      </c>
      <c r="W42" s="345" t="inlineStr"/>
      <c r="X42" s="345" t="inlineStr"/>
      <c r="Y42" s="345" t="inlineStr"/>
      <c r="Z42" s="345" t="inlineStr">
        <is>
          <t>confirmed</t>
        </is>
      </c>
      <c r="AA42" s="345" t="n">
        <v>100</v>
      </c>
      <c r="AB42" s="345" t="inlineStr"/>
      <c r="AC42" s="345" t="inlineStr">
        <is>
          <t>赛特尔25年.xls｜初中新课标生物｜第288行</t>
        </is>
      </c>
    </row>
    <row r="43" customFormat="1" s="195">
      <c r="A43" s="323" t="n">
        <v>61</v>
      </c>
      <c r="B43" s="26" t="n">
        <v>30509108601</v>
      </c>
      <c r="C43" s="30" t="inlineStr">
        <is>
          <t>蛙血涂片</t>
        </is>
      </c>
      <c r="D43" s="68" t="n"/>
      <c r="E43" s="31" t="n">
        <v>30</v>
      </c>
      <c r="F43" s="30" t="inlineStr">
        <is>
          <t>片</t>
        </is>
      </c>
      <c r="G43" s="31">
        <f>_xlfn.DISPIMG("ID_C918A22DF96747CC939991612BE4C258",1)</f>
        <v/>
      </c>
      <c r="H43" s="31" t="n"/>
      <c r="I43" s="220" t="n"/>
      <c r="J43" s="26" t="n">
        <v>30509108601</v>
      </c>
      <c r="K43" s="40" t="inlineStr">
        <is>
          <t>符合教学要求</t>
        </is>
      </c>
      <c r="L43" s="39" t="inlineStr">
        <is>
          <t>乐百仕</t>
        </is>
      </c>
      <c r="M43" s="39" t="inlineStr">
        <is>
          <t>江苏乐百仕教育科技有限公司</t>
        </is>
      </c>
      <c r="N43" s="364" t="n">
        <v>30</v>
      </c>
      <c r="O43" s="364" t="n">
        <v>2.4</v>
      </c>
      <c r="P43" s="345" t="n">
        <v>72</v>
      </c>
      <c r="Q43" s="345" t="inlineStr">
        <is>
          <t>片</t>
        </is>
      </c>
      <c r="R43" s="345" t="inlineStr"/>
      <c r="S43" s="345" t="inlineStr"/>
      <c r="T43" s="345" t="inlineStr"/>
      <c r="U43" s="345" t="inlineStr"/>
      <c r="V43" s="345" t="n">
        <v>2.4</v>
      </c>
      <c r="W43" s="345" t="inlineStr"/>
      <c r="X43" s="345" t="n">
        <v>4</v>
      </c>
      <c r="Y43" s="345" t="inlineStr"/>
      <c r="Z43" s="345" t="inlineStr">
        <is>
          <t>confirmed</t>
        </is>
      </c>
      <c r="AA43" s="345" t="n">
        <v>75</v>
      </c>
      <c r="AB43" s="345" t="inlineStr"/>
      <c r="AC43" s="345" t="inlineStr">
        <is>
          <t>普教清单.xlsx｜初中生物｜第165行</t>
        </is>
      </c>
    </row>
    <row r="44" customFormat="1" s="195">
      <c r="A44" s="323" t="n">
        <v>62</v>
      </c>
      <c r="B44" s="26" t="n">
        <v>30509108701</v>
      </c>
      <c r="C44" s="30" t="inlineStr">
        <is>
          <t>动物上皮细胞装片</t>
        </is>
      </c>
      <c r="D44" s="68" t="inlineStr">
        <is>
          <t>蛙或蝾螈</t>
        </is>
      </c>
      <c r="E44" s="31" t="n">
        <v>30</v>
      </c>
      <c r="F44" s="30" t="inlineStr">
        <is>
          <t>片</t>
        </is>
      </c>
      <c r="G44" s="31">
        <f>_xlfn.DISPIMG("ID_F0FBE23530F5457ABA7EA8A88F9274F4",1)</f>
        <v/>
      </c>
      <c r="H44" s="31" t="n"/>
      <c r="I44" s="220" t="n"/>
      <c r="J44" s="26" t="n">
        <v>30509108701</v>
      </c>
      <c r="K44" s="164" t="inlineStr">
        <is>
          <t>蛙</t>
        </is>
      </c>
      <c r="L44" s="39" t="inlineStr">
        <is>
          <t>乐百仕</t>
        </is>
      </c>
      <c r="M44" s="39" t="inlineStr">
        <is>
          <t>江苏乐百仕教育科技有限公司</t>
        </is>
      </c>
      <c r="N44" s="364" t="n">
        <v>30</v>
      </c>
      <c r="O44" s="364" t="n">
        <v>2.4</v>
      </c>
      <c r="P44" s="345" t="n">
        <v>72</v>
      </c>
      <c r="Q44" s="345" t="inlineStr">
        <is>
          <t>片</t>
        </is>
      </c>
      <c r="R44" s="345" t="inlineStr"/>
      <c r="S44" s="345" t="inlineStr"/>
      <c r="T44" s="345" t="inlineStr"/>
      <c r="U44" s="345" t="inlineStr"/>
      <c r="V44" s="345" t="n">
        <v>2.4</v>
      </c>
      <c r="W44" s="345" t="inlineStr"/>
      <c r="X44" s="345" t="n">
        <v>4</v>
      </c>
      <c r="Y44" s="345" t="inlineStr"/>
      <c r="Z44" s="345" t="inlineStr">
        <is>
          <t>confirmed</t>
        </is>
      </c>
      <c r="AA44" s="345" t="n">
        <v>75</v>
      </c>
      <c r="AB44" s="345" t="inlineStr"/>
      <c r="AC44" s="345" t="inlineStr">
        <is>
          <t>普教清单.xlsx｜初中生物｜第181行</t>
        </is>
      </c>
    </row>
    <row r="45" customFormat="1" s="195">
      <c r="A45" s="323" t="n">
        <v>63</v>
      </c>
      <c r="B45" s="26" t="n">
        <v>30509200501</v>
      </c>
      <c r="C45" s="30" t="inlineStr">
        <is>
          <t>骨骼肌纵横切</t>
        </is>
      </c>
      <c r="D45" s="68" t="n"/>
      <c r="E45" s="31" t="n">
        <v>30</v>
      </c>
      <c r="F45" s="30" t="inlineStr">
        <is>
          <t>片</t>
        </is>
      </c>
      <c r="G45" s="31">
        <f>_xlfn.DISPIMG("ID_00B3125E476E463AB023ABB63C244EAB",1)</f>
        <v/>
      </c>
      <c r="H45" s="31" t="n"/>
      <c r="I45" s="220" t="n"/>
      <c r="J45" s="26" t="n">
        <v>30509200501</v>
      </c>
      <c r="K45" s="40" t="inlineStr">
        <is>
          <t>符合教学要求</t>
        </is>
      </c>
      <c r="L45" s="39" t="inlineStr">
        <is>
          <t>乐百仕</t>
        </is>
      </c>
      <c r="M45" s="39" t="inlineStr">
        <is>
          <t>江苏乐百仕教育科技有限公司</t>
        </is>
      </c>
      <c r="N45" s="364" t="n">
        <v>30</v>
      </c>
      <c r="O45" s="364" t="n">
        <v>2.4</v>
      </c>
      <c r="P45" s="345" t="n">
        <v>72</v>
      </c>
      <c r="Q45" s="345" t="inlineStr">
        <is>
          <t>片</t>
        </is>
      </c>
      <c r="R45" s="345" t="inlineStr"/>
      <c r="S45" s="345" t="inlineStr"/>
      <c r="T45" s="345" t="inlineStr"/>
      <c r="U45" s="345" t="inlineStr"/>
      <c r="V45" s="345" t="n">
        <v>2.4</v>
      </c>
      <c r="W45" s="345" t="inlineStr"/>
      <c r="X45" s="345" t="inlineStr"/>
      <c r="Y45" s="345" t="inlineStr"/>
      <c r="Z45" s="345" t="inlineStr">
        <is>
          <t>confirmed</t>
        </is>
      </c>
      <c r="AA45" s="345" t="n">
        <v>100</v>
      </c>
      <c r="AB45" s="345" t="inlineStr"/>
      <c r="AC45" s="345" t="inlineStr">
        <is>
          <t>赛特尔25年.xls｜初中新课标生物｜第226行</t>
        </is>
      </c>
    </row>
    <row r="46" customFormat="1" s="195">
      <c r="A46" s="323" t="n">
        <v>64</v>
      </c>
      <c r="B46" s="26" t="n">
        <v>30509200601</v>
      </c>
      <c r="C46" s="30" t="inlineStr">
        <is>
          <t>平滑肌分离装片</t>
        </is>
      </c>
      <c r="D46" s="68" t="n"/>
      <c r="E46" s="31" t="n">
        <v>30</v>
      </c>
      <c r="F46" s="30" t="inlineStr">
        <is>
          <t>片</t>
        </is>
      </c>
      <c r="G46" s="31">
        <f>_xlfn.DISPIMG("ID_73AAFC97625B4C169EF8EC4E9B173C90",1)</f>
        <v/>
      </c>
      <c r="H46" s="31" t="n"/>
      <c r="I46" s="220" t="n"/>
      <c r="J46" s="26" t="n">
        <v>30509200601</v>
      </c>
      <c r="K46" s="40" t="inlineStr">
        <is>
          <t>符合教学要求</t>
        </is>
      </c>
      <c r="L46" s="39" t="inlineStr">
        <is>
          <t>乐百仕</t>
        </is>
      </c>
      <c r="M46" s="39" t="inlineStr">
        <is>
          <t>江苏乐百仕教育科技有限公司</t>
        </is>
      </c>
      <c r="N46" s="364" t="n">
        <v>30</v>
      </c>
      <c r="O46" s="364" t="n">
        <v>2.4</v>
      </c>
      <c r="P46" s="345" t="n">
        <v>72</v>
      </c>
      <c r="Q46" s="345" t="inlineStr">
        <is>
          <t>片</t>
        </is>
      </c>
      <c r="R46" s="345" t="inlineStr"/>
      <c r="S46" s="345" t="inlineStr"/>
      <c r="T46" s="345" t="inlineStr"/>
      <c r="U46" s="345" t="inlineStr"/>
      <c r="V46" s="345" t="n">
        <v>2.4</v>
      </c>
      <c r="W46" s="345" t="inlineStr"/>
      <c r="X46" s="345" t="inlineStr"/>
      <c r="Y46" s="345" t="inlineStr"/>
      <c r="Z46" s="345" t="inlineStr">
        <is>
          <t>confirmed</t>
        </is>
      </c>
      <c r="AA46" s="345" t="n">
        <v>100</v>
      </c>
      <c r="AB46" s="345" t="inlineStr"/>
      <c r="AC46" s="345" t="inlineStr">
        <is>
          <t>赛特尔25年.xls｜初中新课标生物｜第227行</t>
        </is>
      </c>
    </row>
    <row r="47" customFormat="1" s="195">
      <c r="A47" s="323" t="n">
        <v>65</v>
      </c>
      <c r="B47" s="26" t="n">
        <v>30509200701</v>
      </c>
      <c r="C47" s="30" t="inlineStr">
        <is>
          <t>心肌切片</t>
        </is>
      </c>
      <c r="D47" s="141" t="inlineStr">
        <is>
          <t>多重染色</t>
        </is>
      </c>
      <c r="E47" s="31" t="n">
        <v>30</v>
      </c>
      <c r="F47" s="30" t="inlineStr">
        <is>
          <t>片</t>
        </is>
      </c>
      <c r="G47" s="31">
        <f>_xlfn.DISPIMG("ID_54DE1E9D8CA843ECB2BA448B479172F4",1)</f>
        <v/>
      </c>
      <c r="H47" s="31" t="n"/>
      <c r="I47" s="220" t="n"/>
      <c r="J47" s="26" t="n">
        <v>30509200701</v>
      </c>
      <c r="K47" s="33" t="inlineStr">
        <is>
          <t>多重染色</t>
        </is>
      </c>
      <c r="L47" s="39" t="inlineStr">
        <is>
          <t>乐百仕</t>
        </is>
      </c>
      <c r="M47" s="39" t="inlineStr">
        <is>
          <t>江苏乐百仕教育科技有限公司</t>
        </is>
      </c>
      <c r="N47" s="364" t="n">
        <v>30</v>
      </c>
      <c r="O47" s="364" t="n">
        <v>2.4</v>
      </c>
      <c r="P47" s="345" t="n">
        <v>72</v>
      </c>
      <c r="Q47" s="345" t="inlineStr">
        <is>
          <t>片</t>
        </is>
      </c>
      <c r="R47" s="345" t="inlineStr"/>
      <c r="S47" s="345" t="inlineStr"/>
      <c r="T47" s="345" t="inlineStr"/>
      <c r="U47" s="345" t="inlineStr"/>
      <c r="V47" s="345" t="n">
        <v>2.4</v>
      </c>
      <c r="W47" s="345" t="inlineStr"/>
      <c r="X47" s="345" t="inlineStr"/>
      <c r="Y47" s="345" t="inlineStr"/>
      <c r="Z47" s="345" t="inlineStr">
        <is>
          <t>confirmed</t>
        </is>
      </c>
      <c r="AA47" s="345" t="n">
        <v>100</v>
      </c>
      <c r="AB47" s="345" t="inlineStr"/>
      <c r="AC47" s="345" t="inlineStr">
        <is>
          <t>赛特尔25年.xls｜初中新课标生物｜第228行</t>
        </is>
      </c>
    </row>
    <row r="48" customFormat="1" s="195">
      <c r="A48" s="323" t="n">
        <v>66</v>
      </c>
      <c r="B48" s="26" t="n">
        <v>30509200801</v>
      </c>
      <c r="C48" s="30" t="inlineStr">
        <is>
          <t>运动神经元装片</t>
        </is>
      </c>
      <c r="D48" s="141" t="inlineStr">
        <is>
          <t>多重染色</t>
        </is>
      </c>
      <c r="E48" s="31" t="n">
        <v>30</v>
      </c>
      <c r="F48" s="30" t="inlineStr">
        <is>
          <t>片</t>
        </is>
      </c>
      <c r="G48" s="31">
        <f>_xlfn.DISPIMG("ID_6D8B14F027084649B1329C3E2A27DC60",1)</f>
        <v/>
      </c>
      <c r="H48" s="31" t="n"/>
      <c r="I48" s="220" t="n"/>
      <c r="J48" s="26" t="n">
        <v>30509200801</v>
      </c>
      <c r="K48" s="33" t="inlineStr">
        <is>
          <t>多重染色</t>
        </is>
      </c>
      <c r="L48" s="39" t="inlineStr">
        <is>
          <t>乐百仕</t>
        </is>
      </c>
      <c r="M48" s="39" t="inlineStr">
        <is>
          <t>江苏乐百仕教育科技有限公司</t>
        </is>
      </c>
      <c r="N48" s="364" t="n">
        <v>30</v>
      </c>
      <c r="O48" s="364" t="n">
        <v>2.4</v>
      </c>
      <c r="P48" s="345" t="n">
        <v>72</v>
      </c>
      <c r="Q48" s="345" t="inlineStr">
        <is>
          <t>片</t>
        </is>
      </c>
      <c r="R48" s="345" t="inlineStr"/>
      <c r="S48" s="345" t="inlineStr"/>
      <c r="T48" s="345" t="inlineStr"/>
      <c r="U48" s="345" t="inlineStr"/>
      <c r="V48" s="345" t="n">
        <v>2.4</v>
      </c>
      <c r="W48" s="345" t="inlineStr"/>
      <c r="X48" s="345" t="inlineStr"/>
      <c r="Y48" s="345" t="inlineStr"/>
      <c r="Z48" s="345" t="inlineStr">
        <is>
          <t>confirmed</t>
        </is>
      </c>
      <c r="AA48" s="345" t="n">
        <v>100</v>
      </c>
      <c r="AB48" s="345" t="inlineStr"/>
      <c r="AC48" s="345" t="inlineStr">
        <is>
          <t>赛特尔25年.xls｜初中新课标生物｜第229行</t>
        </is>
      </c>
    </row>
    <row r="49" customFormat="1" s="195">
      <c r="A49" s="323" t="n">
        <v>67</v>
      </c>
      <c r="B49" s="26" t="n">
        <v>30509202101</v>
      </c>
      <c r="C49" s="30" t="inlineStr">
        <is>
          <t>胰腺切片(示胰岛)</t>
        </is>
      </c>
      <c r="D49" s="141" t="n"/>
      <c r="E49" s="31" t="n">
        <v>30</v>
      </c>
      <c r="F49" s="30" t="inlineStr">
        <is>
          <t>片</t>
        </is>
      </c>
      <c r="G49" s="31">
        <f>_xlfn.DISPIMG("ID_6E09E1B81EA44A2BB8303E1E9C5242A9",1)</f>
        <v/>
      </c>
      <c r="H49" s="31" t="n"/>
      <c r="I49" s="220" t="n"/>
      <c r="J49" s="26" t="n">
        <v>30509202101</v>
      </c>
      <c r="K49" s="40" t="inlineStr">
        <is>
          <t>符合教学要求</t>
        </is>
      </c>
      <c r="L49" s="39" t="inlineStr">
        <is>
          <t>乐百仕</t>
        </is>
      </c>
      <c r="M49" s="39" t="inlineStr">
        <is>
          <t>江苏乐百仕教育科技有限公司</t>
        </is>
      </c>
      <c r="N49" s="364" t="n">
        <v>30</v>
      </c>
      <c r="O49" s="364" t="n">
        <v>4</v>
      </c>
      <c r="P49" s="345" t="n">
        <v>120</v>
      </c>
      <c r="Q49" s="345" t="inlineStr">
        <is>
          <t>片</t>
        </is>
      </c>
      <c r="R49" s="345" t="inlineStr"/>
      <c r="S49" s="345" t="inlineStr"/>
      <c r="T49" s="345" t="inlineStr"/>
      <c r="U49" s="345" t="inlineStr"/>
      <c r="V49" s="345" t="n">
        <v>2.4</v>
      </c>
      <c r="W49" s="345" t="inlineStr"/>
      <c r="X49" s="345" t="inlineStr"/>
      <c r="Y49" s="345" t="inlineStr"/>
      <c r="Z49" s="345" t="inlineStr">
        <is>
          <t>confirmed</t>
        </is>
      </c>
      <c r="AA49" s="345" t="n">
        <v>100</v>
      </c>
      <c r="AB49" s="345" t="inlineStr"/>
      <c r="AC49" s="345" t="inlineStr">
        <is>
          <t>赛特尔25年.xls｜高中生物｜第112行</t>
        </is>
      </c>
    </row>
    <row r="50" customFormat="1" s="195">
      <c r="A50" s="323" t="n">
        <v>68</v>
      </c>
      <c r="B50" s="26" t="n">
        <v>30509106501</v>
      </c>
      <c r="C50" s="30" t="inlineStr">
        <is>
          <t>动物细胞有丝分裂切片（马蛔虫受精卵切片）</t>
        </is>
      </c>
      <c r="D50" s="68" t="n"/>
      <c r="E50" s="31" t="n">
        <v>30</v>
      </c>
      <c r="F50" s="30" t="inlineStr">
        <is>
          <t>片</t>
        </is>
      </c>
      <c r="G50" s="31">
        <f>_xlfn.DISPIMG("ID_BC9EFA07D2004AE08D307249FEB31753",1)</f>
        <v/>
      </c>
      <c r="H50" s="31" t="n"/>
      <c r="I50" s="220" t="n"/>
      <c r="J50" s="26" t="n">
        <v>30509106501</v>
      </c>
      <c r="K50" s="40" t="inlineStr">
        <is>
          <t>符合教学要求</t>
        </is>
      </c>
      <c r="L50" s="39" t="inlineStr">
        <is>
          <t>乐百仕</t>
        </is>
      </c>
      <c r="M50" s="39" t="inlineStr">
        <is>
          <t>江苏乐百仕教育科技有限公司</t>
        </is>
      </c>
      <c r="N50" s="364" t="n">
        <v>30</v>
      </c>
      <c r="O50" s="364" t="n">
        <v>5</v>
      </c>
      <c r="P50" s="345" t="n">
        <v>150</v>
      </c>
      <c r="Q50" s="345" t="inlineStr">
        <is>
          <t>片</t>
        </is>
      </c>
      <c r="R50" s="345" t="inlineStr"/>
      <c r="S50" s="345" t="inlineStr"/>
      <c r="T50" s="345" t="inlineStr"/>
      <c r="U50" s="345" t="inlineStr"/>
      <c r="V50" s="345" t="n">
        <v>8</v>
      </c>
      <c r="W50" s="345" t="inlineStr"/>
      <c r="X50" s="345" t="n">
        <v>8</v>
      </c>
      <c r="Y50" s="345" t="inlineStr"/>
      <c r="Z50" s="345" t="inlineStr">
        <is>
          <t>confirmed</t>
        </is>
      </c>
      <c r="AA50" s="345" t="n">
        <v>100</v>
      </c>
      <c r="AB50" s="345" t="inlineStr">
        <is>
          <t>价格分歧&gt;30%：历史报价分歧较大，需人工核对；同分多价：最高分候选存在不同历史价格</t>
        </is>
      </c>
      <c r="AC50" s="345" t="inlineStr">
        <is>
          <t>赛特尔25年.xls｜初中新课标生物｜第215行</t>
        </is>
      </c>
    </row>
    <row r="51" customFormat="1" s="195">
      <c r="A51" s="323" t="n">
        <v>69</v>
      </c>
      <c r="B51" s="26" t="n">
        <v>30509003501</v>
      </c>
      <c r="C51" s="30" t="inlineStr">
        <is>
          <t>植物细胞有丝分裂切片</t>
        </is>
      </c>
      <c r="D51" s="68" t="n"/>
      <c r="E51" s="31" t="n">
        <v>30</v>
      </c>
      <c r="F51" s="30" t="inlineStr">
        <is>
          <t>片</t>
        </is>
      </c>
      <c r="G51" s="31">
        <f>_xlfn.DISPIMG("ID_DED1BC11F34F41CA9800CF07EFE4232E",1)</f>
        <v/>
      </c>
      <c r="H51" s="31" t="n"/>
      <c r="I51" s="220" t="n"/>
      <c r="J51" s="26" t="n">
        <v>30509003501</v>
      </c>
      <c r="K51" s="40" t="inlineStr">
        <is>
          <t>符合教学要求</t>
        </is>
      </c>
      <c r="L51" s="39" t="inlineStr">
        <is>
          <t>乐百仕</t>
        </is>
      </c>
      <c r="M51" s="39" t="inlineStr">
        <is>
          <t>江苏乐百仕教育科技有限公司</t>
        </is>
      </c>
      <c r="N51" s="364" t="n">
        <v>30</v>
      </c>
      <c r="O51" s="364" t="n">
        <v>2.4</v>
      </c>
      <c r="P51" s="345" t="n">
        <v>72</v>
      </c>
      <c r="Q51" s="345" t="inlineStr">
        <is>
          <t>片</t>
        </is>
      </c>
      <c r="R51" s="345" t="inlineStr"/>
      <c r="S51" s="345" t="inlineStr"/>
      <c r="T51" s="345" t="inlineStr"/>
      <c r="U51" s="345" t="inlineStr"/>
      <c r="V51" s="345" t="n">
        <v>2.4</v>
      </c>
      <c r="W51" s="345" t="inlineStr"/>
      <c r="X51" s="345" t="n">
        <v>5</v>
      </c>
      <c r="Y51" s="345" t="inlineStr"/>
      <c r="Z51" s="345" t="inlineStr">
        <is>
          <t>confirmed</t>
        </is>
      </c>
      <c r="AA51" s="345" t="n">
        <v>100</v>
      </c>
      <c r="AB51" s="345" t="inlineStr"/>
      <c r="AC51" s="345" t="inlineStr">
        <is>
          <t>赛特尔25年.xls｜初中新课标生物｜第221行</t>
        </is>
      </c>
    </row>
    <row r="52" customFormat="1" s="195">
      <c r="A52" s="323" t="n">
        <v>70</v>
      </c>
      <c r="B52" s="26" t="n">
        <v>30509108501</v>
      </c>
      <c r="C52" s="30" t="inlineStr">
        <is>
          <t>蝗虫精巢减数分裂切片</t>
        </is>
      </c>
      <c r="D52" s="68" t="n"/>
      <c r="E52" s="31" t="n">
        <v>30</v>
      </c>
      <c r="F52" s="30" t="inlineStr">
        <is>
          <t>片</t>
        </is>
      </c>
      <c r="G52" s="31">
        <f>_xlfn.DISPIMG("ID_9AC080FA73D84A7287AC21D47EF4C5D5",1)</f>
        <v/>
      </c>
      <c r="H52" s="31" t="n"/>
      <c r="I52" s="220" t="n"/>
      <c r="J52" s="26" t="n">
        <v>30509108501</v>
      </c>
      <c r="K52" s="40" t="inlineStr">
        <is>
          <t>符合教学要求</t>
        </is>
      </c>
      <c r="L52" s="39" t="inlineStr">
        <is>
          <t>乐百仕</t>
        </is>
      </c>
      <c r="M52" s="39" t="inlineStr">
        <is>
          <t>江苏乐百仕教育科技有限公司</t>
        </is>
      </c>
      <c r="N52" s="364" t="n">
        <v>30</v>
      </c>
      <c r="O52" s="364" t="n">
        <v>2.4</v>
      </c>
      <c r="P52" s="345" t="n">
        <v>72</v>
      </c>
      <c r="Q52" s="345" t="inlineStr">
        <is>
          <t>片</t>
        </is>
      </c>
      <c r="R52" s="345" t="inlineStr"/>
      <c r="S52" s="345" t="inlineStr"/>
      <c r="T52" s="345" t="inlineStr"/>
      <c r="U52" s="345" t="inlineStr"/>
      <c r="V52" s="345" t="n">
        <v>2.4</v>
      </c>
      <c r="W52" s="345" t="inlineStr"/>
      <c r="X52" s="345" t="n">
        <v>6</v>
      </c>
      <c r="Y52" s="345" t="inlineStr"/>
      <c r="Z52" s="345" t="inlineStr">
        <is>
          <t>confirmed</t>
        </is>
      </c>
      <c r="AA52" s="345" t="n">
        <v>57.1</v>
      </c>
      <c r="AB52" s="345" t="inlineStr"/>
      <c r="AC52" s="345" t="inlineStr">
        <is>
          <t>普教清单.xlsx｜初中生物｜第178行</t>
        </is>
      </c>
    </row>
    <row r="53" customFormat="1" s="195">
      <c r="A53" s="323" t="n">
        <v>71</v>
      </c>
      <c r="B53" s="26" t="n">
        <v>30509026701</v>
      </c>
      <c r="C53" s="30" t="inlineStr">
        <is>
          <t>植物花粉减数分裂装片</t>
        </is>
      </c>
      <c r="D53" s="68" t="n"/>
      <c r="E53" s="31" t="n">
        <v>30</v>
      </c>
      <c r="F53" s="30" t="inlineStr">
        <is>
          <t>片</t>
        </is>
      </c>
      <c r="G53" s="31">
        <f>_xlfn.DISPIMG("ID_A8E6BA1B4580467BBBEB2E14E80D940B",1)</f>
        <v/>
      </c>
      <c r="H53" s="31" t="n"/>
      <c r="I53" s="220" t="n"/>
      <c r="J53" s="26" t="n">
        <v>30509026701</v>
      </c>
      <c r="K53" s="40" t="inlineStr">
        <is>
          <t>符合教学要求</t>
        </is>
      </c>
      <c r="L53" s="39" t="inlineStr">
        <is>
          <t>乐百仕</t>
        </is>
      </c>
      <c r="M53" s="39" t="inlineStr">
        <is>
          <t>江苏乐百仕教育科技有限公司</t>
        </is>
      </c>
      <c r="N53" s="364" t="n">
        <v>30</v>
      </c>
      <c r="O53" s="364" t="n">
        <v>2.4</v>
      </c>
      <c r="P53" s="345" t="n">
        <v>72</v>
      </c>
      <c r="Q53" s="345" t="inlineStr">
        <is>
          <t>片</t>
        </is>
      </c>
      <c r="R53" s="345" t="inlineStr"/>
      <c r="S53" s="345" t="inlineStr"/>
      <c r="T53" s="345" t="inlineStr"/>
      <c r="U53" s="345" t="inlineStr"/>
      <c r="V53" s="345" t="inlineStr"/>
      <c r="W53" s="345" t="inlineStr"/>
      <c r="X53" s="345" t="inlineStr"/>
      <c r="Y53" s="345" t="inlineStr"/>
      <c r="Z53" s="345" t="inlineStr">
        <is>
          <t>confirmed</t>
        </is>
      </c>
      <c r="AA53" s="345" t="n">
        <v>0</v>
      </c>
      <c r="AB53" s="345" t="inlineStr">
        <is>
          <t>匹配到商品档案但无历史价格记录</t>
        </is>
      </c>
      <c r="AC53" s="345" t="inlineStr">
        <is>
          <t>普教清单.xlsx｜初中生物｜第132行</t>
        </is>
      </c>
    </row>
    <row r="54" customFormat="1" s="195">
      <c r="A54" s="323" t="n">
        <v>72</v>
      </c>
      <c r="B54" s="26" t="n">
        <v>30509203101</v>
      </c>
      <c r="C54" s="30" t="inlineStr">
        <is>
          <t>正常人染色
体装片</t>
        </is>
      </c>
      <c r="D54" s="68" t="n"/>
      <c r="E54" s="31" t="n">
        <v>30</v>
      </c>
      <c r="F54" s="30" t="inlineStr">
        <is>
          <t>片</t>
        </is>
      </c>
      <c r="G54" s="31">
        <f>_xlfn.DISPIMG("ID_4171C7B85C3C4DA8BE5599CDB2A9258B",1)</f>
        <v/>
      </c>
      <c r="H54" s="31" t="n"/>
      <c r="I54" s="220" t="n"/>
      <c r="J54" s="26" t="n">
        <v>30509203101</v>
      </c>
      <c r="K54" s="40" t="inlineStr">
        <is>
          <t>符合教学要求</t>
        </is>
      </c>
      <c r="L54" s="39" t="inlineStr">
        <is>
          <t>乐百仕</t>
        </is>
      </c>
      <c r="M54" s="39" t="inlineStr">
        <is>
          <t>江苏乐百仕教育科技有限公司</t>
        </is>
      </c>
      <c r="N54" s="364" t="n">
        <v>30</v>
      </c>
      <c r="O54" s="364" t="n">
        <v>4</v>
      </c>
      <c r="P54" s="345" t="n">
        <v>120</v>
      </c>
      <c r="Q54" s="345" t="inlineStr">
        <is>
          <t>片</t>
        </is>
      </c>
      <c r="R54" s="345" t="inlineStr"/>
      <c r="S54" s="345" t="inlineStr"/>
      <c r="T54" s="345" t="inlineStr"/>
      <c r="U54" s="345" t="inlineStr"/>
      <c r="V54" s="345" t="n">
        <v>8</v>
      </c>
      <c r="W54" s="345" t="inlineStr"/>
      <c r="X54" s="345" t="inlineStr"/>
      <c r="Y54" s="345" t="inlineStr"/>
      <c r="Z54" s="345" t="inlineStr">
        <is>
          <t>confirmed</t>
        </is>
      </c>
      <c r="AA54" s="345" t="n">
        <v>100</v>
      </c>
      <c r="AB54" s="345" t="inlineStr">
        <is>
          <t>价格分歧&gt;30%：历史报价分歧较大，需人工核对；同分多价：最高分候选存在不同历史价格</t>
        </is>
      </c>
      <c r="AC54" s="345" t="inlineStr">
        <is>
          <t>赛特尔25年.xls｜初中新课标生物｜第343行</t>
        </is>
      </c>
    </row>
    <row r="55" customFormat="1" s="195">
      <c r="A55" s="323" t="n">
        <v>73</v>
      </c>
      <c r="B55" s="26" t="n">
        <v>30509022301</v>
      </c>
      <c r="C55" s="30" t="inlineStr">
        <is>
          <t>植物染色体加倍装片</t>
        </is>
      </c>
      <c r="D55" s="68" t="n"/>
      <c r="E55" s="31" t="n">
        <v>30</v>
      </c>
      <c r="F55" s="30" t="inlineStr">
        <is>
          <t>片</t>
        </is>
      </c>
      <c r="G55" s="31">
        <f>_xlfn.DISPIMG("ID_950466FF22D74D9D9552621563AB6848",1)</f>
        <v/>
      </c>
      <c r="H55" s="31" t="n"/>
      <c r="I55" s="220" t="n"/>
      <c r="J55" s="26" t="n">
        <v>30509022301</v>
      </c>
      <c r="K55" s="40" t="inlineStr">
        <is>
          <t>符合教学要求</t>
        </is>
      </c>
      <c r="L55" s="39" t="inlineStr">
        <is>
          <t>乐百仕</t>
        </is>
      </c>
      <c r="M55" s="39" t="inlineStr">
        <is>
          <t>江苏乐百仕教育科技有限公司</t>
        </is>
      </c>
      <c r="N55" s="364" t="n">
        <v>30</v>
      </c>
      <c r="O55" s="364" t="n">
        <v>2.4</v>
      </c>
      <c r="P55" s="345" t="n">
        <v>72</v>
      </c>
      <c r="Q55" s="345" t="inlineStr">
        <is>
          <t>片</t>
        </is>
      </c>
      <c r="R55" s="345" t="inlineStr"/>
      <c r="S55" s="345" t="inlineStr"/>
      <c r="T55" s="345" t="inlineStr"/>
      <c r="U55" s="345" t="inlineStr"/>
      <c r="V55" s="345" t="n">
        <v>4</v>
      </c>
      <c r="W55" s="345" t="inlineStr"/>
      <c r="X55" s="345" t="n">
        <v>8</v>
      </c>
      <c r="Y55" s="345" t="inlineStr"/>
      <c r="Z55" s="345" t="inlineStr">
        <is>
          <t>confirmed</t>
        </is>
      </c>
      <c r="AA55" s="345" t="n">
        <v>58.8</v>
      </c>
      <c r="AB55" s="345" t="inlineStr">
        <is>
          <t>同分多价：最高分候选存在不同历史价格</t>
        </is>
      </c>
      <c r="AC55" s="345" t="inlineStr">
        <is>
          <t>普教清单.xlsx｜初中生物｜第184行</t>
        </is>
      </c>
    </row>
    <row r="56" customFormat="1" s="195">
      <c r="A56" s="323" t="n">
        <v>74</v>
      </c>
      <c r="B56" s="26" t="n">
        <v>50509007101</v>
      </c>
      <c r="C56" s="30" t="inlineStr">
        <is>
          <t>生物分类图鉴资料</t>
        </is>
      </c>
      <c r="D56" s="68" t="inlineStr">
        <is>
          <t>植物图鉴、土壤动物图鉴、昆虫图鉴、鸟类图鉴等</t>
        </is>
      </c>
      <c r="E56" s="31" t="n">
        <v>1</v>
      </c>
      <c r="F56" s="30" t="inlineStr">
        <is>
          <t>本</t>
        </is>
      </c>
      <c r="G56" s="31">
        <f>_xlfn.DISPIMG("ID_14D8F860BE4040B4ABD695F86509A109",1)</f>
        <v/>
      </c>
      <c r="H56" s="31" t="n"/>
      <c r="I56" s="220" t="n"/>
      <c r="J56" s="26" t="n">
        <v>50509007101</v>
      </c>
      <c r="K56" s="164" t="inlineStr">
        <is>
          <t>植物图鉴、土壤动物图鉴、昆虫图鉴、鸟类图鉴等</t>
        </is>
      </c>
      <c r="L56" s="39" t="inlineStr">
        <is>
          <t>乐百仕</t>
        </is>
      </c>
      <c r="M56" s="39" t="inlineStr">
        <is>
          <t>江苏乐百仕教育科技有限公司</t>
        </is>
      </c>
      <c r="N56" s="364" t="n">
        <v>1</v>
      </c>
      <c r="O56" s="364" t="n">
        <v>16</v>
      </c>
      <c r="P56" s="345" t="n">
        <v>16</v>
      </c>
      <c r="Q56" s="345" t="inlineStr">
        <is>
          <t>本</t>
        </is>
      </c>
      <c r="R56" s="345" t="inlineStr"/>
      <c r="S56" s="345" t="inlineStr"/>
      <c r="T56" s="345" t="inlineStr"/>
      <c r="U56" s="345" t="inlineStr">
        <is>
          <t>幅面：不小于180mm×250mm；纸张规格：不小于150克铜版纸；印刷：彩色胶印。图形：逼真，色彩鲜明，线条清晰。</t>
        </is>
      </c>
      <c r="V56" s="345" t="inlineStr"/>
      <c r="W56" s="345" t="inlineStr"/>
      <c r="X56" s="345" t="inlineStr"/>
      <c r="Y56" s="345" t="inlineStr"/>
      <c r="Z56" s="345" t="inlineStr">
        <is>
          <t>confirmed</t>
        </is>
      </c>
      <c r="AA56" s="345" t="n">
        <v>0</v>
      </c>
      <c r="AB56" s="345" t="inlineStr">
        <is>
          <t>匹配到商品档案但无历史价格记录</t>
        </is>
      </c>
      <c r="AC56" s="345" t="inlineStr">
        <is>
          <t>赛特尔25年.xls｜小学科学｜第144行</t>
        </is>
      </c>
    </row>
    <row r="57" customFormat="1" s="195">
      <c r="A57" s="323" t="n">
        <v>75</v>
      </c>
      <c r="B57" s="26" t="n">
        <v>50509013701</v>
      </c>
      <c r="C57" s="30" t="inlineStr">
        <is>
          <t>植物分类图谱</t>
        </is>
      </c>
      <c r="D57" s="68" t="inlineStr">
        <is>
          <t>内容包含但不限于：植物分类方法，藻类植物、苔藓植物、蕨类植物、种子植物，植物的一生、植物的根茎和叶、植物的花、果实和种子，植物和人类的关系，保护植物的方法等</t>
        </is>
      </c>
      <c r="E57" s="31" t="n">
        <v>1</v>
      </c>
      <c r="F57" s="30" t="inlineStr">
        <is>
          <t>本</t>
        </is>
      </c>
      <c r="G57" s="31">
        <f>_xlfn.DISPIMG("ID_7F2B834384A0493AAE4C1BFD669F2FC3",1)</f>
        <v/>
      </c>
      <c r="H57" s="31" t="n"/>
      <c r="I57" s="220" t="n"/>
      <c r="J57" s="26" t="n">
        <v>50509013701</v>
      </c>
      <c r="K57" s="164" t="inlineStr">
        <is>
          <t>内容包含但不限于：植物分类方法，藻类植物、苔藓植物、蕨类植物、种子植物，植物的一生、植物的根茎和叶、植物的花、果实和种子，植物和人类的关系，保护植物的方法等</t>
        </is>
      </c>
      <c r="L57" s="39" t="inlineStr">
        <is>
          <t>乐百仕</t>
        </is>
      </c>
      <c r="M57" s="39" t="inlineStr">
        <is>
          <t>江苏乐百仕教育科技有限公司</t>
        </is>
      </c>
      <c r="N57" s="364" t="n">
        <v>1</v>
      </c>
      <c r="O57" s="364" t="n">
        <v>16</v>
      </c>
      <c r="P57" s="345" t="n">
        <v>16</v>
      </c>
      <c r="Q57" s="345" t="inlineStr">
        <is>
          <t>本</t>
        </is>
      </c>
      <c r="R57" s="345" t="inlineStr"/>
      <c r="S57" s="345" t="inlineStr"/>
      <c r="T57" s="345" t="inlineStr"/>
      <c r="U57" s="345" t="inlineStr">
        <is>
          <t>幅面：不小于180mm×250mm；纸张规格：不小于150克铜版纸；印刷：彩色胶印。图形：逼真，色彩鲜明，线条清晰。</t>
        </is>
      </c>
      <c r="V57" s="345" t="inlineStr"/>
      <c r="W57" s="345" t="inlineStr"/>
      <c r="X57" s="345" t="inlineStr"/>
      <c r="Y57" s="345" t="inlineStr"/>
      <c r="Z57" s="345" t="inlineStr">
        <is>
          <t>confirmed</t>
        </is>
      </c>
      <c r="AA57" s="345" t="n">
        <v>0</v>
      </c>
      <c r="AB57" s="345" t="inlineStr">
        <is>
          <t>没有找到可靠候选</t>
        </is>
      </c>
      <c r="AC57" s="345" t="inlineStr">
        <is>
          <t>赛特尔25年.xls｜小学科学｜第144行</t>
        </is>
      </c>
    </row>
    <row r="58" customFormat="1" s="195">
      <c r="A58" s="323" t="n">
        <v>76</v>
      </c>
      <c r="B58" s="26" t="n">
        <v>50509013801</v>
      </c>
      <c r="C58" s="30" t="inlineStr">
        <is>
          <t>动物分类图谱</t>
        </is>
      </c>
      <c r="D58" s="68" t="inlineStr">
        <is>
          <t>图片内容包含但不限于：无脊椎动物、脊椎动物、动物的繁殖和成长历程、动物怎样捕食、动物的运动、动物怎样保护自己、动物与人类生活的关系、保护动物等</t>
        </is>
      </c>
      <c r="E58" s="31" t="n">
        <v>1</v>
      </c>
      <c r="F58" s="30" t="inlineStr">
        <is>
          <t>本</t>
        </is>
      </c>
      <c r="G58" s="31">
        <f>_xlfn.DISPIMG("ID_DF8F49FA3FBE41A5B7F762543CA1A7E2",1)</f>
        <v/>
      </c>
      <c r="H58" s="31" t="n"/>
      <c r="I58" s="220" t="n"/>
      <c r="J58" s="26" t="n">
        <v>50509013801</v>
      </c>
      <c r="K58" s="164" t="inlineStr">
        <is>
          <t>图片内容包含但不限于：无脊椎动物、脊椎动物、动物的繁殖和成长历程、动物怎样捕食、动物的运动、动物怎样保护自己、动物与人类生活的关系、保护动物等</t>
        </is>
      </c>
      <c r="L58" s="39" t="inlineStr">
        <is>
          <t>乐百仕</t>
        </is>
      </c>
      <c r="M58" s="39" t="inlineStr">
        <is>
          <t>江苏乐百仕教育科技有限公司</t>
        </is>
      </c>
      <c r="N58" s="364" t="n">
        <v>1</v>
      </c>
      <c r="O58" s="364" t="n">
        <v>16</v>
      </c>
      <c r="P58" s="345" t="n">
        <v>16</v>
      </c>
      <c r="Q58" s="345" t="inlineStr">
        <is>
          <t>本</t>
        </is>
      </c>
      <c r="R58" s="345" t="inlineStr"/>
      <c r="S58" s="345" t="inlineStr"/>
      <c r="T58" s="345" t="inlineStr"/>
      <c r="U58" s="345" t="inlineStr">
        <is>
          <t>幅面：不小于180mm×250mm；纸张规格：不小于150克铜版纸；印刷：彩色胶印。图形：逼真，色彩鲜明，线条清晰。</t>
        </is>
      </c>
      <c r="V58" s="345" t="inlineStr"/>
      <c r="W58" s="345" t="inlineStr"/>
      <c r="X58" s="345" t="inlineStr"/>
      <c r="Y58" s="345" t="inlineStr"/>
      <c r="Z58" s="345" t="inlineStr">
        <is>
          <t>confirmed</t>
        </is>
      </c>
      <c r="AA58" s="345" t="n">
        <v>0</v>
      </c>
      <c r="AB58" s="345" t="inlineStr">
        <is>
          <t>没有找到可靠候选</t>
        </is>
      </c>
      <c r="AC58" s="345" t="inlineStr">
        <is>
          <t>赛特尔25年.xls｜小学科学｜第145行</t>
        </is>
      </c>
    </row>
    <row r="59" customFormat="1" s="195">
      <c r="A59" s="323" t="n">
        <v>77</v>
      </c>
      <c r="B59" s="26" t="n">
        <v>50509014101</v>
      </c>
      <c r="C59" s="30" t="inlineStr">
        <is>
          <t>细菌分类图谱</t>
        </is>
      </c>
      <c r="D59" s="68" t="inlineStr">
        <is>
          <t>内容包含但不限于：细菌、真菌、其它微生物、人体内微生物、微生物与人类生活点滴五大类</t>
        </is>
      </c>
      <c r="E59" s="31" t="n">
        <v>1</v>
      </c>
      <c r="F59" s="30" t="inlineStr">
        <is>
          <t>本</t>
        </is>
      </c>
      <c r="G59" s="31">
        <f>_xlfn.DISPIMG("ID_3B980EF6F00A491FAE9D7D1354A3EF1F",1)</f>
        <v/>
      </c>
      <c r="H59" s="31" t="n"/>
      <c r="I59" s="220" t="n"/>
      <c r="J59" s="26" t="n">
        <v>50509014101</v>
      </c>
      <c r="K59" s="164" t="inlineStr">
        <is>
          <t>内容包含但不限于：细菌、真菌、其它微生物、人体内微生物、微生物与人类生活点滴五大类</t>
        </is>
      </c>
      <c r="L59" s="39" t="inlineStr">
        <is>
          <t>乐百仕</t>
        </is>
      </c>
      <c r="M59" s="39" t="inlineStr">
        <is>
          <t>江苏乐百仕教育科技有限公司</t>
        </is>
      </c>
      <c r="N59" s="364" t="n">
        <v>1</v>
      </c>
      <c r="O59" s="364" t="n">
        <v>16</v>
      </c>
      <c r="P59" s="345" t="n">
        <v>16</v>
      </c>
      <c r="Q59" s="345" t="inlineStr">
        <is>
          <t>本</t>
        </is>
      </c>
      <c r="R59" s="345" t="inlineStr"/>
      <c r="S59" s="345" t="inlineStr"/>
      <c r="T59" s="345" t="inlineStr"/>
      <c r="U59" s="345" t="inlineStr">
        <is>
          <t>幅面：不小于180mm×250mm；纸张规格：不小于150克铜版纸；印刷：彩色胶印。图形：逼真，色彩鲜明，线条清晰。</t>
        </is>
      </c>
      <c r="V59" s="345" t="inlineStr"/>
      <c r="W59" s="345" t="inlineStr"/>
      <c r="X59" s="345" t="inlineStr"/>
      <c r="Y59" s="345" t="inlineStr"/>
      <c r="Z59" s="345" t="inlineStr">
        <is>
          <t>confirmed</t>
        </is>
      </c>
      <c r="AA59" s="345" t="n">
        <v>0</v>
      </c>
      <c r="AB59" s="345" t="inlineStr">
        <is>
          <t>匹配到商品档案但无历史价格记录</t>
        </is>
      </c>
      <c r="AC59" s="345" t="inlineStr">
        <is>
          <t>赛特尔25年.xls｜小学科学｜第144行</t>
        </is>
      </c>
    </row>
    <row r="60" customFormat="1" s="195">
      <c r="A60" s="323" t="n">
        <v>78</v>
      </c>
      <c r="B60" s="26" t="n">
        <v>50509014201</v>
      </c>
      <c r="C60" s="30" t="inlineStr">
        <is>
          <t>病毒分类图谱</t>
        </is>
      </c>
      <c r="D60" s="68" t="inlineStr">
        <is>
          <t>图谱内容包含但不限于：流感病毒、登革热病毒、艾滋病毒、狂犬病毒、烟草花叶病毒、腺病毒、噬菌体、B-肝炎病毒、细小病毒、泡疹病毒、副粘病毒（腮腺炎）、痘病毒、冠状病毒、骨髓灰质炎病毒、大肠杆菌病毒、SARS（非典）冠状病毒、小麦矮丛病毒、花生病毒、细菌病毒等</t>
        </is>
      </c>
      <c r="E60" s="31" t="n">
        <v>1</v>
      </c>
      <c r="F60" s="30" t="inlineStr">
        <is>
          <t>本</t>
        </is>
      </c>
      <c r="G60" s="31">
        <f>_xlfn.DISPIMG("ID_FCCAFC338A8A4F96BBA19A1741932102",1)</f>
        <v/>
      </c>
      <c r="H60" s="31" t="n"/>
      <c r="I60" s="220" t="n"/>
      <c r="J60" s="26" t="n">
        <v>50509014201</v>
      </c>
      <c r="K60" s="164" t="inlineStr">
        <is>
          <t>图谱内容包含但不限于：流感病毒、登革热病毒、艾滋病毒、狂犬病毒、烟草花叶病毒、腺病毒、噬菌体、B-肝炎病毒、细小病毒、泡疹病毒、副粘病毒（腮腺炎）、痘病毒、冠状病毒、骨髓灰质炎病毒、大肠杆菌病毒、SARS（非典）冠状病毒、小麦矮丛病毒、花生病毒、细菌病毒等</t>
        </is>
      </c>
      <c r="L60" s="39" t="inlineStr">
        <is>
          <t>乐百仕</t>
        </is>
      </c>
      <c r="M60" s="39" t="inlineStr">
        <is>
          <t>江苏乐百仕教育科技有限公司</t>
        </is>
      </c>
      <c r="N60" s="364" t="n">
        <v>1</v>
      </c>
      <c r="O60" s="364" t="n">
        <v>16</v>
      </c>
      <c r="P60" s="345" t="n">
        <v>16</v>
      </c>
      <c r="Q60" s="345" t="inlineStr">
        <is>
          <t>本</t>
        </is>
      </c>
      <c r="R60" s="345" t="inlineStr"/>
      <c r="S60" s="345" t="inlineStr"/>
      <c r="T60" s="345" t="inlineStr"/>
      <c r="U60" s="345" t="inlineStr">
        <is>
          <t>幅面：不小于180mm×250mm；纸张规格：不小于150克铜版纸；印刷：彩色胶印。图形：逼真，色彩鲜明，线条清晰。</t>
        </is>
      </c>
      <c r="V60" s="345" t="inlineStr"/>
      <c r="W60" s="345" t="inlineStr"/>
      <c r="X60" s="345" t="inlineStr"/>
      <c r="Y60" s="345" t="inlineStr"/>
      <c r="Z60" s="345" t="inlineStr">
        <is>
          <t>confirmed</t>
        </is>
      </c>
      <c r="AA60" s="345" t="n">
        <v>0</v>
      </c>
      <c r="AB60" s="345" t="inlineStr">
        <is>
          <t>匹配到商品档案但无历史价格记录</t>
        </is>
      </c>
      <c r="AC60" s="345" t="inlineStr">
        <is>
          <t>赛特尔25年.xls｜小学科学｜第144行</t>
        </is>
      </c>
    </row>
    <row r="61" customFormat="1" s="5">
      <c r="A61" s="323" t="n">
        <v>79</v>
      </c>
      <c r="B61" s="34" t="n">
        <v>20603000102</v>
      </c>
      <c r="C61" s="37" t="inlineStr">
        <is>
          <t>电冰箱</t>
        </is>
      </c>
      <c r="D61" s="96" t="inlineStr">
        <is>
          <t>≥180 L</t>
        </is>
      </c>
      <c r="E61" s="93" t="n">
        <v>1</v>
      </c>
      <c r="F61" s="34" t="inlineStr">
        <is>
          <t>台</t>
        </is>
      </c>
      <c r="G61" s="151">
        <f>_xlfn.DISPIMG("ID_903240C2A2F54966A3DC6AC80CD5C0A0",1)</f>
        <v/>
      </c>
      <c r="H61" s="93" t="n"/>
      <c r="I61" s="32" t="n"/>
      <c r="J61" s="94" t="inlineStr">
        <is>
          <t>BCD-228S278</t>
        </is>
      </c>
      <c r="K61" s="95" t="inlineStr">
        <is>
          <t>≥180 L</t>
        </is>
      </c>
      <c r="L61" s="96" t="inlineStr">
        <is>
          <t>泓凌</t>
        </is>
      </c>
      <c r="M61" s="357" t="inlineStr">
        <is>
          <t>宁波泓凌电器有限公司</t>
        </is>
      </c>
      <c r="N61" s="361" t="n">
        <v>1</v>
      </c>
      <c r="O61" s="361" t="n">
        <v>2000</v>
      </c>
      <c r="P61" s="345" t="n">
        <v>2000</v>
      </c>
      <c r="Q61" s="345" t="inlineStr">
        <is>
          <t>台</t>
        </is>
      </c>
      <c r="R61" s="345" t="inlineStr"/>
      <c r="S61" s="345" t="inlineStr"/>
      <c r="T61" s="345" t="inlineStr"/>
      <c r="U61" s="345" t="inlineStr"/>
      <c r="V61" s="345" t="n">
        <v>2000</v>
      </c>
      <c r="W61" s="345" t="inlineStr"/>
      <c r="X61" s="345" t="n">
        <v>2700</v>
      </c>
      <c r="Y61" s="345" t="inlineStr"/>
      <c r="Z61" s="345" t="inlineStr">
        <is>
          <t>confirmed</t>
        </is>
      </c>
      <c r="AA61" s="345" t="n">
        <v>100</v>
      </c>
      <c r="AB61" s="345" t="inlineStr">
        <is>
          <t>价格分歧&gt;30%：历史报价分歧较大，需人工核对</t>
        </is>
      </c>
      <c r="AC61" s="345" t="inlineStr">
        <is>
          <t>赛特尔25年.xls｜初中物理｜第21行</t>
        </is>
      </c>
    </row>
    <row r="62" customFormat="1" s="5">
      <c r="A62" s="323" t="n">
        <v>80</v>
      </c>
      <c r="B62" s="34" t="n">
        <v>20603040101</v>
      </c>
      <c r="C62" s="37" t="inlineStr">
        <is>
          <t>微波炉</t>
        </is>
      </c>
      <c r="D62" s="96" t="inlineStr">
        <is>
          <t>≥20 L</t>
        </is>
      </c>
      <c r="E62" s="93" t="n">
        <v>1</v>
      </c>
      <c r="F62" s="34" t="inlineStr">
        <is>
          <t>台</t>
        </is>
      </c>
      <c r="G62" s="151">
        <f>_xlfn.DISPIMG("ID_EFEC1A32F2AF4C0BA10297A978C67552",1)</f>
        <v/>
      </c>
      <c r="H62" s="93" t="n"/>
      <c r="I62" s="32" t="n"/>
      <c r="J62" s="98" t="inlineStr">
        <is>
          <t>MW720AAC-PA001</t>
        </is>
      </c>
      <c r="K62" s="33" t="inlineStr">
        <is>
          <t>20 L</t>
        </is>
      </c>
      <c r="L62" s="366" t="inlineStr">
        <is>
          <t>天倬智能</t>
        </is>
      </c>
      <c r="M62" s="100" t="inlineStr">
        <is>
          <t>江门市天倬智能家居有限公司</t>
        </is>
      </c>
      <c r="N62" s="361" t="n">
        <v>1</v>
      </c>
      <c r="O62" s="361" t="n">
        <v>450</v>
      </c>
      <c r="P62" s="345" t="n">
        <v>450</v>
      </c>
      <c r="Q62" s="345" t="inlineStr">
        <is>
          <t>台</t>
        </is>
      </c>
      <c r="R62" s="345" t="inlineStr"/>
      <c r="S62" s="345" t="inlineStr"/>
      <c r="T62" s="345" t="inlineStr"/>
      <c r="U62" s="345" t="inlineStr"/>
      <c r="V62" s="345" t="n">
        <v>600</v>
      </c>
      <c r="W62" s="345" t="inlineStr"/>
      <c r="X62" s="345" t="inlineStr"/>
      <c r="Y62" s="345" t="inlineStr"/>
      <c r="Z62" s="345" t="inlineStr">
        <is>
          <t>confirmed</t>
        </is>
      </c>
      <c r="AA62" s="345" t="n">
        <v>100</v>
      </c>
      <c r="AB62" s="345" t="inlineStr">
        <is>
          <t>同分多价：最高分候选存在不同历史价格</t>
        </is>
      </c>
      <c r="AC62" s="345" t="inlineStr">
        <is>
          <t>赛特尔25年.xls｜初中物理｜第20行</t>
        </is>
      </c>
    </row>
    <row r="63" customFormat="1" s="5">
      <c r="A63" s="323" t="n">
        <v>81</v>
      </c>
      <c r="B63" s="34" t="n">
        <v>20603040201</v>
      </c>
      <c r="C63" s="37" t="inlineStr">
        <is>
          <t>电磁炉</t>
        </is>
      </c>
      <c r="D63" s="96" t="inlineStr">
        <is>
          <t>功率可调，额定功率≥1600 W</t>
        </is>
      </c>
      <c r="E63" s="93" t="n">
        <v>1</v>
      </c>
      <c r="F63" s="34" t="inlineStr">
        <is>
          <t>个</t>
        </is>
      </c>
      <c r="G63" s="151">
        <f>_xlfn.DISPIMG("ID_570F832CBF6C40409667E6CB84D6E650",1)</f>
        <v/>
      </c>
      <c r="H63" s="93" t="n"/>
      <c r="I63" s="32" t="n"/>
      <c r="J63" s="34" t="inlineStr">
        <is>
          <t>MYCA-B</t>
        </is>
      </c>
      <c r="K63" s="101" t="inlineStr">
        <is>
          <t>参数：2200W； 220V～ 50Hz</t>
        </is>
      </c>
      <c r="L63" s="96" t="inlineStr">
        <is>
          <t>炉一霸</t>
        </is>
      </c>
      <c r="M63" s="367" t="inlineStr">
        <is>
          <t>中山市炉一霸电器有限公司</t>
        </is>
      </c>
      <c r="N63" s="361" t="n">
        <v>1</v>
      </c>
      <c r="O63" s="361" t="n">
        <v>65</v>
      </c>
      <c r="P63" s="345" t="n">
        <v>65</v>
      </c>
      <c r="Q63" s="345" t="inlineStr">
        <is>
          <t>个</t>
        </is>
      </c>
      <c r="R63" s="345" t="inlineStr"/>
      <c r="S63" s="345" t="inlineStr"/>
      <c r="T63" s="345" t="inlineStr"/>
      <c r="U63" s="345" t="inlineStr"/>
      <c r="V63" s="345" t="n">
        <v>71.5</v>
      </c>
      <c r="W63" s="345" t="inlineStr"/>
      <c r="X63" s="345" t="inlineStr"/>
      <c r="Y63" s="345" t="inlineStr"/>
      <c r="Z63" s="345" t="inlineStr">
        <is>
          <t>confirmed</t>
        </is>
      </c>
      <c r="AA63" s="345" t="n">
        <v>80</v>
      </c>
      <c r="AB63" s="345" t="inlineStr">
        <is>
          <t>同分多价：最高分候选存在不同历史价格</t>
        </is>
      </c>
      <c r="AC63" s="345" t="inlineStr">
        <is>
          <t>高中理化生报价.xlsx｜凯迪｜第1569行</t>
        </is>
      </c>
    </row>
    <row r="64" customFormat="1" s="5">
      <c r="A64" s="323" t="n">
        <v>82</v>
      </c>
      <c r="B64" s="103" t="n">
        <v>30199008301</v>
      </c>
      <c r="C64" s="104" t="inlineStr">
        <is>
          <t>恒温水浴锅</t>
        </is>
      </c>
      <c r="D64" s="105" t="inlineStr">
        <is>
          <t>水浴控温范围：室温+5 ℃～99.9 ℃，水温控制±0.5 ℃，不锈钢内胆，数字显示</t>
        </is>
      </c>
      <c r="E64" s="67" t="n">
        <v>1</v>
      </c>
      <c r="F64" s="106" t="inlineStr">
        <is>
          <t>台</t>
        </is>
      </c>
      <c r="G64" s="107">
        <f>_xlfn.DISPIMG("ID_02D1ECB898EA44BBBE39BD85BCAFE558",1)</f>
        <v/>
      </c>
      <c r="H64" s="26" t="n"/>
      <c r="I64" s="32" t="n"/>
      <c r="J64" s="108" t="n">
        <v>30199008301</v>
      </c>
      <c r="K64" s="109" t="inlineStr">
        <is>
          <t>水浴控温范围：室温+5 ℃～99.9 ℃，水温控制±0.5 ℃，不锈钢内胆，数字显示</t>
        </is>
      </c>
      <c r="L64" s="39" t="inlineStr">
        <is>
          <t>乐百仕</t>
        </is>
      </c>
      <c r="M64" s="39" t="inlineStr">
        <is>
          <t>江苏乐百仕教育科技有限公司</t>
        </is>
      </c>
      <c r="N64" s="361" t="n">
        <v>1</v>
      </c>
      <c r="O64" s="361" t="n">
        <v>180</v>
      </c>
      <c r="P64" s="345" t="n">
        <v>180</v>
      </c>
      <c r="Q64" s="345" t="inlineStr">
        <is>
          <t>台</t>
        </is>
      </c>
      <c r="R64" s="345" t="inlineStr">
        <is>
          <t>群信</t>
        </is>
      </c>
      <c r="S64" s="345" t="inlineStr"/>
      <c r="T64" s="345" t="inlineStr"/>
      <c r="U64" s="345" t="inlineStr">
        <is>
          <t>02082</t>
        </is>
      </c>
      <c r="V64" s="345" t="n">
        <v>260</v>
      </c>
      <c r="W64" s="345" t="inlineStr"/>
      <c r="X64" s="345" t="n">
        <v>300</v>
      </c>
      <c r="Y64" s="345" t="inlineStr"/>
      <c r="Z64" s="345" t="inlineStr">
        <is>
          <t>confirmed</t>
        </is>
      </c>
      <c r="AA64" s="345" t="n">
        <v>80</v>
      </c>
      <c r="AB64" s="345" t="inlineStr">
        <is>
          <t>价格分歧&gt;30%：历史报价分歧较大，需人工核对；同分多价：最高分候选存在不同历史价格</t>
        </is>
      </c>
      <c r="AC64" s="345" t="inlineStr">
        <is>
          <t>高中理化生报价.xlsx｜凯迪｜第1573行</t>
        </is>
      </c>
    </row>
    <row r="65" customFormat="1" s="5">
      <c r="A65" s="323" t="n">
        <v>84</v>
      </c>
      <c r="B65" s="103" t="n">
        <v>40103000601</v>
      </c>
      <c r="C65" s="104" t="inlineStr">
        <is>
          <t>榨汁机</t>
        </is>
      </c>
      <c r="D65" s="105" t="inlineStr">
        <is>
          <t>≥18000 r/min，≥1.0 L</t>
        </is>
      </c>
      <c r="E65" s="67" t="n">
        <v>1</v>
      </c>
      <c r="F65" s="106" t="inlineStr">
        <is>
          <t>台</t>
        </is>
      </c>
      <c r="G65" s="107">
        <f>_xlfn.DISPIMG("ID_30F62A5E67BD4AAEA7C9F44D9DE656B8",1)</f>
        <v/>
      </c>
      <c r="H65" s="26" t="n"/>
      <c r="I65" s="32" t="n"/>
      <c r="J65" s="110" t="inlineStr">
        <is>
          <t>KP802SA1</t>
        </is>
      </c>
      <c r="K65" s="109" t="inlineStr">
        <is>
          <t>20000转/分钟  1.0 L</t>
        </is>
      </c>
      <c r="L65" s="39" t="inlineStr">
        <is>
          <t>Kesun/科顺</t>
        </is>
      </c>
      <c r="M65" s="100" t="inlineStr">
        <is>
          <t>广东科嘉霖电器制造有限公司</t>
        </is>
      </c>
      <c r="N65" s="361" t="n">
        <v>1</v>
      </c>
      <c r="O65" s="361" t="n">
        <v>190</v>
      </c>
      <c r="P65" s="345" t="n">
        <v>190</v>
      </c>
      <c r="Q65" s="345" t="inlineStr">
        <is>
          <t>台</t>
        </is>
      </c>
      <c r="R65" s="345" t="inlineStr"/>
      <c r="S65" s="345" t="inlineStr"/>
      <c r="T65" s="345" t="inlineStr"/>
      <c r="U65" s="345" t="inlineStr">
        <is>
          <t>≥18000 r/min， ≥1.0 L</t>
        </is>
      </c>
      <c r="V65" s="345" t="inlineStr"/>
      <c r="W65" s="345" t="inlineStr"/>
      <c r="X65" s="345" t="inlineStr"/>
      <c r="Y65" s="345" t="inlineStr"/>
      <c r="Z65" s="345" t="inlineStr">
        <is>
          <t>confirmed</t>
        </is>
      </c>
      <c r="AA65" s="345" t="n">
        <v>100</v>
      </c>
      <c r="AB65" s="345" t="inlineStr"/>
      <c r="AC65" s="345" t="inlineStr">
        <is>
          <t>赛特尔25年.xls｜初中新课标生物｜第18行</t>
        </is>
      </c>
    </row>
    <row r="66" customFormat="1" s="5">
      <c r="A66" s="323" t="n">
        <v>85</v>
      </c>
      <c r="B66" s="67" t="n">
        <v>30199006305</v>
      </c>
      <c r="C66" s="27" t="inlineStr">
        <is>
          <t>离心机</t>
        </is>
      </c>
      <c r="D66" s="105" t="inlineStr">
        <is>
          <t>0r/min～4000r/min，10mL、20mL、50mL 等，6或8孔等，无刷电机</t>
        </is>
      </c>
      <c r="E66" s="67" t="n">
        <v>1</v>
      </c>
      <c r="F66" s="89" t="inlineStr">
        <is>
          <t>台</t>
        </is>
      </c>
      <c r="G66" s="111">
        <f>_xlfn.DISPIMG("ID_828C4E4F0F9A424CAC37EA76408D8C8D",1)</f>
        <v/>
      </c>
      <c r="H66" s="108" t="n"/>
      <c r="I66" s="32" t="n"/>
      <c r="J66" s="26" t="n">
        <v>30199006305</v>
      </c>
      <c r="K66" s="109" t="inlineStr">
        <is>
          <t>0r/min～4000r/min，10mL、20mL、50mL 等，6或8孔等，无刷电机</t>
        </is>
      </c>
      <c r="L66" s="39" t="inlineStr">
        <is>
          <t>乐百仕</t>
        </is>
      </c>
      <c r="M66" s="39" t="inlineStr">
        <is>
          <t>江苏乐百仕教育科技有限公司</t>
        </is>
      </c>
      <c r="N66" s="361" t="n">
        <v>1</v>
      </c>
      <c r="O66" s="361" t="n">
        <v>65</v>
      </c>
      <c r="P66" s="345" t="n">
        <v>65</v>
      </c>
      <c r="Q66" s="345" t="inlineStr">
        <is>
          <t>台</t>
        </is>
      </c>
      <c r="R66" s="345" t="inlineStr">
        <is>
          <t>群信</t>
        </is>
      </c>
      <c r="S66" s="345" t="inlineStr"/>
      <c r="T66" s="345" t="inlineStr">
        <is>
          <t>31013</t>
        </is>
      </c>
      <c r="U66" s="345" t="inlineStr">
        <is>
          <t>31013</t>
        </is>
      </c>
      <c r="V66" s="345" t="inlineStr"/>
      <c r="W66" s="345" t="inlineStr"/>
      <c r="X66" s="345" t="inlineStr"/>
      <c r="Y66" s="345" t="inlineStr"/>
      <c r="Z66" s="345" t="inlineStr">
        <is>
          <t>confirmed</t>
        </is>
      </c>
      <c r="AA66" s="345" t="n">
        <v>0</v>
      </c>
      <c r="AB66" s="345" t="inlineStr">
        <is>
          <t>没有找到可靠候选</t>
        </is>
      </c>
      <c r="AC66" s="345" t="inlineStr">
        <is>
          <t>高中理化生报价.xlsx｜凯迪｜第338行</t>
        </is>
      </c>
    </row>
    <row r="67" customFormat="1" s="5">
      <c r="A67" s="323" t="n">
        <v>88</v>
      </c>
      <c r="B67" s="67" t="n">
        <v>30199007501</v>
      </c>
      <c r="C67" s="104" t="inlineStr">
        <is>
          <t>烘干箱</t>
        </is>
      </c>
      <c r="D67" s="68" t="inlineStr">
        <is>
          <t>电热鼓风型，最高工作温度为250℃，温度波动度限值为±1.5℃，箱体内有隔板，内部容积≥350mm×350mm×350mm</t>
        </is>
      </c>
      <c r="E67" s="67" t="n">
        <v>1</v>
      </c>
      <c r="F67" s="103" t="inlineStr">
        <is>
          <t>台</t>
        </is>
      </c>
      <c r="G67" s="111">
        <f>_xlfn.DISPIMG("ID_B96CC097B002451294C44EA3FF82FBEF",1)</f>
        <v/>
      </c>
      <c r="H67" s="108" t="n"/>
      <c r="I67" s="32" t="n"/>
      <c r="J67" s="26" t="n">
        <v>30199007501</v>
      </c>
      <c r="K67" s="164" t="inlineStr">
        <is>
          <t>电热鼓风型，最高工作温度为250℃，温度波动度限值为±1.5℃，箱体内有隔板，内部容积≥350mm×350mm×350mm</t>
        </is>
      </c>
      <c r="L67" s="39" t="inlineStr">
        <is>
          <t>乐百仕</t>
        </is>
      </c>
      <c r="M67" s="39" t="inlineStr">
        <is>
          <t>江苏乐百仕教育科技有限公司</t>
        </is>
      </c>
      <c r="N67" s="361" t="n">
        <v>1</v>
      </c>
      <c r="O67" s="361" t="n">
        <v>750</v>
      </c>
      <c r="P67" s="345" t="n">
        <v>750</v>
      </c>
      <c r="Q67" s="345" t="inlineStr">
        <is>
          <t>台</t>
        </is>
      </c>
      <c r="R67" s="345" t="inlineStr"/>
      <c r="S67" s="345" t="inlineStr"/>
      <c r="T67" s="345" t="inlineStr"/>
      <c r="U67" s="345" t="inlineStr"/>
      <c r="V67" s="345" t="n">
        <v>750</v>
      </c>
      <c r="W67" s="345" t="inlineStr"/>
      <c r="X67" s="345" t="n">
        <v>825</v>
      </c>
      <c r="Y67" s="345" t="inlineStr"/>
      <c r="Z67" s="345" t="inlineStr">
        <is>
          <t>confirmed</t>
        </is>
      </c>
      <c r="AA67" s="345" t="n">
        <v>100</v>
      </c>
      <c r="AB67" s="345" t="inlineStr"/>
      <c r="AC67" s="345" t="inlineStr">
        <is>
          <t>赛特尔25年.xls｜初中新课标生物｜第21行</t>
        </is>
      </c>
    </row>
    <row r="68" customFormat="1" s="5">
      <c r="A68" s="323" t="n">
        <v>89</v>
      </c>
      <c r="B68" s="67" t="n">
        <v>30199007105</v>
      </c>
      <c r="C68" s="104" t="inlineStr">
        <is>
          <t>高压灭菌器</t>
        </is>
      </c>
      <c r="D68" s="105" t="inlineStr">
        <is>
          <t>≥30 L，立式，全自动，有超高温、超高压自动保护设置</t>
        </is>
      </c>
      <c r="E68" s="67" t="n">
        <v>1</v>
      </c>
      <c r="F68" s="103" t="inlineStr">
        <is>
          <t>个</t>
        </is>
      </c>
      <c r="G68" s="112">
        <f>_xlfn.DISPIMG("ID_1E7D53F573F04B1B9B8BA595180E1D4C",1)</f>
        <v/>
      </c>
      <c r="H68" s="26" t="n"/>
      <c r="I68" s="32" t="n"/>
      <c r="J68" s="26" t="n">
        <v>50172036</v>
      </c>
      <c r="K68" s="109" t="inlineStr">
        <is>
          <t>≥30 L，立式，全自动，有超高温、超高压自动保护设置</t>
        </is>
      </c>
      <c r="L68" s="36" t="inlineStr">
        <is>
          <t>华泰</t>
        </is>
      </c>
      <c r="M68" s="105" t="inlineStr">
        <is>
          <t>合肥华泰医疗设备有限公司</t>
        </is>
      </c>
      <c r="N68" s="361" t="n">
        <v>1</v>
      </c>
      <c r="O68" s="361" t="n">
        <v>260</v>
      </c>
      <c r="P68" s="345" t="n">
        <v>260</v>
      </c>
      <c r="Q68" s="345" t="inlineStr">
        <is>
          <t>个</t>
        </is>
      </c>
      <c r="R68" s="345" t="inlineStr"/>
      <c r="S68" s="345" t="inlineStr"/>
      <c r="T68" s="345" t="inlineStr"/>
      <c r="U68" s="345" t="inlineStr"/>
      <c r="V68" s="345" t="n">
        <v>260</v>
      </c>
      <c r="W68" s="345" t="inlineStr"/>
      <c r="X68" s="345" t="n">
        <v>286</v>
      </c>
      <c r="Y68" s="345" t="inlineStr"/>
      <c r="Z68" s="345" t="inlineStr">
        <is>
          <t>confirmed</t>
        </is>
      </c>
      <c r="AA68" s="345" t="n">
        <v>80</v>
      </c>
      <c r="AB68" s="345" t="inlineStr"/>
      <c r="AC68" s="345" t="inlineStr">
        <is>
          <t>高中理化生报价.xlsx｜凯迪｜第1570行</t>
        </is>
      </c>
    </row>
    <row r="69" customFormat="1" s="195">
      <c r="A69" s="323" t="n">
        <v>99</v>
      </c>
      <c r="B69" s="26" t="n">
        <v>30299000601</v>
      </c>
      <c r="C69" s="30" t="inlineStr">
        <is>
          <t>酸度计</t>
        </is>
      </c>
      <c r="D69" s="141" t="inlineStr">
        <is>
          <t>笔式，pH 测量范围 0～14，分辨力 0.1，读数清晰，有自动关机节电模式，配校准试剂</t>
        </is>
      </c>
      <c r="E69" s="31" t="n">
        <v>13</v>
      </c>
      <c r="F69" s="30" t="inlineStr">
        <is>
          <t>台</t>
        </is>
      </c>
      <c r="G69" s="31">
        <f>_xlfn.DISPIMG("ID_2ACDE8D0CBBC4E4DA12E9ADEC86FA4FE",1)</f>
        <v/>
      </c>
      <c r="H69" s="31" t="n"/>
      <c r="I69" s="220" t="n"/>
      <c r="J69" s="26" t="n">
        <v>30299000601</v>
      </c>
      <c r="K69" s="33" t="inlineStr">
        <is>
          <t>笔式，pH 测量范围： 0～14，分辨力 0.1，读数清晰，有自动关机节电模式，配校准试剂</t>
        </is>
      </c>
      <c r="L69" s="39" t="inlineStr">
        <is>
          <t>乐百仕</t>
        </is>
      </c>
      <c r="M69" s="39" t="inlineStr">
        <is>
          <t>江苏乐百仕教育科技有限公司</t>
        </is>
      </c>
      <c r="N69" s="364" t="n">
        <v>13</v>
      </c>
      <c r="O69" s="364" t="n">
        <v>20</v>
      </c>
      <c r="P69" s="345" t="n">
        <v>260</v>
      </c>
      <c r="Q69" s="345" t="inlineStr">
        <is>
          <t>台</t>
        </is>
      </c>
      <c r="R69" s="345" t="inlineStr"/>
      <c r="S69" s="345" t="inlineStr"/>
      <c r="T69" s="345" t="inlineStr"/>
      <c r="U69" s="345" t="inlineStr"/>
      <c r="V69" s="345" t="n">
        <v>65</v>
      </c>
      <c r="W69" s="345" t="inlineStr"/>
      <c r="X69" s="345" t="n">
        <v>65</v>
      </c>
      <c r="Y69" s="345" t="inlineStr"/>
      <c r="Z69" s="345" t="inlineStr">
        <is>
          <t>confirmed</t>
        </is>
      </c>
      <c r="AA69" s="345" t="n">
        <v>100</v>
      </c>
      <c r="AB69" s="345" t="inlineStr">
        <is>
          <t>价格分歧&gt;30%：历史报价分歧较大，需人工核对；同分多价：最高分候选存在不同历史价格</t>
        </is>
      </c>
      <c r="AC69" s="345" t="inlineStr">
        <is>
          <t>赛特尔25年.xls｜初中新课标化学｜第49行</t>
        </is>
      </c>
    </row>
    <row r="70" customFormat="1" s="195">
      <c r="A70" s="323" t="n">
        <v>103</v>
      </c>
      <c r="B70" s="26" t="n">
        <v>30309000201</v>
      </c>
      <c r="C70" s="30" t="inlineStr">
        <is>
          <t>解剖盘</t>
        </is>
      </c>
      <c r="D70" s="141" t="inlineStr">
        <is>
          <t>260 mm×200 mm×30 mm，蜡盘</t>
        </is>
      </c>
      <c r="E70" s="31" t="n">
        <v>25</v>
      </c>
      <c r="F70" s="30" t="inlineStr">
        <is>
          <t>个</t>
        </is>
      </c>
      <c r="G70" s="31">
        <f>_xlfn.DISPIMG("ID_6D607434E0F94080B5C945C3DB1D95BC",1)</f>
        <v/>
      </c>
      <c r="H70" s="31" t="n"/>
      <c r="I70" s="220" t="n"/>
      <c r="J70" s="26" t="n">
        <v>30309000201</v>
      </c>
      <c r="K70" s="33" t="inlineStr">
        <is>
          <t>260 mm×200 mm×30 mm，蜡盘</t>
        </is>
      </c>
      <c r="L70" s="39" t="inlineStr">
        <is>
          <t>乐百仕</t>
        </is>
      </c>
      <c r="M70" s="39" t="inlineStr">
        <is>
          <t>江苏乐百仕教育科技有限公司</t>
        </is>
      </c>
      <c r="N70" s="364" t="n">
        <v>25</v>
      </c>
      <c r="O70" s="364" t="n">
        <v>12</v>
      </c>
      <c r="P70" s="345" t="n">
        <v>300</v>
      </c>
      <c r="Q70" s="345" t="inlineStr">
        <is>
          <t>个</t>
        </is>
      </c>
      <c r="R70" s="345" t="inlineStr"/>
      <c r="S70" s="345" t="inlineStr"/>
      <c r="T70" s="345" t="inlineStr"/>
      <c r="U70" s="345" t="inlineStr"/>
      <c r="V70" s="345" t="n">
        <v>12</v>
      </c>
      <c r="W70" s="345" t="inlineStr"/>
      <c r="X70" s="345" t="inlineStr"/>
      <c r="Y70" s="345" t="inlineStr"/>
      <c r="Z70" s="345" t="inlineStr">
        <is>
          <t>confirmed</t>
        </is>
      </c>
      <c r="AA70" s="345" t="n">
        <v>100</v>
      </c>
      <c r="AB70" s="345" t="inlineStr"/>
      <c r="AC70" s="345" t="inlineStr">
        <is>
          <t>赛特尔25年.xls｜初中新课标生物｜第64行</t>
        </is>
      </c>
    </row>
    <row r="71" customFormat="1" s="195">
      <c r="A71" s="323" t="n">
        <v>104</v>
      </c>
      <c r="B71" s="26" t="n">
        <v>30309000102</v>
      </c>
      <c r="C71" s="30" t="inlineStr">
        <is>
          <t>解剖器</t>
        </is>
      </c>
      <c r="D71" s="141" t="inlineStr">
        <is>
          <t>不锈钢材料，包括：解剖剪2把（直剪、弯剪各1）、镊子2个（直头、弯头各1）、解剖刀2个（圆头、尖头各1）、解剖针1个</t>
        </is>
      </c>
      <c r="E71" s="31" t="n">
        <v>25</v>
      </c>
      <c r="F71" s="30" t="inlineStr">
        <is>
          <t>套</t>
        </is>
      </c>
      <c r="G71" s="31">
        <f>_xlfn.DISPIMG("ID_1AC5E3F88F544FA8A8C73ED5A5A26C5E",1)</f>
        <v/>
      </c>
      <c r="H71" s="31" t="n"/>
      <c r="I71" s="220" t="n"/>
      <c r="J71" s="26" t="n">
        <v>30309000102</v>
      </c>
      <c r="K71" s="33" t="inlineStr">
        <is>
          <t>不锈钢材料，包括：解剖剪2把（直剪、弯剪各1）、镊子2个（直头、弯头各1）、解剖刀2个（圆头、尖头各1）、解剖针1个</t>
        </is>
      </c>
      <c r="L71" s="39" t="inlineStr">
        <is>
          <t>乐百仕</t>
        </is>
      </c>
      <c r="M71" s="39" t="inlineStr">
        <is>
          <t>江苏乐百仕教育科技有限公司</t>
        </is>
      </c>
      <c r="N71" s="364" t="n">
        <v>25</v>
      </c>
      <c r="O71" s="364" t="n">
        <v>14</v>
      </c>
      <c r="P71" s="345" t="n">
        <v>350</v>
      </c>
      <c r="Q71" s="345" t="inlineStr">
        <is>
          <t>套</t>
        </is>
      </c>
      <c r="R71" s="345" t="inlineStr"/>
      <c r="S71" s="345" t="inlineStr"/>
      <c r="T71" s="345" t="inlineStr"/>
      <c r="U71" s="345" t="inlineStr"/>
      <c r="V71" s="345" t="n">
        <v>21</v>
      </c>
      <c r="W71" s="345" t="inlineStr"/>
      <c r="X71" s="345" t="n">
        <v>22</v>
      </c>
      <c r="Y71" s="345" t="inlineStr"/>
      <c r="Z71" s="345" t="inlineStr">
        <is>
          <t>confirmed</t>
        </is>
      </c>
      <c r="AA71" s="345" t="n">
        <v>100</v>
      </c>
      <c r="AB71" s="345" t="inlineStr">
        <is>
          <t>价格分歧&gt;30%：历史报价分歧较大，需人工核对；同分多价：最高分候选存在不同历史价格</t>
        </is>
      </c>
      <c r="AC71" s="345" t="inlineStr">
        <is>
          <t>赛特尔25年.xls｜初中生物｜第45行</t>
        </is>
      </c>
    </row>
    <row r="72" customFormat="1" s="195">
      <c r="A72" s="323" t="n">
        <v>109</v>
      </c>
      <c r="B72" s="26" t="n">
        <v>30309001610</v>
      </c>
      <c r="C72" s="87" t="inlineStr">
        <is>
          <t>双面刀片</t>
        </is>
      </c>
      <c r="D72" s="141" t="n"/>
      <c r="E72" s="31" t="n">
        <v>10</v>
      </c>
      <c r="F72" s="26" t="inlineStr">
        <is>
          <t>包</t>
        </is>
      </c>
      <c r="G72" s="323">
        <f>_xlfn.DISPIMG("ID_5F1F93066DEE44E091C01B94EB59A514",1)</f>
        <v/>
      </c>
      <c r="H72" s="31" t="n"/>
      <c r="I72" s="220" t="n"/>
      <c r="J72" s="26" t="n">
        <v>30309001610</v>
      </c>
      <c r="K72" s="40" t="inlineStr">
        <is>
          <t>符合教学要求</t>
        </is>
      </c>
      <c r="L72" s="39" t="inlineStr">
        <is>
          <t>乐百仕</t>
        </is>
      </c>
      <c r="M72" s="39" t="inlineStr">
        <is>
          <t>江苏乐百仕教育科技有限公司</t>
        </is>
      </c>
      <c r="N72" s="364" t="n">
        <v>10</v>
      </c>
      <c r="O72" s="364" t="n">
        <v>3.5</v>
      </c>
      <c r="P72" s="345" t="n">
        <v>35</v>
      </c>
      <c r="Q72" s="345" t="inlineStr">
        <is>
          <t>包</t>
        </is>
      </c>
      <c r="R72" s="345" t="inlineStr"/>
      <c r="S72" s="345" t="inlineStr"/>
      <c r="T72" s="345" t="inlineStr"/>
      <c r="U72" s="345" t="inlineStr">
        <is>
          <t>43 mm×22 mm</t>
        </is>
      </c>
      <c r="V72" s="345" t="inlineStr"/>
      <c r="W72" s="345" t="inlineStr"/>
      <c r="X72" s="345" t="inlineStr"/>
      <c r="Y72" s="345" t="inlineStr"/>
      <c r="Z72" s="345" t="inlineStr">
        <is>
          <t>confirmed</t>
        </is>
      </c>
      <c r="AA72" s="345" t="n">
        <v>100</v>
      </c>
      <c r="AB72" s="345" t="inlineStr"/>
      <c r="AC72" s="345" t="inlineStr">
        <is>
          <t>赛特尔25年.xls｜初中新课标生物｜第70行</t>
        </is>
      </c>
    </row>
    <row r="73" customFormat="1" s="195">
      <c r="A73" s="323" t="n">
        <v>110</v>
      </c>
      <c r="B73" s="348" t="n">
        <v>30309001703</v>
      </c>
      <c r="C73" s="114" t="inlineStr">
        <is>
          <t>解剖镊</t>
        </is>
      </c>
      <c r="D73" s="115" t="inlineStr">
        <is>
          <t>尖头，140 mm</t>
        </is>
      </c>
      <c r="E73" s="347" t="n">
        <v>25</v>
      </c>
      <c r="F73" s="117" t="inlineStr">
        <is>
          <t>把</t>
        </is>
      </c>
      <c r="G73" s="323">
        <f>_xlfn.DISPIMG("ID_D77F069BACDE4F9EA6129E6228DC71A1",1)</f>
        <v/>
      </c>
      <c r="H73" s="31" t="n"/>
      <c r="I73" s="220" t="n"/>
      <c r="J73" s="348" t="n">
        <v>30309001703</v>
      </c>
      <c r="K73" s="40" t="inlineStr">
        <is>
          <t>尖头，140 mm</t>
        </is>
      </c>
      <c r="L73" s="39" t="inlineStr">
        <is>
          <t>乐百仕</t>
        </is>
      </c>
      <c r="M73" s="39" t="inlineStr">
        <is>
          <t>江苏乐百仕教育科技有限公司</t>
        </is>
      </c>
      <c r="N73" s="364" t="n">
        <v>25</v>
      </c>
      <c r="O73" s="364" t="n">
        <v>2.5</v>
      </c>
      <c r="P73" s="345" t="n">
        <v>62.5</v>
      </c>
      <c r="Q73" s="345" t="inlineStr">
        <is>
          <t>把</t>
        </is>
      </c>
      <c r="R73" s="345" t="inlineStr">
        <is>
          <t>群信</t>
        </is>
      </c>
      <c r="S73" s="345" t="inlineStr"/>
      <c r="T73" s="345" t="inlineStr"/>
      <c r="U73" s="345" t="inlineStr">
        <is>
          <t>27017</t>
        </is>
      </c>
      <c r="V73" s="345" t="n">
        <v>12</v>
      </c>
      <c r="W73" s="345" t="inlineStr"/>
      <c r="X73" s="345" t="inlineStr"/>
      <c r="Y73" s="345" t="inlineStr"/>
      <c r="Z73" s="345" t="inlineStr">
        <is>
          <t>confirmed</t>
        </is>
      </c>
      <c r="AA73" s="345" t="n">
        <v>100</v>
      </c>
      <c r="AB73" s="345" t="inlineStr">
        <is>
          <t>同分多价：最高分候选存在不同历史价格</t>
        </is>
      </c>
      <c r="AC73" s="345" t="inlineStr">
        <is>
          <t>高中理化生报价.xlsx｜凯迪｜第1423行</t>
        </is>
      </c>
    </row>
    <row r="74" customFormat="1" s="195">
      <c r="A74" s="323" t="n">
        <v>111</v>
      </c>
      <c r="B74" s="348" t="n">
        <v>30309001704</v>
      </c>
      <c r="C74" s="114" t="inlineStr">
        <is>
          <t>解剖镊</t>
        </is>
      </c>
      <c r="D74" s="115" t="inlineStr">
        <is>
          <t>弯头，140 mm</t>
        </is>
      </c>
      <c r="E74" s="347" t="n">
        <v>25</v>
      </c>
      <c r="F74" s="117" t="inlineStr">
        <is>
          <t>把</t>
        </is>
      </c>
      <c r="G74" s="323">
        <f>_xlfn.DISPIMG("ID_EB9DEDB0743441C396AE15BA618DF508",1)</f>
        <v/>
      </c>
      <c r="H74" s="31" t="n"/>
      <c r="I74" s="220" t="n"/>
      <c r="J74" s="348" t="n">
        <v>30309001704</v>
      </c>
      <c r="K74" s="40" t="inlineStr">
        <is>
          <t>弯头，140 mm</t>
        </is>
      </c>
      <c r="L74" s="39" t="inlineStr">
        <is>
          <t>乐百仕</t>
        </is>
      </c>
      <c r="M74" s="39" t="inlineStr">
        <is>
          <t>江苏乐百仕教育科技有限公司</t>
        </is>
      </c>
      <c r="N74" s="364" t="n">
        <v>25</v>
      </c>
      <c r="O74" s="364" t="n">
        <v>2.5</v>
      </c>
      <c r="P74" s="345" t="n">
        <v>62.5</v>
      </c>
      <c r="Q74" s="345" t="inlineStr">
        <is>
          <t>把</t>
        </is>
      </c>
      <c r="R74" s="345" t="inlineStr">
        <is>
          <t>群信</t>
        </is>
      </c>
      <c r="S74" s="345" t="inlineStr"/>
      <c r="T74" s="345" t="inlineStr"/>
      <c r="U74" s="345" t="inlineStr">
        <is>
          <t>27017</t>
        </is>
      </c>
      <c r="V74" s="345" t="n">
        <v>12</v>
      </c>
      <c r="W74" s="345" t="inlineStr"/>
      <c r="X74" s="345" t="inlineStr"/>
      <c r="Y74" s="345" t="inlineStr"/>
      <c r="Z74" s="345" t="inlineStr">
        <is>
          <t>confirmed</t>
        </is>
      </c>
      <c r="AA74" s="345" t="n">
        <v>100</v>
      </c>
      <c r="AB74" s="345" t="inlineStr">
        <is>
          <t>同分多价：最高分候选存在不同历史价格</t>
        </is>
      </c>
      <c r="AC74" s="345" t="inlineStr">
        <is>
          <t>高中理化生报价.xlsx｜凯迪｜第1423行</t>
        </is>
      </c>
    </row>
    <row r="75" customFormat="1" s="195">
      <c r="A75" s="323" t="n">
        <v>112</v>
      </c>
      <c r="B75" s="348" t="n">
        <v>30309001901</v>
      </c>
      <c r="C75" s="114" t="inlineStr">
        <is>
          <t>眼科镊</t>
        </is>
      </c>
      <c r="D75" s="115" t="inlineStr">
        <is>
          <t>直，100 mm</t>
        </is>
      </c>
      <c r="E75" s="347" t="n">
        <v>25</v>
      </c>
      <c r="F75" s="117" t="inlineStr">
        <is>
          <t>把</t>
        </is>
      </c>
      <c r="G75" s="323">
        <f>_xlfn.DISPIMG("ID_E4DC8099F6E94723B24D0E565BA73880",1)</f>
        <v/>
      </c>
      <c r="H75" s="31" t="n"/>
      <c r="I75" s="220" t="n"/>
      <c r="J75" s="348" t="n">
        <v>30309001901</v>
      </c>
      <c r="K75" s="40" t="inlineStr">
        <is>
          <t>直，100 mm</t>
        </is>
      </c>
      <c r="L75" s="39" t="inlineStr">
        <is>
          <t>乐百仕</t>
        </is>
      </c>
      <c r="M75" s="39" t="inlineStr">
        <is>
          <t>江苏乐百仕教育科技有限公司</t>
        </is>
      </c>
      <c r="N75" s="364" t="n">
        <v>25</v>
      </c>
      <c r="O75" s="364" t="n">
        <v>5</v>
      </c>
      <c r="P75" s="345" t="n">
        <v>125</v>
      </c>
      <c r="Q75" s="345" t="inlineStr">
        <is>
          <t>把</t>
        </is>
      </c>
      <c r="R75" s="345" t="inlineStr">
        <is>
          <t>群信</t>
        </is>
      </c>
      <c r="S75" s="345" t="inlineStr"/>
      <c r="T75" s="345" t="inlineStr"/>
      <c r="U75" s="345" t="inlineStr">
        <is>
          <t>27019</t>
        </is>
      </c>
      <c r="V75" s="345" t="n">
        <v>7</v>
      </c>
      <c r="W75" s="345" t="inlineStr"/>
      <c r="X75" s="345" t="inlineStr"/>
      <c r="Y75" s="345" t="inlineStr"/>
      <c r="Z75" s="345" t="inlineStr">
        <is>
          <t>confirmed</t>
        </is>
      </c>
      <c r="AA75" s="345" t="n">
        <v>66.7</v>
      </c>
      <c r="AB75" s="345" t="inlineStr">
        <is>
          <t>价格分歧&gt;30%：历史报价分歧较大，需人工核对；同分多价：最高分候选存在不同历史价格</t>
        </is>
      </c>
      <c r="AC75" s="345" t="inlineStr">
        <is>
          <t>高中理化生报价.xlsx｜凯迪｜第1425行</t>
        </is>
      </c>
    </row>
    <row r="76" customFormat="1" s="195">
      <c r="A76" s="323" t="n">
        <v>113</v>
      </c>
      <c r="B76" s="348" t="n">
        <v>30309010401</v>
      </c>
      <c r="C76" s="118" t="inlineStr">
        <is>
          <t>解剖针</t>
        </is>
      </c>
      <c r="D76" s="115" t="inlineStr">
        <is>
          <t>六棱，医用，全钢</t>
        </is>
      </c>
      <c r="E76" s="347" t="n">
        <v>25</v>
      </c>
      <c r="F76" s="117" t="inlineStr">
        <is>
          <t>把</t>
        </is>
      </c>
      <c r="G76" s="323">
        <f>_xlfn.DISPIMG("ID_DC2B46A7166E4A1092180C177885C0B8",1)</f>
        <v/>
      </c>
      <c r="H76" s="31" t="n"/>
      <c r="I76" s="220" t="n"/>
      <c r="J76" s="348" t="n">
        <v>30309010401</v>
      </c>
      <c r="K76" s="40" t="inlineStr">
        <is>
          <t>六棱，医用，全钢</t>
        </is>
      </c>
      <c r="L76" s="37" t="inlineStr">
        <is>
          <t>和美</t>
        </is>
      </c>
      <c r="M76" s="357" t="inlineStr">
        <is>
          <t>江苏和美电子科技有限公司</t>
        </is>
      </c>
      <c r="N76" s="364" t="n">
        <v>25</v>
      </c>
      <c r="O76" s="364" t="n">
        <v>2.5</v>
      </c>
      <c r="P76" s="345" t="n">
        <v>62.5</v>
      </c>
      <c r="Q76" s="345" t="inlineStr">
        <is>
          <t>把</t>
        </is>
      </c>
      <c r="R76" s="345" t="inlineStr">
        <is>
          <t>群信</t>
        </is>
      </c>
      <c r="S76" s="345" t="inlineStr"/>
      <c r="T76" s="345" t="inlineStr"/>
      <c r="U76" s="345" t="inlineStr">
        <is>
          <t>27017</t>
        </is>
      </c>
      <c r="V76" s="345" t="n">
        <v>12</v>
      </c>
      <c r="W76" s="345" t="inlineStr"/>
      <c r="X76" s="345" t="inlineStr"/>
      <c r="Y76" s="345" t="inlineStr"/>
      <c r="Z76" s="345" t="inlineStr">
        <is>
          <t>confirmed</t>
        </is>
      </c>
      <c r="AA76" s="345" t="n">
        <v>66.7</v>
      </c>
      <c r="AB76" s="345" t="inlineStr">
        <is>
          <t>价格分歧&gt;30%：历史报价分歧较大，需人工核对；同分多价：最高分候选存在不同历史价格</t>
        </is>
      </c>
      <c r="AC76" s="345" t="inlineStr">
        <is>
          <t>高中理化生报价.xlsx｜凯迪｜第1423行</t>
        </is>
      </c>
    </row>
    <row r="77" customFormat="1" s="195">
      <c r="A77" s="323" t="n">
        <v>115</v>
      </c>
      <c r="B77" s="26" t="n">
        <v>30309002731</v>
      </c>
      <c r="C77" s="30" t="inlineStr">
        <is>
          <t>移液器</t>
        </is>
      </c>
      <c r="D77" s="141" t="inlineStr">
        <is>
          <t>0.1 µL～2.5 µL</t>
        </is>
      </c>
      <c r="E77" s="347" t="n">
        <v>25</v>
      </c>
      <c r="F77" s="30" t="inlineStr">
        <is>
          <t>支</t>
        </is>
      </c>
      <c r="G77" s="31">
        <f>_xlfn.DISPIMG("ID_FE623479B97F48E6AD69839023747BDB",1)</f>
        <v/>
      </c>
      <c r="H77" s="31" t="n"/>
      <c r="I77" s="220" t="n"/>
      <c r="J77" s="26" t="n">
        <v>30309002731</v>
      </c>
      <c r="K77" s="33" t="inlineStr">
        <is>
          <t>0.1 µL～2.5 µL</t>
        </is>
      </c>
      <c r="L77" s="39" t="inlineStr">
        <is>
          <t>乐百仕</t>
        </is>
      </c>
      <c r="M77" s="39" t="inlineStr">
        <is>
          <t>江苏乐百仕教育科技有限公司</t>
        </is>
      </c>
      <c r="N77" s="364" t="n">
        <v>25</v>
      </c>
      <c r="O77" s="364" t="n">
        <v>85</v>
      </c>
      <c r="P77" s="345" t="n">
        <v>2125</v>
      </c>
      <c r="Q77" s="345" t="inlineStr">
        <is>
          <t>支</t>
        </is>
      </c>
      <c r="R77" s="345" t="inlineStr"/>
      <c r="S77" s="345" t="inlineStr"/>
      <c r="T77" s="345" t="inlineStr"/>
      <c r="U77" s="345" t="inlineStr"/>
      <c r="V77" s="345" t="inlineStr"/>
      <c r="W77" s="345" t="inlineStr"/>
      <c r="X77" s="345" t="inlineStr"/>
      <c r="Y77" s="345" t="inlineStr"/>
      <c r="Z77" s="345" t="inlineStr">
        <is>
          <t>confirmed</t>
        </is>
      </c>
      <c r="AA77" s="345" t="n">
        <v>100</v>
      </c>
      <c r="AB77" s="345" t="inlineStr"/>
      <c r="AC77" s="345" t="inlineStr">
        <is>
          <t>高中理化生报价.xlsx｜凯迪｜第1579行</t>
        </is>
      </c>
    </row>
    <row r="78" customFormat="1" s="195">
      <c r="A78" s="323" t="n">
        <v>116</v>
      </c>
      <c r="B78" s="26" t="n">
        <v>30309002701</v>
      </c>
      <c r="C78" s="30" t="inlineStr">
        <is>
          <t>移液器</t>
        </is>
      </c>
      <c r="D78" s="141" t="inlineStr">
        <is>
          <t>0.5 µL～10 µL</t>
        </is>
      </c>
      <c r="E78" s="347" t="n">
        <v>25</v>
      </c>
      <c r="F78" s="30" t="inlineStr">
        <is>
          <t>支</t>
        </is>
      </c>
      <c r="G78" s="31">
        <f>_xlfn.DISPIMG("ID_11DD5B894789439887F3FEB6418E5C02",1)</f>
        <v/>
      </c>
      <c r="H78" s="31" t="n"/>
      <c r="I78" s="220" t="n"/>
      <c r="J78" s="26" t="n">
        <v>30309002701</v>
      </c>
      <c r="K78" s="33" t="inlineStr">
        <is>
          <t>0.5 µL～10 µL</t>
        </is>
      </c>
      <c r="L78" s="39" t="inlineStr">
        <is>
          <t>乐百仕</t>
        </is>
      </c>
      <c r="M78" s="39" t="inlineStr">
        <is>
          <t>江苏乐百仕教育科技有限公司</t>
        </is>
      </c>
      <c r="N78" s="364" t="n">
        <v>25</v>
      </c>
      <c r="O78" s="364" t="n">
        <v>85</v>
      </c>
      <c r="P78" s="345" t="n">
        <v>2125</v>
      </c>
      <c r="Q78" s="345" t="inlineStr">
        <is>
          <t>支</t>
        </is>
      </c>
      <c r="R78" s="345" t="inlineStr"/>
      <c r="S78" s="345" t="inlineStr"/>
      <c r="T78" s="345" t="inlineStr"/>
      <c r="U78" s="345" t="inlineStr"/>
      <c r="V78" s="345" t="inlineStr"/>
      <c r="W78" s="345" t="inlineStr"/>
      <c r="X78" s="345" t="inlineStr"/>
      <c r="Y78" s="345" t="inlineStr"/>
      <c r="Z78" s="345" t="inlineStr">
        <is>
          <t>confirmed</t>
        </is>
      </c>
      <c r="AA78" s="345" t="n">
        <v>100</v>
      </c>
      <c r="AB78" s="345" t="inlineStr"/>
      <c r="AC78" s="345" t="inlineStr">
        <is>
          <t>高中理化生报价.xlsx｜凯迪｜第1579行</t>
        </is>
      </c>
    </row>
    <row r="79" customFormat="1" s="195">
      <c r="A79" s="323" t="n">
        <v>117</v>
      </c>
      <c r="B79" s="26" t="n">
        <v>30309002702</v>
      </c>
      <c r="C79" s="30" t="inlineStr">
        <is>
          <t>移液器</t>
        </is>
      </c>
      <c r="D79" s="141" t="inlineStr">
        <is>
          <t>10 µL～100 µL</t>
        </is>
      </c>
      <c r="E79" s="347" t="n">
        <v>25</v>
      </c>
      <c r="F79" s="30" t="inlineStr">
        <is>
          <t>支</t>
        </is>
      </c>
      <c r="G79" s="31">
        <f>_xlfn.DISPIMG("ID_6A48886ABB3E40E08EF65439DF88F828",1)</f>
        <v/>
      </c>
      <c r="H79" s="31" t="n"/>
      <c r="I79" s="220" t="n"/>
      <c r="J79" s="26" t="n">
        <v>30309002702</v>
      </c>
      <c r="K79" s="33" t="inlineStr">
        <is>
          <t>10 µL～100 µL</t>
        </is>
      </c>
      <c r="L79" s="39" t="inlineStr">
        <is>
          <t>乐百仕</t>
        </is>
      </c>
      <c r="M79" s="39" t="inlineStr">
        <is>
          <t>江苏乐百仕教育科技有限公司</t>
        </is>
      </c>
      <c r="N79" s="364" t="n">
        <v>25</v>
      </c>
      <c r="O79" s="364" t="n">
        <v>85</v>
      </c>
      <c r="P79" s="345" t="n">
        <v>2125</v>
      </c>
      <c r="Q79" s="345" t="inlineStr">
        <is>
          <t>支</t>
        </is>
      </c>
      <c r="R79" s="345" t="inlineStr"/>
      <c r="S79" s="345" t="inlineStr"/>
      <c r="T79" s="345" t="inlineStr"/>
      <c r="U79" s="345" t="inlineStr"/>
      <c r="V79" s="345" t="inlineStr"/>
      <c r="W79" s="345" t="inlineStr"/>
      <c r="X79" s="345" t="inlineStr"/>
      <c r="Y79" s="345" t="inlineStr"/>
      <c r="Z79" s="345" t="inlineStr">
        <is>
          <t>confirmed</t>
        </is>
      </c>
      <c r="AA79" s="345" t="n">
        <v>100</v>
      </c>
      <c r="AB79" s="345" t="inlineStr"/>
      <c r="AC79" s="345" t="inlineStr">
        <is>
          <t>高中理化生报价.xlsx｜凯迪｜第1579行</t>
        </is>
      </c>
    </row>
    <row r="80" customFormat="1" s="195">
      <c r="A80" s="323" t="n">
        <v>118</v>
      </c>
      <c r="B80" s="26" t="n">
        <v>30309002703</v>
      </c>
      <c r="C80" s="30" t="inlineStr">
        <is>
          <t>移液器</t>
        </is>
      </c>
      <c r="D80" s="141" t="inlineStr">
        <is>
          <t>100 µL～1000 µL</t>
        </is>
      </c>
      <c r="E80" s="347" t="n">
        <v>25</v>
      </c>
      <c r="F80" s="30" t="inlineStr">
        <is>
          <t>支</t>
        </is>
      </c>
      <c r="G80" s="31">
        <f>_xlfn.DISPIMG("ID_50B00CAEA76A486EAE7C143154318FE9",1)</f>
        <v/>
      </c>
      <c r="H80" s="31" t="n"/>
      <c r="I80" s="220" t="n"/>
      <c r="J80" s="26" t="n">
        <v>30309002703</v>
      </c>
      <c r="K80" s="33" t="inlineStr">
        <is>
          <t>100 µL～1000 µL</t>
        </is>
      </c>
      <c r="L80" s="39" t="inlineStr">
        <is>
          <t>乐百仕</t>
        </is>
      </c>
      <c r="M80" s="39" t="inlineStr">
        <is>
          <t>江苏乐百仕教育科技有限公司</t>
        </is>
      </c>
      <c r="N80" s="364" t="n">
        <v>25</v>
      </c>
      <c r="O80" s="364" t="n">
        <v>85</v>
      </c>
      <c r="P80" s="345" t="n">
        <v>2125</v>
      </c>
      <c r="Q80" s="345" t="inlineStr">
        <is>
          <t>支</t>
        </is>
      </c>
      <c r="R80" s="345" t="inlineStr"/>
      <c r="S80" s="345" t="inlineStr"/>
      <c r="T80" s="345" t="inlineStr"/>
      <c r="U80" s="345" t="inlineStr"/>
      <c r="V80" s="345" t="inlineStr"/>
      <c r="W80" s="345" t="inlineStr"/>
      <c r="X80" s="345" t="inlineStr"/>
      <c r="Y80" s="345" t="inlineStr"/>
      <c r="Z80" s="345" t="inlineStr">
        <is>
          <t>confirmed</t>
        </is>
      </c>
      <c r="AA80" s="345" t="n">
        <v>100</v>
      </c>
      <c r="AB80" s="345" t="inlineStr"/>
      <c r="AC80" s="345" t="inlineStr">
        <is>
          <t>高中理化生报价.xlsx｜凯迪｜第1579行</t>
        </is>
      </c>
    </row>
    <row r="81" customFormat="1" s="195">
      <c r="A81" s="323" t="n">
        <v>119</v>
      </c>
      <c r="B81" s="26" t="n">
        <v>30309002704</v>
      </c>
      <c r="C81" s="30" t="inlineStr">
        <is>
          <t>移液器</t>
        </is>
      </c>
      <c r="D81" s="141" t="inlineStr">
        <is>
          <t>1 mL～5 mL</t>
        </is>
      </c>
      <c r="E81" s="347" t="n">
        <v>25</v>
      </c>
      <c r="F81" s="30" t="inlineStr">
        <is>
          <t>支</t>
        </is>
      </c>
      <c r="G81" s="31">
        <f>_xlfn.DISPIMG("ID_06EF651CC66B45378CE0C85CFE30C687",1)</f>
        <v/>
      </c>
      <c r="H81" s="31" t="n"/>
      <c r="I81" s="220" t="n"/>
      <c r="J81" s="26" t="n">
        <v>30309002704</v>
      </c>
      <c r="K81" s="33" t="inlineStr">
        <is>
          <t>1 mL～5 mL</t>
        </is>
      </c>
      <c r="L81" s="39" t="inlineStr">
        <is>
          <t>乐百仕</t>
        </is>
      </c>
      <c r="M81" s="39" t="inlineStr">
        <is>
          <t>江苏乐百仕教育科技有限公司</t>
        </is>
      </c>
      <c r="N81" s="364" t="n">
        <v>25</v>
      </c>
      <c r="O81" s="364" t="n">
        <v>85</v>
      </c>
      <c r="P81" s="345" t="n">
        <v>2125</v>
      </c>
      <c r="Q81" s="345" t="inlineStr">
        <is>
          <t>支</t>
        </is>
      </c>
      <c r="R81" s="345" t="inlineStr"/>
      <c r="S81" s="345" t="inlineStr"/>
      <c r="T81" s="345" t="inlineStr"/>
      <c r="U81" s="345" t="inlineStr"/>
      <c r="V81" s="345" t="inlineStr"/>
      <c r="W81" s="345" t="inlineStr"/>
      <c r="X81" s="345" t="inlineStr"/>
      <c r="Y81" s="345" t="inlineStr"/>
      <c r="Z81" s="345" t="inlineStr">
        <is>
          <t>confirmed</t>
        </is>
      </c>
      <c r="AA81" s="345" t="n">
        <v>100</v>
      </c>
      <c r="AB81" s="345" t="inlineStr"/>
      <c r="AC81" s="345" t="inlineStr">
        <is>
          <t>高中理化生报价.xlsx｜凯迪｜第1579行</t>
        </is>
      </c>
    </row>
    <row r="82" customFormat="1" s="192">
      <c r="A82" s="323" t="n">
        <v>120</v>
      </c>
      <c r="B82" s="103" t="n">
        <v>30309003701</v>
      </c>
      <c r="C82" s="119" t="inlineStr">
        <is>
          <t>涂布器</t>
        </is>
      </c>
      <c r="D82" s="105" t="inlineStr">
        <is>
          <t>玻璃或金属三角刮刀</t>
        </is>
      </c>
      <c r="E82" s="347" t="n">
        <v>25</v>
      </c>
      <c r="F82" s="120" t="inlineStr">
        <is>
          <t>个</t>
        </is>
      </c>
      <c r="G82" s="131">
        <f>_xlfn.DISPIMG("ID_6AE7703C852C4FBAB1B30D7E80310741",1)</f>
        <v/>
      </c>
      <c r="H82" s="131" t="n"/>
      <c r="I82" s="229" t="n"/>
      <c r="J82" s="108" t="n">
        <v>30309003701</v>
      </c>
      <c r="K82" s="109" t="inlineStr">
        <is>
          <t>金属三角刮刀</t>
        </is>
      </c>
      <c r="L82" s="39" t="inlineStr">
        <is>
          <t>乐百仕</t>
        </is>
      </c>
      <c r="M82" s="39" t="inlineStr">
        <is>
          <t>江苏乐百仕教育科技有限公司</t>
        </is>
      </c>
      <c r="N82" s="362" t="n">
        <v>25</v>
      </c>
      <c r="O82" s="362" t="n">
        <v>5</v>
      </c>
      <c r="P82" s="345" t="n">
        <v>125</v>
      </c>
      <c r="Q82" s="345" t="inlineStr">
        <is>
          <t>个</t>
        </is>
      </c>
      <c r="R82" s="345" t="inlineStr"/>
      <c r="S82" s="345" t="inlineStr"/>
      <c r="T82" s="345" t="inlineStr"/>
      <c r="U82" s="345" t="inlineStr"/>
      <c r="V82" s="345" t="inlineStr"/>
      <c r="W82" s="345" t="inlineStr"/>
      <c r="X82" s="345" t="inlineStr"/>
      <c r="Y82" s="345" t="inlineStr"/>
      <c r="Z82" s="345" t="inlineStr">
        <is>
          <t>confirmed</t>
        </is>
      </c>
      <c r="AA82" s="345" t="n">
        <v>57.1</v>
      </c>
      <c r="AB82" s="345" t="inlineStr"/>
      <c r="AC82" s="345" t="inlineStr">
        <is>
          <t>赛特尔25年.xls｜高中生物｜第78行</t>
        </is>
      </c>
    </row>
    <row r="83" customFormat="1" s="195">
      <c r="A83" s="323" t="n">
        <v>121</v>
      </c>
      <c r="B83" s="26" t="n">
        <v>30309000501</v>
      </c>
      <c r="C83" s="30" t="inlineStr">
        <is>
          <t>接种环</t>
        </is>
      </c>
      <c r="D83" s="141" t="inlineStr">
        <is>
          <t>接种棒为铜或不锈钢材质，接种丝为耐热合金，环内径 2 mm～3 mm</t>
        </is>
      </c>
      <c r="E83" s="347" t="n">
        <v>25</v>
      </c>
      <c r="F83" s="30" t="inlineStr">
        <is>
          <t>把</t>
        </is>
      </c>
      <c r="G83" s="31">
        <f>_xlfn.DISPIMG("ID_01E09D26F8D64D11B582EF53AF862790",1)</f>
        <v/>
      </c>
      <c r="H83" s="31" t="n"/>
      <c r="I83" s="220" t="n"/>
      <c r="J83" s="26" t="n">
        <v>30309000501</v>
      </c>
      <c r="K83" s="33" t="inlineStr">
        <is>
          <t>接种棒为不锈钢材质，接种丝为耐热合金，环内径 2 mm～3 mm</t>
        </is>
      </c>
      <c r="L83" s="39" t="inlineStr">
        <is>
          <t>乐百仕</t>
        </is>
      </c>
      <c r="M83" s="39" t="inlineStr">
        <is>
          <t>江苏乐百仕教育科技有限公司</t>
        </is>
      </c>
      <c r="N83" s="364" t="n">
        <v>25</v>
      </c>
      <c r="O83" s="364" t="n">
        <v>8</v>
      </c>
      <c r="P83" s="345" t="n">
        <v>200</v>
      </c>
      <c r="Q83" s="345" t="inlineStr">
        <is>
          <t>把</t>
        </is>
      </c>
      <c r="R83" s="345" t="inlineStr"/>
      <c r="S83" s="345" t="inlineStr"/>
      <c r="T83" s="345" t="inlineStr"/>
      <c r="U83" s="345" t="inlineStr"/>
      <c r="V83" s="345" t="n">
        <v>8</v>
      </c>
      <c r="W83" s="345" t="inlineStr"/>
      <c r="X83" s="345" t="n">
        <v>8.800000000000001</v>
      </c>
      <c r="Y83" s="345" t="inlineStr"/>
      <c r="Z83" s="345" t="inlineStr">
        <is>
          <t>confirmed</t>
        </is>
      </c>
      <c r="AA83" s="345" t="n">
        <v>100</v>
      </c>
      <c r="AB83" s="345" t="inlineStr"/>
      <c r="AC83" s="345" t="inlineStr">
        <is>
          <t>赛特尔25年.xls｜初中新课标生物｜第76行</t>
        </is>
      </c>
    </row>
    <row r="84" customFormat="1" s="195">
      <c r="A84" s="323" t="n">
        <v>124</v>
      </c>
      <c r="B84" s="26" t="n">
        <v>30101000803</v>
      </c>
      <c r="C84" s="30" t="inlineStr">
        <is>
          <t>试管架</t>
        </is>
      </c>
      <c r="D84" s="141" t="inlineStr">
        <is>
          <t>木质或塑料质，8 孔，孔径 21 mm，立柱黏结牢固</t>
        </is>
      </c>
      <c r="E84" s="347" t="n">
        <v>25</v>
      </c>
      <c r="F84" s="30" t="inlineStr">
        <is>
          <t>个</t>
        </is>
      </c>
      <c r="G84" s="31">
        <f>_xlfn.DISPIMG("ID_41F2FB9618AF4A688C6E6D7445FE8083",1)</f>
        <v/>
      </c>
      <c r="H84" s="31" t="n"/>
      <c r="I84" s="220" t="n"/>
      <c r="J84" s="26" t="n">
        <v>30101000803</v>
      </c>
      <c r="K84" s="33" t="inlineStr">
        <is>
          <t>木质或塑料质，8 孔，孔径 21 mm，立柱黏结牢固</t>
        </is>
      </c>
      <c r="L84" s="39" t="inlineStr">
        <is>
          <t>乐百仕</t>
        </is>
      </c>
      <c r="M84" s="39" t="inlineStr">
        <is>
          <t>江苏乐百仕教育科技有限公司</t>
        </is>
      </c>
      <c r="N84" s="364" t="n">
        <v>25</v>
      </c>
      <c r="O84" s="364" t="n">
        <v>0.5</v>
      </c>
      <c r="P84" s="345" t="n">
        <v>12.5</v>
      </c>
      <c r="Q84" s="345" t="inlineStr">
        <is>
          <t>个</t>
        </is>
      </c>
      <c r="R84" s="345" t="inlineStr"/>
      <c r="S84" s="345" t="inlineStr"/>
      <c r="T84" s="345" t="inlineStr"/>
      <c r="U84" s="345" t="inlineStr"/>
      <c r="V84" s="345" t="n">
        <v>0.7</v>
      </c>
      <c r="W84" s="345" t="inlineStr"/>
      <c r="X84" s="345" t="n">
        <v>6</v>
      </c>
      <c r="Y84" s="345" t="inlineStr"/>
      <c r="Z84" s="345" t="inlineStr">
        <is>
          <t>confirmed</t>
        </is>
      </c>
      <c r="AA84" s="345" t="n">
        <v>100</v>
      </c>
      <c r="AB84" s="345" t="inlineStr">
        <is>
          <t>价格分歧&gt;30%：历史报价分歧较大，需人工核对；同分多价：最高分候选存在不同历史价格</t>
        </is>
      </c>
      <c r="AC84" s="345" t="inlineStr">
        <is>
          <t>高中理化生报价.xlsx｜凯迪｜第1803行</t>
        </is>
      </c>
    </row>
    <row r="85" customFormat="1" s="195">
      <c r="A85" s="323" t="n">
        <v>126</v>
      </c>
      <c r="B85" s="26" t="n">
        <v>30309002801</v>
      </c>
      <c r="C85" s="30" t="inlineStr">
        <is>
          <t>移液器架</t>
        </is>
      </c>
      <c r="D85" s="141" t="inlineStr">
        <is>
          <t>塑料或亚克力材质，可放置 5 支移液器</t>
        </is>
      </c>
      <c r="E85" s="31" t="n">
        <v>13</v>
      </c>
      <c r="F85" s="30" t="inlineStr">
        <is>
          <t>个</t>
        </is>
      </c>
      <c r="G85" s="31">
        <f>_xlfn.DISPIMG("ID_2610CCE2FD3E4E10932A6FAF757AEE8D",1)</f>
        <v/>
      </c>
      <c r="H85" s="31" t="n"/>
      <c r="I85" s="220" t="n"/>
      <c r="J85" s="26" t="n">
        <v>30309002801</v>
      </c>
      <c r="K85" s="33" t="inlineStr">
        <is>
          <t>塑料，可放置 5 支移液器</t>
        </is>
      </c>
      <c r="L85" s="39" t="inlineStr">
        <is>
          <t>乐百仕</t>
        </is>
      </c>
      <c r="M85" s="39" t="inlineStr">
        <is>
          <t>江苏乐百仕教育科技有限公司</t>
        </is>
      </c>
      <c r="N85" s="364" t="n">
        <v>13</v>
      </c>
      <c r="O85" s="364" t="n">
        <v>45</v>
      </c>
      <c r="P85" s="345" t="n">
        <v>585</v>
      </c>
      <c r="Q85" s="345" t="inlineStr">
        <is>
          <t>个</t>
        </is>
      </c>
      <c r="R85" s="345" t="inlineStr">
        <is>
          <t>群信</t>
        </is>
      </c>
      <c r="S85" s="345" t="inlineStr"/>
      <c r="T85" s="345" t="inlineStr"/>
      <c r="U85" s="345" t="inlineStr">
        <is>
          <t>27027</t>
        </is>
      </c>
      <c r="V85" s="345" t="inlineStr"/>
      <c r="W85" s="345" t="inlineStr"/>
      <c r="X85" s="345" t="inlineStr"/>
      <c r="Y85" s="345" t="inlineStr"/>
      <c r="Z85" s="345" t="inlineStr">
        <is>
          <t>confirmed</t>
        </is>
      </c>
      <c r="AA85" s="345" t="n">
        <v>100</v>
      </c>
      <c r="AB85" s="345" t="inlineStr"/>
      <c r="AC85" s="345" t="inlineStr">
        <is>
          <t>高中理化生报价.xlsx｜凯迪｜第1436行</t>
        </is>
      </c>
    </row>
    <row r="86" customFormat="1" s="195">
      <c r="A86" s="323" t="n">
        <v>127</v>
      </c>
      <c r="B86" s="26" t="n">
        <v>30101001401</v>
      </c>
      <c r="C86" s="30" t="inlineStr">
        <is>
          <t>移液管架</t>
        </is>
      </c>
      <c r="D86" s="141" t="inlineStr">
        <is>
          <t>塑料或亚克力材质</t>
        </is>
      </c>
      <c r="E86" s="31" t="n">
        <v>13</v>
      </c>
      <c r="F86" s="30" t="inlineStr">
        <is>
          <t>个</t>
        </is>
      </c>
      <c r="G86" s="31">
        <f>_xlfn.DISPIMG("ID_0F19F1CA92F44F0F8BC15C92F0281C93",1)</f>
        <v/>
      </c>
      <c r="H86" s="31" t="n"/>
      <c r="I86" s="220" t="n"/>
      <c r="J86" s="26" t="n">
        <v>30101001401</v>
      </c>
      <c r="K86" s="33" t="inlineStr">
        <is>
          <t>塑料材质</t>
        </is>
      </c>
      <c r="L86" s="39" t="inlineStr">
        <is>
          <t>乐百仕</t>
        </is>
      </c>
      <c r="M86" s="39" t="inlineStr">
        <is>
          <t>江苏乐百仕教育科技有限公司</t>
        </is>
      </c>
      <c r="N86" s="364" t="n">
        <v>13</v>
      </c>
      <c r="O86" s="364" t="n">
        <v>45</v>
      </c>
      <c r="P86" s="345" t="n">
        <v>585</v>
      </c>
      <c r="Q86" s="345" t="inlineStr">
        <is>
          <t>个</t>
        </is>
      </c>
      <c r="R86" s="345" t="inlineStr">
        <is>
          <t>群信</t>
        </is>
      </c>
      <c r="S86" s="345" t="inlineStr"/>
      <c r="T86" s="345" t="inlineStr"/>
      <c r="U86" s="345" t="inlineStr">
        <is>
          <t>27027</t>
        </is>
      </c>
      <c r="V86" s="345" t="n">
        <v>0.5</v>
      </c>
      <c r="W86" s="345" t="inlineStr"/>
      <c r="X86" s="345" t="n">
        <v>6</v>
      </c>
      <c r="Y86" s="345" t="inlineStr"/>
      <c r="Z86" s="345" t="inlineStr">
        <is>
          <t>confirmed</t>
        </is>
      </c>
      <c r="AA86" s="345" t="n">
        <v>75</v>
      </c>
      <c r="AB86" s="345" t="inlineStr"/>
      <c r="AC86" s="345" t="inlineStr">
        <is>
          <t>高中理化生报价.xlsx｜凯迪｜第1436行</t>
        </is>
      </c>
    </row>
    <row r="87" customFormat="1" s="195">
      <c r="A87" s="323" t="n">
        <v>129</v>
      </c>
      <c r="B87" s="26" t="n">
        <v>30201000301</v>
      </c>
      <c r="C87" s="30" t="inlineStr">
        <is>
          <t>直尺</t>
        </is>
      </c>
      <c r="D87" s="141" t="inlineStr">
        <is>
          <t>500mm</t>
        </is>
      </c>
      <c r="E87" s="31" t="n">
        <v>25</v>
      </c>
      <c r="F87" s="30" t="inlineStr">
        <is>
          <t>把</t>
        </is>
      </c>
      <c r="G87" s="31">
        <f>_xlfn.DISPIMG("ID_2C8E4F00CE84464884C3EBF903781585",1)</f>
        <v/>
      </c>
      <c r="H87" s="31" t="n"/>
      <c r="I87" s="220" t="n"/>
      <c r="J87" s="26" t="n">
        <v>30201000301</v>
      </c>
      <c r="K87" s="33" t="inlineStr">
        <is>
          <t>500mm</t>
        </is>
      </c>
      <c r="L87" s="39" t="inlineStr">
        <is>
          <t>乐百仕</t>
        </is>
      </c>
      <c r="M87" s="39" t="inlineStr">
        <is>
          <t>江苏乐百仕教育科技有限公司</t>
        </is>
      </c>
      <c r="N87" s="364" t="n">
        <v>25</v>
      </c>
      <c r="O87" s="364" t="n">
        <v>5</v>
      </c>
      <c r="P87" s="345" t="n">
        <v>125</v>
      </c>
      <c r="Q87" s="345" t="inlineStr">
        <is>
          <t>把</t>
        </is>
      </c>
      <c r="R87" s="345" t="inlineStr"/>
      <c r="S87" s="345" t="inlineStr"/>
      <c r="T87" s="345" t="inlineStr"/>
      <c r="U87" s="345" t="inlineStr"/>
      <c r="V87" s="345" t="inlineStr"/>
      <c r="W87" s="345" t="inlineStr"/>
      <c r="X87" s="345" t="inlineStr"/>
      <c r="Y87" s="345" t="inlineStr"/>
      <c r="Z87" s="345" t="inlineStr">
        <is>
          <t>confirmed</t>
        </is>
      </c>
      <c r="AA87" s="345" t="n">
        <v>100</v>
      </c>
      <c r="AB87" s="345" t="inlineStr"/>
      <c r="AC87" s="345" t="inlineStr">
        <is>
          <t>赛特尔25年.xls｜高中通用技术｜第155行</t>
        </is>
      </c>
    </row>
    <row r="88" customFormat="1" s="195">
      <c r="A88" s="323" t="n">
        <v>130</v>
      </c>
      <c r="B88" s="26" t="n">
        <v>30201000701</v>
      </c>
      <c r="C88" s="30" t="inlineStr">
        <is>
          <t>软尺</t>
        </is>
      </c>
      <c r="D88" s="141" t="inlineStr">
        <is>
          <t>1500mm</t>
        </is>
      </c>
      <c r="E88" s="31" t="n">
        <v>25</v>
      </c>
      <c r="F88" s="30" t="inlineStr">
        <is>
          <t>把</t>
        </is>
      </c>
      <c r="G88" s="31">
        <f>_xlfn.DISPIMG("ID_DC791DF496D943098512EF9122D4AA8F",1)</f>
        <v/>
      </c>
      <c r="H88" s="31" t="n"/>
      <c r="I88" s="220" t="n"/>
      <c r="J88" s="26" t="n">
        <v>30201000701</v>
      </c>
      <c r="K88" s="33" t="inlineStr">
        <is>
          <t>1500mm</t>
        </is>
      </c>
      <c r="L88" s="39" t="inlineStr">
        <is>
          <t>乐百仕</t>
        </is>
      </c>
      <c r="M88" s="39" t="inlineStr">
        <is>
          <t>江苏乐百仕教育科技有限公司</t>
        </is>
      </c>
      <c r="N88" s="364" t="n">
        <v>25</v>
      </c>
      <c r="O88" s="364" t="n">
        <v>1.5</v>
      </c>
      <c r="P88" s="345" t="n">
        <v>37.5</v>
      </c>
      <c r="Q88" s="345" t="inlineStr">
        <is>
          <t>把</t>
        </is>
      </c>
      <c r="R88" s="345" t="inlineStr"/>
      <c r="S88" s="345" t="inlineStr"/>
      <c r="T88" s="345" t="inlineStr"/>
      <c r="U88" s="345" t="inlineStr"/>
      <c r="V88" s="345" t="n">
        <v>1.65</v>
      </c>
      <c r="W88" s="345" t="inlineStr"/>
      <c r="X88" s="345" t="inlineStr"/>
      <c r="Y88" s="345" t="inlineStr"/>
      <c r="Z88" s="345" t="inlineStr">
        <is>
          <t>confirmed</t>
        </is>
      </c>
      <c r="AA88" s="345" t="n">
        <v>100</v>
      </c>
      <c r="AB88" s="345" t="inlineStr">
        <is>
          <t>同分多价：最高分候选存在不同历史价格</t>
        </is>
      </c>
      <c r="AC88" s="345" t="inlineStr">
        <is>
          <t>赛特尔25年.xls｜初中生物｜第33行</t>
        </is>
      </c>
    </row>
    <row r="89" customFormat="1" s="195">
      <c r="A89" s="323" t="n">
        <v>133</v>
      </c>
      <c r="B89" s="31" t="n">
        <v>30202000313</v>
      </c>
      <c r="C89" s="137" t="inlineStr">
        <is>
          <t>托盘天平</t>
        </is>
      </c>
      <c r="D89" s="141" t="inlineStr">
        <is>
          <t>200 g，0.2 g</t>
        </is>
      </c>
      <c r="E89" s="31" t="n">
        <v>13</v>
      </c>
      <c r="F89" s="31" t="inlineStr">
        <is>
          <t>台</t>
        </is>
      </c>
      <c r="G89" s="323">
        <f>_xlfn.DISPIMG("ID_EFA9ED559E594147B8A3739D6E276B3B",1)</f>
        <v/>
      </c>
      <c r="H89" s="31" t="n"/>
      <c r="I89" s="31" t="n"/>
      <c r="J89" s="31" t="n">
        <v>30202000313</v>
      </c>
      <c r="K89" s="33" t="inlineStr">
        <is>
          <t>200 g，0.2 g</t>
        </is>
      </c>
      <c r="L89" s="31" t="inlineStr">
        <is>
          <t>佳衡</t>
        </is>
      </c>
      <c r="M89" s="31" t="inlineStr">
        <is>
          <t>常熟市佳衡天平仪器有限公司</t>
        </is>
      </c>
      <c r="N89" s="364" t="n">
        <v>13</v>
      </c>
      <c r="O89" s="364" t="n">
        <v>30</v>
      </c>
      <c r="P89" s="345" t="n">
        <v>390</v>
      </c>
      <c r="Q89" s="345" t="inlineStr">
        <is>
          <t>台</t>
        </is>
      </c>
      <c r="R89" s="345" t="inlineStr">
        <is>
          <t>群信</t>
        </is>
      </c>
      <c r="S89" s="345" t="inlineStr"/>
      <c r="T89" s="345" t="inlineStr">
        <is>
          <t>11003</t>
        </is>
      </c>
      <c r="U89" s="345" t="inlineStr">
        <is>
          <t>11004</t>
        </is>
      </c>
      <c r="V89" s="345" t="n">
        <v>55</v>
      </c>
      <c r="W89" s="345" t="inlineStr"/>
      <c r="X89" s="345" t="inlineStr"/>
      <c r="Y89" s="345" t="inlineStr"/>
      <c r="Z89" s="345" t="inlineStr">
        <is>
          <t>confirmed</t>
        </is>
      </c>
      <c r="AA89" s="345" t="n">
        <v>100</v>
      </c>
      <c r="AB89" s="345" t="inlineStr">
        <is>
          <t>价格分歧&gt;30%：历史报价分歧较大，需人工核对；同分多价：最高分候选存在不同历史价格</t>
        </is>
      </c>
      <c r="AC89" s="345" t="inlineStr">
        <is>
          <t>赛特尔25年.xls｜初中新课标生物｜第54行</t>
        </is>
      </c>
    </row>
    <row r="90" customFormat="1" s="195">
      <c r="A90" s="323" t="n">
        <v>134</v>
      </c>
      <c r="B90" s="26" t="n">
        <v>30202000513</v>
      </c>
      <c r="C90" s="30" t="inlineStr">
        <is>
          <t>电子天平</t>
        </is>
      </c>
      <c r="D90" s="141" t="inlineStr">
        <is>
          <t>200 g，0.1 g</t>
        </is>
      </c>
      <c r="E90" s="31" t="n">
        <v>1</v>
      </c>
      <c r="F90" s="26" t="inlineStr">
        <is>
          <t>台</t>
        </is>
      </c>
      <c r="G90" s="323">
        <f>_xlfn.DISPIMG("ID_329021BB21404200A7A8DEC4F7D8AC86",1)</f>
        <v/>
      </c>
      <c r="H90" s="31" t="n"/>
      <c r="I90" s="363" t="n"/>
      <c r="J90" s="26" t="n">
        <v>30202000513</v>
      </c>
      <c r="K90" s="33" t="inlineStr">
        <is>
          <t>200 g，0.1 g</t>
        </is>
      </c>
      <c r="L90" s="39" t="inlineStr">
        <is>
          <t>群安</t>
        </is>
      </c>
      <c r="M90" s="123" t="inlineStr">
        <is>
          <t>群安科学仪器(浙江)有限公司</t>
        </is>
      </c>
      <c r="N90" s="364" t="n">
        <v>1</v>
      </c>
      <c r="O90" s="364" t="n">
        <v>185</v>
      </c>
      <c r="P90" s="345" t="n">
        <v>185</v>
      </c>
      <c r="Q90" s="345" t="inlineStr">
        <is>
          <t>台</t>
        </is>
      </c>
      <c r="R90" s="345" t="inlineStr">
        <is>
          <t>华驰</t>
        </is>
      </c>
      <c r="S90" s="345" t="inlineStr"/>
      <c r="T90" s="345" t="inlineStr">
        <is>
          <t>11010</t>
        </is>
      </c>
      <c r="U90" s="345" t="inlineStr">
        <is>
          <t>11010</t>
        </is>
      </c>
      <c r="V90" s="345" t="n">
        <v>220</v>
      </c>
      <c r="W90" s="345" t="inlineStr"/>
      <c r="X90" s="345" t="n">
        <v>280</v>
      </c>
      <c r="Y90" s="345" t="inlineStr"/>
      <c r="Z90" s="345" t="inlineStr">
        <is>
          <t>confirmed</t>
        </is>
      </c>
      <c r="AA90" s="345" t="n">
        <v>100</v>
      </c>
      <c r="AB90" s="345" t="inlineStr">
        <is>
          <t>价格分歧&gt;30%：历史报价分歧较大，需人工核对；同分多价：最高分候选存在不同历史价格</t>
        </is>
      </c>
      <c r="AC90" s="345" t="inlineStr">
        <is>
          <t>赛特尔25年.xls｜初中新课标生物｜第55行</t>
        </is>
      </c>
    </row>
    <row r="91" customFormat="1" s="195">
      <c r="A91" s="323" t="n">
        <v>135</v>
      </c>
      <c r="B91" s="26" t="n">
        <v>30202000503</v>
      </c>
      <c r="C91" s="30" t="inlineStr">
        <is>
          <t>电子天平</t>
        </is>
      </c>
      <c r="D91" s="141" t="inlineStr">
        <is>
          <t>100 g，0.001 g</t>
        </is>
      </c>
      <c r="E91" s="31" t="n">
        <v>1</v>
      </c>
      <c r="F91" s="26" t="inlineStr">
        <is>
          <t>台</t>
        </is>
      </c>
      <c r="G91" s="323">
        <f>_xlfn.DISPIMG("ID_AAE2BDD3674743E09BEC788AB0875EA0",1)</f>
        <v/>
      </c>
      <c r="H91" s="31" t="n"/>
      <c r="I91" s="220" t="n"/>
      <c r="J91" s="26" t="n">
        <v>30202000503</v>
      </c>
      <c r="K91" s="33" t="inlineStr">
        <is>
          <t>100 g，0.001 g</t>
        </is>
      </c>
      <c r="L91" s="39" t="inlineStr">
        <is>
          <t>群安</t>
        </is>
      </c>
      <c r="M91" s="123" t="inlineStr">
        <is>
          <t>群安科学仪器(浙江)有限公司</t>
        </is>
      </c>
      <c r="N91" s="364" t="n">
        <v>1</v>
      </c>
      <c r="O91" s="364" t="n">
        <v>185</v>
      </c>
      <c r="P91" s="345" t="n">
        <v>185</v>
      </c>
      <c r="Q91" s="345" t="inlineStr">
        <is>
          <t>台</t>
        </is>
      </c>
      <c r="R91" s="345" t="inlineStr">
        <is>
          <t>华驰</t>
        </is>
      </c>
      <c r="S91" s="345" t="inlineStr"/>
      <c r="T91" s="345" t="inlineStr">
        <is>
          <t>11010</t>
        </is>
      </c>
      <c r="U91" s="345" t="inlineStr">
        <is>
          <t>11010</t>
        </is>
      </c>
      <c r="V91" s="345" t="n">
        <v>220</v>
      </c>
      <c r="W91" s="345" t="inlineStr"/>
      <c r="X91" s="345" t="n">
        <v>280</v>
      </c>
      <c r="Y91" s="345" t="inlineStr"/>
      <c r="Z91" s="345" t="inlineStr">
        <is>
          <t>confirmed</t>
        </is>
      </c>
      <c r="AA91" s="345" t="n">
        <v>100</v>
      </c>
      <c r="AB91" s="345" t="inlineStr">
        <is>
          <t>价格分歧&gt;30%：历史报价分歧较大，需人工核对；同分多价：最高分候选存在不同历史价格</t>
        </is>
      </c>
      <c r="AC91" s="345" t="inlineStr">
        <is>
          <t>赛特尔25年.xls｜初中新课标生物｜第55行</t>
        </is>
      </c>
    </row>
    <row r="92" customFormat="1" s="195">
      <c r="A92" s="323" t="n">
        <v>136</v>
      </c>
      <c r="B92" s="31" t="n">
        <v>30203000202</v>
      </c>
      <c r="C92" s="137" t="inlineStr">
        <is>
          <t>电子秒表</t>
        </is>
      </c>
      <c r="D92" s="141" t="inlineStr">
        <is>
          <t>全时段分辨力 0.01 s，有防震、防水功能</t>
        </is>
      </c>
      <c r="E92" s="31" t="n">
        <v>25</v>
      </c>
      <c r="F92" s="137" t="inlineStr">
        <is>
          <t>个</t>
        </is>
      </c>
      <c r="G92" s="31">
        <f>_xlfn.DISPIMG("ID_49DB3EEAE1594F5699D16C40DA6EB17C",1)</f>
        <v/>
      </c>
      <c r="H92" s="31" t="n"/>
      <c r="I92" s="220" t="n"/>
      <c r="J92" s="31" t="n">
        <v>30203000202</v>
      </c>
      <c r="K92" s="33" t="inlineStr">
        <is>
          <t>全时段分辨力 0.01 s，有防震、防水功能</t>
        </is>
      </c>
      <c r="L92" s="39" t="inlineStr">
        <is>
          <t>乐百仕</t>
        </is>
      </c>
      <c r="M92" s="39" t="inlineStr">
        <is>
          <t>江苏乐百仕教育科技有限公司</t>
        </is>
      </c>
      <c r="N92" s="364" t="n">
        <v>25</v>
      </c>
      <c r="O92" s="364" t="n">
        <v>14</v>
      </c>
      <c r="P92" s="345" t="n">
        <v>350</v>
      </c>
      <c r="Q92" s="345" t="inlineStr">
        <is>
          <t>个</t>
        </is>
      </c>
      <c r="R92" s="345" t="inlineStr"/>
      <c r="S92" s="345" t="inlineStr"/>
      <c r="T92" s="345" t="inlineStr"/>
      <c r="U92" s="345" t="inlineStr">
        <is>
          <t>专用型，全时段分辨力 0.01 s；有防震、防水功能，电池更换周期≥1.5 年</t>
        </is>
      </c>
      <c r="V92" s="345" t="inlineStr"/>
      <c r="W92" s="345" t="inlineStr"/>
      <c r="X92" s="345" t="inlineStr"/>
      <c r="Y92" s="345" t="inlineStr"/>
      <c r="Z92" s="345" t="inlineStr">
        <is>
          <t>confirmed</t>
        </is>
      </c>
      <c r="AA92" s="345" t="n">
        <v>100</v>
      </c>
      <c r="AB92" s="345" t="inlineStr"/>
      <c r="AC92" s="345" t="inlineStr">
        <is>
          <t>赛特尔25年.xls｜初中新课标生物｜第58行</t>
        </is>
      </c>
    </row>
    <row r="93" customFormat="1" s="195">
      <c r="A93" s="323" t="n">
        <v>137</v>
      </c>
      <c r="B93" s="31" t="n">
        <v>30204000201</v>
      </c>
      <c r="C93" s="137" t="inlineStr">
        <is>
          <t>红液温度计</t>
        </is>
      </c>
      <c r="D93" s="141" t="inlineStr">
        <is>
          <t xml:space="preserve">0 ℃～100 ℃，分度值 1 ℃，示值误差≤1.5 ℃　</t>
        </is>
      </c>
      <c r="E93" s="31" t="n">
        <v>50</v>
      </c>
      <c r="F93" s="137" t="inlineStr">
        <is>
          <t>支</t>
        </is>
      </c>
      <c r="G93" s="31">
        <f>_xlfn.DISPIMG("ID_D57F69EA77654C1FBF1BC9B0466F1348",1)</f>
        <v/>
      </c>
      <c r="H93" s="31" t="n"/>
      <c r="I93" s="220" t="n"/>
      <c r="J93" s="31" t="n">
        <v>30204000201</v>
      </c>
      <c r="K93" s="33" t="inlineStr">
        <is>
          <t xml:space="preserve">0 ℃～100 ℃，分度值 1 ℃，示值误差≤1.5 ℃　</t>
        </is>
      </c>
      <c r="L93" s="39" t="inlineStr">
        <is>
          <t>乐百仕</t>
        </is>
      </c>
      <c r="M93" s="39" t="inlineStr">
        <is>
          <t>江苏乐百仕教育科技有限公司</t>
        </is>
      </c>
      <c r="N93" s="364" t="n">
        <v>50</v>
      </c>
      <c r="O93" s="364" t="n">
        <v>2</v>
      </c>
      <c r="P93" s="345" t="n">
        <v>100</v>
      </c>
      <c r="Q93" s="345" t="inlineStr">
        <is>
          <t>支</t>
        </is>
      </c>
      <c r="R93" s="345" t="inlineStr"/>
      <c r="S93" s="345" t="inlineStr"/>
      <c r="T93" s="345" t="inlineStr"/>
      <c r="U93" s="345" t="inlineStr"/>
      <c r="V93" s="345" t="n">
        <v>3</v>
      </c>
      <c r="W93" s="345" t="inlineStr"/>
      <c r="X93" s="345" t="n">
        <v>180</v>
      </c>
      <c r="Y93" s="345" t="inlineStr"/>
      <c r="Z93" s="345" t="inlineStr">
        <is>
          <t>confirmed</t>
        </is>
      </c>
      <c r="AA93" s="345" t="n">
        <v>100</v>
      </c>
      <c r="AB93" s="345" t="inlineStr">
        <is>
          <t>价格分歧&gt;30%：历史报价分歧较大，需人工核对；同分多价：最高分候选存在不同历史价格</t>
        </is>
      </c>
      <c r="AC93" s="345" t="inlineStr">
        <is>
          <t>赛特尔25年.xls｜初中新课标生物｜第59行</t>
        </is>
      </c>
    </row>
    <row r="94" customFormat="1" s="195">
      <c r="A94" s="323" t="n">
        <v>139</v>
      </c>
      <c r="B94" s="26" t="n">
        <v>30204001809</v>
      </c>
      <c r="C94" s="30" t="inlineStr">
        <is>
          <t>干湿球温度计</t>
        </is>
      </c>
      <c r="D94" s="141" t="inlineStr">
        <is>
          <t>—10 ℃～50 ℃，分度值 0.5 ℃；测量湿度
0%～100%</t>
        </is>
      </c>
      <c r="E94" s="31" t="n">
        <v>25</v>
      </c>
      <c r="F94" s="30" t="inlineStr">
        <is>
          <t>个</t>
        </is>
      </c>
      <c r="G94" s="31">
        <f>_xlfn.DISPIMG("ID_F056E4C55B4B43E2AA662755EA6CCD76",1)</f>
        <v/>
      </c>
      <c r="H94" s="31" t="n"/>
      <c r="I94" s="220" t="n"/>
      <c r="J94" s="26" t="n">
        <v>30204001809</v>
      </c>
      <c r="K94" s="33" t="inlineStr">
        <is>
          <t>—10 ℃～50 ℃，分度值 0.5 ℃；测量湿度
0%～100%</t>
        </is>
      </c>
      <c r="L94" s="39" t="inlineStr">
        <is>
          <t>乐百仕</t>
        </is>
      </c>
      <c r="M94" s="39" t="inlineStr">
        <is>
          <t>江苏乐百仕教育科技有限公司</t>
        </is>
      </c>
      <c r="N94" s="364" t="n">
        <v>25</v>
      </c>
      <c r="O94" s="364" t="n">
        <v>7</v>
      </c>
      <c r="P94" s="345" t="n">
        <v>175</v>
      </c>
      <c r="Q94" s="345" t="inlineStr">
        <is>
          <t>个</t>
        </is>
      </c>
      <c r="R94" s="345" t="inlineStr"/>
      <c r="S94" s="345" t="inlineStr"/>
      <c r="T94" s="345" t="inlineStr"/>
      <c r="U94" s="345" t="inlineStr"/>
      <c r="V94" s="345" t="n">
        <v>12</v>
      </c>
      <c r="W94" s="345" t="inlineStr"/>
      <c r="X94" s="345" t="n">
        <v>13.2</v>
      </c>
      <c r="Y94" s="345" t="inlineStr"/>
      <c r="Z94" s="345" t="inlineStr">
        <is>
          <t>confirmed</t>
        </is>
      </c>
      <c r="AA94" s="345" t="n">
        <v>66.7</v>
      </c>
      <c r="AB94" s="345" t="inlineStr">
        <is>
          <t>价格分歧&gt;30%：历史报价分歧较大，需人工核对；同分多价：最高分候选存在不同历史价格</t>
        </is>
      </c>
      <c r="AC94" s="345" t="inlineStr">
        <is>
          <t>赛特尔25年.xls｜初中新课标生物｜第61行</t>
        </is>
      </c>
    </row>
    <row r="95" customFormat="1" s="7">
      <c r="A95" s="323" t="n">
        <v>140</v>
      </c>
      <c r="B95" s="124" t="n">
        <v>30814102001</v>
      </c>
      <c r="C95" s="125" t="inlineStr">
        <is>
          <t>计数器</t>
        </is>
      </c>
      <c r="D95" s="126" t="inlineStr">
        <is>
          <t>手持式</t>
        </is>
      </c>
      <c r="E95" s="31" t="n">
        <v>25</v>
      </c>
      <c r="F95" s="124" t="inlineStr">
        <is>
          <t>个</t>
        </is>
      </c>
      <c r="G95" s="127">
        <f>_xlfn.DISPIMG("ID_D36E0C58E6EE4197A2F46E72E942E0F3",1)</f>
        <v/>
      </c>
      <c r="H95" s="127" t="n"/>
      <c r="I95" s="220" t="n"/>
      <c r="J95" s="26" t="n">
        <v>30814102001</v>
      </c>
      <c r="K95" s="33" t="inlineStr">
        <is>
          <t>手持式</t>
        </is>
      </c>
      <c r="L95" s="39" t="inlineStr">
        <is>
          <t>乐百仕</t>
        </is>
      </c>
      <c r="M95" s="39" t="inlineStr">
        <is>
          <t>江苏乐百仕教育科技有限公司</t>
        </is>
      </c>
      <c r="N95" s="364" t="n">
        <v>25</v>
      </c>
      <c r="O95" s="364" t="n">
        <v>12</v>
      </c>
      <c r="P95" s="345" t="n">
        <v>300</v>
      </c>
      <c r="Q95" s="345" t="inlineStr">
        <is>
          <t>个</t>
        </is>
      </c>
      <c r="R95" s="345" t="inlineStr"/>
      <c r="S95" s="345" t="inlineStr"/>
      <c r="T95" s="345" t="inlineStr"/>
      <c r="U95" s="345" t="inlineStr"/>
      <c r="V95" s="345" t="n">
        <v>12</v>
      </c>
      <c r="W95" s="345" t="inlineStr"/>
      <c r="X95" s="345" t="n">
        <v>13.2</v>
      </c>
      <c r="Y95" s="345" t="inlineStr"/>
      <c r="Z95" s="345" t="inlineStr">
        <is>
          <t>confirmed</t>
        </is>
      </c>
      <c r="AA95" s="345" t="n">
        <v>100</v>
      </c>
      <c r="AB95" s="345" t="inlineStr"/>
      <c r="AC95" s="345" t="inlineStr">
        <is>
          <t>赛特尔25年.xls｜初中新课标生物｜第62行</t>
        </is>
      </c>
    </row>
    <row r="96" customFormat="1" s="195">
      <c r="A96" s="323" t="n">
        <v>141</v>
      </c>
      <c r="B96" s="26" t="n">
        <v>30299003902</v>
      </c>
      <c r="C96" s="30" t="inlineStr">
        <is>
          <t>血细胞计数板</t>
        </is>
      </c>
      <c r="D96" s="141" t="inlineStr">
        <is>
          <t>H型凹槽，两个计数池，计数池深度 0.1 mm，配套盖玻片</t>
        </is>
      </c>
      <c r="E96" s="31" t="n">
        <v>25</v>
      </c>
      <c r="F96" s="30" t="inlineStr">
        <is>
          <t>片</t>
        </is>
      </c>
      <c r="G96" s="31">
        <f>_xlfn.DISPIMG("ID_31B89D74257B483FA502D5A5C0EFD726",1)</f>
        <v/>
      </c>
      <c r="H96" s="31" t="n"/>
      <c r="I96" s="220" t="n"/>
      <c r="J96" s="26" t="n">
        <v>30299003902</v>
      </c>
      <c r="K96" s="33" t="inlineStr">
        <is>
          <t>H型凹槽，两个计数池，计数池深度 0.1 mm，配套盖玻片</t>
        </is>
      </c>
      <c r="L96" s="39" t="inlineStr">
        <is>
          <t>乐百仕</t>
        </is>
      </c>
      <c r="M96" s="39" t="inlineStr">
        <is>
          <t>江苏乐百仕教育科技有限公司</t>
        </is>
      </c>
      <c r="N96" s="364" t="n">
        <v>25</v>
      </c>
      <c r="O96" s="364" t="n">
        <v>20</v>
      </c>
      <c r="P96" s="345" t="n">
        <v>500</v>
      </c>
      <c r="Q96" s="345" t="inlineStr">
        <is>
          <t>片</t>
        </is>
      </c>
      <c r="R96" s="345" t="inlineStr">
        <is>
          <t>群信</t>
        </is>
      </c>
      <c r="S96" s="345" t="inlineStr"/>
      <c r="T96" s="345" t="inlineStr"/>
      <c r="U96" s="345" t="inlineStr">
        <is>
          <t>16017</t>
        </is>
      </c>
      <c r="V96" s="345" t="inlineStr"/>
      <c r="W96" s="345" t="inlineStr"/>
      <c r="X96" s="345" t="inlineStr"/>
      <c r="Y96" s="345" t="inlineStr"/>
      <c r="Z96" s="345" t="inlineStr">
        <is>
          <t>confirmed</t>
        </is>
      </c>
      <c r="AA96" s="345" t="n">
        <v>72.7</v>
      </c>
      <c r="AB96" s="345" t="inlineStr"/>
      <c r="AC96" s="345" t="inlineStr">
        <is>
          <t>高中理化生报价.xlsx｜凯迪｜第1410行</t>
        </is>
      </c>
    </row>
    <row r="97" customFormat="1" s="192">
      <c r="A97" s="323" t="n">
        <v>148</v>
      </c>
      <c r="B97" s="103" t="n">
        <v>30601000102</v>
      </c>
      <c r="C97" s="129" t="inlineStr">
        <is>
          <t>量筒</t>
        </is>
      </c>
      <c r="D97" s="130" t="inlineStr">
        <is>
          <t>10 mL，无塞、量出式，透明钠钙玻璃制，分度线、数字和标志应完整、清晰和耐久，容积为 20 ℃时充满量筒刻度线所容纳体积</t>
        </is>
      </c>
      <c r="E97" s="131" t="n">
        <v>30</v>
      </c>
      <c r="F97" s="131" t="inlineStr">
        <is>
          <t>个</t>
        </is>
      </c>
      <c r="G97" s="131">
        <f>_xlfn.DISPIMG("ID_5E4CF241EFF84DC6A48CE6E563D219EC",1)</f>
        <v/>
      </c>
      <c r="H97" s="134" t="n"/>
      <c r="I97" s="229" t="n"/>
      <c r="J97" s="108" t="n">
        <v>30601000102</v>
      </c>
      <c r="K97" s="164" t="inlineStr">
        <is>
          <t>10 mL，无塞、量出式，透明钠钙玻璃制，分度线、数字和标志应完整、清晰和耐久，容积为 20 ℃时充满量筒刻度线所容纳体积</t>
        </is>
      </c>
      <c r="L97" s="39" t="inlineStr">
        <is>
          <t>乐百仕</t>
        </is>
      </c>
      <c r="M97" s="39" t="inlineStr">
        <is>
          <t>江苏乐百仕教育科技有限公司</t>
        </is>
      </c>
      <c r="N97" s="362" t="n">
        <v>30</v>
      </c>
      <c r="O97" s="362" t="n">
        <v>4.5</v>
      </c>
      <c r="P97" s="345" t="n">
        <v>135</v>
      </c>
      <c r="Q97" s="345" t="inlineStr">
        <is>
          <t>个</t>
        </is>
      </c>
      <c r="R97" s="345" t="inlineStr"/>
      <c r="S97" s="345" t="inlineStr"/>
      <c r="T97" s="345" t="inlineStr"/>
      <c r="U97" s="345" t="inlineStr"/>
      <c r="V97" s="345" t="n">
        <v>7</v>
      </c>
      <c r="W97" s="345" t="inlineStr"/>
      <c r="X97" s="345" t="n">
        <v>12</v>
      </c>
      <c r="Y97" s="345" t="inlineStr"/>
      <c r="Z97" s="345" t="inlineStr">
        <is>
          <t>confirmed</t>
        </is>
      </c>
      <c r="AA97" s="345" t="n">
        <v>100</v>
      </c>
      <c r="AB97" s="345" t="inlineStr">
        <is>
          <t>价格分歧&gt;30%：历史报价分歧较大，需人工核对；同分多价：最高分候选存在不同历史价格</t>
        </is>
      </c>
      <c r="AC97" s="345" t="inlineStr">
        <is>
          <t>赛特尔25年.xls｜初中新课标生物｜第92行</t>
        </is>
      </c>
    </row>
    <row r="98" customFormat="1" s="192">
      <c r="A98" s="323" t="n">
        <v>149</v>
      </c>
      <c r="B98" s="67" t="n">
        <v>30601000104</v>
      </c>
      <c r="C98" s="129" t="inlineStr">
        <is>
          <t>量筒</t>
        </is>
      </c>
      <c r="D98" s="130" t="inlineStr">
        <is>
          <t>25 mL，无塞、量出式，透明钠钙玻璃制，分度线、数字和标志应完整、清晰和耐久，容积为 20 ℃时充满量筒刻度线所容纳体积</t>
        </is>
      </c>
      <c r="E98" s="131" t="n">
        <v>30</v>
      </c>
      <c r="F98" s="131" t="inlineStr">
        <is>
          <t>个</t>
        </is>
      </c>
      <c r="G98" s="131">
        <f>_xlfn.DISPIMG("ID_C18A307E8C864692B7241C2ADC6C70F5",1)</f>
        <v/>
      </c>
      <c r="H98" s="134" t="n"/>
      <c r="I98" s="229" t="n"/>
      <c r="J98" s="26" t="n">
        <v>30601000104</v>
      </c>
      <c r="K98" s="164" t="inlineStr">
        <is>
          <t>25 mL，无塞、量出式，透明钠钙玻璃制，分度线、数字和标志应完整、清晰和耐久，容积为 20 ℃时充满量筒刻度线所容纳体积</t>
        </is>
      </c>
      <c r="L98" s="39" t="inlineStr">
        <is>
          <t>乐百仕</t>
        </is>
      </c>
      <c r="M98" s="39" t="inlineStr">
        <is>
          <t>江苏乐百仕教育科技有限公司</t>
        </is>
      </c>
      <c r="N98" s="362" t="n">
        <v>30</v>
      </c>
      <c r="O98" s="362" t="n">
        <v>4.5</v>
      </c>
      <c r="P98" s="345" t="n">
        <v>135</v>
      </c>
      <c r="Q98" s="345" t="inlineStr">
        <is>
          <t>个</t>
        </is>
      </c>
      <c r="R98" s="345" t="inlineStr"/>
      <c r="S98" s="345" t="inlineStr"/>
      <c r="T98" s="345" t="inlineStr"/>
      <c r="U98" s="345" t="inlineStr"/>
      <c r="V98" s="345" t="n">
        <v>7</v>
      </c>
      <c r="W98" s="345" t="inlineStr"/>
      <c r="X98" s="345" t="n">
        <v>12</v>
      </c>
      <c r="Y98" s="345" t="inlineStr"/>
      <c r="Z98" s="345" t="inlineStr">
        <is>
          <t>confirmed</t>
        </is>
      </c>
      <c r="AA98" s="345" t="n">
        <v>100</v>
      </c>
      <c r="AB98" s="345" t="inlineStr">
        <is>
          <t>价格分歧&gt;30%：历史报价分歧较大，需人工核对；同分多价：最高分候选存在不同历史价格</t>
        </is>
      </c>
      <c r="AC98" s="345" t="inlineStr">
        <is>
          <t>赛特尔25年.xls｜初中新课标生物｜第92行</t>
        </is>
      </c>
    </row>
    <row r="99" customFormat="1" s="192">
      <c r="A99" s="323" t="n">
        <v>150</v>
      </c>
      <c r="B99" s="103" t="n">
        <v>30601000105</v>
      </c>
      <c r="C99" s="129" t="inlineStr">
        <is>
          <t>量筒</t>
        </is>
      </c>
      <c r="D99" s="130" t="inlineStr">
        <is>
          <t>50 mL，无塞、量出式，透明钠钙玻璃制，分度线、数字和标志应完整、清晰和耐久，容积为 20 ℃时充满量筒刻度线所容纳体积</t>
        </is>
      </c>
      <c r="E99" s="131" t="n">
        <v>30</v>
      </c>
      <c r="F99" s="131" t="inlineStr">
        <is>
          <t>个</t>
        </is>
      </c>
      <c r="G99" s="131">
        <f>_xlfn.DISPIMG("ID_650EC3A8845247BF8626030DDA12889D",1)</f>
        <v/>
      </c>
      <c r="H99" s="134" t="n"/>
      <c r="I99" s="229" t="n"/>
      <c r="J99" s="108" t="n">
        <v>30601000105</v>
      </c>
      <c r="K99" s="164" t="inlineStr">
        <is>
          <t>50 mL，无塞、量出式，透明钠钙玻璃制，分度线、数字和标志应完整、清晰和耐久，容积为 20 ℃时充满量筒刻度线所容纳体积</t>
        </is>
      </c>
      <c r="L99" s="39" t="inlineStr">
        <is>
          <t>乐百仕</t>
        </is>
      </c>
      <c r="M99" s="39" t="inlineStr">
        <is>
          <t>江苏乐百仕教育科技有限公司</t>
        </is>
      </c>
      <c r="N99" s="362" t="n">
        <v>30</v>
      </c>
      <c r="O99" s="362" t="n">
        <v>4.5</v>
      </c>
      <c r="P99" s="345" t="n">
        <v>135</v>
      </c>
      <c r="Q99" s="345" t="inlineStr">
        <is>
          <t>个</t>
        </is>
      </c>
      <c r="R99" s="345" t="inlineStr"/>
      <c r="S99" s="345" t="inlineStr"/>
      <c r="T99" s="345" t="inlineStr"/>
      <c r="U99" s="345" t="inlineStr"/>
      <c r="V99" s="345" t="n">
        <v>7</v>
      </c>
      <c r="W99" s="345" t="inlineStr"/>
      <c r="X99" s="345" t="n">
        <v>12</v>
      </c>
      <c r="Y99" s="345" t="inlineStr"/>
      <c r="Z99" s="345" t="inlineStr">
        <is>
          <t>confirmed</t>
        </is>
      </c>
      <c r="AA99" s="345" t="n">
        <v>100</v>
      </c>
      <c r="AB99" s="345" t="inlineStr">
        <is>
          <t>价格分歧&gt;30%：历史报价分歧较大，需人工核对；同分多价：最高分候选存在不同历史价格</t>
        </is>
      </c>
      <c r="AC99" s="345" t="inlineStr">
        <is>
          <t>赛特尔25年.xls｜初中新课标生物｜第92行</t>
        </is>
      </c>
    </row>
    <row r="100" customFormat="1" s="192">
      <c r="A100" s="323" t="n">
        <v>151</v>
      </c>
      <c r="B100" s="103" t="n">
        <v>30601000106</v>
      </c>
      <c r="C100" s="129" t="inlineStr">
        <is>
          <t>量筒</t>
        </is>
      </c>
      <c r="D100" s="130" t="inlineStr">
        <is>
          <t>100 mL，无塞、量出式，透明钠钙玻璃制，分度线、数字和标志应完整、清晰和耐久，容积为 20 ℃时充满量筒刻度线所容纳体积</t>
        </is>
      </c>
      <c r="E100" s="131" t="n">
        <v>30</v>
      </c>
      <c r="F100" s="131" t="inlineStr">
        <is>
          <t>个</t>
        </is>
      </c>
      <c r="G100" s="131">
        <f>_xlfn.DISPIMG("ID_C3C146C86EB54C39AD0E8C8F269287A6",1)</f>
        <v/>
      </c>
      <c r="H100" s="134" t="n"/>
      <c r="I100" s="229" t="n"/>
      <c r="J100" s="108" t="n">
        <v>30601000106</v>
      </c>
      <c r="K100" s="164" t="inlineStr">
        <is>
          <t>100 mL，无塞、量出式，透明钠钙玻璃制，分度线、数字和标志应完整、清晰和耐久，容积为 20 ℃时充满量筒刻度线所容纳体积</t>
        </is>
      </c>
      <c r="L100" s="39" t="inlineStr">
        <is>
          <t>乐百仕</t>
        </is>
      </c>
      <c r="M100" s="39" t="inlineStr">
        <is>
          <t>江苏乐百仕教育科技有限公司</t>
        </is>
      </c>
      <c r="N100" s="362" t="n">
        <v>30</v>
      </c>
      <c r="O100" s="362" t="n">
        <v>4.5</v>
      </c>
      <c r="P100" s="345" t="n">
        <v>135</v>
      </c>
      <c r="Q100" s="345" t="inlineStr">
        <is>
          <t>个</t>
        </is>
      </c>
      <c r="R100" s="345" t="inlineStr"/>
      <c r="S100" s="345" t="inlineStr"/>
      <c r="T100" s="345" t="inlineStr"/>
      <c r="U100" s="345" t="inlineStr"/>
      <c r="V100" s="345" t="n">
        <v>7</v>
      </c>
      <c r="W100" s="345" t="inlineStr"/>
      <c r="X100" s="345" t="n">
        <v>12</v>
      </c>
      <c r="Y100" s="345" t="inlineStr"/>
      <c r="Z100" s="345" t="inlineStr">
        <is>
          <t>confirmed</t>
        </is>
      </c>
      <c r="AA100" s="345" t="n">
        <v>100</v>
      </c>
      <c r="AB100" s="345" t="inlineStr">
        <is>
          <t>价格分歧&gt;30%：历史报价分歧较大，需人工核对；同分多价：最高分候选存在不同历史价格</t>
        </is>
      </c>
      <c r="AC100" s="345" t="inlineStr">
        <is>
          <t>赛特尔25年.xls｜初中新课标生物｜第92行</t>
        </is>
      </c>
    </row>
    <row r="101" customFormat="1" s="192">
      <c r="A101" s="323" t="n">
        <v>152</v>
      </c>
      <c r="B101" s="103" t="n">
        <v>30601000109</v>
      </c>
      <c r="C101" s="129" t="inlineStr">
        <is>
          <t>量筒</t>
        </is>
      </c>
      <c r="D101" s="68" t="inlineStr">
        <is>
          <t>500 mL，无塞、量出式，透明钠钙玻璃制，分度线、数字和标志应完整、清晰和耐久，容积为 20 ℃时充满量筒刻度线所容纳体积</t>
        </is>
      </c>
      <c r="E101" s="131" t="n">
        <v>30</v>
      </c>
      <c r="F101" s="131" t="inlineStr">
        <is>
          <t>个</t>
        </is>
      </c>
      <c r="G101" s="131">
        <f>_xlfn.DISPIMG("ID_30EDEB0D3B984866AA5B5A8944EAC4B0",1)</f>
        <v/>
      </c>
      <c r="H101" s="134" t="n"/>
      <c r="I101" s="229" t="n"/>
      <c r="J101" s="108" t="n">
        <v>30601000109</v>
      </c>
      <c r="K101" s="164" t="inlineStr">
        <is>
          <t>500 mL，无塞、量出式，透明钠钙玻璃制，分度线、数字和标志应完整、清晰和耐久，容积为 20 ℃时充满量筒刻度线所容纳体积</t>
        </is>
      </c>
      <c r="L101" s="39" t="inlineStr">
        <is>
          <t>乐百仕</t>
        </is>
      </c>
      <c r="M101" s="39" t="inlineStr">
        <is>
          <t>江苏乐百仕教育科技有限公司</t>
        </is>
      </c>
      <c r="N101" s="362" t="n">
        <v>30</v>
      </c>
      <c r="O101" s="362" t="n">
        <v>4.5</v>
      </c>
      <c r="P101" s="345" t="n">
        <v>135</v>
      </c>
      <c r="Q101" s="345" t="inlineStr">
        <is>
          <t>个</t>
        </is>
      </c>
      <c r="R101" s="345" t="inlineStr"/>
      <c r="S101" s="345" t="inlineStr"/>
      <c r="T101" s="345" t="inlineStr"/>
      <c r="U101" s="345" t="inlineStr"/>
      <c r="V101" s="345" t="n">
        <v>7</v>
      </c>
      <c r="W101" s="345" t="inlineStr"/>
      <c r="X101" s="345" t="n">
        <v>12</v>
      </c>
      <c r="Y101" s="345" t="inlineStr"/>
      <c r="Z101" s="345" t="inlineStr">
        <is>
          <t>confirmed</t>
        </is>
      </c>
      <c r="AA101" s="345" t="n">
        <v>100</v>
      </c>
      <c r="AB101" s="345" t="inlineStr">
        <is>
          <t>价格分歧&gt;30%：历史报价分歧较大，需人工核对；同分多价：最高分候选存在不同历史价格</t>
        </is>
      </c>
      <c r="AC101" s="345" t="inlineStr">
        <is>
          <t>赛特尔25年.xls｜初中新课标生物｜第92行</t>
        </is>
      </c>
    </row>
    <row r="102" customFormat="1" s="251">
      <c r="A102" s="323" t="n">
        <v>153</v>
      </c>
      <c r="B102" s="103" t="n">
        <v>30601000110</v>
      </c>
      <c r="C102" s="129" t="inlineStr">
        <is>
          <t>量筒</t>
        </is>
      </c>
      <c r="D102" s="68" t="inlineStr">
        <is>
          <t>1000mL，无塞、量出式，透明钠钙玻璃制，分度线、数字和标志应完整、清晰和耐久，容积为 20 ℃时充满量筒刻度线所容纳体积</t>
        </is>
      </c>
      <c r="E102" s="131" t="n">
        <v>5</v>
      </c>
      <c r="F102" s="131" t="inlineStr">
        <is>
          <t>个</t>
        </is>
      </c>
      <c r="G102" s="131">
        <f>_xlfn.DISPIMG("ID_671D6717258B4D94A4CDD9C8F7C5D782",1)</f>
        <v/>
      </c>
      <c r="H102" s="131" t="n"/>
      <c r="I102" s="216" t="n"/>
      <c r="J102" s="108" t="n">
        <v>30601000110</v>
      </c>
      <c r="K102" s="164" t="inlineStr">
        <is>
          <t>1000mL，无塞、量出式，透明钠钙玻璃制，分度线、数字和标志应完整、清晰和耐久，容积为 20 ℃时充满量筒刻度线所容纳体积</t>
        </is>
      </c>
      <c r="L102" s="39" t="inlineStr">
        <is>
          <t>乐百仕</t>
        </is>
      </c>
      <c r="M102" s="39" t="inlineStr">
        <is>
          <t>江苏乐百仕教育科技有限公司</t>
        </is>
      </c>
      <c r="N102" s="368" t="n">
        <v>5</v>
      </c>
      <c r="O102" s="368" t="n">
        <v>3.5</v>
      </c>
      <c r="P102" s="345" t="n">
        <v>17.5</v>
      </c>
      <c r="Q102" s="345" t="inlineStr">
        <is>
          <t>个</t>
        </is>
      </c>
      <c r="R102" s="345" t="inlineStr"/>
      <c r="S102" s="345" t="inlineStr"/>
      <c r="T102" s="345" t="inlineStr"/>
      <c r="U102" s="345" t="inlineStr"/>
      <c r="V102" s="345" t="inlineStr"/>
      <c r="W102" s="345" t="inlineStr"/>
      <c r="X102" s="345" t="inlineStr"/>
      <c r="Y102" s="345" t="inlineStr"/>
      <c r="Z102" s="345" t="inlineStr">
        <is>
          <t>confirmed</t>
        </is>
      </c>
      <c r="AA102" s="345" t="n">
        <v>0</v>
      </c>
      <c r="AB102" s="345" t="inlineStr">
        <is>
          <t>没有找到可靠候选</t>
        </is>
      </c>
      <c r="AC102" s="345" t="inlineStr">
        <is>
          <t>赛特尔25年.xls｜初中生物｜第217行</t>
        </is>
      </c>
    </row>
    <row r="103" customFormat="1" s="251">
      <c r="A103" s="323" t="n">
        <v>155</v>
      </c>
      <c r="B103" s="103" t="n">
        <v>30601000303</v>
      </c>
      <c r="C103" s="119" t="inlineStr">
        <is>
          <t>容量瓶</t>
        </is>
      </c>
      <c r="D103" s="130" t="inlineStr">
        <is>
          <t>100mL，B 级，透明硼硅酸盐玻璃制，刻度线应清晰耐久、粗细均匀、位于和瓶底平行的平面、围绕整个瓶颈</t>
        </is>
      </c>
      <c r="E103" s="131" t="n">
        <v>5</v>
      </c>
      <c r="F103" s="131" t="inlineStr">
        <is>
          <t>个</t>
        </is>
      </c>
      <c r="G103" s="131">
        <f>_xlfn.DISPIMG("ID_6EE8EAE8FC834F0F9C26AD20C83336EA",1)</f>
        <v/>
      </c>
      <c r="H103" s="131" t="n"/>
      <c r="I103" s="216" t="n"/>
      <c r="J103" s="108" t="n">
        <v>30601000303</v>
      </c>
      <c r="K103" s="164" t="inlineStr">
        <is>
          <t>100mL，B 级，透明硼硅酸盐玻璃制，刻度线应清晰耐久、粗细均匀、位于和瓶底平行的平面、围绕整个瓶颈</t>
        </is>
      </c>
      <c r="L103" s="39" t="inlineStr">
        <is>
          <t>乐百仕</t>
        </is>
      </c>
      <c r="M103" s="39" t="inlineStr">
        <is>
          <t>江苏乐百仕教育科技有限公司</t>
        </is>
      </c>
      <c r="N103" s="368" t="n">
        <v>5</v>
      </c>
      <c r="O103" s="368" t="n">
        <v>7.5</v>
      </c>
      <c r="P103" s="345" t="n">
        <v>37.5</v>
      </c>
      <c r="Q103" s="345" t="inlineStr">
        <is>
          <t>个</t>
        </is>
      </c>
      <c r="R103" s="345" t="inlineStr"/>
      <c r="S103" s="345" t="inlineStr"/>
      <c r="T103" s="345" t="inlineStr"/>
      <c r="U103" s="345" t="inlineStr"/>
      <c r="V103" s="345" t="inlineStr"/>
      <c r="W103" s="345" t="inlineStr"/>
      <c r="X103" s="345" t="inlineStr"/>
      <c r="Y103" s="345" t="inlineStr"/>
      <c r="Z103" s="345" t="inlineStr">
        <is>
          <t>confirmed</t>
        </is>
      </c>
      <c r="AA103" s="345" t="n">
        <v>0</v>
      </c>
      <c r="AB103" s="345" t="inlineStr">
        <is>
          <t>没有找到可靠候选</t>
        </is>
      </c>
      <c r="AC103" s="345" t="inlineStr">
        <is>
          <t>赛特尔25年.xls｜初中化学｜第84行</t>
        </is>
      </c>
    </row>
    <row r="104" customFormat="1" s="195">
      <c r="A104" s="323" t="n">
        <v>163</v>
      </c>
      <c r="B104" s="31" t="n">
        <v>30602000101</v>
      </c>
      <c r="C104" s="137" t="inlineStr">
        <is>
          <t>试管</t>
        </is>
      </c>
      <c r="D104" s="141" t="inlineStr">
        <is>
          <t>Φ12mm×75mm，透明硼硅酸盐玻璃制</t>
        </is>
      </c>
      <c r="E104" s="31" t="n">
        <v>50</v>
      </c>
      <c r="F104" s="31" t="inlineStr">
        <is>
          <t>个</t>
        </is>
      </c>
      <c r="G104" s="131">
        <f>_xlfn.DISPIMG("ID_A40DBF96A0BF472F9980BADED2C692D7",1)</f>
        <v/>
      </c>
      <c r="H104" s="131" t="n"/>
      <c r="I104" s="220" t="n"/>
      <c r="J104" s="31" t="n">
        <v>30602000101</v>
      </c>
      <c r="K104" s="33" t="inlineStr">
        <is>
          <t>Φ12mm×75mm，透明硼硅酸盐玻璃制</t>
        </is>
      </c>
      <c r="L104" s="39" t="inlineStr">
        <is>
          <t>乐百仕</t>
        </is>
      </c>
      <c r="M104" s="39" t="inlineStr">
        <is>
          <t>江苏乐百仕教育科技有限公司</t>
        </is>
      </c>
      <c r="N104" s="364" t="n">
        <v>50</v>
      </c>
      <c r="O104" s="364" t="n">
        <v>0.5</v>
      </c>
      <c r="P104" s="345" t="n">
        <v>25</v>
      </c>
      <c r="Q104" s="345" t="inlineStr">
        <is>
          <t>个</t>
        </is>
      </c>
      <c r="R104" s="345" t="inlineStr"/>
      <c r="S104" s="345" t="inlineStr"/>
      <c r="T104" s="345" t="inlineStr"/>
      <c r="U104" s="345" t="inlineStr"/>
      <c r="V104" s="345" t="n">
        <v>0.7</v>
      </c>
      <c r="W104" s="345" t="inlineStr"/>
      <c r="X104" s="345" t="n">
        <v>6</v>
      </c>
      <c r="Y104" s="345" t="inlineStr"/>
      <c r="Z104" s="345" t="inlineStr">
        <is>
          <t>confirmed</t>
        </is>
      </c>
      <c r="AA104" s="345" t="n">
        <v>100</v>
      </c>
      <c r="AB104" s="345" t="inlineStr">
        <is>
          <t>价格分歧&gt;30%：历史报价分歧较大，需人工核对；同分多价：最高分候选存在不同历史价格</t>
        </is>
      </c>
      <c r="AC104" s="345" t="inlineStr">
        <is>
          <t>高中理化生报价.xlsx｜凯迪｜第1803行</t>
        </is>
      </c>
    </row>
    <row r="105" customFormat="1" s="195">
      <c r="A105" s="323" t="n">
        <v>164</v>
      </c>
      <c r="B105" s="31" t="n">
        <v>30602000102</v>
      </c>
      <c r="C105" s="137" t="inlineStr">
        <is>
          <t>试管</t>
        </is>
      </c>
      <c r="D105" s="141" t="inlineStr">
        <is>
          <t>Φ15mm×150mm，透明硼硅酸盐玻璃制</t>
        </is>
      </c>
      <c r="E105" s="131" t="n">
        <v>50</v>
      </c>
      <c r="F105" s="31" t="inlineStr">
        <is>
          <t>个</t>
        </is>
      </c>
      <c r="G105" s="131">
        <f>_xlfn.DISPIMG("ID_7A1EFFEAEF6B4C0C91E1FBAAF630FFBD",1)</f>
        <v/>
      </c>
      <c r="H105" s="131" t="n"/>
      <c r="I105" s="220" t="n"/>
      <c r="J105" s="31" t="n">
        <v>30602000102</v>
      </c>
      <c r="K105" s="33" t="inlineStr">
        <is>
          <t>Φ15mm×150mm，透明硼硅酸盐玻璃制</t>
        </is>
      </c>
      <c r="L105" s="39" t="inlineStr">
        <is>
          <t>乐百仕</t>
        </is>
      </c>
      <c r="M105" s="39" t="inlineStr">
        <is>
          <t>江苏乐百仕教育科技有限公司</t>
        </is>
      </c>
      <c r="N105" s="364" t="n">
        <v>50</v>
      </c>
      <c r="O105" s="364" t="n">
        <v>0.5</v>
      </c>
      <c r="P105" s="345" t="n">
        <v>25</v>
      </c>
      <c r="Q105" s="345" t="inlineStr">
        <is>
          <t>个</t>
        </is>
      </c>
      <c r="R105" s="345" t="inlineStr"/>
      <c r="S105" s="345" t="inlineStr"/>
      <c r="T105" s="345" t="inlineStr"/>
      <c r="U105" s="345" t="inlineStr"/>
      <c r="V105" s="345" t="n">
        <v>0.7</v>
      </c>
      <c r="W105" s="345" t="inlineStr"/>
      <c r="X105" s="345" t="n">
        <v>6</v>
      </c>
      <c r="Y105" s="345" t="inlineStr"/>
      <c r="Z105" s="345" t="inlineStr">
        <is>
          <t>confirmed</t>
        </is>
      </c>
      <c r="AA105" s="345" t="n">
        <v>100</v>
      </c>
      <c r="AB105" s="345" t="inlineStr">
        <is>
          <t>价格分歧&gt;30%：历史报价分歧较大，需人工核对；同分多价：最高分候选存在不同历史价格</t>
        </is>
      </c>
      <c r="AC105" s="345" t="inlineStr">
        <is>
          <t>高中理化生报价.xlsx｜凯迪｜第1803行</t>
        </is>
      </c>
    </row>
    <row r="106" customFormat="1" s="195">
      <c r="A106" s="323" t="n">
        <v>165</v>
      </c>
      <c r="B106" s="31" t="n">
        <v>30602001005</v>
      </c>
      <c r="C106" s="137" t="inlineStr">
        <is>
          <t>烧杯</t>
        </is>
      </c>
      <c r="D106" s="138" t="inlineStr">
        <is>
          <t>50mL，低型，透明硼硅酸盐玻璃制，烧杯的满口容量应超过标称容量的 10%或烧杯的满口容量和标称容量的两液面间距不应少于10mm，并应采用容量差值较大的一种</t>
        </is>
      </c>
      <c r="E106" s="31" t="n">
        <v>50</v>
      </c>
      <c r="F106" s="31" t="inlineStr">
        <is>
          <t>个</t>
        </is>
      </c>
      <c r="G106" s="131">
        <f>_xlfn.DISPIMG("ID_FB2B954D580D496F8A86B3C2623359B3",1)</f>
        <v/>
      </c>
      <c r="H106" s="93" t="n"/>
      <c r="I106" s="220" t="n"/>
      <c r="J106" s="31" t="n">
        <v>30602001005</v>
      </c>
      <c r="K106" s="33" t="inlineStr">
        <is>
          <t>50mL，低型，透明硼硅酸盐玻璃制，烧杯的满口容量应超过标称容量的 10%或烧杯的满口容量和标称容量的两液面间距不应少于10mm，并应采用容量差值较大的一种</t>
        </is>
      </c>
      <c r="L106" s="39" t="inlineStr">
        <is>
          <t>乐百仕</t>
        </is>
      </c>
      <c r="M106" s="39" t="inlineStr">
        <is>
          <t>江苏乐百仕教育科技有限公司</t>
        </is>
      </c>
      <c r="N106" s="364" t="n">
        <v>50</v>
      </c>
      <c r="O106" s="364" t="n">
        <v>2</v>
      </c>
      <c r="P106" s="345" t="n">
        <v>100</v>
      </c>
      <c r="Q106" s="345" t="inlineStr">
        <is>
          <t>个</t>
        </is>
      </c>
      <c r="R106" s="345" t="inlineStr"/>
      <c r="S106" s="345" t="inlineStr"/>
      <c r="T106" s="345" t="inlineStr"/>
      <c r="U106" s="345" t="inlineStr"/>
      <c r="V106" s="345" t="n">
        <v>3.3</v>
      </c>
      <c r="W106" s="345" t="inlineStr"/>
      <c r="X106" s="345" t="n">
        <v>5</v>
      </c>
      <c r="Y106" s="345" t="inlineStr"/>
      <c r="Z106" s="345" t="inlineStr">
        <is>
          <t>confirmed</t>
        </is>
      </c>
      <c r="AA106" s="345" t="n">
        <v>100</v>
      </c>
      <c r="AB106" s="345" t="inlineStr">
        <is>
          <t>同分多价：最高分候选存在不同历史价格</t>
        </is>
      </c>
      <c r="AC106" s="345" t="inlineStr">
        <is>
          <t>高中理化生报价.xlsx｜凯迪｜第992行</t>
        </is>
      </c>
    </row>
    <row r="107" customFormat="1" s="195">
      <c r="A107" s="323" t="n">
        <v>166</v>
      </c>
      <c r="B107" s="31" t="n">
        <v>30602001006</v>
      </c>
      <c r="C107" s="137" t="inlineStr">
        <is>
          <t>烧杯</t>
        </is>
      </c>
      <c r="D107" s="138" t="inlineStr">
        <is>
          <t>100mL，低型，透明硼硅酸盐玻璃制，烧杯的满口容量应超过标称容量的 10%或烧杯的满口容量和标称容量的两液面间距不应少于10mm，并应采用容量差值较大的一种</t>
        </is>
      </c>
      <c r="E107" s="31" t="n">
        <v>50</v>
      </c>
      <c r="F107" s="31" t="inlineStr">
        <is>
          <t>个</t>
        </is>
      </c>
      <c r="G107" s="131">
        <f>_xlfn.DISPIMG("ID_409165490FE54EF2A93228FAFDE17018",1)</f>
        <v/>
      </c>
      <c r="H107" s="93" t="n"/>
      <c r="I107" s="220" t="n"/>
      <c r="J107" s="31" t="n">
        <v>30602001006</v>
      </c>
      <c r="K107" s="33" t="inlineStr">
        <is>
          <t>100mL，低型，透明硼硅酸盐玻璃制，烧杯的满口容量应超过标称容量的 10%或烧杯的满口容量和标称容量的两液面间距不应少于10mm，并应采用容量差值较大的一种</t>
        </is>
      </c>
      <c r="L107" s="39" t="inlineStr">
        <is>
          <t>乐百仕</t>
        </is>
      </c>
      <c r="M107" s="39" t="inlineStr">
        <is>
          <t>江苏乐百仕教育科技有限公司</t>
        </is>
      </c>
      <c r="N107" s="364" t="n">
        <v>50</v>
      </c>
      <c r="O107" s="364" t="n">
        <v>2</v>
      </c>
      <c r="P107" s="345" t="n">
        <v>100</v>
      </c>
      <c r="Q107" s="345" t="inlineStr">
        <is>
          <t>个</t>
        </is>
      </c>
      <c r="R107" s="345" t="inlineStr"/>
      <c r="S107" s="345" t="inlineStr"/>
      <c r="T107" s="345" t="inlineStr"/>
      <c r="U107" s="345" t="inlineStr"/>
      <c r="V107" s="345" t="n">
        <v>3.85</v>
      </c>
      <c r="W107" s="345" t="inlineStr"/>
      <c r="X107" s="345" t="n">
        <v>5</v>
      </c>
      <c r="Y107" s="345" t="inlineStr"/>
      <c r="Z107" s="345" t="inlineStr">
        <is>
          <t>confirmed</t>
        </is>
      </c>
      <c r="AA107" s="345" t="n">
        <v>100</v>
      </c>
      <c r="AB107" s="345" t="inlineStr">
        <is>
          <t>同分多价：最高分候选存在不同历史价格</t>
        </is>
      </c>
      <c r="AC107" s="345" t="inlineStr">
        <is>
          <t>高中理化生报价.xlsx｜凯迪｜第992行</t>
        </is>
      </c>
    </row>
    <row r="108" customFormat="1" s="195">
      <c r="A108" s="323" t="n">
        <v>167</v>
      </c>
      <c r="B108" s="31" t="n">
        <v>30602001008</v>
      </c>
      <c r="C108" s="137" t="inlineStr">
        <is>
          <t>烧杯</t>
        </is>
      </c>
      <c r="D108" s="139" t="inlineStr">
        <is>
          <t>250mL，低型，透明硼硅酸盐玻璃制，烧杯的满口容量应超过标称容量的 10%或烧杯的满口容量和标称容量的两液面间距不应少于10mm，并应采用容量差值较大的一种</t>
        </is>
      </c>
      <c r="E108" s="31" t="n">
        <v>50</v>
      </c>
      <c r="F108" s="31" t="inlineStr">
        <is>
          <t>个</t>
        </is>
      </c>
      <c r="G108" s="131">
        <f>_xlfn.DISPIMG("ID_096822924DAB4BB984F8ABE6EAA7EC81",1)</f>
        <v/>
      </c>
      <c r="H108" s="93" t="n"/>
      <c r="I108" s="220" t="n"/>
      <c r="J108" s="31" t="n">
        <v>30602001008</v>
      </c>
      <c r="K108" s="109" t="inlineStr">
        <is>
          <t>250mL，低型，透明硼硅酸盐玻璃制，烧杯的满口容量应超过标称容量的 10%或烧杯的满口容量和标称容量的两液面间距不应少于10mm，并应采用容量差值较大的一种</t>
        </is>
      </c>
      <c r="L108" s="39" t="inlineStr">
        <is>
          <t>乐百仕</t>
        </is>
      </c>
      <c r="M108" s="39" t="inlineStr">
        <is>
          <t>江苏乐百仕教育科技有限公司</t>
        </is>
      </c>
      <c r="N108" s="364" t="n">
        <v>50</v>
      </c>
      <c r="O108" s="364" t="n">
        <v>2</v>
      </c>
      <c r="P108" s="345" t="n">
        <v>100</v>
      </c>
      <c r="Q108" s="345" t="inlineStr">
        <is>
          <t>个</t>
        </is>
      </c>
      <c r="R108" s="345" t="inlineStr"/>
      <c r="S108" s="345" t="inlineStr"/>
      <c r="T108" s="345" t="inlineStr"/>
      <c r="U108" s="345" t="inlineStr"/>
      <c r="V108" s="345" t="n">
        <v>3.5</v>
      </c>
      <c r="W108" s="345" t="inlineStr"/>
      <c r="X108" s="345" t="n">
        <v>5</v>
      </c>
      <c r="Y108" s="345" t="inlineStr"/>
      <c r="Z108" s="345" t="inlineStr">
        <is>
          <t>confirmed</t>
        </is>
      </c>
      <c r="AA108" s="345" t="n">
        <v>100</v>
      </c>
      <c r="AB108" s="345" t="inlineStr">
        <is>
          <t>同分多价：最高分候选存在不同历史价格</t>
        </is>
      </c>
      <c r="AC108" s="345" t="inlineStr">
        <is>
          <t>高中理化生报价.xlsx｜凯迪｜第992行</t>
        </is>
      </c>
    </row>
    <row r="109" customFormat="1" s="195">
      <c r="A109" s="323" t="n">
        <v>168</v>
      </c>
      <c r="B109" s="31" t="n">
        <v>30602001010</v>
      </c>
      <c r="C109" s="137" t="inlineStr">
        <is>
          <t>烧杯</t>
        </is>
      </c>
      <c r="D109" s="139" t="inlineStr">
        <is>
          <t>500mL，低型，透明硼硅酸盐玻璃制，烧杯的满口容量应超过标称容量的 10%或烧杯的满口容量和标称容量的两液面间距不应少于10mm，并应采用容量差值较大的一种</t>
        </is>
      </c>
      <c r="E109" s="31" t="n">
        <v>50</v>
      </c>
      <c r="F109" s="31" t="inlineStr">
        <is>
          <t>个</t>
        </is>
      </c>
      <c r="G109" s="131">
        <f>_xlfn.DISPIMG("ID_DB62A494B1694880A6DF79B791BCE32E",1)</f>
        <v/>
      </c>
      <c r="H109" s="93" t="n"/>
      <c r="I109" s="220" t="n"/>
      <c r="J109" s="31" t="n">
        <v>30602001010</v>
      </c>
      <c r="K109" s="109" t="inlineStr">
        <is>
          <t>500mL，低型，透明硼硅酸盐玻璃制，烧杯的满口容量应超过标称容量的 10%或烧杯的满口容量和标称容量的两液面间距不应少于10mm，并应采用容量差值较大的一种</t>
        </is>
      </c>
      <c r="L109" s="39" t="inlineStr">
        <is>
          <t>乐百仕</t>
        </is>
      </c>
      <c r="M109" s="39" t="inlineStr">
        <is>
          <t>江苏乐百仕教育科技有限公司</t>
        </is>
      </c>
      <c r="N109" s="364" t="n">
        <v>50</v>
      </c>
      <c r="O109" s="364" t="n">
        <v>2</v>
      </c>
      <c r="P109" s="345" t="n">
        <v>100</v>
      </c>
      <c r="Q109" s="345" t="inlineStr">
        <is>
          <t>个</t>
        </is>
      </c>
      <c r="R109" s="345" t="inlineStr"/>
      <c r="S109" s="345" t="inlineStr"/>
      <c r="T109" s="345" t="inlineStr"/>
      <c r="U109" s="345" t="inlineStr"/>
      <c r="V109" s="345" t="n">
        <v>5</v>
      </c>
      <c r="W109" s="345" t="inlineStr"/>
      <c r="X109" s="345" t="n">
        <v>5</v>
      </c>
      <c r="Y109" s="345" t="inlineStr"/>
      <c r="Z109" s="345" t="inlineStr">
        <is>
          <t>confirmed</t>
        </is>
      </c>
      <c r="AA109" s="345" t="n">
        <v>100</v>
      </c>
      <c r="AB109" s="345" t="inlineStr">
        <is>
          <t>同分多价：最高分候选存在不同历史价格</t>
        </is>
      </c>
      <c r="AC109" s="345" t="inlineStr">
        <is>
          <t>高中理化生报价.xlsx｜凯迪｜第992行</t>
        </is>
      </c>
    </row>
    <row r="110" customFormat="1" s="192">
      <c r="A110" s="323" t="n">
        <v>169</v>
      </c>
      <c r="B110" s="131" t="n">
        <v>30602001011</v>
      </c>
      <c r="C110" s="137" t="inlineStr">
        <is>
          <t>烧杯</t>
        </is>
      </c>
      <c r="D110" s="139" t="inlineStr">
        <is>
          <t>1000mL，低型，透明硼硅酸盐玻璃制，烧杯的满口容量应超过标称容量的 10%或烧杯的满口容量和标称容量的两液面间距不应少于10mm，并应采用容量差值较大的一种</t>
        </is>
      </c>
      <c r="E110" s="31" t="n">
        <v>50</v>
      </c>
      <c r="F110" s="31" t="inlineStr">
        <is>
          <t>个</t>
        </is>
      </c>
      <c r="G110" s="131">
        <f>_xlfn.DISPIMG("ID_2B86193B80D646029B5B021A75E8E008",1)</f>
        <v/>
      </c>
      <c r="H110" s="134" t="n"/>
      <c r="I110" s="229" t="n"/>
      <c r="J110" s="131" t="n">
        <v>30602001011</v>
      </c>
      <c r="K110" s="109" t="inlineStr">
        <is>
          <t>1000mL，低型，透明硼硅酸盐玻璃制，烧杯的满口容量应超过标称容量的 10%或烧杯的满口容量和标称容量的两液面间距不应少于10mm，并应采用容量差值较大的一种</t>
        </is>
      </c>
      <c r="L110" s="39" t="inlineStr">
        <is>
          <t>乐百仕</t>
        </is>
      </c>
      <c r="M110" s="39" t="inlineStr">
        <is>
          <t>江苏乐百仕教育科技有限公司</t>
        </is>
      </c>
      <c r="N110" s="362" t="n">
        <v>50</v>
      </c>
      <c r="O110" s="362" t="n">
        <v>2</v>
      </c>
      <c r="P110" s="345" t="n">
        <v>100</v>
      </c>
      <c r="Q110" s="345" t="inlineStr">
        <is>
          <t>个</t>
        </is>
      </c>
      <c r="R110" s="345" t="inlineStr"/>
      <c r="S110" s="345" t="inlineStr"/>
      <c r="T110" s="345" t="inlineStr"/>
      <c r="U110" s="345" t="inlineStr"/>
      <c r="V110" s="345" t="n">
        <v>5</v>
      </c>
      <c r="W110" s="345" t="inlineStr"/>
      <c r="X110" s="345" t="n">
        <v>5</v>
      </c>
      <c r="Y110" s="345" t="inlineStr"/>
      <c r="Z110" s="345" t="inlineStr">
        <is>
          <t>confirmed</t>
        </is>
      </c>
      <c r="AA110" s="345" t="n">
        <v>100</v>
      </c>
      <c r="AB110" s="345" t="inlineStr">
        <is>
          <t>同分多价：最高分候选存在不同历史价格</t>
        </is>
      </c>
      <c r="AC110" s="345" t="inlineStr">
        <is>
          <t>高中理化生报价.xlsx｜凯迪｜第992行</t>
        </is>
      </c>
    </row>
    <row r="111" customFormat="1" s="195">
      <c r="A111" s="323" t="n">
        <v>170</v>
      </c>
      <c r="B111" s="31" t="n">
        <v>30602001203</v>
      </c>
      <c r="C111" s="137" t="inlineStr">
        <is>
          <t>锥形瓶</t>
        </is>
      </c>
      <c r="D111" s="141" t="inlineStr">
        <is>
          <t>50mL，细口，透明硼硅酸盐玻璃制，放在平台上应直立不摇晃、不转动</t>
        </is>
      </c>
      <c r="E111" s="31" t="n">
        <v>50</v>
      </c>
      <c r="F111" s="137" t="inlineStr">
        <is>
          <t>个</t>
        </is>
      </c>
      <c r="G111" s="131">
        <f>_xlfn.DISPIMG("ID_41AB988398CC4EE991A01BE1EC878EDB",1)</f>
        <v/>
      </c>
      <c r="H111" s="131" t="n"/>
      <c r="I111" s="220" t="n"/>
      <c r="J111" s="31" t="n">
        <v>30602001203</v>
      </c>
      <c r="K111" s="33" t="inlineStr">
        <is>
          <t>50mL，细口，透明硼硅酸盐玻璃制，放在平台上应直立不摇晃、不转动</t>
        </is>
      </c>
      <c r="L111" s="39" t="inlineStr">
        <is>
          <t>乐百仕</t>
        </is>
      </c>
      <c r="M111" s="39" t="inlineStr">
        <is>
          <t>江苏乐百仕教育科技有限公司</t>
        </is>
      </c>
      <c r="N111" s="364" t="n">
        <v>50</v>
      </c>
      <c r="O111" s="364" t="n">
        <v>6</v>
      </c>
      <c r="P111" s="345" t="n">
        <v>300</v>
      </c>
      <c r="Q111" s="345" t="inlineStr">
        <is>
          <t>个</t>
        </is>
      </c>
      <c r="R111" s="345" t="inlineStr"/>
      <c r="S111" s="345" t="inlineStr"/>
      <c r="T111" s="345" t="inlineStr"/>
      <c r="U111" s="345" t="inlineStr"/>
      <c r="V111" s="345" t="inlineStr"/>
      <c r="W111" s="345" t="inlineStr"/>
      <c r="X111" s="345" t="inlineStr"/>
      <c r="Y111" s="345" t="inlineStr"/>
      <c r="Z111" s="345" t="inlineStr">
        <is>
          <t>confirmed</t>
        </is>
      </c>
      <c r="AA111" s="345" t="n">
        <v>0</v>
      </c>
      <c r="AB111" s="345" t="inlineStr">
        <is>
          <t>匹配到商品档案但无历史价格记录</t>
        </is>
      </c>
      <c r="AC111" s="345" t="inlineStr">
        <is>
          <t>赛特尔25年.xls｜初中生物｜第222行</t>
        </is>
      </c>
    </row>
    <row r="112" customFormat="1" s="195">
      <c r="A112" s="323" t="n">
        <v>171</v>
      </c>
      <c r="B112" s="31" t="n">
        <v>30602001204</v>
      </c>
      <c r="C112" s="137" t="inlineStr">
        <is>
          <t>锥形瓶</t>
        </is>
      </c>
      <c r="D112" s="141" t="inlineStr">
        <is>
          <t>100mL，细口，透明硼硅酸盐玻璃制，放在平台上应直立不摇晃、不转动</t>
        </is>
      </c>
      <c r="E112" s="31" t="n">
        <v>50</v>
      </c>
      <c r="F112" s="31" t="inlineStr">
        <is>
          <t>个</t>
        </is>
      </c>
      <c r="G112" s="131">
        <f>_xlfn.DISPIMG("ID_FE184E02E4B34134A1726C08462AB91D",1)</f>
        <v/>
      </c>
      <c r="H112" s="93" t="n"/>
      <c r="I112" s="220" t="n"/>
      <c r="J112" s="31" t="n">
        <v>30602001204</v>
      </c>
      <c r="K112" s="33" t="inlineStr">
        <is>
          <t>100mL，细口，透明硼硅酸盐玻璃制，放在平台上应直立不摇晃、不转动</t>
        </is>
      </c>
      <c r="L112" s="39" t="inlineStr">
        <is>
          <t>乐百仕</t>
        </is>
      </c>
      <c r="M112" s="39" t="inlineStr">
        <is>
          <t>江苏乐百仕教育科技有限公司</t>
        </is>
      </c>
      <c r="N112" s="364" t="n">
        <v>50</v>
      </c>
      <c r="O112" s="364" t="n">
        <v>6</v>
      </c>
      <c r="P112" s="345" t="n">
        <v>300</v>
      </c>
      <c r="Q112" s="345" t="inlineStr">
        <is>
          <t>个</t>
        </is>
      </c>
      <c r="R112" s="345" t="inlineStr"/>
      <c r="S112" s="345" t="inlineStr"/>
      <c r="T112" s="345" t="inlineStr"/>
      <c r="U112" s="345" t="inlineStr"/>
      <c r="V112" s="345" t="n">
        <v>6</v>
      </c>
      <c r="W112" s="345" t="inlineStr"/>
      <c r="X112" s="345" t="n">
        <v>7</v>
      </c>
      <c r="Y112" s="345" t="inlineStr"/>
      <c r="Z112" s="345" t="inlineStr">
        <is>
          <t>confirmed</t>
        </is>
      </c>
      <c r="AA112" s="345" t="n">
        <v>100</v>
      </c>
      <c r="AB112" s="345" t="inlineStr"/>
      <c r="AC112" s="345" t="inlineStr">
        <is>
          <t>赛特尔25年.xls｜初中生物｜第222行</t>
        </is>
      </c>
    </row>
    <row r="113" customFormat="1" s="195">
      <c r="A113" s="323" t="n">
        <v>172</v>
      </c>
      <c r="B113" s="31" t="n">
        <v>30602001205</v>
      </c>
      <c r="C113" s="137" t="inlineStr">
        <is>
          <t>锥形瓶</t>
        </is>
      </c>
      <c r="D113" s="141" t="inlineStr">
        <is>
          <t>250mL，细口，透明硼硅酸盐玻璃制，放在平台上应直立不摇晃、不转动</t>
        </is>
      </c>
      <c r="E113" s="31" t="n">
        <v>50</v>
      </c>
      <c r="F113" s="31" t="inlineStr">
        <is>
          <t>个</t>
        </is>
      </c>
      <c r="G113" s="131">
        <f>_xlfn.DISPIMG("ID_9573749B2CF34CC187ED947E193E8E3B",1)</f>
        <v/>
      </c>
      <c r="H113" s="93" t="n"/>
      <c r="I113" s="220" t="n"/>
      <c r="J113" s="31" t="n">
        <v>30602001205</v>
      </c>
      <c r="K113" s="33" t="inlineStr">
        <is>
          <t>250mL，细口，透明硼硅酸盐玻璃制，放在平台上应直立不摇晃、不转动</t>
        </is>
      </c>
      <c r="L113" s="39" t="inlineStr">
        <is>
          <t>乐百仕</t>
        </is>
      </c>
      <c r="M113" s="39" t="inlineStr">
        <is>
          <t>江苏乐百仕教育科技有限公司</t>
        </is>
      </c>
      <c r="N113" s="364" t="n">
        <v>50</v>
      </c>
      <c r="O113" s="364" t="n">
        <v>8</v>
      </c>
      <c r="P113" s="345" t="n">
        <v>400</v>
      </c>
      <c r="Q113" s="345" t="inlineStr">
        <is>
          <t>个</t>
        </is>
      </c>
      <c r="R113" s="345" t="inlineStr"/>
      <c r="S113" s="345" t="inlineStr"/>
      <c r="T113" s="345" t="inlineStr"/>
      <c r="U113" s="345" t="inlineStr"/>
      <c r="V113" s="345" t="n">
        <v>8</v>
      </c>
      <c r="W113" s="345" t="inlineStr"/>
      <c r="X113" s="345" t="n">
        <v>8.800000000000001</v>
      </c>
      <c r="Y113" s="345" t="inlineStr"/>
      <c r="Z113" s="345" t="inlineStr">
        <is>
          <t>confirmed</t>
        </is>
      </c>
      <c r="AA113" s="345" t="n">
        <v>100</v>
      </c>
      <c r="AB113" s="345" t="inlineStr"/>
      <c r="AC113" s="345" t="inlineStr">
        <is>
          <t>赛特尔25年.xls｜初中生物｜第223行</t>
        </is>
      </c>
    </row>
    <row r="114" customFormat="1" s="195">
      <c r="A114" s="323" t="n">
        <v>173</v>
      </c>
      <c r="B114" s="31" t="n">
        <v>30602001206</v>
      </c>
      <c r="C114" s="137" t="inlineStr">
        <is>
          <t>锥形瓶</t>
        </is>
      </c>
      <c r="D114" s="141" t="inlineStr">
        <is>
          <t>500mL，细口，透明硼硅酸盐玻璃制，放在平台上应直立不摇晃、不转动</t>
        </is>
      </c>
      <c r="E114" s="31" t="n">
        <v>50</v>
      </c>
      <c r="F114" s="137" t="inlineStr">
        <is>
          <t>个</t>
        </is>
      </c>
      <c r="G114" s="131">
        <f>_xlfn.DISPIMG("ID_AF129A54D5C44A9DAB2F0CFA9C22031F",1)</f>
        <v/>
      </c>
      <c r="H114" s="131" t="n"/>
      <c r="I114" s="220" t="n"/>
      <c r="J114" s="31" t="n">
        <v>30602001206</v>
      </c>
      <c r="K114" s="33" t="inlineStr">
        <is>
          <t>500mL，细口，透明硼硅酸盐玻璃制，放在平台上应直立不摇晃、不转动</t>
        </is>
      </c>
      <c r="L114" s="39" t="inlineStr">
        <is>
          <t>乐百仕</t>
        </is>
      </c>
      <c r="M114" s="39" t="inlineStr">
        <is>
          <t>江苏乐百仕教育科技有限公司</t>
        </is>
      </c>
      <c r="N114" s="364" t="n">
        <v>50</v>
      </c>
      <c r="O114" s="364" t="n">
        <v>6</v>
      </c>
      <c r="P114" s="345" t="n">
        <v>300</v>
      </c>
      <c r="Q114" s="345" t="inlineStr">
        <is>
          <t>个</t>
        </is>
      </c>
      <c r="R114" s="345" t="inlineStr"/>
      <c r="S114" s="345" t="inlineStr"/>
      <c r="T114" s="345" t="inlineStr"/>
      <c r="U114" s="345" t="inlineStr"/>
      <c r="V114" s="345" t="inlineStr"/>
      <c r="W114" s="345" t="inlineStr"/>
      <c r="X114" s="345" t="inlineStr"/>
      <c r="Y114" s="345" t="inlineStr"/>
      <c r="Z114" s="345" t="inlineStr">
        <is>
          <t>confirmed</t>
        </is>
      </c>
      <c r="AA114" s="345" t="n">
        <v>0</v>
      </c>
      <c r="AB114" s="345" t="inlineStr">
        <is>
          <t>匹配到商品档案但无历史价格记录</t>
        </is>
      </c>
      <c r="AC114" s="345" t="inlineStr">
        <is>
          <t>赛特尔25年.xls｜初中生物｜第222行</t>
        </is>
      </c>
    </row>
    <row r="115" customFormat="1" s="192">
      <c r="A115" s="323" t="n">
        <v>174</v>
      </c>
      <c r="B115" s="103" t="n">
        <v>30602001305</v>
      </c>
      <c r="C115" s="140" t="inlineStr">
        <is>
          <t>蒸馏烧瓶</t>
        </is>
      </c>
      <c r="D115" s="141" t="inlineStr">
        <is>
          <t>250ml，透明硼硅酸盐玻璃制，烧瓶的颈部同一截面应该呈圆形，颈的口部不应呈锥形，并适当提高强度</t>
        </is>
      </c>
      <c r="E115" s="131" t="n">
        <v>13</v>
      </c>
      <c r="F115" s="131" t="inlineStr">
        <is>
          <t>个</t>
        </is>
      </c>
      <c r="G115" s="131">
        <f>_xlfn.DISPIMG("ID_4FAD965C764A432C87BCB51D346C2011",1)</f>
        <v/>
      </c>
      <c r="H115" s="134" t="n"/>
      <c r="I115" s="229" t="n"/>
      <c r="J115" s="108" t="n">
        <v>30602001305</v>
      </c>
      <c r="K115" s="33" t="inlineStr">
        <is>
          <t>250ml，透明硼硅酸盐玻璃制，烧瓶的颈部同一截面应该呈圆形，颈的口部不应呈锥形，并适当提高强度</t>
        </is>
      </c>
      <c r="L115" s="39" t="inlineStr">
        <is>
          <t>乐百仕</t>
        </is>
      </c>
      <c r="M115" s="39" t="inlineStr">
        <is>
          <t>江苏乐百仕教育科技有限公司</t>
        </is>
      </c>
      <c r="N115" s="362" t="n">
        <v>13</v>
      </c>
      <c r="O115" s="362" t="n">
        <v>9</v>
      </c>
      <c r="P115" s="345" t="n">
        <v>117</v>
      </c>
      <c r="Q115" s="345" t="inlineStr">
        <is>
          <t>个</t>
        </is>
      </c>
      <c r="R115" s="345" t="inlineStr"/>
      <c r="S115" s="345" t="inlineStr"/>
      <c r="T115" s="345" t="inlineStr"/>
      <c r="U115" s="345" t="inlineStr"/>
      <c r="V115" s="345" t="n">
        <v>9</v>
      </c>
      <c r="W115" s="345" t="inlineStr"/>
      <c r="X115" s="345" t="n">
        <v>15</v>
      </c>
      <c r="Y115" s="345" t="inlineStr"/>
      <c r="Z115" s="345" t="inlineStr">
        <is>
          <t>confirmed</t>
        </is>
      </c>
      <c r="AA115" s="345" t="n">
        <v>100</v>
      </c>
      <c r="AB115" s="345" t="inlineStr">
        <is>
          <t>价格分歧&gt;30%：历史报价分歧较大，需人工核对</t>
        </is>
      </c>
      <c r="AC115" s="345" t="inlineStr">
        <is>
          <t>赛特尔25年.xls｜初中化学｜第106行</t>
        </is>
      </c>
    </row>
    <row r="116" customFormat="1" s="195">
      <c r="A116" s="323" t="n">
        <v>175</v>
      </c>
      <c r="B116" s="26" t="n">
        <v>30604000503</v>
      </c>
      <c r="C116" s="30" t="inlineStr">
        <is>
          <t>广口瓶</t>
        </is>
      </c>
      <c r="D116" s="141" t="inlineStr">
        <is>
          <t>125mL，透明钠钙玻璃制，瓶塞与瓶口紧实，不晃动；口部应圆整光滑，底部应平整，放置平台上不应摇晃或转动</t>
        </is>
      </c>
      <c r="E116" s="31" t="n">
        <v>50</v>
      </c>
      <c r="F116" s="26" t="inlineStr">
        <is>
          <t>个</t>
        </is>
      </c>
      <c r="G116" s="31">
        <f>_xlfn.DISPIMG("ID_25F107F0E4EB49CDBC5AFF864C00E7AA",1)</f>
        <v/>
      </c>
      <c r="H116" s="93" t="n"/>
      <c r="I116" s="220" t="n"/>
      <c r="J116" s="26" t="n">
        <v>30604000503</v>
      </c>
      <c r="K116" s="33" t="inlineStr">
        <is>
          <t>125mL，透明钠钙玻璃制，瓶塞与瓶口紧实，不晃动；口部应圆整光滑，底部应平整，放置平台上不应摇晃或转动</t>
        </is>
      </c>
      <c r="L116" s="39" t="inlineStr">
        <is>
          <t>乐百仕</t>
        </is>
      </c>
      <c r="M116" s="39" t="inlineStr">
        <is>
          <t>江苏乐百仕教育科技有限公司</t>
        </is>
      </c>
      <c r="N116" s="364" t="n">
        <v>50</v>
      </c>
      <c r="O116" s="364" t="n">
        <v>3.5</v>
      </c>
      <c r="P116" s="345" t="n">
        <v>175</v>
      </c>
      <c r="Q116" s="345" t="inlineStr">
        <is>
          <t>个</t>
        </is>
      </c>
      <c r="R116" s="345" t="inlineStr"/>
      <c r="S116" s="345" t="inlineStr"/>
      <c r="T116" s="345" t="inlineStr"/>
      <c r="U116" s="345" t="inlineStr"/>
      <c r="V116" s="345" t="n">
        <v>3.5</v>
      </c>
      <c r="W116" s="345" t="inlineStr"/>
      <c r="X116" s="345" t="n">
        <v>4</v>
      </c>
      <c r="Y116" s="345" t="inlineStr"/>
      <c r="Z116" s="345" t="inlineStr">
        <is>
          <t>confirmed</t>
        </is>
      </c>
      <c r="AA116" s="345" t="n">
        <v>100</v>
      </c>
      <c r="AB116" s="345" t="inlineStr"/>
      <c r="AC116" s="345" t="inlineStr">
        <is>
          <t>赛特尔25年.xls｜初中生物｜第233行</t>
        </is>
      </c>
    </row>
    <row r="117" customFormat="1" s="195">
      <c r="A117" s="323" t="n">
        <v>176</v>
      </c>
      <c r="B117" s="26" t="n">
        <v>30604000504</v>
      </c>
      <c r="C117" s="30" t="inlineStr">
        <is>
          <t>广口瓶</t>
        </is>
      </c>
      <c r="D117" s="141" t="inlineStr">
        <is>
          <t>250mL，透明钠钙玻璃制，瓶塞与瓶口紧实，不晃动；口部应圆整光滑，底部应平整，放置平台上不应摇晃或转动</t>
        </is>
      </c>
      <c r="E117" s="31" t="n">
        <v>50</v>
      </c>
      <c r="F117" s="26" t="inlineStr">
        <is>
          <t>个</t>
        </is>
      </c>
      <c r="G117" s="31">
        <f>_xlfn.DISPIMG("ID_27215D4085A6477B8D80FDAC68437428",1)</f>
        <v/>
      </c>
      <c r="H117" s="93" t="n"/>
      <c r="I117" s="220" t="n"/>
      <c r="J117" s="26" t="n">
        <v>30604000504</v>
      </c>
      <c r="K117" s="33" t="inlineStr">
        <is>
          <t>250mL，透明钠钙玻璃制，瓶塞与瓶口紧实，不晃动；口部应圆整光滑，底部应平整，放置平台上不应摇晃或转动</t>
        </is>
      </c>
      <c r="L117" s="39" t="inlineStr">
        <is>
          <t>乐百仕</t>
        </is>
      </c>
      <c r="M117" s="39" t="inlineStr">
        <is>
          <t>江苏乐百仕教育科技有限公司</t>
        </is>
      </c>
      <c r="N117" s="364" t="n">
        <v>50</v>
      </c>
      <c r="O117" s="364" t="n">
        <v>4.5</v>
      </c>
      <c r="P117" s="345" t="n">
        <v>225</v>
      </c>
      <c r="Q117" s="345" t="inlineStr">
        <is>
          <t>个</t>
        </is>
      </c>
      <c r="R117" s="345" t="inlineStr"/>
      <c r="S117" s="345" t="inlineStr"/>
      <c r="T117" s="345" t="inlineStr"/>
      <c r="U117" s="345" t="inlineStr"/>
      <c r="V117" s="345" t="n">
        <v>4.5</v>
      </c>
      <c r="W117" s="345" t="inlineStr"/>
      <c r="X117" s="345" t="n">
        <v>5</v>
      </c>
      <c r="Y117" s="345" t="inlineStr"/>
      <c r="Z117" s="345" t="inlineStr">
        <is>
          <t>confirmed</t>
        </is>
      </c>
      <c r="AA117" s="345" t="n">
        <v>100</v>
      </c>
      <c r="AB117" s="345" t="inlineStr"/>
      <c r="AC117" s="345" t="inlineStr">
        <is>
          <t>赛特尔25年.xls｜初中化学｜第136行</t>
        </is>
      </c>
    </row>
    <row r="118" customFormat="1" s="195">
      <c r="A118" s="323" t="n">
        <v>177</v>
      </c>
      <c r="B118" s="26" t="n">
        <v>30604000505</v>
      </c>
      <c r="C118" s="30" t="inlineStr">
        <is>
          <t>广口瓶</t>
        </is>
      </c>
      <c r="D118" s="141" t="inlineStr">
        <is>
          <t>500mL，透明钠钙玻璃制，瓶塞与瓶口紧实，不晃动；口部应圆整光滑，底部应平整，放置平台上不应摇晃或转动</t>
        </is>
      </c>
      <c r="E118" s="31" t="n">
        <v>50</v>
      </c>
      <c r="F118" s="26" t="inlineStr">
        <is>
          <t>个</t>
        </is>
      </c>
      <c r="G118" s="31">
        <f>_xlfn.DISPIMG("ID_B447D36F58E641C18A878650A37D7A13",1)</f>
        <v/>
      </c>
      <c r="H118" s="93" t="n"/>
      <c r="I118" s="220" t="n"/>
      <c r="J118" s="26" t="n">
        <v>30604000505</v>
      </c>
      <c r="K118" s="33" t="inlineStr">
        <is>
          <t>500mL，透明钠钙玻璃制，瓶塞与瓶口紧实，不晃动；口部应圆整光滑，底部应平整，放置平台上不应摇晃或转动</t>
        </is>
      </c>
      <c r="L118" s="39" t="inlineStr">
        <is>
          <t>乐百仕</t>
        </is>
      </c>
      <c r="M118" s="39" t="inlineStr">
        <is>
          <t>江苏乐百仕教育科技有限公司</t>
        </is>
      </c>
      <c r="N118" s="364" t="n">
        <v>50</v>
      </c>
      <c r="O118" s="364" t="n">
        <v>3.5</v>
      </c>
      <c r="P118" s="345" t="n">
        <v>175</v>
      </c>
      <c r="Q118" s="345" t="inlineStr">
        <is>
          <t>个</t>
        </is>
      </c>
      <c r="R118" s="345" t="inlineStr"/>
      <c r="S118" s="345" t="inlineStr"/>
      <c r="T118" s="345" t="inlineStr"/>
      <c r="U118" s="345" t="inlineStr"/>
      <c r="V118" s="345" t="n">
        <v>4.5</v>
      </c>
      <c r="W118" s="345" t="inlineStr"/>
      <c r="X118" s="345" t="n">
        <v>6</v>
      </c>
      <c r="Y118" s="345" t="inlineStr"/>
      <c r="Z118" s="345" t="inlineStr">
        <is>
          <t>confirmed</t>
        </is>
      </c>
      <c r="AA118" s="345" t="n">
        <v>100</v>
      </c>
      <c r="AB118" s="345" t="inlineStr">
        <is>
          <t>价格分歧&gt;30%：历史报价分歧较大，需人工核对；同分多价：最高分候选存在不同历史价格</t>
        </is>
      </c>
      <c r="AC118" s="345" t="inlineStr">
        <is>
          <t>赛特尔25年.xls｜初中新课标生物｜第104行</t>
        </is>
      </c>
    </row>
    <row r="119" customFormat="1" s="195">
      <c r="A119" s="323" t="n">
        <v>178</v>
      </c>
      <c r="B119" s="26" t="n">
        <v>30604000603</v>
      </c>
      <c r="C119" s="30" t="inlineStr">
        <is>
          <t>细口瓶</t>
        </is>
      </c>
      <c r="D119" s="141" t="inlineStr">
        <is>
          <t>125mL，透明钠钙玻璃制，瓶塞与瓶口紧实，不晃动；口部应圆整光滑，底部应平整，放置平台上不应摇晃或转动</t>
        </is>
      </c>
      <c r="E119" s="31" t="n">
        <v>50</v>
      </c>
      <c r="F119" s="26" t="inlineStr">
        <is>
          <t>个</t>
        </is>
      </c>
      <c r="G119" s="31">
        <f>_xlfn.DISPIMG("ID_0D89EF2DAD7C4968AECAF79F3A130583",1)</f>
        <v/>
      </c>
      <c r="H119" s="93" t="n"/>
      <c r="I119" s="220" t="n"/>
      <c r="J119" s="26" t="n">
        <v>30604000603</v>
      </c>
      <c r="K119" s="33" t="inlineStr">
        <is>
          <t>125mL，透明钠钙玻璃制，瓶塞与瓶口紧实，不晃动；口部应圆整光滑，底部应平整，放置平台上不应摇晃或转动</t>
        </is>
      </c>
      <c r="L119" s="39" t="inlineStr">
        <is>
          <t>乐百仕</t>
        </is>
      </c>
      <c r="M119" s="39" t="inlineStr">
        <is>
          <t>江苏乐百仕教育科技有限公司</t>
        </is>
      </c>
      <c r="N119" s="364" t="n">
        <v>50</v>
      </c>
      <c r="O119" s="364" t="n">
        <v>3.5</v>
      </c>
      <c r="P119" s="345" t="n">
        <v>175</v>
      </c>
      <c r="Q119" s="345" t="inlineStr">
        <is>
          <t>个</t>
        </is>
      </c>
      <c r="R119" s="345" t="inlineStr"/>
      <c r="S119" s="345" t="inlineStr"/>
      <c r="T119" s="345" t="inlineStr"/>
      <c r="U119" s="345" t="inlineStr"/>
      <c r="V119" s="345" t="n">
        <v>4.5</v>
      </c>
      <c r="W119" s="345" t="inlineStr"/>
      <c r="X119" s="345" t="n">
        <v>4.5</v>
      </c>
      <c r="Y119" s="345" t="inlineStr"/>
      <c r="Z119" s="345" t="inlineStr">
        <is>
          <t>confirmed</t>
        </is>
      </c>
      <c r="AA119" s="345" t="n">
        <v>100</v>
      </c>
      <c r="AB119" s="345" t="inlineStr">
        <is>
          <t>价格分歧&gt;30%：历史报价分歧较大，需人工核对；同分多价：最高分候选存在不同历史价格</t>
        </is>
      </c>
      <c r="AC119" s="345" t="inlineStr">
        <is>
          <t>赛特尔25年.xls｜初中化学｜第142行</t>
        </is>
      </c>
    </row>
    <row r="120" customFormat="1" s="195">
      <c r="A120" s="323" t="n">
        <v>179</v>
      </c>
      <c r="B120" s="26" t="n">
        <v>30604000604</v>
      </c>
      <c r="C120" s="30" t="inlineStr">
        <is>
          <t>细口瓶</t>
        </is>
      </c>
      <c r="D120" s="141" t="inlineStr">
        <is>
          <t>250mL，透明钠钙玻璃制，瓶塞与瓶口紧实，不晃动；口部应圆整光滑，底部应平整，放置平台上不应摇晃或转动</t>
        </is>
      </c>
      <c r="E120" s="31" t="n">
        <v>50</v>
      </c>
      <c r="F120" s="26" t="inlineStr">
        <is>
          <t>个</t>
        </is>
      </c>
      <c r="G120" s="31">
        <f>_xlfn.DISPIMG("ID_7518AEE05D4E4617A2574B18F865FE40",1)</f>
        <v/>
      </c>
      <c r="H120" s="93" t="n"/>
      <c r="I120" s="220" t="n"/>
      <c r="J120" s="26" t="n">
        <v>30604000604</v>
      </c>
      <c r="K120" s="33" t="inlineStr">
        <is>
          <t>250mL，透明钠钙玻璃制，瓶塞与瓶口紧实，不晃动；口部应圆整光滑，底部应平整，放置平台上不应摇晃或转动</t>
        </is>
      </c>
      <c r="L120" s="39" t="inlineStr">
        <is>
          <t>乐百仕</t>
        </is>
      </c>
      <c r="M120" s="39" t="inlineStr">
        <is>
          <t>江苏乐百仕教育科技有限公司</t>
        </is>
      </c>
      <c r="N120" s="364" t="n">
        <v>50</v>
      </c>
      <c r="O120" s="364" t="n">
        <v>4.5</v>
      </c>
      <c r="P120" s="345" t="n">
        <v>225</v>
      </c>
      <c r="Q120" s="345" t="inlineStr">
        <is>
          <t>个</t>
        </is>
      </c>
      <c r="R120" s="345" t="inlineStr"/>
      <c r="S120" s="345" t="inlineStr"/>
      <c r="T120" s="345" t="inlineStr"/>
      <c r="U120" s="345" t="inlineStr"/>
      <c r="V120" s="345" t="n">
        <v>4.5</v>
      </c>
      <c r="W120" s="345" t="inlineStr"/>
      <c r="X120" s="345" t="n">
        <v>5</v>
      </c>
      <c r="Y120" s="345" t="inlineStr"/>
      <c r="Z120" s="345" t="inlineStr">
        <is>
          <t>confirmed</t>
        </is>
      </c>
      <c r="AA120" s="345" t="n">
        <v>100</v>
      </c>
      <c r="AB120" s="345" t="inlineStr"/>
      <c r="AC120" s="345" t="inlineStr">
        <is>
          <t>赛特尔25年.xls｜初中生物｜第235行</t>
        </is>
      </c>
    </row>
    <row r="121" customFormat="1" s="195">
      <c r="A121" s="323" t="n">
        <v>180</v>
      </c>
      <c r="B121" s="26" t="n">
        <v>30604000605</v>
      </c>
      <c r="C121" s="30" t="inlineStr">
        <is>
          <t>细口瓶</t>
        </is>
      </c>
      <c r="D121" s="141" t="inlineStr">
        <is>
          <t>500mL，透明钠钙玻璃制，瓶塞与瓶口紧实，不晃动；口部应圆整光滑，底部应平整，放置平台上不应摇晃或转动</t>
        </is>
      </c>
      <c r="E121" s="31" t="n">
        <v>50</v>
      </c>
      <c r="F121" s="26" t="inlineStr">
        <is>
          <t>个</t>
        </is>
      </c>
      <c r="G121" s="31">
        <f>_xlfn.DISPIMG("ID_4B4CCAA06F4741E48FB4A72FCD47CF88",1)</f>
        <v/>
      </c>
      <c r="H121" s="93" t="n"/>
      <c r="I121" s="220" t="n"/>
      <c r="J121" s="26" t="n">
        <v>30604000605</v>
      </c>
      <c r="K121" s="33" t="inlineStr">
        <is>
          <t>500mL，透明钠钙玻璃制，瓶塞与瓶口紧实，不晃动；口部应圆整光滑，底部应平整，放置平台上不应摇晃或转动</t>
        </is>
      </c>
      <c r="L121" s="39" t="inlineStr">
        <is>
          <t>乐百仕</t>
        </is>
      </c>
      <c r="M121" s="39" t="inlineStr">
        <is>
          <t>江苏乐百仕教育科技有限公司</t>
        </is>
      </c>
      <c r="N121" s="364" t="n">
        <v>50</v>
      </c>
      <c r="O121" s="364" t="n">
        <v>4.5</v>
      </c>
      <c r="P121" s="345" t="n">
        <v>225</v>
      </c>
      <c r="Q121" s="345" t="inlineStr">
        <is>
          <t>个</t>
        </is>
      </c>
      <c r="R121" s="345" t="inlineStr"/>
      <c r="S121" s="345" t="inlineStr"/>
      <c r="T121" s="345" t="inlineStr"/>
      <c r="U121" s="345" t="inlineStr"/>
      <c r="V121" s="345" t="n">
        <v>6</v>
      </c>
      <c r="W121" s="345" t="inlineStr"/>
      <c r="X121" s="345" t="n">
        <v>17.5</v>
      </c>
      <c r="Y121" s="345" t="inlineStr"/>
      <c r="Z121" s="345" t="inlineStr">
        <is>
          <t>confirmed</t>
        </is>
      </c>
      <c r="AA121" s="345" t="n">
        <v>100</v>
      </c>
      <c r="AB121" s="345" t="inlineStr">
        <is>
          <t>价格分歧&gt;30%：历史报价分歧较大，需人工核对；同分多价：最高分候选存在不同历史价格</t>
        </is>
      </c>
      <c r="AC121" s="345" t="inlineStr">
        <is>
          <t>赛特尔25年.xls｜初中新课标生物｜第106行</t>
        </is>
      </c>
    </row>
    <row r="122" customFormat="1" s="195">
      <c r="A122" s="323" t="n">
        <v>181</v>
      </c>
      <c r="B122" s="26" t="n">
        <v>30604000606</v>
      </c>
      <c r="C122" s="30" t="inlineStr">
        <is>
          <t>细口瓶</t>
        </is>
      </c>
      <c r="D122" s="141" t="inlineStr">
        <is>
          <t>1000mL，透明钠钙玻璃制，瓶塞与瓶口紧实，不晃动；口部应圆整光滑，底部应平整，放置平台上不应摇晃或转动</t>
        </is>
      </c>
      <c r="E122" s="31" t="n">
        <v>50</v>
      </c>
      <c r="F122" s="26" t="inlineStr">
        <is>
          <t>个</t>
        </is>
      </c>
      <c r="G122" s="31">
        <f>_xlfn.DISPIMG("ID_80BADC05430C4A769F0F2212D150A61A",1)</f>
        <v/>
      </c>
      <c r="H122" s="93" t="n"/>
      <c r="I122" s="220" t="n"/>
      <c r="J122" s="26" t="n">
        <v>30604000606</v>
      </c>
      <c r="K122" s="33" t="inlineStr">
        <is>
          <t>1000mL，透明钠钙玻璃制，瓶塞与瓶口紧实，不晃动；口部应圆整光滑，底部应平整，放置平台上不应摇晃或转动</t>
        </is>
      </c>
      <c r="L122" s="39" t="inlineStr">
        <is>
          <t>乐百仕</t>
        </is>
      </c>
      <c r="M122" s="39" t="inlineStr">
        <is>
          <t>江苏乐百仕教育科技有限公司</t>
        </is>
      </c>
      <c r="N122" s="364" t="n">
        <v>50</v>
      </c>
      <c r="O122" s="364" t="n">
        <v>10</v>
      </c>
      <c r="P122" s="345" t="n">
        <v>500</v>
      </c>
      <c r="Q122" s="345" t="inlineStr">
        <is>
          <t>个</t>
        </is>
      </c>
      <c r="R122" s="345" t="inlineStr"/>
      <c r="S122" s="345" t="inlineStr"/>
      <c r="T122" s="345" t="inlineStr"/>
      <c r="U122" s="345" t="inlineStr"/>
      <c r="V122" s="345" t="n">
        <v>10</v>
      </c>
      <c r="W122" s="345" t="inlineStr"/>
      <c r="X122" s="345" t="n">
        <v>11</v>
      </c>
      <c r="Y122" s="345" t="inlineStr"/>
      <c r="Z122" s="345" t="inlineStr">
        <is>
          <t>confirmed</t>
        </is>
      </c>
      <c r="AA122" s="345" t="n">
        <v>100</v>
      </c>
      <c r="AB122" s="345" t="inlineStr"/>
      <c r="AC122" s="345" t="inlineStr">
        <is>
          <t>赛特尔25年.xls｜初中化学｜第145行</t>
        </is>
      </c>
    </row>
    <row r="123" customFormat="1" s="195">
      <c r="A123" s="323" t="n">
        <v>182</v>
      </c>
      <c r="B123" s="26" t="n">
        <v>30604001101</v>
      </c>
      <c r="C123" s="30" t="inlineStr">
        <is>
          <t>滴瓶</t>
        </is>
      </c>
      <c r="D123" s="141" t="inlineStr">
        <is>
          <t>30mL，透明钠钙玻璃制，瓶口细磨，磨砂面应均匀细腻，滴管应附橡胶帽，吸放弹性好，开口直径 6 mm，与滴管口套合牢固稳定</t>
        </is>
      </c>
      <c r="E123" s="31" t="n">
        <v>50</v>
      </c>
      <c r="F123" s="26" t="inlineStr">
        <is>
          <t>个</t>
        </is>
      </c>
      <c r="G123" s="31">
        <f>_xlfn.DISPIMG("ID_B550D1D4822C4FFE90FC484931FB2688",1)</f>
        <v/>
      </c>
      <c r="H123" s="93" t="n"/>
      <c r="I123" s="220" t="n"/>
      <c r="J123" s="26" t="n">
        <v>30604001101</v>
      </c>
      <c r="K123" s="33" t="inlineStr">
        <is>
          <t>30mL，透明钠钙玻璃制，瓶口细磨，磨砂面应均匀细腻，滴管应附橡胶帽，吸放弹性好，开口直径 6 mm，与滴管口套合牢固稳定</t>
        </is>
      </c>
      <c r="L123" s="39" t="inlineStr">
        <is>
          <t>乐百仕</t>
        </is>
      </c>
      <c r="M123" s="39" t="inlineStr">
        <is>
          <t>江苏乐百仕教育科技有限公司</t>
        </is>
      </c>
      <c r="N123" s="364" t="n">
        <v>50</v>
      </c>
      <c r="O123" s="364" t="n">
        <v>3</v>
      </c>
      <c r="P123" s="345" t="n">
        <v>150</v>
      </c>
      <c r="Q123" s="345" t="inlineStr">
        <is>
          <t>个</t>
        </is>
      </c>
      <c r="R123" s="345" t="inlineStr"/>
      <c r="S123" s="345" t="inlineStr"/>
      <c r="T123" s="345" t="inlineStr"/>
      <c r="U123" s="345" t="inlineStr"/>
      <c r="V123" s="345" t="n">
        <v>3</v>
      </c>
      <c r="W123" s="345" t="inlineStr"/>
      <c r="X123" s="345" t="n">
        <v>3.3</v>
      </c>
      <c r="Y123" s="345" t="inlineStr"/>
      <c r="Z123" s="345" t="inlineStr">
        <is>
          <t>confirmed</t>
        </is>
      </c>
      <c r="AA123" s="345" t="n">
        <v>100</v>
      </c>
      <c r="AB123" s="345" t="inlineStr"/>
      <c r="AC123" s="345" t="inlineStr">
        <is>
          <t>赛特尔25年.xls｜初中生物｜第238行</t>
        </is>
      </c>
    </row>
    <row r="124" customFormat="1" s="195">
      <c r="A124" s="323" t="n">
        <v>183</v>
      </c>
      <c r="B124" s="26" t="n">
        <v>30604001102</v>
      </c>
      <c r="C124" s="30" t="inlineStr">
        <is>
          <t>滴瓶</t>
        </is>
      </c>
      <c r="D124" s="141" t="inlineStr">
        <is>
          <t>60mL，透明钠钙玻璃制，瓶口细磨，磨砂面应均匀细腻，滴管应附橡胶帽，吸放弹性好，开口直径 6 mm，与滴管口套合牢固稳定</t>
        </is>
      </c>
      <c r="E124" s="31" t="n">
        <v>50</v>
      </c>
      <c r="F124" s="26" t="inlineStr">
        <is>
          <t>个</t>
        </is>
      </c>
      <c r="G124" s="31">
        <f>_xlfn.DISPIMG("ID_5E60F2FF9A8F463983504CB27FA573AA",1)</f>
        <v/>
      </c>
      <c r="H124" s="93" t="n"/>
      <c r="I124" s="220" t="n"/>
      <c r="J124" s="26" t="n">
        <v>30604001102</v>
      </c>
      <c r="K124" s="33" t="inlineStr">
        <is>
          <t>60mL，透明钠钙玻璃制，瓶口细磨，磨砂面应均匀细腻，滴管应附橡胶帽，吸放弹性好，开口直径 6 mm，与滴管口套合牢固稳定</t>
        </is>
      </c>
      <c r="L124" s="39" t="inlineStr">
        <is>
          <t>乐百仕</t>
        </is>
      </c>
      <c r="M124" s="39" t="inlineStr">
        <is>
          <t>江苏乐百仕教育科技有限公司</t>
        </is>
      </c>
      <c r="N124" s="364" t="n">
        <v>50</v>
      </c>
      <c r="O124" s="364" t="n">
        <v>3</v>
      </c>
      <c r="P124" s="345" t="n">
        <v>150</v>
      </c>
      <c r="Q124" s="345" t="inlineStr">
        <is>
          <t>个</t>
        </is>
      </c>
      <c r="R124" s="345" t="inlineStr"/>
      <c r="S124" s="345" t="inlineStr"/>
      <c r="T124" s="345" t="inlineStr"/>
      <c r="U124" s="345" t="inlineStr"/>
      <c r="V124" s="345" t="n">
        <v>3.8</v>
      </c>
      <c r="W124" s="345" t="inlineStr"/>
      <c r="X124" s="345" t="n">
        <v>3.8</v>
      </c>
      <c r="Y124" s="345" t="inlineStr"/>
      <c r="Z124" s="345" t="inlineStr">
        <is>
          <t>confirmed</t>
        </is>
      </c>
      <c r="AA124" s="345" t="n">
        <v>100</v>
      </c>
      <c r="AB124" s="345" t="inlineStr">
        <is>
          <t>价格分歧&gt;30%：历史报价分歧较大，需人工核对；同分多价：最高分候选存在不同历史价格</t>
        </is>
      </c>
      <c r="AC124" s="345" t="inlineStr">
        <is>
          <t>赛特尔25年.xls｜初中新课标生物｜第108行</t>
        </is>
      </c>
    </row>
    <row r="125" customFormat="1" s="195">
      <c r="A125" s="323" t="n">
        <v>184</v>
      </c>
      <c r="B125" s="26" t="n">
        <v>30604001111</v>
      </c>
      <c r="C125" s="30" t="inlineStr">
        <is>
          <t>茶色滴瓶</t>
        </is>
      </c>
      <c r="D125" s="141" t="inlineStr">
        <is>
          <t>30mL，透明钠钙玻璃制；瓶口细磨，磨砂面应均匀细腻；滴管应附橡胶帽，吸放弹性好，开口直径6mm，与滴管口套合牢固稳定</t>
        </is>
      </c>
      <c r="E125" s="31" t="n">
        <v>50</v>
      </c>
      <c r="F125" s="26" t="inlineStr">
        <is>
          <t>个</t>
        </is>
      </c>
      <c r="G125" s="31">
        <f>_xlfn.DISPIMG("ID_0A85D40E985B42C5811D5CE1C5C66857",1)</f>
        <v/>
      </c>
      <c r="H125" s="93" t="n"/>
      <c r="I125" s="220" t="n"/>
      <c r="J125" s="26" t="n">
        <v>30604001111</v>
      </c>
      <c r="K125" s="33" t="inlineStr">
        <is>
          <t>30mL，透明钠钙玻璃制；瓶口细磨，磨砂面应均匀细腻；滴管应附橡胶帽，吸放弹性好，开口直径6mm，与滴管口套合牢固稳定</t>
        </is>
      </c>
      <c r="L125" s="39" t="inlineStr">
        <is>
          <t>乐百仕</t>
        </is>
      </c>
      <c r="M125" s="39" t="inlineStr">
        <is>
          <t>江苏乐百仕教育科技有限公司</t>
        </is>
      </c>
      <c r="N125" s="364" t="n">
        <v>50</v>
      </c>
      <c r="O125" s="364" t="n">
        <v>3</v>
      </c>
      <c r="P125" s="345" t="n">
        <v>150</v>
      </c>
      <c r="Q125" s="345" t="inlineStr">
        <is>
          <t>个</t>
        </is>
      </c>
      <c r="R125" s="345" t="inlineStr"/>
      <c r="S125" s="345" t="inlineStr"/>
      <c r="T125" s="345" t="inlineStr"/>
      <c r="U125" s="345" t="inlineStr"/>
      <c r="V125" s="345" t="n">
        <v>3</v>
      </c>
      <c r="W125" s="345" t="inlineStr"/>
      <c r="X125" s="345" t="n">
        <v>3.3</v>
      </c>
      <c r="Y125" s="345" t="inlineStr"/>
      <c r="Z125" s="345" t="inlineStr">
        <is>
          <t>confirmed</t>
        </is>
      </c>
      <c r="AA125" s="345" t="n">
        <v>100</v>
      </c>
      <c r="AB125" s="345" t="inlineStr"/>
      <c r="AC125" s="345" t="inlineStr">
        <is>
          <t>赛特尔25年.xls｜初中生物｜第238行</t>
        </is>
      </c>
    </row>
    <row r="126" customFormat="1" s="195">
      <c r="A126" s="323" t="n">
        <v>185</v>
      </c>
      <c r="B126" s="26" t="n">
        <v>30604001112</v>
      </c>
      <c r="C126" s="30" t="inlineStr">
        <is>
          <t>茶色滴瓶</t>
        </is>
      </c>
      <c r="D126" s="141" t="inlineStr">
        <is>
          <t>60mL，透明钠钙玻璃制；瓶口细磨，磨砂面应均匀细腻；滴管应附橡胶帽，吸放弹性好，开口直径6mm，与滴管口套合牢固稳定</t>
        </is>
      </c>
      <c r="E126" s="31" t="n">
        <v>50</v>
      </c>
      <c r="F126" s="26" t="inlineStr">
        <is>
          <t>个</t>
        </is>
      </c>
      <c r="G126" s="31">
        <f>_xlfn.DISPIMG("ID_8096BAEE69A54E7D968AF18F8FB19B52",1)</f>
        <v/>
      </c>
      <c r="H126" s="93" t="n"/>
      <c r="I126" s="220" t="n"/>
      <c r="J126" s="26" t="n">
        <v>30604001112</v>
      </c>
      <c r="K126" s="33" t="inlineStr">
        <is>
          <t>60mL，透明钠钙玻璃制；瓶口细磨，磨砂面应均匀细腻；滴管应附橡胶帽，吸放弹性好，开口直径6mm，与滴管口套合牢固稳定</t>
        </is>
      </c>
      <c r="L126" s="39" t="inlineStr">
        <is>
          <t>乐百仕</t>
        </is>
      </c>
      <c r="M126" s="39" t="inlineStr">
        <is>
          <t>江苏乐百仕教育科技有限公司</t>
        </is>
      </c>
      <c r="N126" s="364" t="n">
        <v>50</v>
      </c>
      <c r="O126" s="364" t="n">
        <v>3</v>
      </c>
      <c r="P126" s="345" t="n">
        <v>150</v>
      </c>
      <c r="Q126" s="345" t="inlineStr">
        <is>
          <t>个</t>
        </is>
      </c>
      <c r="R126" s="345" t="inlineStr"/>
      <c r="S126" s="345" t="inlineStr"/>
      <c r="T126" s="345" t="inlineStr"/>
      <c r="U126" s="345" t="inlineStr"/>
      <c r="V126" s="345" t="n">
        <v>3.8</v>
      </c>
      <c r="W126" s="345" t="inlineStr"/>
      <c r="X126" s="345" t="n">
        <v>3.8</v>
      </c>
      <c r="Y126" s="345" t="inlineStr"/>
      <c r="Z126" s="345" t="inlineStr">
        <is>
          <t>confirmed</t>
        </is>
      </c>
      <c r="AA126" s="345" t="n">
        <v>100</v>
      </c>
      <c r="AB126" s="345" t="inlineStr">
        <is>
          <t>价格分歧&gt;30%：历史报价分歧较大，需人工核对；同分多价：最高分候选存在不同历史价格</t>
        </is>
      </c>
      <c r="AC126" s="345" t="inlineStr">
        <is>
          <t>赛特尔25年.xls｜初中新课标生物｜第108行</t>
        </is>
      </c>
    </row>
    <row r="127" customFormat="1" s="195">
      <c r="A127" s="323" t="n">
        <v>187</v>
      </c>
      <c r="B127" s="31" t="n">
        <v>30605008401</v>
      </c>
      <c r="C127" s="119" t="inlineStr">
        <is>
          <t>培养皿</t>
        </is>
      </c>
      <c r="D127" s="105" t="inlineStr">
        <is>
          <t>60mm，玻璃，薄厚均匀、耐高温高压</t>
        </is>
      </c>
      <c r="E127" s="31" t="n">
        <v>50</v>
      </c>
      <c r="F127" s="26" t="inlineStr">
        <is>
          <t>套</t>
        </is>
      </c>
      <c r="G127" s="323">
        <f>_xlfn.DISPIMG("ID_AAB2B35E909D411CA7A9175E01F646E4",1)</f>
        <v/>
      </c>
      <c r="H127" s="31" t="n"/>
      <c r="I127" s="220" t="n"/>
      <c r="J127" s="31" t="n">
        <v>30605008401</v>
      </c>
      <c r="K127" s="109" t="inlineStr">
        <is>
          <t>60mm，玻璃，薄厚均匀、耐高温高压</t>
        </is>
      </c>
      <c r="L127" s="39" t="inlineStr">
        <is>
          <t>乐百仕</t>
        </is>
      </c>
      <c r="M127" s="39" t="inlineStr">
        <is>
          <t>江苏乐百仕教育科技有限公司</t>
        </is>
      </c>
      <c r="N127" s="364" t="n">
        <v>50</v>
      </c>
      <c r="O127" s="364" t="n">
        <v>3.5</v>
      </c>
      <c r="P127" s="345" t="n">
        <v>175</v>
      </c>
      <c r="Q127" s="345" t="inlineStr">
        <is>
          <t>套</t>
        </is>
      </c>
      <c r="R127" s="345" t="inlineStr"/>
      <c r="S127" s="345" t="inlineStr"/>
      <c r="T127" s="345" t="inlineStr"/>
      <c r="U127" s="345" t="inlineStr"/>
      <c r="V127" s="345" t="inlineStr"/>
      <c r="W127" s="345" t="inlineStr"/>
      <c r="X127" s="345" t="inlineStr"/>
      <c r="Y127" s="345" t="inlineStr"/>
      <c r="Z127" s="345" t="inlineStr">
        <is>
          <t>confirmed</t>
        </is>
      </c>
      <c r="AA127" s="345" t="n">
        <v>0</v>
      </c>
      <c r="AB127" s="345" t="inlineStr">
        <is>
          <t>匹配到商品档案但无历史价格记录</t>
        </is>
      </c>
      <c r="AC127" s="345" t="inlineStr">
        <is>
          <t>赛特尔25年.xls｜初中生物｜第248行</t>
        </is>
      </c>
    </row>
    <row r="128" customFormat="1" s="195">
      <c r="A128" s="323" t="n">
        <v>188</v>
      </c>
      <c r="B128" s="31" t="n">
        <v>30605008404</v>
      </c>
      <c r="C128" s="119" t="inlineStr">
        <is>
          <t>培养皿</t>
        </is>
      </c>
      <c r="D128" s="105" t="inlineStr">
        <is>
          <t>90mm，玻璃，薄厚均匀、耐高温高压</t>
        </is>
      </c>
      <c r="E128" s="31" t="n">
        <v>50</v>
      </c>
      <c r="F128" s="26" t="inlineStr">
        <is>
          <t>套</t>
        </is>
      </c>
      <c r="G128" s="323">
        <f>_xlfn.DISPIMG("ID_313F53FE0D9641D0A683C987EF29F72C",1)</f>
        <v/>
      </c>
      <c r="H128" s="31" t="n"/>
      <c r="I128" s="220" t="n"/>
      <c r="J128" s="31" t="n">
        <v>30605008404</v>
      </c>
      <c r="K128" s="109" t="inlineStr">
        <is>
          <t>90mm，玻璃，薄厚均匀、耐高温高压</t>
        </is>
      </c>
      <c r="L128" s="39" t="inlineStr">
        <is>
          <t>乐百仕</t>
        </is>
      </c>
      <c r="M128" s="39" t="inlineStr">
        <is>
          <t>江苏乐百仕教育科技有限公司</t>
        </is>
      </c>
      <c r="N128" s="364" t="n">
        <v>50</v>
      </c>
      <c r="O128" s="364" t="n">
        <v>3.5</v>
      </c>
      <c r="P128" s="345" t="n">
        <v>175</v>
      </c>
      <c r="Q128" s="345" t="inlineStr">
        <is>
          <t>套</t>
        </is>
      </c>
      <c r="R128" s="345" t="inlineStr"/>
      <c r="S128" s="345" t="inlineStr"/>
      <c r="T128" s="345" t="inlineStr"/>
      <c r="U128" s="345" t="inlineStr"/>
      <c r="V128" s="345" t="inlineStr"/>
      <c r="W128" s="345" t="inlineStr"/>
      <c r="X128" s="345" t="inlineStr"/>
      <c r="Y128" s="345" t="inlineStr"/>
      <c r="Z128" s="345" t="inlineStr">
        <is>
          <t>confirmed</t>
        </is>
      </c>
      <c r="AA128" s="345" t="n">
        <v>0</v>
      </c>
      <c r="AB128" s="345" t="inlineStr">
        <is>
          <t>匹配到商品档案但无历史价格记录</t>
        </is>
      </c>
      <c r="AC128" s="345" t="inlineStr">
        <is>
          <t>赛特尔25年.xls｜初中生物｜第248行</t>
        </is>
      </c>
    </row>
    <row r="129" customFormat="1" s="192">
      <c r="A129" s="323" t="n">
        <v>191</v>
      </c>
      <c r="B129" s="103" t="n">
        <v>30603007702</v>
      </c>
      <c r="C129" s="119" t="inlineStr">
        <is>
          <t>比色管</t>
        </is>
      </c>
      <c r="D129" s="105" t="inlineStr">
        <is>
          <t>25 mL，具塞，无色透明硼硅酸盐玻璃制</t>
        </is>
      </c>
      <c r="E129" s="131" t="n">
        <v>50</v>
      </c>
      <c r="F129" s="120" t="inlineStr">
        <is>
          <t>支</t>
        </is>
      </c>
      <c r="G129" s="131">
        <f>_xlfn.DISPIMG("ID_7DBD575129B347B3B77F3C8E54D00A0E",1)</f>
        <v/>
      </c>
      <c r="H129" s="131" t="n"/>
      <c r="I129" s="229" t="n"/>
      <c r="J129" s="108" t="n">
        <v>30603007702</v>
      </c>
      <c r="K129" s="109" t="inlineStr">
        <is>
          <t>25 mL，具塞，无色透明硼硅酸盐玻璃制</t>
        </is>
      </c>
      <c r="L129" s="39" t="inlineStr">
        <is>
          <t>乐百仕</t>
        </is>
      </c>
      <c r="M129" s="39" t="inlineStr">
        <is>
          <t>江苏乐百仕教育科技有限公司</t>
        </is>
      </c>
      <c r="N129" s="362" t="n">
        <v>50</v>
      </c>
      <c r="O129" s="362" t="n">
        <v>3.5</v>
      </c>
      <c r="P129" s="345" t="n">
        <v>175</v>
      </c>
      <c r="Q129" s="345" t="inlineStr">
        <is>
          <t>支</t>
        </is>
      </c>
      <c r="R129" s="345" t="inlineStr">
        <is>
          <t>苏创</t>
        </is>
      </c>
      <c r="S129" s="345" t="inlineStr"/>
      <c r="T129" s="345" t="inlineStr"/>
      <c r="U129" s="345" t="inlineStr">
        <is>
          <t>62078</t>
        </is>
      </c>
      <c r="V129" s="345" t="n">
        <v>5</v>
      </c>
      <c r="W129" s="345" t="inlineStr"/>
      <c r="X129" s="345" t="inlineStr"/>
      <c r="Y129" s="345" t="inlineStr"/>
      <c r="Z129" s="345" t="inlineStr">
        <is>
          <t>confirmed</t>
        </is>
      </c>
      <c r="AA129" s="345" t="n">
        <v>100</v>
      </c>
      <c r="AB129" s="345" t="inlineStr">
        <is>
          <t>同分多价：最高分候选存在不同历史价格</t>
        </is>
      </c>
      <c r="AC129" s="345" t="inlineStr">
        <is>
          <t>高中理化生报价.xlsx｜凯迪｜第1521行</t>
        </is>
      </c>
    </row>
    <row r="130" customFormat="1" s="195">
      <c r="A130" s="323" t="n">
        <v>192</v>
      </c>
      <c r="B130" s="31" t="n">
        <v>30603003308</v>
      </c>
      <c r="C130" s="137" t="inlineStr">
        <is>
          <t>长颈漏斗</t>
        </is>
      </c>
      <c r="D130" s="141" t="inlineStr">
        <is>
          <t>上口直径 45 mm,球形直径 42 mm,下管长 250mm,下管外径 8 mm</t>
        </is>
      </c>
      <c r="E130" s="31" t="n">
        <v>5</v>
      </c>
      <c r="F130" s="137" t="inlineStr">
        <is>
          <t>个</t>
        </is>
      </c>
      <c r="G130" s="131">
        <f>_xlfn.DISPIMG("ID_55D0E059557D4885916D08588B80748B",1)</f>
        <v/>
      </c>
      <c r="H130" s="131" t="n"/>
      <c r="I130" s="220" t="n"/>
      <c r="J130" s="31" t="n">
        <v>30603003308</v>
      </c>
      <c r="K130" s="33" t="inlineStr">
        <is>
          <t>上口直径 45 mm,球形直径 42 mm,下管长 250mm,下管外径 8 mm</t>
        </is>
      </c>
      <c r="L130" s="39" t="inlineStr">
        <is>
          <t>乐百仕</t>
        </is>
      </c>
      <c r="M130" s="39" t="inlineStr">
        <is>
          <t>江苏乐百仕教育科技有限公司</t>
        </is>
      </c>
      <c r="N130" s="364" t="n">
        <v>5</v>
      </c>
      <c r="O130" s="364" t="n">
        <v>4</v>
      </c>
      <c r="P130" s="345" t="n">
        <v>20</v>
      </c>
      <c r="Q130" s="345" t="inlineStr">
        <is>
          <t>个</t>
        </is>
      </c>
      <c r="R130" s="345" t="inlineStr"/>
      <c r="S130" s="345" t="inlineStr"/>
      <c r="T130" s="345" t="inlineStr"/>
      <c r="U130" s="345" t="inlineStr"/>
      <c r="V130" s="345" t="n">
        <v>6</v>
      </c>
      <c r="W130" s="345" t="inlineStr"/>
      <c r="X130" s="345" t="n">
        <v>11</v>
      </c>
      <c r="Y130" s="345" t="inlineStr"/>
      <c r="Z130" s="345" t="inlineStr">
        <is>
          <t>confirmed</t>
        </is>
      </c>
      <c r="AA130" s="345" t="n">
        <v>57.1</v>
      </c>
      <c r="AB130" s="345" t="inlineStr">
        <is>
          <t>价格分歧&gt;30%：历史报价分歧较大，需人工核对；同分多价：最高分候选存在不同历史价格</t>
        </is>
      </c>
      <c r="AC130" s="345" t="inlineStr">
        <is>
          <t>赛特尔25年.xls｜初中生物｜第226行</t>
        </is>
      </c>
    </row>
    <row r="131" customFormat="1" s="195">
      <c r="A131" s="323" t="n">
        <v>193</v>
      </c>
      <c r="B131" s="31" t="n">
        <v>30603003101</v>
      </c>
      <c r="C131" s="137" t="inlineStr">
        <is>
          <t>漏斗</t>
        </is>
      </c>
      <c r="D131" s="141" t="inlineStr">
        <is>
          <t>60mm，短颈，滤碗为夹角 60°的圆锥形，管的尾端磨成约 45°角</t>
        </is>
      </c>
      <c r="E131" s="31" t="n">
        <v>25</v>
      </c>
      <c r="F131" s="31" t="inlineStr">
        <is>
          <t>个</t>
        </is>
      </c>
      <c r="G131" s="131">
        <f>_xlfn.DISPIMG("ID_4A4710D061AD4FCC8BEE3FAA1EA02542",1)</f>
        <v/>
      </c>
      <c r="H131" s="93" t="n"/>
      <c r="I131" s="220" t="n"/>
      <c r="J131" s="31" t="n">
        <v>30603003101</v>
      </c>
      <c r="K131" s="33" t="inlineStr">
        <is>
          <t>60mm，短颈，滤碗为夹角 60°的圆锥形，管的尾端磨成约 45°角</t>
        </is>
      </c>
      <c r="L131" s="39" t="inlineStr">
        <is>
          <t>乐百仕</t>
        </is>
      </c>
      <c r="M131" s="39" t="inlineStr">
        <is>
          <t>江苏乐百仕教育科技有限公司</t>
        </is>
      </c>
      <c r="N131" s="364" t="n">
        <v>25</v>
      </c>
      <c r="O131" s="364" t="n">
        <v>4</v>
      </c>
      <c r="P131" s="345" t="n">
        <v>100</v>
      </c>
      <c r="Q131" s="345" t="inlineStr">
        <is>
          <t>个</t>
        </is>
      </c>
      <c r="R131" s="345" t="inlineStr"/>
      <c r="S131" s="345" t="inlineStr"/>
      <c r="T131" s="345" t="inlineStr"/>
      <c r="U131" s="345" t="inlineStr"/>
      <c r="V131" s="345" t="n">
        <v>6</v>
      </c>
      <c r="W131" s="345" t="inlineStr"/>
      <c r="X131" s="345" t="n">
        <v>11</v>
      </c>
      <c r="Y131" s="345" t="inlineStr"/>
      <c r="Z131" s="345" t="inlineStr">
        <is>
          <t>confirmed</t>
        </is>
      </c>
      <c r="AA131" s="345" t="n">
        <v>100</v>
      </c>
      <c r="AB131" s="345" t="inlineStr">
        <is>
          <t>价格分歧&gt;30%：历史报价分歧较大，需人工核对；同分多价：最高分候选存在不同历史价格</t>
        </is>
      </c>
      <c r="AC131" s="345" t="inlineStr">
        <is>
          <t>赛特尔25年.xls｜初中生物｜第226行</t>
        </is>
      </c>
    </row>
    <row r="132" customFormat="1" s="195">
      <c r="A132" s="323" t="n">
        <v>194</v>
      </c>
      <c r="B132" s="31" t="n">
        <v>30603003102</v>
      </c>
      <c r="C132" s="137" t="inlineStr">
        <is>
          <t>漏斗</t>
        </is>
      </c>
      <c r="D132" s="141" t="inlineStr">
        <is>
          <t>90mm，短颈，滤碗为夹角 60°的圆锥形，管的尾端磨成约 45°角</t>
        </is>
      </c>
      <c r="E132" s="31" t="n">
        <v>25</v>
      </c>
      <c r="F132" s="31" t="inlineStr">
        <is>
          <t>个</t>
        </is>
      </c>
      <c r="G132" s="131">
        <f>_xlfn.DISPIMG("ID_54AAB449528A4BD9840B6530FD6470DF",1)</f>
        <v/>
      </c>
      <c r="H132" s="93" t="n"/>
      <c r="I132" s="220" t="n"/>
      <c r="J132" s="31" t="n">
        <v>30603003102</v>
      </c>
      <c r="K132" s="33" t="inlineStr">
        <is>
          <t>90mm，短颈，滤碗为夹角 60°的圆锥形，管的尾端磨成约 45°角</t>
        </is>
      </c>
      <c r="L132" s="39" t="inlineStr">
        <is>
          <t>乐百仕</t>
        </is>
      </c>
      <c r="M132" s="39" t="inlineStr">
        <is>
          <t>江苏乐百仕教育科技有限公司</t>
        </is>
      </c>
      <c r="N132" s="364" t="n">
        <v>25</v>
      </c>
      <c r="O132" s="364" t="n">
        <v>4</v>
      </c>
      <c r="P132" s="345" t="n">
        <v>100</v>
      </c>
      <c r="Q132" s="345" t="inlineStr">
        <is>
          <t>个</t>
        </is>
      </c>
      <c r="R132" s="345" t="inlineStr"/>
      <c r="S132" s="345" t="inlineStr"/>
      <c r="T132" s="345" t="inlineStr"/>
      <c r="U132" s="345" t="inlineStr"/>
      <c r="V132" s="345" t="n">
        <v>6</v>
      </c>
      <c r="W132" s="345" t="inlineStr"/>
      <c r="X132" s="345" t="n">
        <v>11</v>
      </c>
      <c r="Y132" s="345" t="inlineStr"/>
      <c r="Z132" s="345" t="inlineStr">
        <is>
          <t>confirmed</t>
        </is>
      </c>
      <c r="AA132" s="345" t="n">
        <v>100</v>
      </c>
      <c r="AB132" s="345" t="inlineStr">
        <is>
          <t>价格分歧&gt;30%：历史报价分歧较大，需人工核对；同分多价：最高分候选存在不同历史价格</t>
        </is>
      </c>
      <c r="AC132" s="345" t="inlineStr">
        <is>
          <t>赛特尔25年.xls｜初中生物｜第226行</t>
        </is>
      </c>
    </row>
    <row r="133" customFormat="1" s="195">
      <c r="A133" s="323" t="n">
        <v>195</v>
      </c>
      <c r="B133" s="26" t="n">
        <v>30603007112</v>
      </c>
      <c r="C133" s="30" t="inlineStr">
        <is>
          <t>三通连接管</t>
        </is>
      </c>
      <c r="D133" s="141" t="inlineStr">
        <is>
          <t>Y 形，Φ7 mm～Φ8 mm，连接完好，管口应为熔光</t>
        </is>
      </c>
      <c r="E133" s="31" t="n">
        <v>25</v>
      </c>
      <c r="F133" s="137" t="inlineStr">
        <is>
          <t>个</t>
        </is>
      </c>
      <c r="G133" s="31">
        <f>_xlfn.DISPIMG("ID_2AE739BE73F84B59876CF4934870C5EF",1)</f>
        <v/>
      </c>
      <c r="H133" s="31" t="n"/>
      <c r="I133" s="220" t="n"/>
      <c r="J133" s="26" t="n">
        <v>30603007112</v>
      </c>
      <c r="K133" s="33" t="inlineStr">
        <is>
          <t>Y 形，Φ7 mm～Φ8 mm，连接完好，管口应为熔光</t>
        </is>
      </c>
      <c r="L133" s="39" t="inlineStr">
        <is>
          <t>乐百仕</t>
        </is>
      </c>
      <c r="M133" s="39" t="inlineStr">
        <is>
          <t>江苏乐百仕教育科技有限公司</t>
        </is>
      </c>
      <c r="N133" s="364" t="n">
        <v>25</v>
      </c>
      <c r="O133" s="364" t="n">
        <v>2</v>
      </c>
      <c r="P133" s="345" t="n">
        <v>50</v>
      </c>
      <c r="Q133" s="345" t="inlineStr">
        <is>
          <t>个</t>
        </is>
      </c>
      <c r="R133" s="345" t="inlineStr"/>
      <c r="S133" s="345" t="inlineStr"/>
      <c r="T133" s="345" t="inlineStr"/>
      <c r="U133" s="345" t="inlineStr">
        <is>
          <t>T 形</t>
        </is>
      </c>
      <c r="V133" s="345" t="inlineStr"/>
      <c r="W133" s="345" t="inlineStr"/>
      <c r="X133" s="345" t="inlineStr"/>
      <c r="Y133" s="345" t="inlineStr"/>
      <c r="Z133" s="345" t="inlineStr">
        <is>
          <t>confirmed</t>
        </is>
      </c>
      <c r="AA133" s="345" t="n">
        <v>100</v>
      </c>
      <c r="AB133" s="345" t="inlineStr"/>
      <c r="AC133" s="345" t="inlineStr">
        <is>
          <t>赛特尔25年.xls｜初中新课标生物｜第117行</t>
        </is>
      </c>
    </row>
    <row r="134" customFormat="1" s="195">
      <c r="A134" s="323" t="n">
        <v>196</v>
      </c>
      <c r="B134" s="31" t="n">
        <v>30603007302</v>
      </c>
      <c r="C134" s="137" t="inlineStr">
        <is>
          <t>滴管</t>
        </is>
      </c>
      <c r="D134" s="141" t="inlineStr">
        <is>
          <t>Φ8 mm×100 mm，直形，滴管尖嘴口径 1 mm，上端有防滑脱翻口，翻口处直径比滴管直径略多 1 mm～2 mm</t>
        </is>
      </c>
      <c r="E134" s="31" t="n">
        <v>60</v>
      </c>
      <c r="F134" s="31" t="inlineStr">
        <is>
          <t>个</t>
        </is>
      </c>
      <c r="G134" s="144">
        <f>_xlfn.DISPIMG("ID_6CBFC77D258E460C8BEC5A726500465C",1)</f>
        <v/>
      </c>
      <c r="H134" s="131" t="n"/>
      <c r="I134" s="220" t="n"/>
      <c r="J134" s="31" t="n">
        <v>30603007302</v>
      </c>
      <c r="K134" s="33" t="inlineStr">
        <is>
          <t>Φ8 mm×100 mm，直形，滴管尖嘴口径 1 mm，上端有防滑脱翻口，翻口处直径比滴管直径略多 1 mm～2 mm</t>
        </is>
      </c>
      <c r="L134" s="39" t="inlineStr">
        <is>
          <t>乐百仕</t>
        </is>
      </c>
      <c r="M134" s="39" t="inlineStr">
        <is>
          <t>江苏乐百仕教育科技有限公司</t>
        </is>
      </c>
      <c r="N134" s="364" t="n">
        <v>60</v>
      </c>
      <c r="O134" s="364" t="n">
        <v>1</v>
      </c>
      <c r="P134" s="345" t="n">
        <v>60</v>
      </c>
      <c r="Q134" s="345" t="inlineStr">
        <is>
          <t>个</t>
        </is>
      </c>
      <c r="R134" s="345" t="inlineStr"/>
      <c r="S134" s="345" t="inlineStr"/>
      <c r="T134" s="345" t="inlineStr"/>
      <c r="U134" s="345" t="inlineStr"/>
      <c r="V134" s="345" t="n">
        <v>5</v>
      </c>
      <c r="W134" s="345" t="inlineStr"/>
      <c r="X134" s="345" t="n">
        <v>5</v>
      </c>
      <c r="Y134" s="345" t="inlineStr"/>
      <c r="Z134" s="345" t="inlineStr">
        <is>
          <t>confirmed</t>
        </is>
      </c>
      <c r="AA134" s="345" t="n">
        <v>100</v>
      </c>
      <c r="AB134" s="345" t="inlineStr">
        <is>
          <t>价格分歧&gt;30%：历史报价分歧较大，需人工核对；同分多价：最高分候选存在不同历史价格</t>
        </is>
      </c>
      <c r="AC134" s="345" t="inlineStr">
        <is>
          <t>赛特尔25年.xls｜小学科学｜第166行</t>
        </is>
      </c>
    </row>
    <row r="135" customFormat="1" s="195">
      <c r="A135" s="323" t="n">
        <v>198</v>
      </c>
      <c r="B135" s="26" t="n">
        <v>30809000201</v>
      </c>
      <c r="C135" s="87" t="inlineStr">
        <is>
          <t>载玻片</t>
        </is>
      </c>
      <c r="D135" s="141" t="inlineStr">
        <is>
          <t>无色透明，平整</t>
        </is>
      </c>
      <c r="E135" s="31" t="n">
        <v>25</v>
      </c>
      <c r="F135" s="26" t="inlineStr">
        <is>
          <t>盒</t>
        </is>
      </c>
      <c r="G135" s="323">
        <f>_xlfn.DISPIMG("ID_CF1B5E6B043C4472872E690546CC32B1",1)</f>
        <v/>
      </c>
      <c r="H135" s="31" t="n"/>
      <c r="I135" s="220" t="n"/>
      <c r="J135" s="26" t="n">
        <v>30809000201</v>
      </c>
      <c r="K135" s="33" t="inlineStr">
        <is>
          <t>无色透明，平整</t>
        </is>
      </c>
      <c r="L135" s="39" t="inlineStr">
        <is>
          <t>乐乐</t>
        </is>
      </c>
      <c r="M135" s="39" t="inlineStr">
        <is>
          <t>泰州乐乐教学设备有限公司,</t>
        </is>
      </c>
      <c r="N135" s="364" t="n">
        <v>25</v>
      </c>
      <c r="O135" s="364" t="n">
        <v>3</v>
      </c>
      <c r="P135" s="345" t="n">
        <v>75</v>
      </c>
      <c r="Q135" s="345" t="inlineStr">
        <is>
          <t>盒</t>
        </is>
      </c>
      <c r="R135" s="345" t="inlineStr">
        <is>
          <t>群信</t>
        </is>
      </c>
      <c r="S135" s="345" t="inlineStr"/>
      <c r="T135" s="345" t="inlineStr"/>
      <c r="U135" s="345" t="inlineStr">
        <is>
          <t>80302</t>
        </is>
      </c>
      <c r="V135" s="345" t="inlineStr"/>
      <c r="W135" s="345" t="inlineStr"/>
      <c r="X135" s="345" t="inlineStr"/>
      <c r="Y135" s="345" t="inlineStr"/>
      <c r="Z135" s="345" t="inlineStr">
        <is>
          <t>confirmed</t>
        </is>
      </c>
      <c r="AA135" s="345" t="n">
        <v>100</v>
      </c>
      <c r="AB135" s="345" t="inlineStr"/>
      <c r="AC135" s="345" t="inlineStr">
        <is>
          <t>赛特尔25年.xls｜初中新课标生物｜第121行</t>
        </is>
      </c>
    </row>
    <row r="136" customFormat="1" s="195">
      <c r="A136" s="323" t="n">
        <v>199</v>
      </c>
      <c r="B136" s="26" t="n">
        <v>30809000301</v>
      </c>
      <c r="C136" s="87" t="inlineStr">
        <is>
          <t>盖玻片</t>
        </is>
      </c>
      <c r="D136" s="141" t="inlineStr">
        <is>
          <t>无色透明，平整</t>
        </is>
      </c>
      <c r="E136" s="31" t="n">
        <v>25</v>
      </c>
      <c r="F136" s="26" t="inlineStr">
        <is>
          <t>包</t>
        </is>
      </c>
      <c r="G136" s="323">
        <f>_xlfn.DISPIMG("ID_B4A6746FBB634D09B68224DD7E8C316B",1)</f>
        <v/>
      </c>
      <c r="H136" s="31" t="n"/>
      <c r="I136" s="220" t="n"/>
      <c r="J136" s="26" t="n">
        <v>30809000301</v>
      </c>
      <c r="K136" s="33" t="inlineStr">
        <is>
          <t>无色透明，平整</t>
        </is>
      </c>
      <c r="L136" s="39" t="inlineStr">
        <is>
          <t>乐乐</t>
        </is>
      </c>
      <c r="M136" s="39" t="inlineStr">
        <is>
          <t>泰州乐乐教学设备有限公司,</t>
        </is>
      </c>
      <c r="N136" s="364" t="n">
        <v>25</v>
      </c>
      <c r="O136" s="364" t="n">
        <v>2</v>
      </c>
      <c r="P136" s="345" t="n">
        <v>50</v>
      </c>
      <c r="Q136" s="345" t="inlineStr">
        <is>
          <t>包</t>
        </is>
      </c>
      <c r="R136" s="345" t="inlineStr">
        <is>
          <t>群信</t>
        </is>
      </c>
      <c r="S136" s="345" t="inlineStr"/>
      <c r="T136" s="345" t="inlineStr"/>
      <c r="U136" s="345" t="inlineStr">
        <is>
          <t>80303</t>
        </is>
      </c>
      <c r="V136" s="345" t="inlineStr"/>
      <c r="W136" s="345" t="inlineStr"/>
      <c r="X136" s="345" t="inlineStr"/>
      <c r="Y136" s="345" t="inlineStr"/>
      <c r="Z136" s="345" t="inlineStr">
        <is>
          <t>confirmed</t>
        </is>
      </c>
      <c r="AA136" s="345" t="n">
        <v>100</v>
      </c>
      <c r="AB136" s="345" t="inlineStr"/>
      <c r="AC136" s="345" t="inlineStr">
        <is>
          <t>赛特尔25年.xls｜初中新课标生物｜第122行</t>
        </is>
      </c>
    </row>
    <row r="137" customFormat="1" s="195">
      <c r="A137" s="323" t="n">
        <v>200</v>
      </c>
      <c r="B137" s="26" t="n">
        <v>30603000101</v>
      </c>
      <c r="C137" s="87" t="inlineStr">
        <is>
          <t>酒精灯</t>
        </is>
      </c>
      <c r="D137" s="141" t="inlineStr">
        <is>
          <t>150 mL，透明钠钙玻璃制。灯口应平整，瓷灯头与灯口平面间隙不应超过 1.5 mm。玻璃灯罩应磨口，盖合后应密封不漏水。瓷灯头应为白色，完全覆盖灯口，表面无缺陷。配置与灯口孔径相适应的整齐完整的棉线灯芯，灯芯点燃后酒精灯火焰高度应不低于70mm</t>
        </is>
      </c>
      <c r="E137" s="31" t="n">
        <v>25</v>
      </c>
      <c r="F137" s="26" t="inlineStr">
        <is>
          <t>个</t>
        </is>
      </c>
      <c r="G137" s="323">
        <f>_xlfn.DISPIMG("ID_DBAB49580159445FB709AD2562ED11D7",1)</f>
        <v/>
      </c>
      <c r="H137" s="31" t="n"/>
      <c r="I137" s="220" t="n"/>
      <c r="J137" s="26" t="n">
        <v>30603000101</v>
      </c>
      <c r="K137" s="33" t="inlineStr">
        <is>
          <t>150 mL，透明钠钙玻璃制。灯口应平整，瓷灯头与灯口平面间隙不应超过 1.5 mm。玻璃灯罩应磨口，盖合后应密封不漏水。瓷灯头应为白色，完全覆盖灯口，表面无缺陷。配置与灯口孔径相适应的整齐完整的棉线灯芯，灯芯点燃后酒精灯火焰高度应不低于70mm</t>
        </is>
      </c>
      <c r="L137" s="39" t="inlineStr">
        <is>
          <t>乐百仕</t>
        </is>
      </c>
      <c r="M137" s="39" t="inlineStr">
        <is>
          <t>江苏乐百仕教育科技有限公司</t>
        </is>
      </c>
      <c r="N137" s="364" t="n">
        <v>25</v>
      </c>
      <c r="O137" s="364" t="n">
        <v>2.5</v>
      </c>
      <c r="P137" s="345" t="n">
        <v>62.5</v>
      </c>
      <c r="Q137" s="345" t="inlineStr">
        <is>
          <t>个</t>
        </is>
      </c>
      <c r="R137" s="345" t="inlineStr"/>
      <c r="S137" s="345" t="inlineStr"/>
      <c r="T137" s="345" t="inlineStr"/>
      <c r="U137" s="345" t="inlineStr"/>
      <c r="V137" s="345" t="n">
        <v>2.5</v>
      </c>
      <c r="W137" s="345" t="inlineStr"/>
      <c r="X137" s="345" t="n">
        <v>30</v>
      </c>
      <c r="Y137" s="345" t="inlineStr"/>
      <c r="Z137" s="345" t="inlineStr">
        <is>
          <t>confirmed</t>
        </is>
      </c>
      <c r="AA137" s="345" t="n">
        <v>100</v>
      </c>
      <c r="AB137" s="345" t="inlineStr"/>
      <c r="AC137" s="345" t="inlineStr">
        <is>
          <t>高中理化生报价.xlsx｜凯迪｜第1515行</t>
        </is>
      </c>
    </row>
    <row r="138" customFormat="1" s="195">
      <c r="A138" s="323" t="n">
        <v>202</v>
      </c>
      <c r="B138" s="26" t="n">
        <v>30603007433</v>
      </c>
      <c r="C138" s="30" t="inlineStr">
        <is>
          <t>离心管</t>
        </is>
      </c>
      <c r="D138" s="141" t="inlineStr">
        <is>
          <t>0.5 mL，塑料</t>
        </is>
      </c>
      <c r="E138" s="31" t="n">
        <v>30</v>
      </c>
      <c r="F138" s="30" t="inlineStr">
        <is>
          <t>支</t>
        </is>
      </c>
      <c r="G138" s="31">
        <f>_xlfn.DISPIMG("ID_8B3F2C2E2196483B9EC5FEAC785D9C0D",1)</f>
        <v/>
      </c>
      <c r="H138" s="31" t="n"/>
      <c r="I138" s="220" t="n"/>
      <c r="J138" s="26" t="n">
        <v>30603007433</v>
      </c>
      <c r="K138" s="33" t="inlineStr">
        <is>
          <t>0.5 mL，塑料</t>
        </is>
      </c>
      <c r="L138" s="39" t="inlineStr">
        <is>
          <t>乐百仕</t>
        </is>
      </c>
      <c r="M138" s="39" t="inlineStr">
        <is>
          <t>江苏乐百仕教育科技有限公司</t>
        </is>
      </c>
      <c r="N138" s="364" t="n">
        <v>30</v>
      </c>
      <c r="O138" s="364" t="n">
        <v>1.25</v>
      </c>
      <c r="P138" s="345" t="n">
        <v>37.5</v>
      </c>
      <c r="Q138" s="345" t="inlineStr">
        <is>
          <t>支</t>
        </is>
      </c>
      <c r="R138" s="345" t="inlineStr"/>
      <c r="S138" s="345" t="inlineStr"/>
      <c r="T138" s="345" t="inlineStr"/>
      <c r="U138" s="345" t="inlineStr"/>
      <c r="V138" s="345" t="n">
        <v>1.5</v>
      </c>
      <c r="W138" s="345" t="inlineStr"/>
      <c r="X138" s="345" t="n">
        <v>1.5</v>
      </c>
      <c r="Y138" s="345" t="inlineStr"/>
      <c r="Z138" s="345" t="inlineStr">
        <is>
          <t>confirmed</t>
        </is>
      </c>
      <c r="AA138" s="345" t="n">
        <v>100</v>
      </c>
      <c r="AB138" s="345" t="inlineStr">
        <is>
          <t>同分多价：最高分候选存在不同历史价格</t>
        </is>
      </c>
      <c r="AC138" s="345" t="inlineStr">
        <is>
          <t>赛特尔25年.xls｜初中生物｜第228行</t>
        </is>
      </c>
    </row>
    <row r="139" customFormat="1" s="195">
      <c r="A139" s="323" t="n">
        <v>203</v>
      </c>
      <c r="B139" s="26" t="n">
        <v>30603007435</v>
      </c>
      <c r="C139" s="30" t="inlineStr">
        <is>
          <t>离心管</t>
        </is>
      </c>
      <c r="D139" s="141" t="inlineStr">
        <is>
          <t>1.5 mL，塑料</t>
        </is>
      </c>
      <c r="E139" s="31" t="n">
        <v>30</v>
      </c>
      <c r="F139" s="30" t="inlineStr">
        <is>
          <t>支</t>
        </is>
      </c>
      <c r="G139" s="31">
        <f>_xlfn.DISPIMG("ID_4FA3D3E05A3C40EAB0A40174B78AF18D",1)</f>
        <v/>
      </c>
      <c r="H139" s="31" t="n"/>
      <c r="I139" s="220" t="n"/>
      <c r="J139" s="26" t="n">
        <v>30603007435</v>
      </c>
      <c r="K139" s="33" t="inlineStr">
        <is>
          <t>1.5 mL，塑料</t>
        </is>
      </c>
      <c r="L139" s="39" t="inlineStr">
        <is>
          <t>乐百仕</t>
        </is>
      </c>
      <c r="M139" s="39" t="inlineStr">
        <is>
          <t>江苏乐百仕教育科技有限公司</t>
        </is>
      </c>
      <c r="N139" s="364" t="n">
        <v>30</v>
      </c>
      <c r="O139" s="364" t="n">
        <v>1.25</v>
      </c>
      <c r="P139" s="345" t="n">
        <v>37.5</v>
      </c>
      <c r="Q139" s="345" t="inlineStr">
        <is>
          <t>支</t>
        </is>
      </c>
      <c r="R139" s="345" t="inlineStr"/>
      <c r="S139" s="345" t="inlineStr"/>
      <c r="T139" s="345" t="inlineStr"/>
      <c r="U139" s="345" t="inlineStr"/>
      <c r="V139" s="345" t="n">
        <v>1.5</v>
      </c>
      <c r="W139" s="345" t="inlineStr"/>
      <c r="X139" s="345" t="n">
        <v>1.5</v>
      </c>
      <c r="Y139" s="345" t="inlineStr"/>
      <c r="Z139" s="345" t="inlineStr">
        <is>
          <t>confirmed</t>
        </is>
      </c>
      <c r="AA139" s="345" t="n">
        <v>100</v>
      </c>
      <c r="AB139" s="345" t="inlineStr">
        <is>
          <t>同分多价：最高分候选存在不同历史价格</t>
        </is>
      </c>
      <c r="AC139" s="345" t="inlineStr">
        <is>
          <t>赛特尔25年.xls｜初中生物｜第228行</t>
        </is>
      </c>
    </row>
    <row r="140" customFormat="1" s="195">
      <c r="A140" s="323" t="n">
        <v>204</v>
      </c>
      <c r="B140" s="26" t="n">
        <v>30603007439</v>
      </c>
      <c r="C140" s="30" t="inlineStr">
        <is>
          <t>离心管</t>
        </is>
      </c>
      <c r="D140" s="141" t="inlineStr">
        <is>
          <t>10 mL，塑料</t>
        </is>
      </c>
      <c r="E140" s="31" t="n">
        <v>30</v>
      </c>
      <c r="F140" s="30" t="inlineStr">
        <is>
          <t>支</t>
        </is>
      </c>
      <c r="G140" s="31">
        <f>_xlfn.DISPIMG("ID_C86460C1191A42EB8AF17F95A415DFCD",1)</f>
        <v/>
      </c>
      <c r="H140" s="31" t="n"/>
      <c r="I140" s="220" t="n"/>
      <c r="J140" s="26" t="n">
        <v>30603007439</v>
      </c>
      <c r="K140" s="33" t="inlineStr">
        <is>
          <t>10 mL，塑料</t>
        </is>
      </c>
      <c r="L140" s="39" t="inlineStr">
        <is>
          <t>乐百仕</t>
        </is>
      </c>
      <c r="M140" s="39" t="inlineStr">
        <is>
          <t>江苏乐百仕教育科技有限公司</t>
        </is>
      </c>
      <c r="N140" s="364" t="n">
        <v>30</v>
      </c>
      <c r="O140" s="364" t="n">
        <v>1.25</v>
      </c>
      <c r="P140" s="345" t="n">
        <v>37.5</v>
      </c>
      <c r="Q140" s="345" t="inlineStr">
        <is>
          <t>支</t>
        </is>
      </c>
      <c r="R140" s="345" t="inlineStr"/>
      <c r="S140" s="345" t="inlineStr"/>
      <c r="T140" s="345" t="inlineStr"/>
      <c r="U140" s="345" t="inlineStr"/>
      <c r="V140" s="345" t="n">
        <v>1.5</v>
      </c>
      <c r="W140" s="345" t="inlineStr"/>
      <c r="X140" s="345" t="n">
        <v>1.5</v>
      </c>
      <c r="Y140" s="345" t="inlineStr"/>
      <c r="Z140" s="345" t="inlineStr">
        <is>
          <t>confirmed</t>
        </is>
      </c>
      <c r="AA140" s="345" t="n">
        <v>100</v>
      </c>
      <c r="AB140" s="345" t="inlineStr">
        <is>
          <t>同分多价：最高分候选存在不同历史价格</t>
        </is>
      </c>
      <c r="AC140" s="345" t="inlineStr">
        <is>
          <t>赛特尔25年.xls｜初中生物｜第228行</t>
        </is>
      </c>
    </row>
    <row r="141" customFormat="1" s="195">
      <c r="A141" s="323" t="n">
        <v>205</v>
      </c>
      <c r="B141" s="26" t="n">
        <v>30603007441</v>
      </c>
      <c r="C141" s="30" t="inlineStr">
        <is>
          <t>离心管</t>
        </is>
      </c>
      <c r="D141" s="68" t="inlineStr">
        <is>
          <t>20 mL，塑料</t>
        </is>
      </c>
      <c r="E141" s="31" t="n">
        <v>30</v>
      </c>
      <c r="F141" s="30" t="inlineStr">
        <is>
          <t>支</t>
        </is>
      </c>
      <c r="G141" s="323">
        <f>_xlfn.DISPIMG("ID_A4C2D7C2610846FD8C2120D4D3224BFC",1)</f>
        <v/>
      </c>
      <c r="H141" s="31" t="n"/>
      <c r="I141" s="220" t="n"/>
      <c r="J141" s="26" t="n">
        <v>30603007441</v>
      </c>
      <c r="K141" s="164" t="inlineStr">
        <is>
          <t>20 mL，塑料</t>
        </is>
      </c>
      <c r="L141" s="39" t="inlineStr">
        <is>
          <t>乐百仕</t>
        </is>
      </c>
      <c r="M141" s="39" t="inlineStr">
        <is>
          <t>江苏乐百仕教育科技有限公司</t>
        </is>
      </c>
      <c r="N141" s="364" t="n">
        <v>30</v>
      </c>
      <c r="O141" s="364" t="n">
        <v>1.25</v>
      </c>
      <c r="P141" s="345" t="n">
        <v>37.5</v>
      </c>
      <c r="Q141" s="345" t="inlineStr">
        <is>
          <t>支</t>
        </is>
      </c>
      <c r="R141" s="345" t="inlineStr"/>
      <c r="S141" s="345" t="inlineStr"/>
      <c r="T141" s="345" t="inlineStr"/>
      <c r="U141" s="345" t="inlineStr"/>
      <c r="V141" s="345" t="n">
        <v>1.5</v>
      </c>
      <c r="W141" s="345" t="inlineStr"/>
      <c r="X141" s="345" t="n">
        <v>1.5</v>
      </c>
      <c r="Y141" s="345" t="inlineStr"/>
      <c r="Z141" s="345" t="inlineStr">
        <is>
          <t>confirmed</t>
        </is>
      </c>
      <c r="AA141" s="345" t="n">
        <v>100</v>
      </c>
      <c r="AB141" s="345" t="inlineStr">
        <is>
          <t>同分多价：最高分候选存在不同历史价格</t>
        </is>
      </c>
      <c r="AC141" s="345" t="inlineStr">
        <is>
          <t>赛特尔25年.xls｜初中生物｜第228行</t>
        </is>
      </c>
    </row>
    <row r="142" customFormat="1" s="195">
      <c r="A142" s="323" t="n">
        <v>206</v>
      </c>
      <c r="B142" s="26" t="n">
        <v>30603007445</v>
      </c>
      <c r="C142" s="30" t="inlineStr">
        <is>
          <t>离心管</t>
        </is>
      </c>
      <c r="D142" s="68" t="inlineStr">
        <is>
          <t>50 mL，塑料</t>
        </is>
      </c>
      <c r="E142" s="31" t="n">
        <v>30</v>
      </c>
      <c r="F142" s="30" t="inlineStr">
        <is>
          <t>支</t>
        </is>
      </c>
      <c r="G142" s="323">
        <f>_xlfn.DISPIMG("ID_4C348EF244C54288B88F1C49587F8E4B",1)</f>
        <v/>
      </c>
      <c r="H142" s="31" t="n"/>
      <c r="I142" s="220" t="n"/>
      <c r="J142" s="26" t="n">
        <v>30603007445</v>
      </c>
      <c r="K142" s="164" t="inlineStr">
        <is>
          <t>50 mL，塑料</t>
        </is>
      </c>
      <c r="L142" s="39" t="inlineStr">
        <is>
          <t>乐百仕</t>
        </is>
      </c>
      <c r="M142" s="39" t="inlineStr">
        <is>
          <t>江苏乐百仕教育科技有限公司</t>
        </is>
      </c>
      <c r="N142" s="364" t="n">
        <v>30</v>
      </c>
      <c r="O142" s="364" t="n">
        <v>1.25</v>
      </c>
      <c r="P142" s="345" t="n">
        <v>37.5</v>
      </c>
      <c r="Q142" s="345" t="inlineStr">
        <is>
          <t>支</t>
        </is>
      </c>
      <c r="R142" s="345" t="inlineStr"/>
      <c r="S142" s="345" t="inlineStr"/>
      <c r="T142" s="345" t="inlineStr"/>
      <c r="U142" s="345" t="inlineStr"/>
      <c r="V142" s="345" t="n">
        <v>1.5</v>
      </c>
      <c r="W142" s="345" t="inlineStr"/>
      <c r="X142" s="345" t="n">
        <v>1.5</v>
      </c>
      <c r="Y142" s="345" t="inlineStr"/>
      <c r="Z142" s="345" t="inlineStr">
        <is>
          <t>confirmed</t>
        </is>
      </c>
      <c r="AA142" s="345" t="n">
        <v>100</v>
      </c>
      <c r="AB142" s="345" t="inlineStr">
        <is>
          <t>同分多价：最高分候选存在不同历史价格</t>
        </is>
      </c>
      <c r="AC142" s="345" t="inlineStr">
        <is>
          <t>赛特尔25年.xls｜初中生物｜第228行</t>
        </is>
      </c>
    </row>
    <row r="143" customFormat="1" s="195">
      <c r="A143" s="323" t="n">
        <v>209</v>
      </c>
      <c r="B143" s="26" t="n">
        <v>30605005102</v>
      </c>
      <c r="C143" s="143" t="inlineStr">
        <is>
          <t>玻璃管</t>
        </is>
      </c>
      <c r="D143" s="68" t="inlineStr">
        <is>
          <t>Φ5 mm～Φ6 mm，中性料，管口应为熔光</t>
        </is>
      </c>
      <c r="E143" s="31" t="n">
        <v>1</v>
      </c>
      <c r="F143" s="26" t="inlineStr">
        <is>
          <t>kg</t>
        </is>
      </c>
      <c r="G143" s="323">
        <f>_xlfn.DISPIMG("ID_F27809C471C04F79A5742306AC3C6926",1)</f>
        <v/>
      </c>
      <c r="H143" s="31" t="n"/>
      <c r="I143" s="220" t="n"/>
      <c r="J143" s="26" t="n">
        <v>30605005102</v>
      </c>
      <c r="K143" s="164" t="inlineStr">
        <is>
          <t>Φ5 mm～Φ6 mm，中性料，管口应为熔光</t>
        </is>
      </c>
      <c r="L143" s="39" t="inlineStr">
        <is>
          <t>乐百仕</t>
        </is>
      </c>
      <c r="M143" s="39" t="inlineStr">
        <is>
          <t>江苏乐百仕教育科技有限公司</t>
        </is>
      </c>
      <c r="N143" s="364" t="n">
        <v>1</v>
      </c>
      <c r="O143" s="364" t="n">
        <v>2</v>
      </c>
      <c r="P143" s="345" t="n">
        <v>2</v>
      </c>
      <c r="Q143" s="345" t="inlineStr">
        <is>
          <t>kg</t>
        </is>
      </c>
      <c r="R143" s="345" t="inlineStr"/>
      <c r="S143" s="345" t="inlineStr"/>
      <c r="T143" s="345" t="inlineStr"/>
      <c r="U143" s="345" t="inlineStr"/>
      <c r="V143" s="345" t="inlineStr"/>
      <c r="W143" s="345" t="inlineStr"/>
      <c r="X143" s="345" t="inlineStr"/>
      <c r="Y143" s="345" t="inlineStr"/>
      <c r="Z143" s="345" t="inlineStr">
        <is>
          <t>confirmed</t>
        </is>
      </c>
      <c r="AA143" s="345" t="n">
        <v>0</v>
      </c>
      <c r="AB143" s="345" t="inlineStr">
        <is>
          <t>没有找到可靠候选</t>
        </is>
      </c>
      <c r="AC143" s="345" t="inlineStr">
        <is>
          <t>赛特尔25年.xls｜初中化学｜第94行</t>
        </is>
      </c>
    </row>
    <row r="144" customFormat="1" s="195">
      <c r="A144" s="323" t="n">
        <v>210</v>
      </c>
      <c r="B144" s="31" t="n">
        <v>30605005203</v>
      </c>
      <c r="C144" s="30" t="inlineStr">
        <is>
          <t>玻璃弯管</t>
        </is>
      </c>
      <c r="D144" s="68" t="inlineStr">
        <is>
          <t>Φ5 mm～Φ6 mm，一端长度为 6 cm～7 cm，一端长度约 20 cm，形状为直角和钝角两种，管口应为熔光</t>
        </is>
      </c>
      <c r="E144" s="131" t="n">
        <v>1</v>
      </c>
      <c r="F144" s="26" t="inlineStr">
        <is>
          <t>kg</t>
        </is>
      </c>
      <c r="G144" s="144">
        <f>_xlfn.DISPIMG("ID_697EC1E3B87140329A12D66178EA6B48",1)</f>
        <v/>
      </c>
      <c r="H144" s="131" t="n"/>
      <c r="I144" s="220" t="n"/>
      <c r="J144" s="31" t="n">
        <v>30605005203</v>
      </c>
      <c r="K144" s="164" t="inlineStr">
        <is>
          <t>Φ5 mm～Φ6 mm，一端长度为 6 cm～7 cm，一端长度约 20 cm，形状为直角和钝角两种，管口应为熔光</t>
        </is>
      </c>
      <c r="L144" s="39" t="inlineStr">
        <is>
          <t>乐百仕</t>
        </is>
      </c>
      <c r="M144" s="39" t="inlineStr">
        <is>
          <t>江苏乐百仕教育科技有限公司</t>
        </is>
      </c>
      <c r="N144" s="364" t="n">
        <v>1</v>
      </c>
      <c r="O144" s="364" t="n">
        <v>18</v>
      </c>
      <c r="P144" s="345" t="n">
        <v>18</v>
      </c>
      <c r="Q144" s="345" t="inlineStr">
        <is>
          <t>kg</t>
        </is>
      </c>
      <c r="R144" s="345" t="inlineStr"/>
      <c r="S144" s="345" t="inlineStr"/>
      <c r="T144" s="345" t="inlineStr"/>
      <c r="U144" s="345" t="inlineStr"/>
      <c r="V144" s="345" t="inlineStr"/>
      <c r="W144" s="345" t="inlineStr"/>
      <c r="X144" s="345" t="inlineStr"/>
      <c r="Y144" s="345" t="inlineStr"/>
      <c r="Z144" s="345" t="inlineStr">
        <is>
          <t>confirmed</t>
        </is>
      </c>
      <c r="AA144" s="345" t="n">
        <v>0</v>
      </c>
      <c r="AB144" s="345" t="inlineStr">
        <is>
          <t>没有找到可靠候选</t>
        </is>
      </c>
      <c r="AC144" s="345" t="inlineStr">
        <is>
          <t>赛特尔25年.xls｜初中生物｜第230行</t>
        </is>
      </c>
    </row>
    <row r="145" customFormat="1" s="195">
      <c r="A145" s="323" t="n">
        <v>211</v>
      </c>
      <c r="B145" s="31" t="n">
        <v>30605005301</v>
      </c>
      <c r="C145" s="137" t="inlineStr">
        <is>
          <t>玻璃棒</t>
        </is>
      </c>
      <c r="D145" s="141" t="inlineStr">
        <is>
          <t>Φ7 mm～Φ8 mm，两端应平整倒边</t>
        </is>
      </c>
      <c r="E145" s="31" t="n">
        <v>1</v>
      </c>
      <c r="F145" s="26" t="inlineStr">
        <is>
          <t>kg</t>
        </is>
      </c>
      <c r="G145" s="144">
        <f>_xlfn.DISPIMG("ID_D808AEA1156E4DE691499DAF527F499A",1)</f>
        <v/>
      </c>
      <c r="H145" s="131" t="n"/>
      <c r="I145" s="220" t="n"/>
      <c r="J145" s="31" t="n">
        <v>30605005301</v>
      </c>
      <c r="K145" s="33" t="inlineStr">
        <is>
          <t>Φ7 mm～Φ8 mm，两端应平整倒边</t>
        </is>
      </c>
      <c r="L145" s="39" t="inlineStr">
        <is>
          <t>乐百仕</t>
        </is>
      </c>
      <c r="M145" s="39" t="inlineStr">
        <is>
          <t>江苏乐百仕教育科技有限公司</t>
        </is>
      </c>
      <c r="N145" s="364" t="n">
        <v>1</v>
      </c>
      <c r="O145" s="364" t="n">
        <v>12</v>
      </c>
      <c r="P145" s="345" t="n">
        <v>12</v>
      </c>
      <c r="Q145" s="345" t="inlineStr">
        <is>
          <t>kg</t>
        </is>
      </c>
      <c r="R145" s="345" t="inlineStr"/>
      <c r="S145" s="345" t="inlineStr"/>
      <c r="T145" s="345" t="inlineStr"/>
      <c r="U145" s="345" t="inlineStr"/>
      <c r="V145" s="345" t="inlineStr"/>
      <c r="W145" s="345" t="inlineStr"/>
      <c r="X145" s="345" t="inlineStr"/>
      <c r="Y145" s="345" t="inlineStr"/>
      <c r="Z145" s="345" t="inlineStr">
        <is>
          <t>confirmed</t>
        </is>
      </c>
      <c r="AA145" s="345" t="n">
        <v>0</v>
      </c>
      <c r="AB145" s="345" t="inlineStr">
        <is>
          <t>没有找到可靠候选</t>
        </is>
      </c>
      <c r="AC145" s="345" t="inlineStr">
        <is>
          <t>高中理化生报价.xlsx｜凯迪｜第1834行</t>
        </is>
      </c>
    </row>
    <row r="146" customFormat="1" s="195">
      <c r="A146" s="323" t="n">
        <v>213</v>
      </c>
      <c r="B146" s="26" t="n">
        <v>30605000601</v>
      </c>
      <c r="C146" s="87" t="inlineStr">
        <is>
          <t>试管夹</t>
        </is>
      </c>
      <c r="D146" s="68" t="inlineStr">
        <is>
          <t>木制或竹制，长度≥200 mm，宽度 20 mm，厚度 20 mm；试管夹闭口缝≤1 mm，开口距≥25 mm；毡块黏结牢固，试管夹弹簧做防锈处理，试管夹持部位圆弧内径不大于 15 mm</t>
        </is>
      </c>
      <c r="E146" s="31" t="n">
        <v>49</v>
      </c>
      <c r="F146" s="26" t="inlineStr">
        <is>
          <t>把</t>
        </is>
      </c>
      <c r="G146" s="323">
        <f>_xlfn.DISPIMG("ID_ADC8EBA3674049AC9F7668B5CB6A7360",1)</f>
        <v/>
      </c>
      <c r="H146" s="31" t="n"/>
      <c r="I146" s="220" t="n"/>
      <c r="J146" s="26" t="n">
        <v>30605000601</v>
      </c>
      <c r="K146" s="164" t="inlineStr">
        <is>
          <t>木制或竹制，长度≥200 mm，宽度 20 mm，厚度 20 mm；试管夹闭口缝≤1 mm，开口距≥25 mm；毡块黏结牢固，试管夹弹簧做防锈处理，试管夹持部位圆弧内径不大于 15 mm</t>
        </is>
      </c>
      <c r="L146" s="39" t="inlineStr">
        <is>
          <t>乐百仕</t>
        </is>
      </c>
      <c r="M146" s="39" t="inlineStr">
        <is>
          <t>江苏乐百仕教育科技有限公司</t>
        </is>
      </c>
      <c r="N146" s="364" t="n">
        <v>49</v>
      </c>
      <c r="O146" s="364" t="n">
        <v>1.1</v>
      </c>
      <c r="P146" s="345" t="n">
        <v>53.9</v>
      </c>
      <c r="Q146" s="345" t="inlineStr">
        <is>
          <t>把</t>
        </is>
      </c>
      <c r="R146" s="345" t="inlineStr"/>
      <c r="S146" s="345" t="inlineStr"/>
      <c r="T146" s="345" t="inlineStr"/>
      <c r="U146" s="345" t="inlineStr"/>
      <c r="V146" s="345" t="n">
        <v>1.1</v>
      </c>
      <c r="W146" s="345" t="inlineStr"/>
      <c r="X146" s="345" t="n">
        <v>1.21</v>
      </c>
      <c r="Y146" s="345" t="inlineStr"/>
      <c r="Z146" s="345" t="inlineStr">
        <is>
          <t>confirmed</t>
        </is>
      </c>
      <c r="AA146" s="345" t="n">
        <v>100</v>
      </c>
      <c r="AB146" s="345" t="inlineStr"/>
      <c r="AC146" s="345" t="inlineStr">
        <is>
          <t>赛特尔25年.xls｜初中新课标生物｜第128行</t>
        </is>
      </c>
    </row>
    <row r="147" customFormat="1" s="195">
      <c r="A147" s="323" t="n">
        <v>214</v>
      </c>
      <c r="B147" s="26" t="n">
        <v>30605000701</v>
      </c>
      <c r="C147" s="87" t="inlineStr">
        <is>
          <t>止水皮管夹</t>
        </is>
      </c>
      <c r="D147" s="68" t="inlineStr">
        <is>
          <t>Φ3 mm 钢丝制成，作防锈处理，夹持角度≥60º，弹性好，不漏液</t>
        </is>
      </c>
      <c r="E147" s="31" t="n">
        <v>13</v>
      </c>
      <c r="F147" s="26" t="inlineStr">
        <is>
          <t>个</t>
        </is>
      </c>
      <c r="G147" s="323">
        <f>_xlfn.DISPIMG("ID_42DDF573640945EEB86585CDEE54BAC9",1)</f>
        <v/>
      </c>
      <c r="H147" s="31" t="n"/>
      <c r="I147" s="220" t="n"/>
      <c r="J147" s="26" t="n">
        <v>30605000701</v>
      </c>
      <c r="K147" s="164" t="inlineStr">
        <is>
          <t>Φ3 mm 钢丝制成，作防锈处理，夹持角度≥60º，弹性好，不漏液</t>
        </is>
      </c>
      <c r="L147" s="39" t="inlineStr">
        <is>
          <t>乐百仕</t>
        </is>
      </c>
      <c r="M147" s="39" t="inlineStr">
        <is>
          <t>江苏乐百仕教育科技有限公司</t>
        </is>
      </c>
      <c r="N147" s="364" t="n">
        <v>13</v>
      </c>
      <c r="O147" s="364" t="n">
        <v>1.1</v>
      </c>
      <c r="P147" s="345" t="n">
        <v>14.3</v>
      </c>
      <c r="Q147" s="345" t="inlineStr">
        <is>
          <t>个</t>
        </is>
      </c>
      <c r="R147" s="345" t="inlineStr"/>
      <c r="S147" s="345" t="inlineStr"/>
      <c r="T147" s="345" t="inlineStr"/>
      <c r="U147" s="345" t="inlineStr"/>
      <c r="V147" s="345" t="n">
        <v>1.1</v>
      </c>
      <c r="W147" s="345" t="inlineStr"/>
      <c r="X147" s="345" t="n">
        <v>1.21</v>
      </c>
      <c r="Y147" s="345" t="inlineStr"/>
      <c r="Z147" s="345" t="inlineStr">
        <is>
          <t>confirmed</t>
        </is>
      </c>
      <c r="AA147" s="345" t="n">
        <v>80</v>
      </c>
      <c r="AB147" s="345" t="inlineStr"/>
      <c r="AC147" s="345" t="inlineStr">
        <is>
          <t>赛特尔25年.xls｜初中新课标生物｜第129行</t>
        </is>
      </c>
    </row>
    <row r="148" customFormat="1" s="195">
      <c r="A148" s="323" t="n">
        <v>215</v>
      </c>
      <c r="B148" s="26" t="n">
        <v>30605003301</v>
      </c>
      <c r="C148" s="30" t="inlineStr">
        <is>
          <t>陶土网</t>
        </is>
      </c>
      <c r="D148" s="68" t="inlineStr">
        <is>
          <t>金属网尺寸≥125 mm×125 mm，耐火材料为陶土，功能等同于石棉网</t>
        </is>
      </c>
      <c r="E148" s="31" t="n">
        <v>25</v>
      </c>
      <c r="F148" s="26" t="inlineStr">
        <is>
          <t>个</t>
        </is>
      </c>
      <c r="G148" s="323">
        <f>_xlfn.DISPIMG("ID_AC9C4CB7467246AA81355438DCA87792",1)</f>
        <v/>
      </c>
      <c r="H148" s="31" t="n"/>
      <c r="I148" s="220" t="n"/>
      <c r="J148" s="26" t="n">
        <v>30605003301</v>
      </c>
      <c r="K148" s="164" t="inlineStr">
        <is>
          <t>金属网尺寸≥125 mm×125 mm，耐火材料为陶土，功能等同于石棉网</t>
        </is>
      </c>
      <c r="L148" s="39" t="inlineStr">
        <is>
          <t>乐百仕</t>
        </is>
      </c>
      <c r="M148" s="39" t="inlineStr">
        <is>
          <t>江苏乐百仕教育科技有限公司</t>
        </is>
      </c>
      <c r="N148" s="364" t="n">
        <v>25</v>
      </c>
      <c r="O148" s="364" t="n">
        <v>1.4</v>
      </c>
      <c r="P148" s="345" t="n">
        <v>35</v>
      </c>
      <c r="Q148" s="345" t="inlineStr">
        <is>
          <t>个</t>
        </is>
      </c>
      <c r="R148" s="345" t="inlineStr">
        <is>
          <t>苏创</t>
        </is>
      </c>
      <c r="S148" s="345" t="inlineStr"/>
      <c r="T148" s="345" t="inlineStr"/>
      <c r="U148" s="345" t="inlineStr">
        <is>
          <t>82014</t>
        </is>
      </c>
      <c r="V148" s="345" t="inlineStr"/>
      <c r="W148" s="345" t="inlineStr"/>
      <c r="X148" s="345" t="inlineStr"/>
      <c r="Y148" s="345" t="inlineStr"/>
      <c r="Z148" s="345" t="inlineStr">
        <is>
          <t>confirmed</t>
        </is>
      </c>
      <c r="AA148" s="345" t="n">
        <v>100</v>
      </c>
      <c r="AB148" s="345" t="inlineStr"/>
      <c r="AC148" s="345" t="inlineStr">
        <is>
          <t>赛特尔25年.xls｜初中新课标生物｜第130行</t>
        </is>
      </c>
    </row>
    <row r="149" customFormat="1" s="195">
      <c r="A149" s="323" t="n">
        <v>216</v>
      </c>
      <c r="B149" s="26" t="n">
        <v>30605004202</v>
      </c>
      <c r="C149" s="30" t="inlineStr">
        <is>
          <t>药匙</t>
        </is>
      </c>
      <c r="D149" s="68" t="inlineStr">
        <is>
          <t>中号 13.5 cm，一端带小勺，材质可选金属、牛角、塑料</t>
        </is>
      </c>
      <c r="E149" s="31" t="n">
        <v>25</v>
      </c>
      <c r="F149" s="30" t="inlineStr">
        <is>
          <t>把</t>
        </is>
      </c>
      <c r="G149" s="31">
        <f>_xlfn.DISPIMG("ID_B63BDA33F7394B76BC78B41BB71751C6",1)</f>
        <v/>
      </c>
      <c r="H149" s="31" t="n"/>
      <c r="I149" s="220" t="n"/>
      <c r="J149" s="26" t="n">
        <v>30605004202</v>
      </c>
      <c r="K149" s="164" t="inlineStr">
        <is>
          <t>中号 13.5 cm，一端带小勺，材质可选金属、牛角、塑料</t>
        </is>
      </c>
      <c r="L149" s="39" t="inlineStr">
        <is>
          <t>乐百仕</t>
        </is>
      </c>
      <c r="M149" s="39" t="inlineStr">
        <is>
          <t>江苏乐百仕教育科技有限公司</t>
        </is>
      </c>
      <c r="N149" s="364" t="n">
        <v>25</v>
      </c>
      <c r="O149" s="364" t="n">
        <v>1</v>
      </c>
      <c r="P149" s="345" t="n">
        <v>25</v>
      </c>
      <c r="Q149" s="345" t="inlineStr">
        <is>
          <t>把</t>
        </is>
      </c>
      <c r="R149" s="345" t="inlineStr"/>
      <c r="S149" s="345" t="inlineStr"/>
      <c r="T149" s="345" t="inlineStr"/>
      <c r="U149" s="345" t="inlineStr"/>
      <c r="V149" s="345" t="n">
        <v>1.1</v>
      </c>
      <c r="W149" s="345" t="inlineStr"/>
      <c r="X149" s="345" t="inlineStr"/>
      <c r="Y149" s="345" t="inlineStr"/>
      <c r="Z149" s="345" t="inlineStr">
        <is>
          <t>confirmed</t>
        </is>
      </c>
      <c r="AA149" s="345" t="n">
        <v>100</v>
      </c>
      <c r="AB149" s="345" t="inlineStr">
        <is>
          <t>同分多价：最高分候选存在不同历史价格</t>
        </is>
      </c>
      <c r="AC149" s="345" t="inlineStr">
        <is>
          <t>赛特尔25年.xls｜初中新课标生物｜第132行</t>
        </is>
      </c>
    </row>
    <row r="150" customFormat="1" s="195">
      <c r="A150" s="323" t="n">
        <v>217</v>
      </c>
      <c r="B150" s="31" t="n">
        <v>30605006101</v>
      </c>
      <c r="C150" s="137" t="inlineStr">
        <is>
          <t>橡胶塞</t>
        </is>
      </c>
      <c r="D150" s="141" t="inlineStr">
        <is>
          <t>根据需要用橡胶塞的玻璃仪器口径选择尺寸，白色，质地均匀</t>
        </is>
      </c>
      <c r="E150" s="31" t="n">
        <v>1</v>
      </c>
      <c r="F150" s="26" t="inlineStr">
        <is>
          <t>kg</t>
        </is>
      </c>
      <c r="G150" s="323">
        <f>_xlfn.DISPIMG("ID_671129A3900940C9B9444658A307D5BF",1)</f>
        <v/>
      </c>
      <c r="H150" s="31" t="n"/>
      <c r="I150" s="220" t="n"/>
      <c r="J150" s="31" t="n">
        <v>30605006101</v>
      </c>
      <c r="K150" s="33" t="inlineStr">
        <is>
          <t>根据需要用橡胶塞的玻璃仪器口径选择尺寸，白色，质地均匀</t>
        </is>
      </c>
      <c r="L150" s="39" t="inlineStr">
        <is>
          <t>乐百仕</t>
        </is>
      </c>
      <c r="M150" s="39" t="inlineStr">
        <is>
          <t>江苏乐百仕教育科技有限公司</t>
        </is>
      </c>
      <c r="N150" s="364" t="n">
        <v>1</v>
      </c>
      <c r="O150" s="364" t="n">
        <v>25</v>
      </c>
      <c r="P150" s="345" t="n">
        <v>25</v>
      </c>
      <c r="Q150" s="345" t="inlineStr">
        <is>
          <t>kg</t>
        </is>
      </c>
      <c r="R150" s="345" t="inlineStr"/>
      <c r="S150" s="345" t="inlineStr"/>
      <c r="T150" s="345" t="inlineStr"/>
      <c r="U150" s="345" t="inlineStr">
        <is>
          <t>000、 00、0～10 号  白色，质地均匀</t>
        </is>
      </c>
      <c r="V150" s="345" t="inlineStr"/>
      <c r="W150" s="345" t="inlineStr"/>
      <c r="X150" s="345" t="inlineStr"/>
      <c r="Y150" s="345" t="inlineStr"/>
      <c r="Z150" s="345" t="inlineStr">
        <is>
          <t>confirmed</t>
        </is>
      </c>
      <c r="AA150" s="345" t="n">
        <v>90</v>
      </c>
      <c r="AB150" s="345" t="inlineStr"/>
      <c r="AC150" s="345" t="inlineStr">
        <is>
          <t>赛特尔25年.xls｜初中新课标生物｜第133行</t>
        </is>
      </c>
    </row>
    <row r="151" customFormat="1" s="195">
      <c r="A151" s="323" t="n">
        <v>218</v>
      </c>
      <c r="B151" s="31" t="n">
        <v>30605006203</v>
      </c>
      <c r="C151" s="137" t="inlineStr">
        <is>
          <t>橡胶管</t>
        </is>
      </c>
      <c r="D151" s="141" t="inlineStr">
        <is>
          <t>外径9mm，内径6mm乳白色，具有耐油、耐酸碱、耐压等特性</t>
        </is>
      </c>
      <c r="E151" s="31" t="n">
        <v>1</v>
      </c>
      <c r="F151" s="26" t="inlineStr">
        <is>
          <t>kg</t>
        </is>
      </c>
      <c r="G151" s="323">
        <f>_xlfn.DISPIMG("ID_2125BF359752455782A8D085191548F5",1)</f>
        <v/>
      </c>
      <c r="H151" s="31" t="n"/>
      <c r="I151" s="220" t="n"/>
      <c r="J151" s="31" t="n">
        <v>30605006203</v>
      </c>
      <c r="K151" s="33" t="inlineStr">
        <is>
          <t>外径9mm，内径6mm乳白色，具有耐油、耐酸碱、耐压等特性</t>
        </is>
      </c>
      <c r="L151" s="39" t="inlineStr">
        <is>
          <t>乐百仕</t>
        </is>
      </c>
      <c r="M151" s="39" t="inlineStr">
        <is>
          <t>江苏乐百仕教育科技有限公司</t>
        </is>
      </c>
      <c r="N151" s="364" t="n">
        <v>1</v>
      </c>
      <c r="O151" s="364" t="n">
        <v>28</v>
      </c>
      <c r="P151" s="345" t="n">
        <v>28</v>
      </c>
      <c r="Q151" s="345" t="inlineStr">
        <is>
          <t>kg</t>
        </is>
      </c>
      <c r="R151" s="345" t="inlineStr"/>
      <c r="S151" s="345" t="inlineStr"/>
      <c r="T151" s="345" t="inlineStr"/>
      <c r="U151" s="345" t="inlineStr"/>
      <c r="V151" s="345" t="inlineStr"/>
      <c r="W151" s="345" t="inlineStr"/>
      <c r="X151" s="345" t="inlineStr"/>
      <c r="Y151" s="345" t="inlineStr"/>
      <c r="Z151" s="345" t="inlineStr">
        <is>
          <t>confirmed</t>
        </is>
      </c>
      <c r="AA151" s="345" t="n">
        <v>0</v>
      </c>
      <c r="AB151" s="345" t="inlineStr">
        <is>
          <t>没有找到可靠候选</t>
        </is>
      </c>
      <c r="AC151" s="345" t="inlineStr">
        <is>
          <t>赛特尔25年.xls｜初中生物｜第247行</t>
        </is>
      </c>
    </row>
    <row r="152" customFormat="1" s="195">
      <c r="A152" s="323" t="n">
        <v>219</v>
      </c>
      <c r="B152" s="26" t="n">
        <v>30605007101</v>
      </c>
      <c r="C152" s="30" t="inlineStr">
        <is>
          <t>试管刷</t>
        </is>
      </c>
      <c r="D152" s="141" t="inlineStr">
        <is>
          <t>Φ12 mm；手持部分顶端应为环状，顶部要有刷丝，铁丝不可外露</t>
        </is>
      </c>
      <c r="E152" s="31" t="n">
        <v>30</v>
      </c>
      <c r="F152" s="26" t="inlineStr">
        <is>
          <t>套</t>
        </is>
      </c>
      <c r="G152" s="323">
        <f>_xlfn.DISPIMG("ID_190D35D8700A49D3AA6179C1EB72298E",1)</f>
        <v/>
      </c>
      <c r="H152" s="31" t="n"/>
      <c r="I152" s="220" t="n"/>
      <c r="J152" s="26" t="n">
        <v>30605007101</v>
      </c>
      <c r="K152" s="33" t="inlineStr">
        <is>
          <t>Φ12 mm；手持部分顶端应为环状，顶部要有刷丝，铁丝不可外露</t>
        </is>
      </c>
      <c r="L152" s="39" t="inlineStr">
        <is>
          <t>乐百仕</t>
        </is>
      </c>
      <c r="M152" s="39" t="inlineStr">
        <is>
          <t>江苏乐百仕教育科技有限公司</t>
        </is>
      </c>
      <c r="N152" s="364" t="n">
        <v>30</v>
      </c>
      <c r="O152" s="364" t="n">
        <v>0.5</v>
      </c>
      <c r="P152" s="345" t="n">
        <v>15</v>
      </c>
      <c r="Q152" s="345" t="inlineStr">
        <is>
          <t>套</t>
        </is>
      </c>
      <c r="R152" s="345" t="inlineStr"/>
      <c r="S152" s="345" t="inlineStr"/>
      <c r="T152" s="345" t="inlineStr"/>
      <c r="U152" s="345" t="inlineStr"/>
      <c r="V152" s="345" t="inlineStr"/>
      <c r="W152" s="345" t="inlineStr"/>
      <c r="X152" s="345" t="inlineStr"/>
      <c r="Y152" s="345" t="inlineStr"/>
      <c r="Z152" s="345" t="inlineStr">
        <is>
          <t>confirmed</t>
        </is>
      </c>
      <c r="AA152" s="345" t="n">
        <v>0</v>
      </c>
      <c r="AB152" s="345" t="inlineStr">
        <is>
          <t>没有找到可靠候选</t>
        </is>
      </c>
      <c r="AC152" s="345" t="inlineStr">
        <is>
          <t>赛特尔25年.xls｜初中生物｜第218行</t>
        </is>
      </c>
    </row>
    <row r="153" customFormat="1" s="195">
      <c r="A153" s="323" t="n">
        <v>220</v>
      </c>
      <c r="B153" s="26" t="n">
        <v>30605007103</v>
      </c>
      <c r="C153" s="30" t="inlineStr">
        <is>
          <t>试管刷</t>
        </is>
      </c>
      <c r="D153" s="141" t="inlineStr">
        <is>
          <t>Φ18 mm；手持部分顶端应为环状，顶部要有刷丝，铁丝不可外露</t>
        </is>
      </c>
      <c r="E153" s="31" t="n">
        <v>30</v>
      </c>
      <c r="F153" s="26" t="inlineStr">
        <is>
          <t>套</t>
        </is>
      </c>
      <c r="G153" s="323">
        <f>_xlfn.DISPIMG("ID_D07CDEC7DF4448D39602F47D1D79BEA1",1)</f>
        <v/>
      </c>
      <c r="H153" s="31" t="n"/>
      <c r="I153" s="220" t="n"/>
      <c r="J153" s="26" t="n">
        <v>30605007103</v>
      </c>
      <c r="K153" s="33" t="inlineStr">
        <is>
          <t>Φ18 mm；手持部分顶端应为环状，顶部要有刷丝，铁丝不可外露</t>
        </is>
      </c>
      <c r="L153" s="39" t="inlineStr">
        <is>
          <t>乐百仕</t>
        </is>
      </c>
      <c r="M153" s="39" t="inlineStr">
        <is>
          <t>江苏乐百仕教育科技有限公司</t>
        </is>
      </c>
      <c r="N153" s="364" t="n">
        <v>30</v>
      </c>
      <c r="O153" s="364" t="n">
        <v>0.5</v>
      </c>
      <c r="P153" s="345" t="n">
        <v>15</v>
      </c>
      <c r="Q153" s="345" t="inlineStr">
        <is>
          <t>套</t>
        </is>
      </c>
      <c r="R153" s="345" t="inlineStr"/>
      <c r="S153" s="345" t="inlineStr"/>
      <c r="T153" s="345" t="inlineStr"/>
      <c r="U153" s="345" t="inlineStr"/>
      <c r="V153" s="345" t="inlineStr"/>
      <c r="W153" s="345" t="inlineStr"/>
      <c r="X153" s="345" t="inlineStr"/>
      <c r="Y153" s="345" t="inlineStr"/>
      <c r="Z153" s="345" t="inlineStr">
        <is>
          <t>confirmed</t>
        </is>
      </c>
      <c r="AA153" s="345" t="n">
        <v>0</v>
      </c>
      <c r="AB153" s="345" t="inlineStr">
        <is>
          <t>没有找到可靠候选</t>
        </is>
      </c>
      <c r="AC153" s="345" t="inlineStr">
        <is>
          <t>赛特尔25年.xls｜初中生物｜第218行</t>
        </is>
      </c>
    </row>
    <row r="154" customFormat="1" s="195">
      <c r="A154" s="323" t="n">
        <v>221</v>
      </c>
      <c r="B154" s="26" t="n">
        <v>30605021103</v>
      </c>
      <c r="C154" s="30" t="inlineStr">
        <is>
          <t>点滴板</t>
        </is>
      </c>
      <c r="D154" s="141" t="inlineStr">
        <is>
          <t>12 孔穴</t>
        </is>
      </c>
      <c r="E154" s="31" t="n">
        <v>30</v>
      </c>
      <c r="F154" s="30" t="inlineStr">
        <is>
          <t>个</t>
        </is>
      </c>
      <c r="G154" s="31">
        <f>_xlfn.DISPIMG("ID_10D1EAA511DD4C70AB213EFA534D9B5C",1)</f>
        <v/>
      </c>
      <c r="H154" s="31" t="n"/>
      <c r="I154" s="220" t="n"/>
      <c r="J154" s="26" t="n">
        <v>30605021103</v>
      </c>
      <c r="K154" s="33" t="inlineStr">
        <is>
          <t>12 孔穴</t>
        </is>
      </c>
      <c r="L154" s="39" t="inlineStr">
        <is>
          <t>乐百仕</t>
        </is>
      </c>
      <c r="M154" s="39" t="inlineStr">
        <is>
          <t>江苏乐百仕教育科技有限公司</t>
        </is>
      </c>
      <c r="N154" s="364" t="n">
        <v>30</v>
      </c>
      <c r="O154" s="364" t="n">
        <v>1</v>
      </c>
      <c r="P154" s="345" t="n">
        <v>30</v>
      </c>
      <c r="Q154" s="345" t="inlineStr">
        <is>
          <t>个</t>
        </is>
      </c>
      <c r="R154" s="345" t="inlineStr"/>
      <c r="S154" s="345" t="inlineStr"/>
      <c r="T154" s="345" t="inlineStr"/>
      <c r="U154" s="345" t="inlineStr"/>
      <c r="V154" s="345" t="inlineStr"/>
      <c r="W154" s="345" t="inlineStr"/>
      <c r="X154" s="345" t="inlineStr"/>
      <c r="Y154" s="345" t="inlineStr"/>
      <c r="Z154" s="345" t="inlineStr">
        <is>
          <t>confirmed</t>
        </is>
      </c>
      <c r="AA154" s="345" t="n">
        <v>0</v>
      </c>
      <c r="AB154" s="345" t="inlineStr">
        <is>
          <t>匹配到商品档案但无历史价格记录</t>
        </is>
      </c>
      <c r="AC154" s="345" t="inlineStr">
        <is>
          <t>高中理化生报价.xlsx｜凯迪｜第1520行</t>
        </is>
      </c>
    </row>
    <row r="155" customFormat="1" s="195">
      <c r="A155" s="323" t="n">
        <v>222</v>
      </c>
      <c r="B155" s="348" t="n">
        <v>30605021301</v>
      </c>
      <c r="C155" s="114" t="inlineStr">
        <is>
          <t>G6玻璃砂漏斗</t>
        </is>
      </c>
      <c r="D155" s="145" t="inlineStr">
        <is>
          <t>滤膜直径不小于 35 mm，微孔直径＜2 μm</t>
        </is>
      </c>
      <c r="E155" s="31" t="n">
        <v>1</v>
      </c>
      <c r="F155" s="30" t="inlineStr">
        <is>
          <t>个</t>
        </is>
      </c>
      <c r="G155" s="31">
        <f>_xlfn.DISPIMG("ID_70095169336246E98B1F7577488A3241",1)</f>
        <v/>
      </c>
      <c r="H155" s="31" t="n"/>
      <c r="I155" s="31" t="n"/>
      <c r="J155" s="348" t="n">
        <v>30605021301</v>
      </c>
      <c r="K155" s="164" t="inlineStr">
        <is>
          <t>滤膜直径不小于 35 mm，微孔直径＜2 μm</t>
        </is>
      </c>
      <c r="L155" s="39" t="inlineStr">
        <is>
          <t>乐百仕</t>
        </is>
      </c>
      <c r="M155" s="39" t="inlineStr">
        <is>
          <t>江苏乐百仕教育科技有限公司</t>
        </is>
      </c>
      <c r="N155" s="364" t="n">
        <v>1</v>
      </c>
      <c r="O155" s="364" t="n">
        <v>4</v>
      </c>
      <c r="P155" s="345" t="n">
        <v>4</v>
      </c>
      <c r="Q155" s="345" t="inlineStr">
        <is>
          <t>个</t>
        </is>
      </c>
      <c r="R155" s="345" t="inlineStr"/>
      <c r="S155" s="345" t="inlineStr"/>
      <c r="T155" s="345" t="inlineStr"/>
      <c r="U155" s="345" t="inlineStr"/>
      <c r="V155" s="345" t="n">
        <v>14</v>
      </c>
      <c r="W155" s="345" t="inlineStr"/>
      <c r="X155" s="345" t="n">
        <v>16</v>
      </c>
      <c r="Y155" s="345" t="inlineStr"/>
      <c r="Z155" s="345" t="inlineStr">
        <is>
          <t>confirmed</t>
        </is>
      </c>
      <c r="AA155" s="345" t="n">
        <v>100</v>
      </c>
      <c r="AB155" s="345" t="inlineStr">
        <is>
          <t>价格分歧&gt;30%：历史报价分歧较大，需人工核对；同分多价：最高分候选存在不同历史价格</t>
        </is>
      </c>
      <c r="AC155" s="345" t="inlineStr">
        <is>
          <t>高中理化生报价.xlsx｜凯迪｜第1814行</t>
        </is>
      </c>
    </row>
    <row r="156" customFormat="1" s="195">
      <c r="A156" s="323" t="n">
        <v>223</v>
      </c>
      <c r="B156" s="348" t="n">
        <v>30605021801</v>
      </c>
      <c r="C156" s="114" t="inlineStr">
        <is>
          <t>细菌过滤器</t>
        </is>
      </c>
      <c r="D156" s="141" t="inlineStr">
        <is>
          <t>滤膜直径不小于 35 mm，孔径＜2 μm</t>
        </is>
      </c>
      <c r="E156" s="31" t="n">
        <v>1</v>
      </c>
      <c r="F156" s="30" t="inlineStr">
        <is>
          <t>个</t>
        </is>
      </c>
      <c r="G156" s="31">
        <f>_xlfn.DISPIMG("ID_C9C3CF4E35C04082A9563F3FC119B1B2",1)</f>
        <v/>
      </c>
      <c r="H156" s="31" t="n"/>
      <c r="I156" s="363" t="n"/>
      <c r="J156" s="348" t="n">
        <v>30605021801</v>
      </c>
      <c r="K156" s="33" t="inlineStr">
        <is>
          <t>滤膜直径不小于 35 mm，孔径＜2 μm</t>
        </is>
      </c>
      <c r="L156" s="39" t="inlineStr">
        <is>
          <t>乐百仕</t>
        </is>
      </c>
      <c r="M156" s="39" t="inlineStr">
        <is>
          <t>江苏乐百仕教育科技有限公司</t>
        </is>
      </c>
      <c r="N156" s="364" t="n">
        <v>1</v>
      </c>
      <c r="O156" s="364" t="n">
        <v>18</v>
      </c>
      <c r="P156" s="345" t="n">
        <v>18</v>
      </c>
      <c r="Q156" s="345" t="inlineStr">
        <is>
          <t>个</t>
        </is>
      </c>
      <c r="R156" s="345" t="inlineStr"/>
      <c r="S156" s="345" t="inlineStr"/>
      <c r="T156" s="345" t="inlineStr"/>
      <c r="U156" s="345" t="inlineStr"/>
      <c r="V156" s="345" t="n">
        <v>18</v>
      </c>
      <c r="W156" s="345" t="inlineStr"/>
      <c r="X156" s="345" t="n">
        <v>19.8</v>
      </c>
      <c r="Y156" s="345" t="inlineStr"/>
      <c r="Z156" s="345" t="inlineStr">
        <is>
          <t>confirmed</t>
        </is>
      </c>
      <c r="AA156" s="345" t="n">
        <v>60</v>
      </c>
      <c r="AB156" s="345" t="inlineStr"/>
      <c r="AC156" s="345" t="inlineStr">
        <is>
          <t>赛特尔25年.xls｜初中新课标生物｜第75行</t>
        </is>
      </c>
    </row>
    <row r="157" customFormat="1" s="195">
      <c r="A157" s="323" t="n">
        <v>224</v>
      </c>
      <c r="B157" s="26" t="n">
        <v>30605008601</v>
      </c>
      <c r="C157" s="87" t="inlineStr">
        <is>
          <t>研钵</t>
        </is>
      </c>
      <c r="D157" s="141" t="inlineStr">
        <is>
          <t>瓷或玻璃制，60 mm，配有研杵，内部粗糙便于研磨，外部光滑</t>
        </is>
      </c>
      <c r="E157" s="31" t="n">
        <v>25</v>
      </c>
      <c r="F157" s="26" t="inlineStr">
        <is>
          <t>个</t>
        </is>
      </c>
      <c r="G157" s="323">
        <f>_xlfn.DISPIMG("ID_14390DD0804D4B4880CA26573F1B8691",1)</f>
        <v/>
      </c>
      <c r="H157" s="31" t="n"/>
      <c r="I157" s="220" t="n"/>
      <c r="J157" s="26" t="n">
        <v>30605008601</v>
      </c>
      <c r="K157" s="33" t="inlineStr">
        <is>
          <t>瓷或玻璃制，60 mm，配有研杵，内部粗糙便于研磨，外部光滑</t>
        </is>
      </c>
      <c r="L157" s="39" t="inlineStr">
        <is>
          <t>乐百仕</t>
        </is>
      </c>
      <c r="M157" s="39" t="inlineStr">
        <is>
          <t>江苏乐百仕教育科技有限公司</t>
        </is>
      </c>
      <c r="N157" s="364" t="n">
        <v>25</v>
      </c>
      <c r="O157" s="364" t="n">
        <v>3.75</v>
      </c>
      <c r="P157" s="345" t="n">
        <v>93.75</v>
      </c>
      <c r="Q157" s="345" t="inlineStr">
        <is>
          <t>个</t>
        </is>
      </c>
      <c r="R157" s="345" t="inlineStr"/>
      <c r="S157" s="345" t="inlineStr"/>
      <c r="T157" s="345" t="inlineStr"/>
      <c r="U157" s="345" t="inlineStr"/>
      <c r="V157" s="345" t="n">
        <v>3.75</v>
      </c>
      <c r="W157" s="345" t="inlineStr"/>
      <c r="X157" s="345" t="n">
        <v>4.12</v>
      </c>
      <c r="Y157" s="345" t="inlineStr"/>
      <c r="Z157" s="345" t="inlineStr">
        <is>
          <t>confirmed</t>
        </is>
      </c>
      <c r="AA157" s="345" t="n">
        <v>100</v>
      </c>
      <c r="AB157" s="345" t="inlineStr"/>
      <c r="AC157" s="345" t="inlineStr">
        <is>
          <t>高中理化生报价.xlsx｜凯迪｜第1839行</t>
        </is>
      </c>
    </row>
    <row r="158" customFormat="1" s="195">
      <c r="A158" s="323" t="n">
        <v>233</v>
      </c>
      <c r="B158" s="26" t="n">
        <v>30809000401</v>
      </c>
      <c r="C158" s="87" t="inlineStr">
        <is>
          <t>记号笔</t>
        </is>
      </c>
      <c r="D158" s="141" t="inlineStr">
        <is>
          <t>双头，油性墨水</t>
        </is>
      </c>
      <c r="E158" s="31" t="n">
        <v>25</v>
      </c>
      <c r="F158" s="26" t="inlineStr">
        <is>
          <t>支</t>
        </is>
      </c>
      <c r="G158" s="323">
        <f>_xlfn.DISPIMG("ID_36103951383142A59FFB8E53863E4339",1)</f>
        <v/>
      </c>
      <c r="H158" s="31" t="n"/>
      <c r="I158" s="220" t="n"/>
      <c r="J158" s="26" t="n">
        <v>30809000401</v>
      </c>
      <c r="K158" s="33" t="inlineStr">
        <is>
          <t>双头，油性墨水</t>
        </is>
      </c>
      <c r="L158" s="39" t="inlineStr">
        <is>
          <t>乐百仕</t>
        </is>
      </c>
      <c r="M158" s="39" t="inlineStr">
        <is>
          <t>江苏乐百仕教育科技有限公司</t>
        </is>
      </c>
      <c r="N158" s="364" t="n">
        <v>25</v>
      </c>
      <c r="O158" s="364" t="n">
        <v>1.5</v>
      </c>
      <c r="P158" s="345" t="n">
        <v>37.5</v>
      </c>
      <c r="Q158" s="345" t="inlineStr">
        <is>
          <t>支</t>
        </is>
      </c>
      <c r="R158" s="345" t="inlineStr"/>
      <c r="S158" s="345" t="inlineStr"/>
      <c r="T158" s="345" t="inlineStr"/>
      <c r="U158" s="345" t="inlineStr"/>
      <c r="V158" s="345" t="n">
        <v>2</v>
      </c>
      <c r="W158" s="345" t="inlineStr"/>
      <c r="X158" s="345" t="n">
        <v>2</v>
      </c>
      <c r="Y158" s="345" t="inlineStr"/>
      <c r="Z158" s="345" t="inlineStr">
        <is>
          <t>confirmed</t>
        </is>
      </c>
      <c r="AA158" s="345" t="n">
        <v>66.7</v>
      </c>
      <c r="AB158" s="345" t="inlineStr">
        <is>
          <t>价格分歧&gt;30%：历史报价分歧较大，需人工核对；同分多价：最高分候选存在不同历史价格</t>
        </is>
      </c>
      <c r="AC158" s="345" t="inlineStr">
        <is>
          <t>赛特尔25年.xls｜初中新课标生物｜第152行</t>
        </is>
      </c>
    </row>
    <row r="159" customFormat="1" s="192">
      <c r="A159" s="323" t="n">
        <v>234</v>
      </c>
      <c r="B159" s="103" t="n">
        <v>30820040401</v>
      </c>
      <c r="C159" s="119" t="inlineStr">
        <is>
          <t>喷壶</t>
        </is>
      </c>
      <c r="D159" s="105" t="inlineStr">
        <is>
          <t>500 mL</t>
        </is>
      </c>
      <c r="E159" s="131" t="n">
        <v>25</v>
      </c>
      <c r="F159" s="120" t="inlineStr">
        <is>
          <t>个</t>
        </is>
      </c>
      <c r="G159" s="131">
        <f>_xlfn.DISPIMG("ID_EB636A47EFA44CB08C7BBF9B5F290A02",1)</f>
        <v/>
      </c>
      <c r="H159" s="131" t="n"/>
      <c r="I159" s="229" t="n"/>
      <c r="J159" s="108" t="n">
        <v>30820040401</v>
      </c>
      <c r="K159" s="109" t="inlineStr">
        <is>
          <t>500 mL</t>
        </is>
      </c>
      <c r="L159" s="39" t="inlineStr">
        <is>
          <t>乐百仕</t>
        </is>
      </c>
      <c r="M159" s="39" t="inlineStr">
        <is>
          <t>江苏乐百仕教育科技有限公司</t>
        </is>
      </c>
      <c r="N159" s="362" t="n">
        <v>25</v>
      </c>
      <c r="O159" s="362" t="n">
        <v>11</v>
      </c>
      <c r="P159" s="345" t="n">
        <v>275</v>
      </c>
      <c r="Q159" s="345" t="inlineStr">
        <is>
          <t>个</t>
        </is>
      </c>
      <c r="R159" s="345" t="inlineStr"/>
      <c r="S159" s="345" t="inlineStr"/>
      <c r="T159" s="345" t="inlineStr"/>
      <c r="U159" s="345" t="inlineStr">
        <is>
          <t>塑料制品,有手柄,喷嘴，容量2L</t>
        </is>
      </c>
      <c r="V159" s="345" t="inlineStr"/>
      <c r="W159" s="345" t="inlineStr"/>
      <c r="X159" s="345" t="inlineStr"/>
      <c r="Y159" s="345" t="inlineStr"/>
      <c r="Z159" s="345" t="inlineStr">
        <is>
          <t>confirmed</t>
        </is>
      </c>
      <c r="AA159" s="345" t="n">
        <v>80</v>
      </c>
      <c r="AB159" s="345" t="inlineStr"/>
      <c r="AC159" s="345" t="inlineStr">
        <is>
          <t>赛特尔25年.xls｜小学科学｜第208行</t>
        </is>
      </c>
    </row>
    <row r="160" customFormat="1" s="195">
      <c r="A160" s="323" t="n">
        <v>237</v>
      </c>
      <c r="B160" s="31" t="n">
        <v>30801071001</v>
      </c>
      <c r="C160" s="30" t="inlineStr">
        <is>
          <t>封口膜</t>
        </is>
      </c>
      <c r="D160" s="141" t="inlineStr">
        <is>
          <t>10 cm×38 m</t>
        </is>
      </c>
      <c r="E160" s="154" t="n">
        <v>1</v>
      </c>
      <c r="F160" s="30" t="inlineStr">
        <is>
          <t>卷</t>
        </is>
      </c>
      <c r="G160" s="147">
        <f>_xlfn.DISPIMG("ID_3890470FC31844FABFDCD9866CA706FD",1)</f>
        <v/>
      </c>
      <c r="H160" s="26" t="n"/>
      <c r="I160" s="220" t="n"/>
      <c r="J160" s="31" t="n">
        <v>30801071001</v>
      </c>
      <c r="K160" s="33" t="inlineStr">
        <is>
          <t>10 cm×38 m</t>
        </is>
      </c>
      <c r="L160" s="39" t="inlineStr">
        <is>
          <t>乐百仕</t>
        </is>
      </c>
      <c r="M160" s="39" t="inlineStr">
        <is>
          <t>江苏乐百仕教育科技有限公司</t>
        </is>
      </c>
      <c r="N160" s="364" t="n">
        <v>1</v>
      </c>
      <c r="O160" s="364" t="n">
        <v>3</v>
      </c>
      <c r="P160" s="345" t="n">
        <v>3</v>
      </c>
      <c r="Q160" s="345" t="inlineStr">
        <is>
          <t>卷</t>
        </is>
      </c>
      <c r="R160" s="345" t="inlineStr"/>
      <c r="S160" s="345" t="inlineStr"/>
      <c r="T160" s="345" t="inlineStr"/>
      <c r="U160" s="345" t="inlineStr"/>
      <c r="V160" s="345" t="inlineStr"/>
      <c r="W160" s="345" t="inlineStr"/>
      <c r="X160" s="345" t="inlineStr"/>
      <c r="Y160" s="345" t="inlineStr"/>
      <c r="Z160" s="345" t="inlineStr">
        <is>
          <t>confirmed</t>
        </is>
      </c>
      <c r="AA160" s="345" t="n">
        <v>0</v>
      </c>
      <c r="AB160" s="345" t="inlineStr">
        <is>
          <t>匹配到商品档案但无历史价格记录</t>
        </is>
      </c>
      <c r="AC160" s="345" t="inlineStr">
        <is>
          <t>赛特尔25年.xls｜初中化学｜第138行</t>
        </is>
      </c>
    </row>
    <row r="161" customFormat="1" s="192">
      <c r="A161" s="323" t="n">
        <v>238</v>
      </c>
      <c r="B161" s="103" t="n">
        <v>30801071501</v>
      </c>
      <c r="C161" s="119" t="inlineStr">
        <is>
          <t>透析袋</t>
        </is>
      </c>
      <c r="D161" s="105" t="inlineStr">
        <is>
          <t>16 mm</t>
        </is>
      </c>
      <c r="E161" s="131" t="n">
        <v>1</v>
      </c>
      <c r="F161" s="120" t="inlineStr">
        <is>
          <t>卷</t>
        </is>
      </c>
      <c r="G161" s="131">
        <f>_xlfn.DISPIMG("ID_FD73DCFEA34F4D969D56728901C28DA2",1)</f>
        <v/>
      </c>
      <c r="H161" s="26" t="n"/>
      <c r="I161" s="229" t="n"/>
      <c r="J161" s="108" t="n">
        <v>30801071501</v>
      </c>
      <c r="K161" s="109" t="inlineStr">
        <is>
          <t>16 mm</t>
        </is>
      </c>
      <c r="L161" s="39" t="inlineStr">
        <is>
          <t>乐百仕</t>
        </is>
      </c>
      <c r="M161" s="39" t="inlineStr">
        <is>
          <t>江苏乐百仕教育科技有限公司</t>
        </is>
      </c>
      <c r="N161" s="362" t="n">
        <v>1</v>
      </c>
      <c r="O161" s="362" t="n">
        <v>7</v>
      </c>
      <c r="P161" s="345" t="n">
        <v>7</v>
      </c>
      <c r="Q161" s="345" t="inlineStr">
        <is>
          <t>卷</t>
        </is>
      </c>
      <c r="R161" s="345" t="inlineStr"/>
      <c r="S161" s="345" t="inlineStr"/>
      <c r="T161" s="345" t="inlineStr"/>
      <c r="U161" s="345" t="inlineStr">
        <is>
          <t>两种颜色，外径16mm</t>
        </is>
      </c>
      <c r="V161" s="345" t="inlineStr"/>
      <c r="W161" s="345" t="inlineStr"/>
      <c r="X161" s="345" t="inlineStr"/>
      <c r="Y161" s="345" t="inlineStr"/>
      <c r="Z161" s="345" t="inlineStr">
        <is>
          <t>confirmed</t>
        </is>
      </c>
      <c r="AA161" s="345" t="n">
        <v>0</v>
      </c>
      <c r="AB161" s="345" t="inlineStr">
        <is>
          <t>匹配到商品档案但无历史价格记录</t>
        </is>
      </c>
      <c r="AC161" s="345" t="inlineStr">
        <is>
          <t>赛特尔25年.xls｜初中数学｜第19行</t>
        </is>
      </c>
    </row>
    <row r="162" customFormat="1" s="192">
      <c r="A162" s="323" t="n">
        <v>239</v>
      </c>
      <c r="B162" s="103" t="n">
        <v>30801073201</v>
      </c>
      <c r="C162" s="119" t="inlineStr">
        <is>
          <t>毛细吸管</t>
        </is>
      </c>
      <c r="D162" s="105" t="inlineStr">
        <is>
          <t>玻璃材质，50 支/盒</t>
        </is>
      </c>
      <c r="E162" s="131" t="n">
        <v>13</v>
      </c>
      <c r="F162" s="120" t="inlineStr">
        <is>
          <t>盒</t>
        </is>
      </c>
      <c r="G162" s="131">
        <f>_xlfn.DISPIMG("ID_1C0F715C05184155B456B3B8B84BBDE1",1)</f>
        <v/>
      </c>
      <c r="H162" s="131" t="n"/>
      <c r="I162" s="229" t="n"/>
      <c r="J162" s="108" t="n">
        <v>30801073201</v>
      </c>
      <c r="K162" s="109" t="inlineStr">
        <is>
          <t>玻璃材质，50 支/盒</t>
        </is>
      </c>
      <c r="L162" s="39" t="inlineStr">
        <is>
          <t>乐百仕</t>
        </is>
      </c>
      <c r="M162" s="39" t="inlineStr">
        <is>
          <t>江苏乐百仕教育科技有限公司</t>
        </is>
      </c>
      <c r="N162" s="362" t="n">
        <v>13</v>
      </c>
      <c r="O162" s="362" t="n">
        <v>60</v>
      </c>
      <c r="P162" s="345" t="n">
        <v>780</v>
      </c>
      <c r="Q162" s="345" t="inlineStr">
        <is>
          <t>盒</t>
        </is>
      </c>
      <c r="R162" s="345" t="inlineStr">
        <is>
          <t>群信</t>
        </is>
      </c>
      <c r="S162" s="345" t="inlineStr"/>
      <c r="T162" s="345" t="inlineStr">
        <is>
          <t>21046</t>
        </is>
      </c>
      <c r="U162" s="345" t="inlineStr">
        <is>
          <t>21046</t>
        </is>
      </c>
      <c r="V162" s="345" t="inlineStr"/>
      <c r="W162" s="345" t="inlineStr"/>
      <c r="X162" s="345" t="inlineStr"/>
      <c r="Y162" s="345" t="inlineStr"/>
      <c r="Z162" s="345" t="inlineStr">
        <is>
          <t>confirmed</t>
        </is>
      </c>
      <c r="AA162" s="345" t="n">
        <v>0</v>
      </c>
      <c r="AB162" s="345" t="inlineStr">
        <is>
          <t>匹配到商品档案但无历史价格记录</t>
        </is>
      </c>
      <c r="AC162" s="345" t="inlineStr">
        <is>
          <t>高中理化生报价.xlsx｜凯迪｜第132行</t>
        </is>
      </c>
    </row>
    <row r="163" customFormat="1" s="195">
      <c r="A163" s="323" t="n">
        <v>240</v>
      </c>
      <c r="B163" s="26" t="n">
        <v>40206010203</v>
      </c>
      <c r="C163" s="30" t="inlineStr">
        <is>
          <t>注射器</t>
        </is>
      </c>
      <c r="D163" s="141" t="inlineStr">
        <is>
          <t>5 mL，塑料材质</t>
        </is>
      </c>
      <c r="E163" s="31" t="n">
        <v>25</v>
      </c>
      <c r="F163" s="30" t="inlineStr">
        <is>
          <t>支</t>
        </is>
      </c>
      <c r="G163" s="31">
        <f>_xlfn.DISPIMG("ID_59434F119C654DE287818E36C477C6C1",1)</f>
        <v/>
      </c>
      <c r="H163" s="31" t="n"/>
      <c r="I163" s="220" t="n"/>
      <c r="J163" s="26" t="n">
        <v>40206010203</v>
      </c>
      <c r="K163" s="33" t="inlineStr">
        <is>
          <t>5 mL，塑料材质</t>
        </is>
      </c>
      <c r="L163" s="39" t="inlineStr">
        <is>
          <t>乐百仕</t>
        </is>
      </c>
      <c r="M163" s="39" t="inlineStr">
        <is>
          <t>江苏乐百仕教育科技有限公司</t>
        </is>
      </c>
      <c r="N163" s="364" t="n">
        <v>25</v>
      </c>
      <c r="O163" s="364" t="n">
        <v>1</v>
      </c>
      <c r="P163" s="345" t="n">
        <v>25</v>
      </c>
      <c r="Q163" s="345" t="inlineStr">
        <is>
          <t>支</t>
        </is>
      </c>
      <c r="R163" s="345" t="inlineStr"/>
      <c r="S163" s="345" t="inlineStr"/>
      <c r="T163" s="345" t="inlineStr"/>
      <c r="U163" s="345" t="inlineStr"/>
      <c r="V163" s="345" t="inlineStr"/>
      <c r="W163" s="345" t="inlineStr"/>
      <c r="X163" s="345" t="inlineStr"/>
      <c r="Y163" s="345" t="inlineStr"/>
      <c r="Z163" s="345" t="inlineStr">
        <is>
          <t>confirmed</t>
        </is>
      </c>
      <c r="AA163" s="345" t="n">
        <v>0</v>
      </c>
      <c r="AB163" s="345" t="inlineStr">
        <is>
          <t>没有找到可靠候选</t>
        </is>
      </c>
      <c r="AC163" s="345" t="inlineStr">
        <is>
          <t>赛特尔25年.xls｜初中新课标化学｜第177行</t>
        </is>
      </c>
    </row>
    <row r="164" customFormat="1" s="192">
      <c r="A164" s="323" t="n">
        <v>241</v>
      </c>
      <c r="B164" s="103" t="n">
        <v>40206010205</v>
      </c>
      <c r="C164" s="30" t="inlineStr">
        <is>
          <t>注射器</t>
        </is>
      </c>
      <c r="D164" s="105" t="inlineStr">
        <is>
          <t>30 mL，塑料材质</t>
        </is>
      </c>
      <c r="E164" s="131" t="n">
        <v>25</v>
      </c>
      <c r="F164" s="30" t="inlineStr">
        <is>
          <t>支</t>
        </is>
      </c>
      <c r="G164" s="131">
        <f>_xlfn.DISPIMG("ID_974FD8D7DCCB45E38DA1071082FDD08D",1)</f>
        <v/>
      </c>
      <c r="H164" s="131" t="n"/>
      <c r="I164" s="229" t="n"/>
      <c r="J164" s="108" t="n">
        <v>40206010205</v>
      </c>
      <c r="K164" s="109" t="inlineStr">
        <is>
          <t>30 mL，塑料材质</t>
        </is>
      </c>
      <c r="L164" s="39" t="inlineStr">
        <is>
          <t>乐百仕</t>
        </is>
      </c>
      <c r="M164" s="39" t="inlineStr">
        <is>
          <t>江苏乐百仕教育科技有限公司</t>
        </is>
      </c>
      <c r="N164" s="362" t="n">
        <v>25</v>
      </c>
      <c r="O164" s="362" t="n">
        <v>1</v>
      </c>
      <c r="P164" s="345" t="n">
        <v>25</v>
      </c>
      <c r="Q164" s="345" t="inlineStr">
        <is>
          <t>支</t>
        </is>
      </c>
      <c r="R164" s="345" t="inlineStr"/>
      <c r="S164" s="345" t="inlineStr"/>
      <c r="T164" s="345" t="inlineStr"/>
      <c r="U164" s="345" t="inlineStr"/>
      <c r="V164" s="345" t="inlineStr"/>
      <c r="W164" s="345" t="inlineStr"/>
      <c r="X164" s="345" t="inlineStr"/>
      <c r="Y164" s="345" t="inlineStr"/>
      <c r="Z164" s="345" t="inlineStr">
        <is>
          <t>confirmed</t>
        </is>
      </c>
      <c r="AA164" s="345" t="n">
        <v>0</v>
      </c>
      <c r="AB164" s="345" t="inlineStr">
        <is>
          <t>没有找到可靠候选</t>
        </is>
      </c>
      <c r="AC164" s="345" t="inlineStr">
        <is>
          <t>赛特尔25年.xls｜初中新课标化学｜第177行</t>
        </is>
      </c>
    </row>
    <row r="165" customFormat="1" s="192">
      <c r="A165" s="323" t="n">
        <v>242</v>
      </c>
      <c r="B165" s="103" t="n">
        <v>40206010206</v>
      </c>
      <c r="C165" s="30" t="inlineStr">
        <is>
          <t>注射器</t>
        </is>
      </c>
      <c r="D165" s="105" t="inlineStr">
        <is>
          <t>50 mL，塑料材质</t>
        </is>
      </c>
      <c r="E165" s="131" t="n">
        <v>25</v>
      </c>
      <c r="F165" s="30" t="inlineStr">
        <is>
          <t>支</t>
        </is>
      </c>
      <c r="G165" s="131">
        <f>_xlfn.DISPIMG("ID_D222E9C4937A43D09E3E2BCD94CC3416",1)</f>
        <v/>
      </c>
      <c r="H165" s="131" t="n"/>
      <c r="I165" s="229" t="n"/>
      <c r="J165" s="108" t="n">
        <v>40206010206</v>
      </c>
      <c r="K165" s="109" t="inlineStr">
        <is>
          <t>50 mL，塑料材质</t>
        </is>
      </c>
      <c r="L165" s="39" t="inlineStr">
        <is>
          <t>乐百仕</t>
        </is>
      </c>
      <c r="M165" s="39" t="inlineStr">
        <is>
          <t>江苏乐百仕教育科技有限公司</t>
        </is>
      </c>
      <c r="N165" s="362" t="n">
        <v>25</v>
      </c>
      <c r="O165" s="362" t="n">
        <v>1</v>
      </c>
      <c r="P165" s="345" t="n">
        <v>25</v>
      </c>
      <c r="Q165" s="345" t="inlineStr">
        <is>
          <t>支</t>
        </is>
      </c>
      <c r="R165" s="345" t="inlineStr"/>
      <c r="S165" s="345" t="inlineStr"/>
      <c r="T165" s="345" t="inlineStr"/>
      <c r="U165" s="345" t="inlineStr"/>
      <c r="V165" s="345" t="inlineStr"/>
      <c r="W165" s="345" t="inlineStr"/>
      <c r="X165" s="345" t="inlineStr"/>
      <c r="Y165" s="345" t="inlineStr"/>
      <c r="Z165" s="345" t="inlineStr">
        <is>
          <t>confirmed</t>
        </is>
      </c>
      <c r="AA165" s="345" t="n">
        <v>0</v>
      </c>
      <c r="AB165" s="345" t="inlineStr">
        <is>
          <t>没有找到可靠候选</t>
        </is>
      </c>
      <c r="AC165" s="345" t="inlineStr">
        <is>
          <t>赛特尔25年.xls｜初中新课标化学｜第177行</t>
        </is>
      </c>
    </row>
    <row r="166" customFormat="1" s="192">
      <c r="A166" s="323" t="n">
        <v>243</v>
      </c>
      <c r="B166" s="103" t="n">
        <v>30309022801</v>
      </c>
      <c r="C166" s="119" t="inlineStr">
        <is>
          <t>移液器吸头盒</t>
        </is>
      </c>
      <c r="D166" s="105" t="inlineStr">
        <is>
          <t>10 µL，96 孔</t>
        </is>
      </c>
      <c r="E166" s="131" t="n">
        <v>25</v>
      </c>
      <c r="F166" s="120" t="inlineStr">
        <is>
          <t>个</t>
        </is>
      </c>
      <c r="G166" s="131">
        <f>_xlfn.DISPIMG("ID_1485196A0FAB44158D2D53D000C2CFEB",1)</f>
        <v/>
      </c>
      <c r="H166" s="131" t="n"/>
      <c r="I166" s="229" t="n"/>
      <c r="J166" s="108" t="n">
        <v>30309022801</v>
      </c>
      <c r="K166" s="109" t="inlineStr">
        <is>
          <t>10 µL，96 孔</t>
        </is>
      </c>
      <c r="L166" s="39" t="inlineStr">
        <is>
          <t>乐百仕</t>
        </is>
      </c>
      <c r="M166" s="39" t="inlineStr">
        <is>
          <t>江苏乐百仕教育科技有限公司</t>
        </is>
      </c>
      <c r="N166" s="362" t="n">
        <v>25</v>
      </c>
      <c r="O166" s="362" t="n">
        <v>45</v>
      </c>
      <c r="P166" s="345" t="n">
        <v>1125</v>
      </c>
      <c r="Q166" s="345" t="inlineStr">
        <is>
          <t>个</t>
        </is>
      </c>
      <c r="R166" s="345" t="inlineStr">
        <is>
          <t>群信</t>
        </is>
      </c>
      <c r="S166" s="345" t="inlineStr"/>
      <c r="T166" s="345" t="inlineStr"/>
      <c r="U166" s="345" t="inlineStr">
        <is>
          <t>27027</t>
        </is>
      </c>
      <c r="V166" s="345" t="inlineStr"/>
      <c r="W166" s="345" t="inlineStr"/>
      <c r="X166" s="345" t="inlineStr"/>
      <c r="Y166" s="345" t="inlineStr"/>
      <c r="Z166" s="345" t="inlineStr">
        <is>
          <t>confirmed</t>
        </is>
      </c>
      <c r="AA166" s="345" t="n">
        <v>60</v>
      </c>
      <c r="AB166" s="345" t="inlineStr"/>
      <c r="AC166" s="345" t="inlineStr">
        <is>
          <t>高中理化生报价.xlsx｜凯迪｜第1436行</t>
        </is>
      </c>
    </row>
    <row r="167" customFormat="1" s="192">
      <c r="A167" s="323" t="n">
        <v>244</v>
      </c>
      <c r="B167" s="103" t="n">
        <v>30309022806</v>
      </c>
      <c r="C167" s="119" t="inlineStr">
        <is>
          <t>移液器吸头盒</t>
        </is>
      </c>
      <c r="D167" s="105" t="inlineStr">
        <is>
          <t>200 µL，96 孔</t>
        </is>
      </c>
      <c r="E167" s="131" t="n">
        <v>25</v>
      </c>
      <c r="F167" s="120" t="inlineStr">
        <is>
          <t>个</t>
        </is>
      </c>
      <c r="G167" s="131">
        <f>_xlfn.DISPIMG("ID_8DE7A8C31415473C9B6AB6E49F61633A",1)</f>
        <v/>
      </c>
      <c r="H167" s="131" t="n"/>
      <c r="I167" s="229" t="n"/>
      <c r="J167" s="108" t="n">
        <v>30309022806</v>
      </c>
      <c r="K167" s="109" t="inlineStr">
        <is>
          <t>200 µL，96 孔</t>
        </is>
      </c>
      <c r="L167" s="39" t="inlineStr">
        <is>
          <t>乐百仕</t>
        </is>
      </c>
      <c r="M167" s="39" t="inlineStr">
        <is>
          <t>江苏乐百仕教育科技有限公司</t>
        </is>
      </c>
      <c r="N167" s="362" t="n">
        <v>25</v>
      </c>
      <c r="O167" s="362" t="n">
        <v>45</v>
      </c>
      <c r="P167" s="345" t="n">
        <v>1125</v>
      </c>
      <c r="Q167" s="345" t="inlineStr">
        <is>
          <t>个</t>
        </is>
      </c>
      <c r="R167" s="345" t="inlineStr">
        <is>
          <t>群信</t>
        </is>
      </c>
      <c r="S167" s="345" t="inlineStr"/>
      <c r="T167" s="345" t="inlineStr"/>
      <c r="U167" s="345" t="inlineStr">
        <is>
          <t>27027</t>
        </is>
      </c>
      <c r="V167" s="345" t="inlineStr"/>
      <c r="W167" s="345" t="inlineStr"/>
      <c r="X167" s="345" t="inlineStr"/>
      <c r="Y167" s="345" t="inlineStr"/>
      <c r="Z167" s="345" t="inlineStr">
        <is>
          <t>confirmed</t>
        </is>
      </c>
      <c r="AA167" s="345" t="n">
        <v>60</v>
      </c>
      <c r="AB167" s="345" t="inlineStr"/>
      <c r="AC167" s="345" t="inlineStr">
        <is>
          <t>高中理化生报价.xlsx｜凯迪｜第1436行</t>
        </is>
      </c>
    </row>
    <row r="168" customFormat="1" s="192">
      <c r="A168" s="323" t="n">
        <v>245</v>
      </c>
      <c r="B168" s="103" t="n">
        <v>30309022811</v>
      </c>
      <c r="C168" s="119" t="inlineStr">
        <is>
          <t>移液器吸头盒</t>
        </is>
      </c>
      <c r="D168" s="105" t="inlineStr">
        <is>
          <t>1000 µL，60 孔</t>
        </is>
      </c>
      <c r="E168" s="131" t="n">
        <v>25</v>
      </c>
      <c r="F168" s="120" t="inlineStr">
        <is>
          <t>个</t>
        </is>
      </c>
      <c r="G168" s="131">
        <f>_xlfn.DISPIMG("ID_10E0C0FFA92C441F9031693DE265643E",1)</f>
        <v/>
      </c>
      <c r="H168" s="131" t="n"/>
      <c r="I168" s="229" t="n"/>
      <c r="J168" s="108" t="n">
        <v>30309022811</v>
      </c>
      <c r="K168" s="109" t="inlineStr">
        <is>
          <t>1000 µL，60 孔</t>
        </is>
      </c>
      <c r="L168" s="39" t="inlineStr">
        <is>
          <t>乐百仕</t>
        </is>
      </c>
      <c r="M168" s="39" t="inlineStr">
        <is>
          <t>江苏乐百仕教育科技有限公司</t>
        </is>
      </c>
      <c r="N168" s="362" t="n">
        <v>25</v>
      </c>
      <c r="O168" s="362" t="n">
        <v>45</v>
      </c>
      <c r="P168" s="345" t="n">
        <v>1125</v>
      </c>
      <c r="Q168" s="345" t="inlineStr">
        <is>
          <t>个</t>
        </is>
      </c>
      <c r="R168" s="345" t="inlineStr">
        <is>
          <t>群信</t>
        </is>
      </c>
      <c r="S168" s="345" t="inlineStr"/>
      <c r="T168" s="345" t="inlineStr"/>
      <c r="U168" s="345" t="inlineStr">
        <is>
          <t>27027</t>
        </is>
      </c>
      <c r="V168" s="345" t="inlineStr"/>
      <c r="W168" s="345" t="inlineStr"/>
      <c r="X168" s="345" t="inlineStr"/>
      <c r="Y168" s="345" t="inlineStr"/>
      <c r="Z168" s="345" t="inlineStr">
        <is>
          <t>confirmed</t>
        </is>
      </c>
      <c r="AA168" s="345" t="n">
        <v>60</v>
      </c>
      <c r="AB168" s="345" t="inlineStr"/>
      <c r="AC168" s="345" t="inlineStr">
        <is>
          <t>高中理化生报价.xlsx｜凯迪｜第1436行</t>
        </is>
      </c>
    </row>
    <row r="169" customFormat="1" s="192">
      <c r="A169" s="323" t="n">
        <v>246</v>
      </c>
      <c r="B169" s="103" t="n">
        <v>30309022815</v>
      </c>
      <c r="C169" s="119" t="inlineStr">
        <is>
          <t>移液器吸头盒</t>
        </is>
      </c>
      <c r="D169" s="105" t="inlineStr">
        <is>
          <t>5 mL，28 孔</t>
        </is>
      </c>
      <c r="E169" s="131" t="n">
        <v>25</v>
      </c>
      <c r="F169" s="120" t="inlineStr">
        <is>
          <t>个</t>
        </is>
      </c>
      <c r="G169" s="131">
        <f>_xlfn.DISPIMG("ID_F71850EBD2F24187ADB590EF0C72988E",1)</f>
        <v/>
      </c>
      <c r="H169" s="131" t="n"/>
      <c r="I169" s="229" t="n"/>
      <c r="J169" s="108" t="n">
        <v>30309022815</v>
      </c>
      <c r="K169" s="109" t="inlineStr">
        <is>
          <t>5 mL，28 孔</t>
        </is>
      </c>
      <c r="L169" s="39" t="inlineStr">
        <is>
          <t>乐百仕</t>
        </is>
      </c>
      <c r="M169" s="39" t="inlineStr">
        <is>
          <t>江苏乐百仕教育科技有限公司</t>
        </is>
      </c>
      <c r="N169" s="362" t="n">
        <v>25</v>
      </c>
      <c r="O169" s="362" t="n">
        <v>45</v>
      </c>
      <c r="P169" s="345" t="n">
        <v>1125</v>
      </c>
      <c r="Q169" s="345" t="inlineStr">
        <is>
          <t>个</t>
        </is>
      </c>
      <c r="R169" s="345" t="inlineStr">
        <is>
          <t>群信</t>
        </is>
      </c>
      <c r="S169" s="345" t="inlineStr"/>
      <c r="T169" s="345" t="inlineStr"/>
      <c r="U169" s="345" t="inlineStr">
        <is>
          <t>27027</t>
        </is>
      </c>
      <c r="V169" s="345" t="inlineStr"/>
      <c r="W169" s="345" t="inlineStr"/>
      <c r="X169" s="345" t="inlineStr"/>
      <c r="Y169" s="345" t="inlineStr"/>
      <c r="Z169" s="345" t="inlineStr">
        <is>
          <t>confirmed</t>
        </is>
      </c>
      <c r="AA169" s="345" t="n">
        <v>60</v>
      </c>
      <c r="AB169" s="345" t="inlineStr"/>
      <c r="AC169" s="345" t="inlineStr">
        <is>
          <t>高中理化生报价.xlsx｜凯迪｜第1436行</t>
        </is>
      </c>
    </row>
    <row r="170" customFormat="1" s="192">
      <c r="A170" s="323" t="n">
        <v>247</v>
      </c>
      <c r="B170" s="103" t="n">
        <v>30309022701</v>
      </c>
      <c r="C170" s="119" t="inlineStr">
        <is>
          <t>移液器吸头</t>
        </is>
      </c>
      <c r="D170" s="105" t="inlineStr">
        <is>
          <t>10 µL</t>
        </is>
      </c>
      <c r="E170" s="131" t="n">
        <v>1</v>
      </c>
      <c r="F170" s="120" t="inlineStr">
        <is>
          <t>包</t>
        </is>
      </c>
      <c r="G170" s="131">
        <f>_xlfn.DISPIMG("ID_4228950B550B429D9B51C7C7A78A3B73",1)</f>
        <v/>
      </c>
      <c r="H170" s="131" t="n"/>
      <c r="I170" s="229" t="n"/>
      <c r="J170" s="108" t="n">
        <v>30309022701</v>
      </c>
      <c r="K170" s="109" t="inlineStr">
        <is>
          <t>10 µL</t>
        </is>
      </c>
      <c r="L170" s="39" t="inlineStr">
        <is>
          <t>乐百仕</t>
        </is>
      </c>
      <c r="M170" s="39" t="inlineStr">
        <is>
          <t>江苏乐百仕教育科技有限公司</t>
        </is>
      </c>
      <c r="N170" s="362" t="n">
        <v>1</v>
      </c>
      <c r="O170" s="362" t="n">
        <v>85</v>
      </c>
      <c r="P170" s="345" t="n">
        <v>85</v>
      </c>
      <c r="Q170" s="345" t="inlineStr">
        <is>
          <t>包</t>
        </is>
      </c>
      <c r="R170" s="345" t="inlineStr"/>
      <c r="S170" s="345" t="inlineStr"/>
      <c r="T170" s="345" t="inlineStr"/>
      <c r="U170" s="345" t="inlineStr"/>
      <c r="V170" s="345" t="inlineStr"/>
      <c r="W170" s="345" t="inlineStr"/>
      <c r="X170" s="345" t="inlineStr"/>
      <c r="Y170" s="345" t="inlineStr"/>
      <c r="Z170" s="345" t="inlineStr">
        <is>
          <t>confirmed</t>
        </is>
      </c>
      <c r="AA170" s="345" t="n">
        <v>0</v>
      </c>
      <c r="AB170" s="345" t="inlineStr">
        <is>
          <t>匹配到商品档案但无历史价格记录</t>
        </is>
      </c>
      <c r="AC170" s="345" t="inlineStr">
        <is>
          <t>赛特尔25年.xls｜初中生物｜第25行</t>
        </is>
      </c>
    </row>
    <row r="171" customFormat="1" s="192">
      <c r="A171" s="323" t="n">
        <v>248</v>
      </c>
      <c r="B171" s="103" t="n">
        <v>30309022706</v>
      </c>
      <c r="C171" s="119" t="inlineStr">
        <is>
          <t>移液器吸头</t>
        </is>
      </c>
      <c r="D171" s="105" t="inlineStr">
        <is>
          <t>200 µL</t>
        </is>
      </c>
      <c r="E171" s="131" t="n">
        <v>1</v>
      </c>
      <c r="F171" s="120" t="inlineStr">
        <is>
          <t>包</t>
        </is>
      </c>
      <c r="G171" s="131">
        <f>_xlfn.DISPIMG("ID_B454554E49B644F386B597FA7672BAF8",1)</f>
        <v/>
      </c>
      <c r="H171" s="131" t="n"/>
      <c r="I171" s="229" t="n"/>
      <c r="J171" s="108" t="n">
        <v>30309022706</v>
      </c>
      <c r="K171" s="109" t="inlineStr">
        <is>
          <t>200 µL</t>
        </is>
      </c>
      <c r="L171" s="39" t="inlineStr">
        <is>
          <t>乐百仕</t>
        </is>
      </c>
      <c r="M171" s="39" t="inlineStr">
        <is>
          <t>江苏乐百仕教育科技有限公司</t>
        </is>
      </c>
      <c r="N171" s="362" t="n">
        <v>1</v>
      </c>
      <c r="O171" s="362" t="n">
        <v>85</v>
      </c>
      <c r="P171" s="345" t="n">
        <v>85</v>
      </c>
      <c r="Q171" s="345" t="inlineStr">
        <is>
          <t>包</t>
        </is>
      </c>
      <c r="R171" s="345" t="inlineStr"/>
      <c r="S171" s="345" t="inlineStr"/>
      <c r="T171" s="345" t="inlineStr"/>
      <c r="U171" s="345" t="inlineStr"/>
      <c r="V171" s="345" t="inlineStr"/>
      <c r="W171" s="345" t="inlineStr"/>
      <c r="X171" s="345" t="inlineStr"/>
      <c r="Y171" s="345" t="inlineStr"/>
      <c r="Z171" s="345" t="inlineStr">
        <is>
          <t>confirmed</t>
        </is>
      </c>
      <c r="AA171" s="345" t="n">
        <v>0</v>
      </c>
      <c r="AB171" s="345" t="inlineStr">
        <is>
          <t>匹配到商品档案但无历史价格记录</t>
        </is>
      </c>
      <c r="AC171" s="345" t="inlineStr">
        <is>
          <t>赛特尔25年.xls｜初中生物｜第25行</t>
        </is>
      </c>
    </row>
    <row r="172" customFormat="1" s="192">
      <c r="A172" s="323" t="n">
        <v>249</v>
      </c>
      <c r="B172" s="103" t="n">
        <v>30309022711</v>
      </c>
      <c r="C172" s="119" t="inlineStr">
        <is>
          <t>移液器吸头</t>
        </is>
      </c>
      <c r="D172" s="105" t="inlineStr">
        <is>
          <t>1000 µL</t>
        </is>
      </c>
      <c r="E172" s="131" t="n">
        <v>1</v>
      </c>
      <c r="F172" s="120" t="inlineStr">
        <is>
          <t>包</t>
        </is>
      </c>
      <c r="G172" s="131">
        <f>_xlfn.DISPIMG("ID_37A34806FBD44829A1B91B78E1055856",1)</f>
        <v/>
      </c>
      <c r="H172" s="131" t="n"/>
      <c r="I172" s="229" t="n"/>
      <c r="J172" s="108" t="n">
        <v>30309022711</v>
      </c>
      <c r="K172" s="109" t="inlineStr">
        <is>
          <t>1000 µL</t>
        </is>
      </c>
      <c r="L172" s="39" t="inlineStr">
        <is>
          <t>乐百仕</t>
        </is>
      </c>
      <c r="M172" s="39" t="inlineStr">
        <is>
          <t>江苏乐百仕教育科技有限公司</t>
        </is>
      </c>
      <c r="N172" s="362" t="n">
        <v>1</v>
      </c>
      <c r="O172" s="362" t="n">
        <v>85</v>
      </c>
      <c r="P172" s="345" t="n">
        <v>85</v>
      </c>
      <c r="Q172" s="345" t="inlineStr">
        <is>
          <t>包</t>
        </is>
      </c>
      <c r="R172" s="345" t="inlineStr"/>
      <c r="S172" s="345" t="inlineStr"/>
      <c r="T172" s="345" t="inlineStr"/>
      <c r="U172" s="345" t="inlineStr"/>
      <c r="V172" s="345" t="inlineStr"/>
      <c r="W172" s="345" t="inlineStr"/>
      <c r="X172" s="345" t="inlineStr"/>
      <c r="Y172" s="345" t="inlineStr"/>
      <c r="Z172" s="345" t="inlineStr">
        <is>
          <t>confirmed</t>
        </is>
      </c>
      <c r="AA172" s="345" t="n">
        <v>0</v>
      </c>
      <c r="AB172" s="345" t="inlineStr">
        <is>
          <t>匹配到商品档案但无历史价格记录</t>
        </is>
      </c>
      <c r="AC172" s="345" t="inlineStr">
        <is>
          <t>赛特尔25年.xls｜初中生物｜第25行</t>
        </is>
      </c>
    </row>
    <row r="173" customFormat="1" s="192">
      <c r="A173" s="323" t="n">
        <v>250</v>
      </c>
      <c r="B173" s="103" t="n">
        <v>30309022715</v>
      </c>
      <c r="C173" s="119" t="inlineStr">
        <is>
          <t>移液器吸头</t>
        </is>
      </c>
      <c r="D173" s="105" t="inlineStr">
        <is>
          <t>5 mL</t>
        </is>
      </c>
      <c r="E173" s="131" t="n">
        <v>1</v>
      </c>
      <c r="F173" s="120" t="inlineStr">
        <is>
          <t>包</t>
        </is>
      </c>
      <c r="G173" s="131">
        <f>_xlfn.DISPIMG("ID_3B44D0D6705843DBB45C07875560ABF0",1)</f>
        <v/>
      </c>
      <c r="H173" s="131" t="n"/>
      <c r="I173" s="229" t="n"/>
      <c r="J173" s="108" t="n">
        <v>30309022715</v>
      </c>
      <c r="K173" s="109" t="inlineStr">
        <is>
          <t>5 mL</t>
        </is>
      </c>
      <c r="L173" s="39" t="inlineStr">
        <is>
          <t>乐百仕</t>
        </is>
      </c>
      <c r="M173" s="39" t="inlineStr">
        <is>
          <t>江苏乐百仕教育科技有限公司</t>
        </is>
      </c>
      <c r="N173" s="362" t="n">
        <v>1</v>
      </c>
      <c r="O173" s="362" t="n">
        <v>85</v>
      </c>
      <c r="P173" s="345" t="n">
        <v>85</v>
      </c>
      <c r="Q173" s="345" t="inlineStr">
        <is>
          <t>包</t>
        </is>
      </c>
      <c r="R173" s="345" t="inlineStr"/>
      <c r="S173" s="345" t="inlineStr"/>
      <c r="T173" s="345" t="inlineStr"/>
      <c r="U173" s="345" t="inlineStr"/>
      <c r="V173" s="345" t="inlineStr"/>
      <c r="W173" s="345" t="inlineStr"/>
      <c r="X173" s="345" t="inlineStr"/>
      <c r="Y173" s="345" t="inlineStr"/>
      <c r="Z173" s="345" t="inlineStr">
        <is>
          <t>confirmed</t>
        </is>
      </c>
      <c r="AA173" s="345" t="n">
        <v>0</v>
      </c>
      <c r="AB173" s="345" t="inlineStr">
        <is>
          <t>匹配到商品档案但无历史价格记录</t>
        </is>
      </c>
      <c r="AC173" s="345" t="inlineStr">
        <is>
          <t>赛特尔25年.xls｜初中生物｜第25行</t>
        </is>
      </c>
    </row>
    <row r="174" customFormat="1" s="192">
      <c r="A174" s="323" t="n">
        <v>251</v>
      </c>
      <c r="B174" s="103" t="n">
        <v>30605009102</v>
      </c>
      <c r="C174" s="119" t="inlineStr">
        <is>
          <t>塑料多用滴管</t>
        </is>
      </c>
      <c r="D174" s="105" t="inlineStr">
        <is>
          <t>4 mL</t>
        </is>
      </c>
      <c r="E174" s="131" t="n">
        <v>100</v>
      </c>
      <c r="F174" s="120" t="inlineStr">
        <is>
          <t>支</t>
        </is>
      </c>
      <c r="G174" s="131">
        <f>_xlfn.DISPIMG("ID_00BCBBBE393B40B9BA552CB501808107",1)</f>
        <v/>
      </c>
      <c r="H174" s="131" t="n"/>
      <c r="I174" s="229" t="n"/>
      <c r="J174" s="108" t="n">
        <v>30605009102</v>
      </c>
      <c r="K174" s="109" t="inlineStr">
        <is>
          <t>4 mL</t>
        </is>
      </c>
      <c r="L174" s="39" t="inlineStr">
        <is>
          <t>乐百仕</t>
        </is>
      </c>
      <c r="M174" s="39" t="inlineStr">
        <is>
          <t>江苏乐百仕教育科技有限公司</t>
        </is>
      </c>
      <c r="N174" s="362" t="n">
        <v>100</v>
      </c>
      <c r="O174" s="362" t="n">
        <v>0.4</v>
      </c>
      <c r="P174" s="345" t="n">
        <v>40</v>
      </c>
      <c r="Q174" s="345" t="inlineStr">
        <is>
          <t>支</t>
        </is>
      </c>
      <c r="R174" s="345" t="inlineStr"/>
      <c r="S174" s="345" t="inlineStr"/>
      <c r="T174" s="345" t="inlineStr"/>
      <c r="U174" s="345" t="inlineStr"/>
      <c r="V174" s="345" t="n">
        <v>1</v>
      </c>
      <c r="W174" s="345" t="inlineStr"/>
      <c r="X174" s="345" t="n">
        <v>1.4</v>
      </c>
      <c r="Y174" s="345" t="inlineStr"/>
      <c r="Z174" s="345" t="inlineStr">
        <is>
          <t>confirmed</t>
        </is>
      </c>
      <c r="AA174" s="345" t="n">
        <v>100</v>
      </c>
      <c r="AB174" s="345" t="inlineStr">
        <is>
          <t>同分多价：最高分候选存在不同历史价格</t>
        </is>
      </c>
      <c r="AC174" s="345" t="inlineStr">
        <is>
          <t>赛特尔25年.xls｜初中新课标化学｜第171行</t>
        </is>
      </c>
    </row>
    <row r="175" customFormat="1" s="192">
      <c r="A175" s="323" t="n">
        <v>252</v>
      </c>
      <c r="B175" s="103" t="n">
        <v>30751009102</v>
      </c>
      <c r="C175" s="119" t="inlineStr">
        <is>
          <t>定性滤纸</t>
        </is>
      </c>
      <c r="D175" s="105" t="inlineStr">
        <is>
          <t>快速，直径 9 cm</t>
        </is>
      </c>
      <c r="E175" s="131" t="n">
        <v>20</v>
      </c>
      <c r="F175" s="120" t="inlineStr">
        <is>
          <t>盒</t>
        </is>
      </c>
      <c r="G175" s="131">
        <f>_xlfn.DISPIMG("ID_5DE1A291AE034244B02E98551AC1CE24",1)</f>
        <v/>
      </c>
      <c r="H175" s="131" t="n"/>
      <c r="I175" s="229" t="n"/>
      <c r="J175" s="108" t="n">
        <v>30751009102</v>
      </c>
      <c r="K175" s="109" t="inlineStr">
        <is>
          <t>快速，直径 9 cm</t>
        </is>
      </c>
      <c r="L175" s="39" t="inlineStr">
        <is>
          <t>乐百仕</t>
        </is>
      </c>
      <c r="M175" s="39" t="inlineStr">
        <is>
          <t>江苏乐百仕教育科技有限公司</t>
        </is>
      </c>
      <c r="N175" s="362" t="n">
        <v>20</v>
      </c>
      <c r="O175" s="362" t="n">
        <v>10</v>
      </c>
      <c r="P175" s="345" t="n">
        <v>200</v>
      </c>
      <c r="Q175" s="345" t="inlineStr">
        <is>
          <t>盒</t>
        </is>
      </c>
      <c r="R175" s="345" t="inlineStr"/>
      <c r="S175" s="345" t="inlineStr"/>
      <c r="T175" s="345" t="inlineStr"/>
      <c r="U175" s="345" t="inlineStr"/>
      <c r="V175" s="345" t="n">
        <v>10</v>
      </c>
      <c r="W175" s="345" t="inlineStr"/>
      <c r="X175" s="345" t="n">
        <v>11</v>
      </c>
      <c r="Y175" s="345" t="inlineStr"/>
      <c r="Z175" s="345" t="inlineStr">
        <is>
          <t>confirmed</t>
        </is>
      </c>
      <c r="AA175" s="345" t="n">
        <v>100</v>
      </c>
      <c r="AB175" s="345" t="inlineStr"/>
      <c r="AC175" s="345" t="inlineStr">
        <is>
          <t>赛特尔25年.xls｜初中新课标生物｜第183行</t>
        </is>
      </c>
    </row>
    <row r="176" customFormat="1" s="192">
      <c r="A176" s="323" t="n">
        <v>257</v>
      </c>
      <c r="B176" s="348" t="n">
        <v>30309021901</v>
      </c>
      <c r="C176" s="114" t="inlineStr">
        <is>
          <t>诱虫器</t>
        </is>
      </c>
      <c r="D176" s="115" t="n"/>
      <c r="E176" s="347" t="n">
        <v>1</v>
      </c>
      <c r="F176" s="117" t="inlineStr">
        <is>
          <t>套</t>
        </is>
      </c>
      <c r="G176" s="131">
        <f>_xlfn.DISPIMG("ID_675B590CA6894BC1809CD7BC97A35446",1)</f>
        <v/>
      </c>
      <c r="H176" s="131" t="n"/>
      <c r="I176" s="229" t="n"/>
      <c r="J176" s="348" t="n">
        <v>30309021901</v>
      </c>
      <c r="K176" s="40" t="inlineStr">
        <is>
          <t>符合教学要求</t>
        </is>
      </c>
      <c r="L176" s="39" t="inlineStr">
        <is>
          <t>乐百仕</t>
        </is>
      </c>
      <c r="M176" s="39" t="inlineStr">
        <is>
          <t>江苏乐百仕教育科技有限公司</t>
        </is>
      </c>
      <c r="N176" s="362" t="n">
        <v>1</v>
      </c>
      <c r="O176" s="362" t="n">
        <v>260</v>
      </c>
      <c r="P176" s="345" t="n">
        <v>260</v>
      </c>
      <c r="Q176" s="345" t="inlineStr">
        <is>
          <t>套</t>
        </is>
      </c>
      <c r="R176" s="345" t="inlineStr"/>
      <c r="S176" s="345" t="inlineStr"/>
      <c r="T176" s="345" t="inlineStr"/>
      <c r="U176" s="345" t="inlineStr"/>
      <c r="V176" s="345" t="inlineStr"/>
      <c r="W176" s="345" t="inlineStr"/>
      <c r="X176" s="345" t="inlineStr"/>
      <c r="Y176" s="345" t="inlineStr"/>
      <c r="Z176" s="345" t="inlineStr">
        <is>
          <t>confirmed</t>
        </is>
      </c>
      <c r="AA176" s="345" t="n">
        <v>0</v>
      </c>
      <c r="AB176" s="345" t="inlineStr">
        <is>
          <t>匹配到商品档案但无历史价格记录</t>
        </is>
      </c>
      <c r="AC176" s="345" t="inlineStr">
        <is>
          <t>高中理化生报价.xlsx｜凯迪｜第1379行</t>
        </is>
      </c>
    </row>
    <row r="177" customFormat="1" s="192">
      <c r="A177" s="323" t="n">
        <v>258</v>
      </c>
      <c r="B177" s="348" t="n">
        <v>30309022101</v>
      </c>
      <c r="C177" s="114" t="inlineStr">
        <is>
          <t>吸虫器</t>
        </is>
      </c>
      <c r="D177" s="115" t="inlineStr">
        <is>
          <t>储虫瓶 40 mm×100 mm，带有吸虫管和吸气管</t>
        </is>
      </c>
      <c r="E177" s="347" t="n">
        <v>13</v>
      </c>
      <c r="F177" s="117" t="inlineStr">
        <is>
          <t>件</t>
        </is>
      </c>
      <c r="G177" s="131">
        <f>_xlfn.DISPIMG("ID_2DDF502A813E48C9B241C9CE87FF99C0",1)</f>
        <v/>
      </c>
      <c r="H177" s="131" t="n"/>
      <c r="I177" s="229" t="n"/>
      <c r="J177" s="348" t="n">
        <v>30309022101</v>
      </c>
      <c r="K177" s="40" t="inlineStr">
        <is>
          <t>储虫瓶 40 mm×100 mm，带有吸虫管和吸气管</t>
        </is>
      </c>
      <c r="L177" s="39" t="inlineStr">
        <is>
          <t>乐百仕</t>
        </is>
      </c>
      <c r="M177" s="39" t="inlineStr">
        <is>
          <t>江苏乐百仕教育科技有限公司</t>
        </is>
      </c>
      <c r="N177" s="362" t="n">
        <v>13</v>
      </c>
      <c r="O177" s="362" t="n">
        <v>16</v>
      </c>
      <c r="P177" s="345" t="n">
        <v>208</v>
      </c>
      <c r="Q177" s="345" t="inlineStr">
        <is>
          <t>件</t>
        </is>
      </c>
      <c r="R177" s="345" t="inlineStr"/>
      <c r="S177" s="345" t="inlineStr"/>
      <c r="T177" s="345" t="inlineStr"/>
      <c r="U177" s="345" t="inlineStr">
        <is>
          <t>手动</t>
        </is>
      </c>
      <c r="V177" s="345" t="inlineStr"/>
      <c r="W177" s="345" t="inlineStr"/>
      <c r="X177" s="345" t="inlineStr"/>
      <c r="Y177" s="345" t="inlineStr"/>
      <c r="Z177" s="345" t="inlineStr">
        <is>
          <t>confirmed</t>
        </is>
      </c>
      <c r="AA177" s="345" t="n">
        <v>0</v>
      </c>
      <c r="AB177" s="345" t="inlineStr">
        <is>
          <t>匹配到商品档案但无历史价格记录</t>
        </is>
      </c>
      <c r="AC177" s="345" t="inlineStr">
        <is>
          <t>赛特尔25年.xls｜初中新课标物理｜第55行</t>
        </is>
      </c>
    </row>
    <row r="178" customFormat="1" s="195">
      <c r="A178" s="323" t="n">
        <v>267</v>
      </c>
      <c r="B178" s="26" t="n">
        <v>30199000402</v>
      </c>
      <c r="C178" s="30" t="inlineStr">
        <is>
          <t>打孔器</t>
        </is>
      </c>
      <c r="D178" s="141" t="inlineStr">
        <is>
          <t>齿口式，材质为不锈钢管、钢管或黄铜管，每组不少于4 支，外径分别为5.0 mm、6.5 mm、8.0 mm、9.5 mm，并配一支带柄金属通钎</t>
        </is>
      </c>
      <c r="E178" s="31" t="n">
        <v>2</v>
      </c>
      <c r="F178" s="30" t="inlineStr">
        <is>
          <t>套</t>
        </is>
      </c>
      <c r="G178" s="31">
        <f>_xlfn.DISPIMG("ID_D456C25A981A46DBA5720F2D958A95FF",1)</f>
        <v/>
      </c>
      <c r="H178" s="31" t="n"/>
      <c r="I178" s="220" t="n"/>
      <c r="J178" s="26" t="n">
        <v>30199000402</v>
      </c>
      <c r="K178" s="33" t="inlineStr">
        <is>
          <t>齿口式，材质为不锈钢管，每组不少于4 支，外径分别为5.0 mm、6.5 mm、8.0 mm、9.5 mm，并配一支带柄金属通钎</t>
        </is>
      </c>
      <c r="L178" s="39" t="inlineStr">
        <is>
          <t>乐百仕</t>
        </is>
      </c>
      <c r="M178" s="39" t="inlineStr">
        <is>
          <t>江苏乐百仕教育科技有限公司</t>
        </is>
      </c>
      <c r="N178" s="364" t="n">
        <v>2</v>
      </c>
      <c r="O178" s="364" t="n">
        <v>6</v>
      </c>
      <c r="P178" s="345" t="n">
        <v>12</v>
      </c>
      <c r="Q178" s="345" t="inlineStr">
        <is>
          <t>套</t>
        </is>
      </c>
      <c r="R178" s="345" t="inlineStr"/>
      <c r="S178" s="345" t="inlineStr"/>
      <c r="T178" s="345" t="inlineStr"/>
      <c r="U178" s="345" t="inlineStr"/>
      <c r="V178" s="345" t="n">
        <v>6</v>
      </c>
      <c r="W178" s="345" t="inlineStr"/>
      <c r="X178" s="345" t="n">
        <v>48</v>
      </c>
      <c r="Y178" s="345" t="inlineStr"/>
      <c r="Z178" s="345" t="inlineStr">
        <is>
          <t>confirmed</t>
        </is>
      </c>
      <c r="AA178" s="345" t="n">
        <v>100</v>
      </c>
      <c r="AB178" s="345" t="inlineStr">
        <is>
          <t>价格分歧&gt;30%：历史报价分歧较大，需人工核对</t>
        </is>
      </c>
      <c r="AC178" s="345" t="inlineStr">
        <is>
          <t>赛特尔25年.xls｜初中新课标生物｜第38行</t>
        </is>
      </c>
    </row>
    <row r="179" customFormat="1" s="195">
      <c r="A179" s="323" t="n">
        <v>268</v>
      </c>
      <c r="B179" s="26" t="n">
        <v>30199000502</v>
      </c>
      <c r="C179" s="30" t="inlineStr">
        <is>
          <t>打孔夹板</t>
        </is>
      </c>
      <c r="D179" s="141" t="inlineStr">
        <is>
          <t>硬木或硬塑料制，有大小不同的锥形孔</t>
        </is>
      </c>
      <c r="E179" s="31" t="n">
        <v>1</v>
      </c>
      <c r="F179" s="30" t="inlineStr">
        <is>
          <t>个</t>
        </is>
      </c>
      <c r="G179" s="31">
        <f>_xlfn.DISPIMG("ID_F25A03F40B3D4E1685C1F22C0BFF4DE4",1)</f>
        <v/>
      </c>
      <c r="H179" s="31" t="n"/>
      <c r="I179" s="220" t="n"/>
      <c r="J179" s="26" t="n">
        <v>30199000502</v>
      </c>
      <c r="K179" s="33" t="inlineStr">
        <is>
          <t>硬木，有大小不同的锥形孔</t>
        </is>
      </c>
      <c r="L179" s="39" t="inlineStr">
        <is>
          <t>乐百仕</t>
        </is>
      </c>
      <c r="M179" s="39" t="inlineStr">
        <is>
          <t>江苏乐百仕教育科技有限公司</t>
        </is>
      </c>
      <c r="N179" s="364" t="n">
        <v>1</v>
      </c>
      <c r="O179" s="364" t="n">
        <v>6</v>
      </c>
      <c r="P179" s="345" t="n">
        <v>6</v>
      </c>
      <c r="Q179" s="345" t="inlineStr">
        <is>
          <t>个</t>
        </is>
      </c>
      <c r="R179" s="345" t="inlineStr"/>
      <c r="S179" s="345" t="inlineStr"/>
      <c r="T179" s="345" t="inlineStr"/>
      <c r="U179" s="345" t="inlineStr"/>
      <c r="V179" s="345" t="inlineStr"/>
      <c r="W179" s="345" t="inlineStr"/>
      <c r="X179" s="345" t="inlineStr"/>
      <c r="Y179" s="345" t="inlineStr"/>
      <c r="Z179" s="345" t="inlineStr">
        <is>
          <t>confirmed</t>
        </is>
      </c>
      <c r="AA179" s="345" t="n">
        <v>100</v>
      </c>
      <c r="AB179" s="345" t="inlineStr"/>
      <c r="AC179" s="345" t="inlineStr">
        <is>
          <t>赛特尔25年.xls｜初中新课标生物｜第39行</t>
        </is>
      </c>
    </row>
    <row r="180" customFormat="1" s="192">
      <c r="A180" s="323" t="n">
        <v>270</v>
      </c>
      <c r="B180" s="103" t="n">
        <v>30801000101</v>
      </c>
      <c r="C180" s="119" t="inlineStr">
        <is>
          <t>低压测电器</t>
        </is>
      </c>
      <c r="D180" s="105" t="inlineStr">
        <is>
          <t>笔式，氖泡式，测电极长≤10 mm，测量范围 100 V～500 V，辉光应稳定不闪烁</t>
        </is>
      </c>
      <c r="E180" s="131" t="n">
        <v>1</v>
      </c>
      <c r="F180" s="120" t="inlineStr">
        <is>
          <t>支</t>
        </is>
      </c>
      <c r="G180" s="131">
        <f>_xlfn.DISPIMG("ID_F9DDFC6F80E74B0283637F7412449698",1)</f>
        <v/>
      </c>
      <c r="H180" s="131" t="n"/>
      <c r="I180" s="229" t="n"/>
      <c r="J180" s="108" t="n">
        <v>30801000101</v>
      </c>
      <c r="K180" s="109" t="inlineStr">
        <is>
          <t>笔式，氖泡式，测电极长≤10 mm，测量范围： 100 V～500 V，辉光应稳定不闪烁</t>
        </is>
      </c>
      <c r="L180" s="39" t="inlineStr">
        <is>
          <t>乐百仕</t>
        </is>
      </c>
      <c r="M180" s="39" t="inlineStr">
        <is>
          <t>江苏乐百仕教育科技有限公司</t>
        </is>
      </c>
      <c r="N180" s="362" t="n">
        <v>1</v>
      </c>
      <c r="O180" s="362" t="n">
        <v>4</v>
      </c>
      <c r="P180" s="345" t="n">
        <v>4</v>
      </c>
      <c r="Q180" s="345" t="inlineStr">
        <is>
          <t>支</t>
        </is>
      </c>
      <c r="R180" s="345" t="inlineStr"/>
      <c r="S180" s="345" t="inlineStr"/>
      <c r="T180" s="345" t="inlineStr"/>
      <c r="U180" s="345" t="inlineStr">
        <is>
          <t>螺钉旋具式，测量范围 100 V～500 V，起辉电压 50 V～90 V，起辉后辉光应稳定不闪烁；绝缘电阻：常态≥20 MΩ，潮态≥2 MΩ；电气强度：常态 2500 V，潮态 2000 V；兼作螺钉旋具的旋杆端部硬度测 3 点，至少 2 点不低于 HRC48</t>
        </is>
      </c>
      <c r="V180" s="345" t="inlineStr"/>
      <c r="W180" s="345" t="inlineStr"/>
      <c r="X180" s="345" t="inlineStr"/>
      <c r="Y180" s="345" t="inlineStr"/>
      <c r="Z180" s="345" t="inlineStr">
        <is>
          <t>confirmed</t>
        </is>
      </c>
      <c r="AA180" s="345" t="n">
        <v>0</v>
      </c>
      <c r="AB180" s="345" t="inlineStr">
        <is>
          <t>没有找到可靠候选</t>
        </is>
      </c>
      <c r="AC180" s="345" t="inlineStr">
        <is>
          <t>赛特尔25年.xls｜初中新课标物理｜第429行</t>
        </is>
      </c>
    </row>
    <row r="181" customFormat="1" s="192">
      <c r="A181" s="323" t="n">
        <v>271</v>
      </c>
      <c r="B181" s="103" t="n">
        <v>30801000111</v>
      </c>
      <c r="C181" s="119" t="inlineStr">
        <is>
          <t>低压测电器</t>
        </is>
      </c>
      <c r="D181" s="148" t="inlineStr">
        <is>
          <t>螺钉旋具式，测量范围100V～500V，起辉电压50V～90V，起辉后辉光应稳定不闪烁；绝缘电阻：常态≥20MΩ，潮态≥2MΩ；电气强度：常态2500V，潮态2000V；兼作螺钉旋具的旋杆端部硬度测3点，至少2点不低于HRC50</t>
        </is>
      </c>
      <c r="E181" s="131" t="n">
        <v>1</v>
      </c>
      <c r="F181" s="120" t="inlineStr">
        <is>
          <t>支</t>
        </is>
      </c>
      <c r="G181" s="144" t="n"/>
      <c r="H181" s="131" t="n"/>
      <c r="I181" s="229" t="n"/>
      <c r="J181" s="108" t="n">
        <v>30801000111</v>
      </c>
      <c r="K181" s="109" t="inlineStr">
        <is>
          <t>螺钉旋具式，测量范围：100V～500V，起辉电压50V～90V，起辉后辉光应稳定不闪烁；绝缘电阻：常态≥20MΩ，潮态≥2MΩ；电气强度：常态2500V，潮态2000V；兼作螺钉旋具的旋杆端部硬度测3点，至少2点不低于HRC50</t>
        </is>
      </c>
      <c r="L181" s="39" t="inlineStr">
        <is>
          <t>乐百仕</t>
        </is>
      </c>
      <c r="M181" s="39" t="inlineStr">
        <is>
          <t>江苏乐百仕教育科技有限公司</t>
        </is>
      </c>
      <c r="N181" s="362" t="n">
        <v>1</v>
      </c>
      <c r="O181" s="362" t="n">
        <v>4</v>
      </c>
      <c r="P181" s="345" t="n">
        <v>4</v>
      </c>
      <c r="Q181" s="345" t="inlineStr">
        <is>
          <t>支</t>
        </is>
      </c>
      <c r="R181" s="345" t="inlineStr"/>
      <c r="S181" s="345" t="inlineStr"/>
      <c r="T181" s="345" t="inlineStr"/>
      <c r="U181" s="345" t="inlineStr">
        <is>
          <t>螺钉旋具式，测量范围 100 V～500 V，起辉电压 50 V～90 V，起辉后辉光应稳定不闪烁；绝缘电阻：常态≥20 MΩ，潮态≥2 MΩ；电气强度：常态 2500 V，潮态 2000 V；兼作螺钉旋具的旋杆端部硬度测 3 点，至少 2 点不低于 HRC48</t>
        </is>
      </c>
      <c r="V181" s="345" t="inlineStr"/>
      <c r="W181" s="345" t="inlineStr"/>
      <c r="X181" s="345" t="inlineStr"/>
      <c r="Y181" s="345" t="inlineStr"/>
      <c r="Z181" s="345" t="inlineStr">
        <is>
          <t>confirmed</t>
        </is>
      </c>
      <c r="AA181" s="345" t="n">
        <v>100</v>
      </c>
      <c r="AB181" s="345" t="inlineStr"/>
      <c r="AC181" s="345" t="inlineStr">
        <is>
          <t>赛特尔25年.xls｜初中新课标物理｜第429行</t>
        </is>
      </c>
    </row>
    <row r="182" customFormat="1" s="192">
      <c r="A182" s="323" t="n">
        <v>272</v>
      </c>
      <c r="B182" s="34" t="n">
        <v>30801000201</v>
      </c>
      <c r="C182" s="149" t="inlineStr">
        <is>
          <t>一字螺丝刀</t>
        </is>
      </c>
      <c r="D182" s="150" t="inlineStr">
        <is>
          <t>每套 2 个：Φ6 mm，长 150 mm；Φ3 mm，长75 mm，工作部带磁性，硬度不低于 48 HRC；旋杆采用铬钒钢，旋杆长度≥100 mm，应经镀铬防锈处理</t>
        </is>
      </c>
      <c r="E182" s="93" t="n">
        <v>1</v>
      </c>
      <c r="F182" s="34" t="inlineStr">
        <is>
          <t>套</t>
        </is>
      </c>
      <c r="G182" s="151">
        <f>_xlfn.DISPIMG("ID_E0884B009E5C4D4B8475142E43EDE722",1)</f>
        <v/>
      </c>
      <c r="H182" s="93" t="n"/>
      <c r="I182" s="229" t="n"/>
      <c r="J182" s="34" t="n">
        <v>30801000201</v>
      </c>
      <c r="K182" s="33" t="inlineStr">
        <is>
          <t>每套 2 个：Φ6 mm，长 150 mm；Φ3 mm，长75 mm，工作部带磁性，硬度不低于 48 HRC；旋杆采用铬钒钢，旋杆长度≥100 mm，应经镀铬防锈处理</t>
        </is>
      </c>
      <c r="L182" s="39" t="inlineStr">
        <is>
          <t>乐百仕</t>
        </is>
      </c>
      <c r="M182" s="39" t="inlineStr">
        <is>
          <t>江苏乐百仕教育科技有限公司</t>
        </is>
      </c>
      <c r="N182" s="362" t="n">
        <v>1</v>
      </c>
      <c r="O182" s="362" t="n">
        <v>4</v>
      </c>
      <c r="P182" s="345" t="n">
        <v>4</v>
      </c>
      <c r="Q182" s="345" t="inlineStr">
        <is>
          <t>套</t>
        </is>
      </c>
      <c r="R182" s="345" t="inlineStr"/>
      <c r="S182" s="345" t="inlineStr"/>
      <c r="T182" s="345" t="inlineStr"/>
      <c r="U182" s="345" t="inlineStr"/>
      <c r="V182" s="345" t="inlineStr"/>
      <c r="W182" s="345" t="inlineStr"/>
      <c r="X182" s="345" t="inlineStr"/>
      <c r="Y182" s="345" t="inlineStr"/>
      <c r="Z182" s="345" t="inlineStr">
        <is>
          <t>confirmed</t>
        </is>
      </c>
      <c r="AA182" s="345" t="n">
        <v>0</v>
      </c>
      <c r="AB182" s="345" t="inlineStr">
        <is>
          <t>没有找到可靠候选</t>
        </is>
      </c>
      <c r="AC182" s="345" t="inlineStr">
        <is>
          <t>赛特尔25年.xls｜初中新课标化学｜第28行</t>
        </is>
      </c>
    </row>
    <row r="183" customFormat="1" s="192">
      <c r="A183" s="323" t="n">
        <v>273</v>
      </c>
      <c r="B183" s="93" t="n">
        <v>30801000301</v>
      </c>
      <c r="C183" s="152" t="inlineStr">
        <is>
          <t>十字螺丝刀</t>
        </is>
      </c>
      <c r="D183" s="150" t="inlineStr">
        <is>
          <t>每套 2 个：Φ6 mm，长 150 mm；Φ3 mm，长75 mm，工作部带磁性，硬度不低于 48 HRC；旋杆采用铬钒钢，旋杆长度≥100 mm，应经镀铬防锈处理</t>
        </is>
      </c>
      <c r="E183" s="93" t="n">
        <v>1</v>
      </c>
      <c r="F183" s="34" t="inlineStr">
        <is>
          <t>套</t>
        </is>
      </c>
      <c r="G183" s="151">
        <f>_xlfn.DISPIMG("ID_E89C9AB299B3441EA4B7218133A7E2B2",1)</f>
        <v/>
      </c>
      <c r="H183" s="93" t="n"/>
      <c r="I183" s="229" t="n"/>
      <c r="J183" s="93" t="n">
        <v>30801000301</v>
      </c>
      <c r="K183" s="33" t="inlineStr">
        <is>
          <t>每套 2 个：Φ6 mm，长 150 mm；Φ3 mm，长75 mm，工作部带磁性，硬度不低于 48 HRC；旋杆采用铬钒钢，旋杆长度≥100 mm，应经镀铬防锈处理</t>
        </is>
      </c>
      <c r="L183" s="39" t="inlineStr">
        <is>
          <t>乐百仕</t>
        </is>
      </c>
      <c r="M183" s="39" t="inlineStr">
        <is>
          <t>江苏乐百仕教育科技有限公司</t>
        </is>
      </c>
      <c r="N183" s="362" t="n">
        <v>1</v>
      </c>
      <c r="O183" s="362" t="n">
        <v>4</v>
      </c>
      <c r="P183" s="345" t="n">
        <v>4</v>
      </c>
      <c r="Q183" s="345" t="inlineStr">
        <is>
          <t>套</t>
        </is>
      </c>
      <c r="R183" s="345" t="inlineStr"/>
      <c r="S183" s="345" t="inlineStr"/>
      <c r="T183" s="345" t="inlineStr"/>
      <c r="U183" s="345" t="inlineStr"/>
      <c r="V183" s="345" t="inlineStr"/>
      <c r="W183" s="345" t="inlineStr"/>
      <c r="X183" s="345" t="inlineStr"/>
      <c r="Y183" s="345" t="inlineStr"/>
      <c r="Z183" s="345" t="inlineStr">
        <is>
          <t>confirmed</t>
        </is>
      </c>
      <c r="AA183" s="345" t="n">
        <v>0</v>
      </c>
      <c r="AB183" s="345" t="inlineStr">
        <is>
          <t>没有找到可靠候选</t>
        </is>
      </c>
      <c r="AC183" s="345" t="inlineStr">
        <is>
          <t>赛特尔25年.xls｜初中新课标化学｜第29行</t>
        </is>
      </c>
    </row>
    <row r="184" customFormat="1" s="195">
      <c r="A184" s="323" t="n">
        <v>274</v>
      </c>
      <c r="B184" s="31" t="n">
        <v>30801001201</v>
      </c>
      <c r="C184" s="153" t="inlineStr">
        <is>
          <t>钢手锯</t>
        </is>
      </c>
      <c r="D184" s="138" t="inlineStr">
        <is>
          <t>A 型（单面）300 mm，18 齿/25 mm；安装锯条后，锯条中心平面与锯架中心平面的平行度不大于 2 mm；钢锯在达到 99 N 拉力后经过 1 min，不应有永久变形，拉钉不得松动脱落；钢板制锯架在达到 900 N 张力时，侧弯不得超过 1.8 mm</t>
        </is>
      </c>
      <c r="E184" s="31" t="n">
        <v>1</v>
      </c>
      <c r="F184" s="26" t="inlineStr">
        <is>
          <t>把</t>
        </is>
      </c>
      <c r="G184" s="323">
        <f>_xlfn.DISPIMG("ID_AB6BA04FD9724956B5C726B06016232B",1)</f>
        <v/>
      </c>
      <c r="H184" s="31" t="n"/>
      <c r="I184" s="220" t="n"/>
      <c r="J184" s="31" t="n">
        <v>30801001201</v>
      </c>
      <c r="K184" s="33" t="inlineStr">
        <is>
          <t>A 型（单面）300 mm，18 齿/25 mm；安装锯条后，锯条中心平面与锯架中心平面的平行度不大于 2 mm；钢锯在达到 99 N 拉力后经过 1 min，不应有永久变形，拉钉不得松动脱落；钢板制锯架在达到 900 N 张力时，侧弯不得超过 1.8 mm</t>
        </is>
      </c>
      <c r="L184" s="39" t="inlineStr">
        <is>
          <t>乐百仕</t>
        </is>
      </c>
      <c r="M184" s="39" t="inlineStr">
        <is>
          <t>江苏乐百仕教育科技有限公司</t>
        </is>
      </c>
      <c r="N184" s="364" t="n">
        <v>1</v>
      </c>
      <c r="O184" s="364" t="n">
        <v>12</v>
      </c>
      <c r="P184" s="345" t="n">
        <v>12</v>
      </c>
      <c r="Q184" s="345" t="inlineStr">
        <is>
          <t>把</t>
        </is>
      </c>
      <c r="R184" s="345" t="inlineStr"/>
      <c r="S184" s="345" t="inlineStr"/>
      <c r="T184" s="345" t="inlineStr"/>
      <c r="U184" s="345" t="inlineStr"/>
      <c r="V184" s="345" t="n">
        <v>15</v>
      </c>
      <c r="W184" s="345" t="inlineStr"/>
      <c r="X184" s="345" t="n">
        <v>15</v>
      </c>
      <c r="Y184" s="345" t="inlineStr"/>
      <c r="Z184" s="345" t="inlineStr">
        <is>
          <t>confirmed</t>
        </is>
      </c>
      <c r="AA184" s="345" t="n">
        <v>100</v>
      </c>
      <c r="AB184" s="345" t="inlineStr">
        <is>
          <t>同分多价：最高分候选存在不同历史价格</t>
        </is>
      </c>
      <c r="AC184" s="345" t="inlineStr">
        <is>
          <t>赛特尔25年.xls｜初中新课标物理｜第23行</t>
        </is>
      </c>
    </row>
    <row r="185" customFormat="1" s="192">
      <c r="A185" s="323" t="n">
        <v>275</v>
      </c>
      <c r="B185" s="103" t="n">
        <v>30801001310</v>
      </c>
      <c r="C185" s="140" t="inlineStr">
        <is>
          <t>剥线钳</t>
        </is>
      </c>
      <c r="D185" s="139" t="inlineStr">
        <is>
          <t>用于剥离线芯直径为 0.5 mm～2.5 mm 的导线；刃口闭合状态间隙应不大于 0.3 mm，刃口错位应不大于 0.2 mm；剥线刃口硬度不应低于 40 HRC；剪切刃口硬度应为 50 HRC～59HRC</t>
        </is>
      </c>
      <c r="E185" s="131" t="n">
        <v>1</v>
      </c>
      <c r="F185" s="131" t="inlineStr">
        <is>
          <t>把</t>
        </is>
      </c>
      <c r="G185" s="144">
        <f>_xlfn.DISPIMG("ID_C6FF69A6E5044B12ACAC5D634B2C0271",1)</f>
        <v/>
      </c>
      <c r="H185" s="131" t="n"/>
      <c r="I185" s="229" t="n"/>
      <c r="J185" s="108" t="n">
        <v>30801001310</v>
      </c>
      <c r="K185" s="109" t="inlineStr">
        <is>
          <t>用于剥离线芯直径为 0.5 mm～2.5 mm 的导线；刃口闭合状态间隙应不大于 0.3 mm，刃口错位应不大于 0.2 mm；剥线刃口硬度不应低于 40 HRC；剪切刃口硬度应为 50 HRC～59HRC</t>
        </is>
      </c>
      <c r="L185" s="39" t="inlineStr">
        <is>
          <t>乐百仕</t>
        </is>
      </c>
      <c r="M185" s="39" t="inlineStr">
        <is>
          <t>江苏乐百仕教育科技有限公司</t>
        </is>
      </c>
      <c r="N185" s="362" t="n">
        <v>1</v>
      </c>
      <c r="O185" s="362" t="n">
        <v>12</v>
      </c>
      <c r="P185" s="345" t="n">
        <v>12</v>
      </c>
      <c r="Q185" s="345" t="inlineStr">
        <is>
          <t>把</t>
        </is>
      </c>
      <c r="R185" s="345" t="inlineStr"/>
      <c r="S185" s="345" t="inlineStr"/>
      <c r="T185" s="345" t="inlineStr"/>
      <c r="U185" s="345" t="inlineStr"/>
      <c r="V185" s="345" t="n">
        <v>14</v>
      </c>
      <c r="W185" s="345" t="inlineStr"/>
      <c r="X185" s="345" t="inlineStr"/>
      <c r="Y185" s="345" t="inlineStr"/>
      <c r="Z185" s="345" t="inlineStr">
        <is>
          <t>confirmed</t>
        </is>
      </c>
      <c r="AA185" s="345" t="n">
        <v>100</v>
      </c>
      <c r="AB185" s="345" t="inlineStr">
        <is>
          <t>同分多价：最高分候选存在不同历史价格</t>
        </is>
      </c>
      <c r="AC185" s="345" t="inlineStr">
        <is>
          <t>高中理化生报价.xlsx｜凯迪｜第1859行</t>
        </is>
      </c>
    </row>
    <row r="186" customFormat="1" s="195">
      <c r="A186" s="323" t="n">
        <v>276</v>
      </c>
      <c r="B186" s="31" t="n">
        <v>30801001411</v>
      </c>
      <c r="C186" s="137" t="inlineStr">
        <is>
          <t>钢丝钳</t>
        </is>
      </c>
      <c r="D186" s="141" t="inlineStr">
        <is>
          <t>160 mm，抗弯强度：1120 N；扭力：15 N·m，15°；嘴顶缝隙：0.4 mm；剪切性能：Φ16 mm 钢丝，580 N；夹持面硬度≥44 HRC，PVC 全新料环保手柄，在≤18 N 的力作用下撑开角度≥22°</t>
        </is>
      </c>
      <c r="E186" s="31" t="n">
        <v>1</v>
      </c>
      <c r="F186" s="26" t="inlineStr">
        <is>
          <t>把</t>
        </is>
      </c>
      <c r="G186" s="323">
        <f>_xlfn.DISPIMG("ID_70D69E5EFD72448891309DB555FF81B6",1)</f>
        <v/>
      </c>
      <c r="H186" s="31" t="n"/>
      <c r="I186" s="220" t="n"/>
      <c r="J186" s="31" t="n">
        <v>30801001411</v>
      </c>
      <c r="K186" s="33" t="inlineStr">
        <is>
          <t>160 mm，抗弯强度：1120 N；扭力：15 N·m，15°；嘴顶缝隙：0.4 mm；剪切性能：Φ16 mm 钢丝，580 N；夹持面硬度≥44 HRC，PVC 全新料环保手柄，在≤18 N 的力作用下撑开角度≥22°</t>
        </is>
      </c>
      <c r="L186" s="39" t="inlineStr">
        <is>
          <t>乐百仕</t>
        </is>
      </c>
      <c r="M186" s="39" t="inlineStr">
        <is>
          <t>江苏乐百仕教育科技有限公司</t>
        </is>
      </c>
      <c r="N186" s="364" t="n">
        <v>1</v>
      </c>
      <c r="O186" s="364" t="n">
        <v>12</v>
      </c>
      <c r="P186" s="345" t="n">
        <v>12</v>
      </c>
      <c r="Q186" s="345" t="inlineStr">
        <is>
          <t>把</t>
        </is>
      </c>
      <c r="R186" s="345" t="inlineStr"/>
      <c r="S186" s="345" t="inlineStr"/>
      <c r="T186" s="345" t="inlineStr"/>
      <c r="U186" s="345" t="inlineStr"/>
      <c r="V186" s="345" t="n">
        <v>13.2</v>
      </c>
      <c r="W186" s="345" t="inlineStr"/>
      <c r="X186" s="345" t="n">
        <v>22</v>
      </c>
      <c r="Y186" s="345" t="inlineStr"/>
      <c r="Z186" s="345" t="inlineStr">
        <is>
          <t>confirmed</t>
        </is>
      </c>
      <c r="AA186" s="345" t="n">
        <v>100</v>
      </c>
      <c r="AB186" s="345" t="inlineStr">
        <is>
          <t>价格分歧&gt;30%：历史报价分歧较大，需人工核对；同分多价：最高分候选存在不同历史价格</t>
        </is>
      </c>
      <c r="AC186" s="345" t="inlineStr">
        <is>
          <t>赛特尔25年.xls｜初中新课标生物｜第47行</t>
        </is>
      </c>
    </row>
    <row r="187" customFormat="1" s="195">
      <c r="A187" s="323" t="n">
        <v>277</v>
      </c>
      <c r="B187" s="31" t="n">
        <v>30801007301</v>
      </c>
      <c r="C187" s="137" t="inlineStr">
        <is>
          <t>羊角锤</t>
        </is>
      </c>
      <c r="D187" s="141" t="inlineStr">
        <is>
          <t>0.25 kg</t>
        </is>
      </c>
      <c r="E187" s="31" t="n">
        <v>1</v>
      </c>
      <c r="F187" s="26" t="inlineStr">
        <is>
          <t>把</t>
        </is>
      </c>
      <c r="G187" s="323">
        <f>_xlfn.DISPIMG("ID_52F3B2B52F1F40D1B4D60B29AAA26510",1)</f>
        <v/>
      </c>
      <c r="H187" s="31" t="n"/>
      <c r="I187" s="220" t="n"/>
      <c r="J187" s="31" t="n">
        <v>30801007301</v>
      </c>
      <c r="K187" s="33" t="inlineStr">
        <is>
          <t>0.25 kg</t>
        </is>
      </c>
      <c r="L187" s="39" t="inlineStr">
        <is>
          <t>乐百仕</t>
        </is>
      </c>
      <c r="M187" s="39" t="inlineStr">
        <is>
          <t>江苏乐百仕教育科技有限公司</t>
        </is>
      </c>
      <c r="N187" s="364" t="n">
        <v>1</v>
      </c>
      <c r="O187" s="364" t="n">
        <v>11</v>
      </c>
      <c r="P187" s="345" t="n">
        <v>11</v>
      </c>
      <c r="Q187" s="345" t="inlineStr">
        <is>
          <t>把</t>
        </is>
      </c>
      <c r="R187" s="345" t="inlineStr"/>
      <c r="S187" s="345" t="inlineStr"/>
      <c r="T187" s="345" t="inlineStr"/>
      <c r="U187" s="345" t="inlineStr">
        <is>
          <t>250mm</t>
        </is>
      </c>
      <c r="V187" s="345" t="inlineStr"/>
      <c r="W187" s="345" t="inlineStr"/>
      <c r="X187" s="345" t="inlineStr"/>
      <c r="Y187" s="345" t="inlineStr"/>
      <c r="Z187" s="345" t="inlineStr">
        <is>
          <t>confirmed</t>
        </is>
      </c>
      <c r="AA187" s="345" t="n">
        <v>0</v>
      </c>
      <c r="AB187" s="345" t="inlineStr">
        <is>
          <t>匹配到商品档案但无历史价格记录</t>
        </is>
      </c>
      <c r="AC187" s="345" t="inlineStr">
        <is>
          <t>赛特尔25年.xls｜高中通用技术｜第140行</t>
        </is>
      </c>
    </row>
    <row r="188" customFormat="1" s="195">
      <c r="A188" s="323" t="n">
        <v>278</v>
      </c>
      <c r="B188" s="31" t="n">
        <v>30801002002</v>
      </c>
      <c r="C188" s="153" t="inlineStr">
        <is>
          <t>活扳手</t>
        </is>
      </c>
      <c r="D188" s="141" t="inlineStr">
        <is>
          <t>200 mm，活动扳口和扳体头部以及蜗杆的硬度≥40 HRC</t>
        </is>
      </c>
      <c r="E188" s="31" t="n">
        <v>1</v>
      </c>
      <c r="F188" s="26" t="inlineStr">
        <is>
          <t>把</t>
        </is>
      </c>
      <c r="G188" s="323">
        <f>_xlfn.DISPIMG("ID_E750D78FA2D34D89B011C42F8945BC6C",1)</f>
        <v/>
      </c>
      <c r="H188" s="31" t="n"/>
      <c r="I188" s="220" t="n"/>
      <c r="J188" s="31" t="n">
        <v>30801002002</v>
      </c>
      <c r="K188" s="33" t="inlineStr">
        <is>
          <t>200 mm，活动扳口和扳体头部以及蜗杆的硬度≥40 HRC</t>
        </is>
      </c>
      <c r="L188" s="39" t="inlineStr">
        <is>
          <t>乐百仕</t>
        </is>
      </c>
      <c r="M188" s="39" t="inlineStr">
        <is>
          <t>江苏乐百仕教育科技有限公司</t>
        </is>
      </c>
      <c r="N188" s="364" t="n">
        <v>1</v>
      </c>
      <c r="O188" s="364" t="n">
        <v>12</v>
      </c>
      <c r="P188" s="345" t="n">
        <v>12</v>
      </c>
      <c r="Q188" s="345" t="inlineStr">
        <is>
          <t>把</t>
        </is>
      </c>
      <c r="R188" s="345" t="inlineStr"/>
      <c r="S188" s="345" t="inlineStr"/>
      <c r="T188" s="345" t="inlineStr"/>
      <c r="U188" s="345" t="inlineStr"/>
      <c r="V188" s="345" t="n">
        <v>12</v>
      </c>
      <c r="W188" s="345" t="inlineStr"/>
      <c r="X188" s="345" t="n">
        <v>20</v>
      </c>
      <c r="Y188" s="345" t="inlineStr"/>
      <c r="Z188" s="345" t="inlineStr">
        <is>
          <t>confirmed</t>
        </is>
      </c>
      <c r="AA188" s="345" t="n">
        <v>100</v>
      </c>
      <c r="AB188" s="345" t="inlineStr">
        <is>
          <t>价格分歧&gt;30%：历史报价分歧较大，需人工核对</t>
        </is>
      </c>
      <c r="AC188" s="345" t="inlineStr">
        <is>
          <t>赛特尔25年.xls｜初中新课标生物｜第49行</t>
        </is>
      </c>
    </row>
    <row r="189" customFormat="1" s="257">
      <c r="A189" s="323" t="n">
        <v>279</v>
      </c>
      <c r="B189" s="31" t="n">
        <v>30801004201</v>
      </c>
      <c r="C189" s="137" t="inlineStr">
        <is>
          <t>玻璃管切割器</t>
        </is>
      </c>
      <c r="D189" s="141" t="inlineStr">
        <is>
          <t>可切割直径 20 mm 以下玻璃管</t>
        </is>
      </c>
      <c r="E189" s="31" t="n">
        <v>5</v>
      </c>
      <c r="F189" s="26" t="inlineStr">
        <is>
          <t>片</t>
        </is>
      </c>
      <c r="G189" s="31">
        <f>_xlfn.DISPIMG("ID_5B6CAC7D95654C74B2DBC1EF25B3ED69",1)</f>
        <v/>
      </c>
      <c r="H189" s="154" t="n"/>
      <c r="I189" s="330" t="n"/>
      <c r="J189" s="31" t="n">
        <v>30801004201</v>
      </c>
      <c r="K189" s="33" t="inlineStr">
        <is>
          <t>可切割直径 20 mm 以下玻璃管</t>
        </is>
      </c>
      <c r="L189" s="39" t="inlineStr">
        <is>
          <t>乐百仕</t>
        </is>
      </c>
      <c r="M189" s="39" t="inlineStr">
        <is>
          <t>江苏乐百仕教育科技有限公司</t>
        </is>
      </c>
      <c r="N189" s="369" t="n">
        <v>5</v>
      </c>
      <c r="O189" s="369" t="n">
        <v>12</v>
      </c>
      <c r="P189" s="345" t="n">
        <v>60</v>
      </c>
      <c r="Q189" s="345" t="inlineStr">
        <is>
          <t>片</t>
        </is>
      </c>
      <c r="R189" s="345" t="inlineStr"/>
      <c r="S189" s="345" t="inlineStr"/>
      <c r="T189" s="345" t="inlineStr"/>
      <c r="U189" s="345" t="inlineStr"/>
      <c r="V189" s="345" t="inlineStr"/>
      <c r="W189" s="345" t="inlineStr"/>
      <c r="X189" s="345" t="inlineStr"/>
      <c r="Y189" s="345" t="inlineStr"/>
      <c r="Z189" s="345" t="inlineStr">
        <is>
          <t>confirmed</t>
        </is>
      </c>
      <c r="AA189" s="345" t="n">
        <v>0</v>
      </c>
      <c r="AB189" s="345" t="inlineStr">
        <is>
          <t>没有找到可靠候选</t>
        </is>
      </c>
      <c r="AC189" s="345" t="inlineStr">
        <is>
          <t>赛特尔25年.xls｜初中物理｜第302行</t>
        </is>
      </c>
    </row>
    <row r="190" customFormat="1" s="195">
      <c r="A190" s="323" t="n">
        <v>280</v>
      </c>
      <c r="B190" s="31" t="n">
        <v>30801032101</v>
      </c>
      <c r="C190" s="137" t="inlineStr">
        <is>
          <t>手动切纸机</t>
        </is>
      </c>
      <c r="D190" s="141" t="inlineStr">
        <is>
          <t>钢质板面，切纸导向尺，可调节切纸尺寸，切口无断裂</t>
        </is>
      </c>
      <c r="E190" s="31" t="n">
        <v>1</v>
      </c>
      <c r="F190" s="30" t="inlineStr">
        <is>
          <t>台</t>
        </is>
      </c>
      <c r="G190" s="31">
        <f>_xlfn.DISPIMG("ID_E04D395344D441F2A87089D240C17F15",1)</f>
        <v/>
      </c>
      <c r="H190" s="31" t="n"/>
      <c r="I190" s="220" t="n"/>
      <c r="J190" s="31" t="n">
        <v>30801032101</v>
      </c>
      <c r="K190" s="33" t="inlineStr">
        <is>
          <t>钢质板面，切纸导向尺，可调节切纸尺寸，切口无断裂</t>
        </is>
      </c>
      <c r="L190" s="39" t="inlineStr">
        <is>
          <t>乐百仕</t>
        </is>
      </c>
      <c r="M190" s="39" t="inlineStr">
        <is>
          <t>江苏乐百仕教育科技有限公司</t>
        </is>
      </c>
      <c r="N190" s="364" t="n">
        <v>1</v>
      </c>
      <c r="O190" s="364" t="n">
        <v>70</v>
      </c>
      <c r="P190" s="345" t="n">
        <v>70</v>
      </c>
      <c r="Q190" s="345" t="inlineStr">
        <is>
          <t>台</t>
        </is>
      </c>
      <c r="R190" s="345" t="inlineStr"/>
      <c r="S190" s="345" t="inlineStr"/>
      <c r="T190" s="345" t="inlineStr"/>
      <c r="U190" s="345" t="inlineStr"/>
      <c r="V190" s="345" t="inlineStr"/>
      <c r="W190" s="345" t="inlineStr"/>
      <c r="X190" s="345" t="inlineStr"/>
      <c r="Y190" s="345" t="inlineStr"/>
      <c r="Z190" s="345" t="inlineStr">
        <is>
          <t>confirmed</t>
        </is>
      </c>
      <c r="AA190" s="345" t="n">
        <v>0</v>
      </c>
      <c r="AB190" s="345" t="inlineStr">
        <is>
          <t>匹配到商品档案但无历史价格记录</t>
        </is>
      </c>
      <c r="AC190" s="345" t="inlineStr">
        <is>
          <t>赛特尔25年.xls｜初中数学｜第32行</t>
        </is>
      </c>
    </row>
    <row r="191" customFormat="1" s="195">
      <c r="A191" s="323" t="n">
        <v>281</v>
      </c>
      <c r="B191" s="31" t="n">
        <v>30199002001</v>
      </c>
      <c r="C191" s="137" t="inlineStr">
        <is>
          <t>仪器车</t>
        </is>
      </c>
      <c r="D191" s="141" t="inlineStr">
        <is>
          <t>600 mm×400 mm×800 mm，不锈钢材质，至少两层，各层带可拆卸护栏，总载重≥60 kg</t>
        </is>
      </c>
      <c r="E191" s="31" t="n">
        <v>2</v>
      </c>
      <c r="F191" s="137" t="inlineStr">
        <is>
          <t>辆</t>
        </is>
      </c>
      <c r="G191" s="31">
        <f>_xlfn.DISPIMG("ID_DFD1E70066FD46FF84A6BC50CC97800C",1)</f>
        <v/>
      </c>
      <c r="H191" s="31" t="n"/>
      <c r="I191" s="220" t="n"/>
      <c r="J191" s="31" t="n">
        <v>30199002001</v>
      </c>
      <c r="K191" s="33" t="inlineStr">
        <is>
          <t>600 mm×400 mm×800 mm，不锈钢材质，至少两层，各层带可拆卸护栏，总载重≥60 kg</t>
        </is>
      </c>
      <c r="L191" s="39" t="inlineStr">
        <is>
          <t>乐百仕</t>
        </is>
      </c>
      <c r="M191" s="39" t="inlineStr">
        <is>
          <t>江苏乐百仕教育科技有限公司</t>
        </is>
      </c>
      <c r="N191" s="364" t="n">
        <v>2</v>
      </c>
      <c r="O191" s="364" t="n">
        <v>0</v>
      </c>
      <c r="P191" s="345" t="n">
        <v>0</v>
      </c>
      <c r="Q191" s="345" t="inlineStr">
        <is>
          <t>辆</t>
        </is>
      </c>
      <c r="R191" s="345" t="inlineStr"/>
      <c r="S191" s="345" t="inlineStr"/>
      <c r="T191" s="345" t="inlineStr"/>
      <c r="U191" s="345" t="inlineStr"/>
      <c r="V191" s="345" t="n">
        <v>175</v>
      </c>
      <c r="W191" s="345" t="inlineStr"/>
      <c r="X191" s="345" t="n">
        <v>260</v>
      </c>
      <c r="Y191" s="345" t="inlineStr"/>
      <c r="Z191" s="345" t="inlineStr">
        <is>
          <t>confirmed</t>
        </is>
      </c>
      <c r="AA191" s="345" t="n">
        <v>100</v>
      </c>
      <c r="AB191" s="345" t="inlineStr">
        <is>
          <t>同分多价：最高分候选存在不同历史价格</t>
        </is>
      </c>
      <c r="AC191" s="345" t="inlineStr">
        <is>
          <t>高中理化生报价.xlsx｜凯迪｜第1605行</t>
        </is>
      </c>
    </row>
    <row r="192" customFormat="1" s="195">
      <c r="A192" s="323" t="n">
        <v>282</v>
      </c>
      <c r="B192" s="31" t="n">
        <v>30801006301</v>
      </c>
      <c r="C192" s="153" t="inlineStr">
        <is>
          <t>整理箱</t>
        </is>
      </c>
      <c r="D192" s="141" t="inlineStr">
        <is>
          <t>矮型，储存及分发试剂用</t>
        </is>
      </c>
      <c r="E192" s="31" t="n">
        <v>13</v>
      </c>
      <c r="F192" s="31" t="inlineStr">
        <is>
          <t>个</t>
        </is>
      </c>
      <c r="G192" s="323">
        <f>_xlfn.DISPIMG("ID_7A6DF1231C77424CBFD7F57DB49B1468",1)</f>
        <v/>
      </c>
      <c r="H192" s="31" t="n"/>
      <c r="I192" s="220" t="n"/>
      <c r="J192" s="31" t="n">
        <v>30801006301</v>
      </c>
      <c r="K192" s="33" t="inlineStr">
        <is>
          <t>矮型，储存及分发试剂用</t>
        </is>
      </c>
      <c r="L192" s="39" t="inlineStr">
        <is>
          <t>乐百仕</t>
        </is>
      </c>
      <c r="M192" s="39" t="inlineStr">
        <is>
          <t>江苏乐百仕教育科技有限公司</t>
        </is>
      </c>
      <c r="N192" s="364" t="n">
        <v>13</v>
      </c>
      <c r="O192" s="364" t="n">
        <v>45</v>
      </c>
      <c r="P192" s="345" t="n">
        <v>585</v>
      </c>
      <c r="Q192" s="345" t="inlineStr">
        <is>
          <t>个</t>
        </is>
      </c>
      <c r="R192" s="345" t="inlineStr"/>
      <c r="S192" s="345" t="inlineStr"/>
      <c r="T192" s="345" t="inlineStr"/>
      <c r="U192" s="345" t="inlineStr"/>
      <c r="V192" s="345" t="n">
        <v>45</v>
      </c>
      <c r="W192" s="345" t="inlineStr"/>
      <c r="X192" s="345" t="n">
        <v>49.5</v>
      </c>
      <c r="Y192" s="345" t="inlineStr"/>
      <c r="Z192" s="345" t="inlineStr">
        <is>
          <t>confirmed</t>
        </is>
      </c>
      <c r="AA192" s="345" t="n">
        <v>100</v>
      </c>
      <c r="AB192" s="345" t="inlineStr"/>
      <c r="AC192" s="345" t="inlineStr">
        <is>
          <t>赛特尔25年.xls｜初中新课标生物｜第34行</t>
        </is>
      </c>
    </row>
    <row r="193" customFormat="1" s="195">
      <c r="A193" s="323" t="n">
        <v>283</v>
      </c>
      <c r="B193" s="26" t="n">
        <v>30199009110</v>
      </c>
      <c r="C193" s="87" t="inlineStr">
        <is>
          <t>托盘</t>
        </is>
      </c>
      <c r="D193" s="141" t="inlineStr">
        <is>
          <t>搪瓷材质</t>
        </is>
      </c>
      <c r="E193" s="31" t="n">
        <v>25</v>
      </c>
      <c r="F193" s="26" t="inlineStr">
        <is>
          <t>个</t>
        </is>
      </c>
      <c r="G193" s="31">
        <f>_xlfn.DISPIMG("ID_21CE9302F44E4FB99AF181F25129EF45",1)</f>
        <v/>
      </c>
      <c r="H193" s="231" t="n"/>
      <c r="I193" s="220" t="n"/>
      <c r="J193" s="26" t="n">
        <v>30199009110</v>
      </c>
      <c r="K193" s="33" t="inlineStr">
        <is>
          <t>搪瓷材质</t>
        </is>
      </c>
      <c r="L193" s="39" t="inlineStr">
        <is>
          <t>乐百仕</t>
        </is>
      </c>
      <c r="M193" s="39" t="inlineStr">
        <is>
          <t>江苏乐百仕教育科技有限公司</t>
        </is>
      </c>
      <c r="N193" s="364" t="n">
        <v>25</v>
      </c>
      <c r="O193" s="364" t="n">
        <v>12</v>
      </c>
      <c r="P193" s="345" t="n">
        <v>300</v>
      </c>
      <c r="Q193" s="345" t="inlineStr">
        <is>
          <t>个</t>
        </is>
      </c>
      <c r="R193" s="345" t="inlineStr"/>
      <c r="S193" s="345" t="inlineStr"/>
      <c r="T193" s="345" t="inlineStr"/>
      <c r="U193" s="345" t="inlineStr"/>
      <c r="V193" s="345" t="n">
        <v>20</v>
      </c>
      <c r="W193" s="345" t="inlineStr"/>
      <c r="X193" s="345" t="n">
        <v>22</v>
      </c>
      <c r="Y193" s="345" t="inlineStr"/>
      <c r="Z193" s="345" t="inlineStr">
        <is>
          <t>confirmed</t>
        </is>
      </c>
      <c r="AA193" s="345" t="n">
        <v>100</v>
      </c>
      <c r="AB193" s="345" t="inlineStr">
        <is>
          <t>价格分歧&gt;30%：历史报价分歧较大，需人工核对；同分多价：最高分候选存在不同历史价格</t>
        </is>
      </c>
      <c r="AC193" s="345" t="inlineStr">
        <is>
          <t>赛特尔25年.xls｜初中新课标生物｜第36行</t>
        </is>
      </c>
    </row>
    <row r="194" customFormat="1" s="195">
      <c r="A194" s="323" t="n">
        <v>284</v>
      </c>
      <c r="B194" s="26" t="n">
        <v>30199009201</v>
      </c>
      <c r="C194" s="87" t="inlineStr">
        <is>
          <t>实验用品提篮</t>
        </is>
      </c>
      <c r="D194" s="141" t="inlineStr">
        <is>
          <t>环保材质，耐腐蚀，配有提手，不小于 490 mm ×360 mm×290 mm，承重不小于10 kg</t>
        </is>
      </c>
      <c r="E194" s="31" t="n">
        <v>2</v>
      </c>
      <c r="F194" s="26" t="inlineStr">
        <is>
          <t>个</t>
        </is>
      </c>
      <c r="G194" s="323">
        <f>_xlfn.DISPIMG("ID_9DD03CE4064F41628FAF46C7C3670953",1)</f>
        <v/>
      </c>
      <c r="H194" s="31" t="n"/>
      <c r="I194" s="220" t="n"/>
      <c r="J194" s="26" t="n">
        <v>30199009201</v>
      </c>
      <c r="K194" s="33" t="inlineStr">
        <is>
          <t>环保材质，耐腐蚀，配有提手，不小于 490 mm ×360 mm×290 mm，承重不小于10 kg</t>
        </is>
      </c>
      <c r="L194" s="39" t="inlineStr">
        <is>
          <t>乐百仕</t>
        </is>
      </c>
      <c r="M194" s="39" t="inlineStr">
        <is>
          <t>江苏乐百仕教育科技有限公司</t>
        </is>
      </c>
      <c r="N194" s="364" t="n">
        <v>2</v>
      </c>
      <c r="O194" s="364" t="n">
        <v>45</v>
      </c>
      <c r="P194" s="345" t="n">
        <v>90</v>
      </c>
      <c r="Q194" s="345" t="inlineStr">
        <is>
          <t>个</t>
        </is>
      </c>
      <c r="R194" s="345" t="inlineStr"/>
      <c r="S194" s="345" t="inlineStr"/>
      <c r="T194" s="345" t="inlineStr"/>
      <c r="U194" s="345" t="inlineStr"/>
      <c r="V194" s="345" t="n">
        <v>45</v>
      </c>
      <c r="W194" s="345" t="inlineStr"/>
      <c r="X194" s="345" t="n">
        <v>99</v>
      </c>
      <c r="Y194" s="345" t="inlineStr"/>
      <c r="Z194" s="345" t="inlineStr">
        <is>
          <t>confirmed</t>
        </is>
      </c>
      <c r="AA194" s="345" t="n">
        <v>100</v>
      </c>
      <c r="AB194" s="345" t="inlineStr">
        <is>
          <t>价格分歧&gt;30%：历史报价分歧较大，需人工核对</t>
        </is>
      </c>
      <c r="AC194" s="345" t="inlineStr">
        <is>
          <t>赛特尔25年.xls｜初中新课标生物｜第37行</t>
        </is>
      </c>
    </row>
    <row r="195" customFormat="1" s="195">
      <c r="A195" s="323" t="n">
        <v>285</v>
      </c>
      <c r="B195" s="370" t="n">
        <v>30701012101</v>
      </c>
      <c r="C195" s="243" t="inlineStr">
        <is>
          <t>碘</t>
        </is>
      </c>
      <c r="D195" s="242" t="inlineStr">
        <is>
          <t>试剂</t>
        </is>
      </c>
      <c r="E195" s="358" t="n">
        <v>250</v>
      </c>
      <c r="F195" s="162" t="inlineStr">
        <is>
          <t>g</t>
        </is>
      </c>
      <c r="G195" s="323" t="n"/>
      <c r="H195" s="31" t="n"/>
      <c r="I195" s="220" t="n"/>
      <c r="J195" s="359" t="n">
        <v>30701012101</v>
      </c>
      <c r="K195" s="164" t="inlineStr">
        <is>
          <t>试剂</t>
        </is>
      </c>
      <c r="L195" s="39" t="inlineStr">
        <is>
          <t>良师</t>
        </is>
      </c>
      <c r="M195" s="39" t="inlineStr">
        <is>
          <t>义乌市教学仪器有限公司</t>
        </is>
      </c>
      <c r="N195" s="364" t="n">
        <v>250</v>
      </c>
      <c r="O195" s="364" t="n">
        <v>0.9</v>
      </c>
      <c r="P195" s="345" t="n">
        <v>225</v>
      </c>
      <c r="Q195" s="345" t="inlineStr">
        <is>
          <t>g</t>
        </is>
      </c>
      <c r="R195" s="345" t="inlineStr"/>
      <c r="S195" s="345" t="inlineStr"/>
      <c r="T195" s="345" t="inlineStr"/>
      <c r="U195" s="345" t="inlineStr">
        <is>
          <t>试剂</t>
        </is>
      </c>
      <c r="V195" s="345" t="inlineStr"/>
      <c r="W195" s="345" t="inlineStr"/>
      <c r="X195" s="345" t="inlineStr"/>
      <c r="Y195" s="345" t="inlineStr"/>
      <c r="Z195" s="345" t="inlineStr">
        <is>
          <t>confirmed</t>
        </is>
      </c>
      <c r="AA195" s="345" t="n">
        <v>100</v>
      </c>
      <c r="AB195" s="345" t="inlineStr"/>
      <c r="AC195" s="345" t="inlineStr">
        <is>
          <t>赛特尔25年.xls｜初中新课标生物｜第157行</t>
        </is>
      </c>
    </row>
    <row r="196" customFormat="1" s="195">
      <c r="A196" s="323" t="n">
        <v>286</v>
      </c>
      <c r="B196" s="370" t="n">
        <v>30704000201</v>
      </c>
      <c r="C196" s="243" t="inlineStr">
        <is>
          <t>氯化钠</t>
        </is>
      </c>
      <c r="D196" s="242" t="inlineStr">
        <is>
          <t>试剂</t>
        </is>
      </c>
      <c r="E196" s="358" t="n">
        <v>500</v>
      </c>
      <c r="F196" s="162" t="inlineStr">
        <is>
          <t>g</t>
        </is>
      </c>
      <c r="G196" s="323" t="n"/>
      <c r="H196" s="31" t="n"/>
      <c r="I196" s="220" t="n"/>
      <c r="J196" s="359" t="n">
        <v>30704000201</v>
      </c>
      <c r="K196" s="164" t="inlineStr">
        <is>
          <t>试剂</t>
        </is>
      </c>
      <c r="L196" s="39" t="inlineStr">
        <is>
          <t>良师</t>
        </is>
      </c>
      <c r="M196" s="39" t="inlineStr">
        <is>
          <t>义乌市教学仪器有限公司</t>
        </is>
      </c>
      <c r="N196" s="364" t="n">
        <v>500</v>
      </c>
      <c r="O196" s="364" t="n">
        <v>0.02</v>
      </c>
      <c r="P196" s="345" t="n">
        <v>10</v>
      </c>
      <c r="Q196" s="345" t="inlineStr">
        <is>
          <t>g</t>
        </is>
      </c>
      <c r="R196" s="345" t="inlineStr"/>
      <c r="S196" s="345" t="inlineStr"/>
      <c r="T196" s="345" t="inlineStr"/>
      <c r="U196" s="345" t="inlineStr">
        <is>
          <t>试剂</t>
        </is>
      </c>
      <c r="V196" s="345" t="inlineStr"/>
      <c r="W196" s="345" t="inlineStr"/>
      <c r="X196" s="345" t="inlineStr"/>
      <c r="Y196" s="345" t="inlineStr"/>
      <c r="Z196" s="345" t="inlineStr">
        <is>
          <t>confirmed</t>
        </is>
      </c>
      <c r="AA196" s="345" t="n">
        <v>100</v>
      </c>
      <c r="AB196" s="345" t="inlineStr"/>
      <c r="AC196" s="345" t="inlineStr">
        <is>
          <t>赛特尔25年.xls｜初中新课标生物｜第159行</t>
        </is>
      </c>
    </row>
    <row r="197" customFormat="1" s="195">
      <c r="A197" s="323" t="n">
        <v>288</v>
      </c>
      <c r="B197" s="370" t="n">
        <v>30704000801</v>
      </c>
      <c r="C197" s="243" t="inlineStr">
        <is>
          <t>三氯化铁</t>
        </is>
      </c>
      <c r="D197" s="242" t="inlineStr">
        <is>
          <t>试剂</t>
        </is>
      </c>
      <c r="E197" s="358" t="n">
        <v>500</v>
      </c>
      <c r="F197" s="162" t="inlineStr">
        <is>
          <t>g</t>
        </is>
      </c>
      <c r="G197" s="323" t="n"/>
      <c r="H197" s="31" t="n"/>
      <c r="I197" s="220" t="n"/>
      <c r="J197" s="359" t="n">
        <v>30704000801</v>
      </c>
      <c r="K197" s="164" t="inlineStr">
        <is>
          <t>试剂</t>
        </is>
      </c>
      <c r="L197" s="39" t="inlineStr">
        <is>
          <t>良师</t>
        </is>
      </c>
      <c r="M197" s="39" t="inlineStr">
        <is>
          <t>义乌市教学仪器有限公司</t>
        </is>
      </c>
      <c r="N197" s="364" t="n">
        <v>500</v>
      </c>
      <c r="O197" s="364" t="n">
        <v>0.03</v>
      </c>
      <c r="P197" s="345" t="n">
        <v>15</v>
      </c>
      <c r="Q197" s="345" t="inlineStr">
        <is>
          <t>g</t>
        </is>
      </c>
      <c r="R197" s="345" t="inlineStr"/>
      <c r="S197" s="345" t="inlineStr"/>
      <c r="T197" s="345" t="inlineStr"/>
      <c r="U197" s="345" t="inlineStr">
        <is>
          <t>试剂</t>
        </is>
      </c>
      <c r="V197" s="345" t="inlineStr"/>
      <c r="W197" s="345" t="inlineStr"/>
      <c r="X197" s="345" t="inlineStr"/>
      <c r="Y197" s="345" t="inlineStr"/>
      <c r="Z197" s="345" t="inlineStr">
        <is>
          <t>confirmed</t>
        </is>
      </c>
      <c r="AA197" s="345" t="n">
        <v>100</v>
      </c>
      <c r="AB197" s="345" t="inlineStr"/>
      <c r="AC197" s="345" t="inlineStr">
        <is>
          <t>赛特尔25年.xls｜初中新课标化学｜第211行</t>
        </is>
      </c>
    </row>
    <row r="198" customFormat="1" s="195">
      <c r="A198" s="323" t="n">
        <v>289</v>
      </c>
      <c r="B198" s="370" t="n">
        <v>30706000101</v>
      </c>
      <c r="C198" s="243" t="inlineStr">
        <is>
          <t>碘化钾</t>
        </is>
      </c>
      <c r="D198" s="242" t="inlineStr">
        <is>
          <t>试剂</t>
        </is>
      </c>
      <c r="E198" s="358" t="n">
        <v>250</v>
      </c>
      <c r="F198" s="162" t="inlineStr">
        <is>
          <t>g</t>
        </is>
      </c>
      <c r="G198" s="323" t="n"/>
      <c r="H198" s="31" t="n"/>
      <c r="I198" s="220" t="n"/>
      <c r="J198" s="359" t="n">
        <v>30706000101</v>
      </c>
      <c r="K198" s="164" t="inlineStr">
        <is>
          <t>试剂</t>
        </is>
      </c>
      <c r="L198" s="39" t="inlineStr">
        <is>
          <t>良师</t>
        </is>
      </c>
      <c r="M198" s="39" t="inlineStr">
        <is>
          <t>义乌市教学仪器有限公司</t>
        </is>
      </c>
      <c r="N198" s="364" t="n">
        <v>250</v>
      </c>
      <c r="O198" s="364" t="n">
        <v>0.5600000000000001</v>
      </c>
      <c r="P198" s="345" t="n">
        <v>140</v>
      </c>
      <c r="Q198" s="345" t="inlineStr">
        <is>
          <t>g</t>
        </is>
      </c>
      <c r="R198" s="345" t="inlineStr"/>
      <c r="S198" s="345" t="inlineStr"/>
      <c r="T198" s="345" t="inlineStr"/>
      <c r="U198" s="345" t="inlineStr">
        <is>
          <t>试剂</t>
        </is>
      </c>
      <c r="V198" s="345" t="inlineStr"/>
      <c r="W198" s="345" t="inlineStr"/>
      <c r="X198" s="345" t="inlineStr"/>
      <c r="Y198" s="345" t="inlineStr"/>
      <c r="Z198" s="345" t="inlineStr">
        <is>
          <t>confirmed</t>
        </is>
      </c>
      <c r="AA198" s="345" t="n">
        <v>100</v>
      </c>
      <c r="AB198" s="345" t="inlineStr"/>
      <c r="AC198" s="345" t="inlineStr">
        <is>
          <t>赛特尔25年.xls｜初中新课标生物｜第158行</t>
        </is>
      </c>
    </row>
    <row r="199" customFormat="1" s="195">
      <c r="A199" s="323" t="n">
        <v>291</v>
      </c>
      <c r="B199" s="370" t="n">
        <v>30707001501</v>
      </c>
      <c r="C199" s="243" t="inlineStr">
        <is>
          <t>硫酸铜(蓝矾、胆矾)</t>
        </is>
      </c>
      <c r="D199" s="242" t="inlineStr">
        <is>
          <t>试剂</t>
        </is>
      </c>
      <c r="E199" s="358" t="n">
        <v>500</v>
      </c>
      <c r="F199" s="162" t="inlineStr">
        <is>
          <t>g</t>
        </is>
      </c>
      <c r="G199" s="323" t="n"/>
      <c r="H199" s="31" t="n"/>
      <c r="I199" s="220" t="n"/>
      <c r="J199" s="359" t="n">
        <v>30707001501</v>
      </c>
      <c r="K199" s="164" t="inlineStr">
        <is>
          <t>试剂</t>
        </is>
      </c>
      <c r="L199" s="39" t="inlineStr">
        <is>
          <t>良师</t>
        </is>
      </c>
      <c r="M199" s="39" t="inlineStr">
        <is>
          <t>义乌市教学仪器有限公司</t>
        </is>
      </c>
      <c r="N199" s="364" t="n">
        <v>500</v>
      </c>
      <c r="O199" s="364" t="n">
        <v>0.07000000000000001</v>
      </c>
      <c r="P199" s="345" t="n">
        <v>35</v>
      </c>
      <c r="Q199" s="345" t="inlineStr">
        <is>
          <t>g</t>
        </is>
      </c>
      <c r="R199" s="345" t="inlineStr"/>
      <c r="S199" s="345" t="inlineStr"/>
      <c r="T199" s="345" t="inlineStr"/>
      <c r="U199" s="345" t="inlineStr">
        <is>
          <t>工业</t>
        </is>
      </c>
      <c r="V199" s="345" t="inlineStr"/>
      <c r="W199" s="345" t="inlineStr"/>
      <c r="X199" s="345" t="inlineStr"/>
      <c r="Y199" s="345" t="inlineStr"/>
      <c r="Z199" s="345" t="inlineStr">
        <is>
          <t>confirmed</t>
        </is>
      </c>
      <c r="AA199" s="345" t="n">
        <v>100</v>
      </c>
      <c r="AB199" s="345" t="inlineStr"/>
      <c r="AC199" s="345" t="inlineStr">
        <is>
          <t>赛特尔25年.xls｜初中新课标生物｜第160行</t>
        </is>
      </c>
    </row>
    <row r="200" customFormat="1" s="195">
      <c r="A200" s="323" t="n">
        <v>292</v>
      </c>
      <c r="B200" s="370" t="n">
        <v>30707002201</v>
      </c>
      <c r="C200" s="243" t="inlineStr">
        <is>
          <t>硫酸锌</t>
        </is>
      </c>
      <c r="D200" s="242" t="inlineStr">
        <is>
          <t>试剂</t>
        </is>
      </c>
      <c r="E200" s="358" t="n">
        <v>500</v>
      </c>
      <c r="F200" s="162" t="inlineStr">
        <is>
          <t>g</t>
        </is>
      </c>
      <c r="G200" s="323" t="n"/>
      <c r="H200" s="31" t="n"/>
      <c r="I200" s="220" t="n"/>
      <c r="J200" s="359" t="n">
        <v>30707002201</v>
      </c>
      <c r="K200" s="164" t="inlineStr">
        <is>
          <t>试剂</t>
        </is>
      </c>
      <c r="L200" s="39" t="inlineStr">
        <is>
          <t>良师</t>
        </is>
      </c>
      <c r="M200" s="39" t="inlineStr">
        <is>
          <t>义乌市教学仪器有限公司</t>
        </is>
      </c>
      <c r="N200" s="364" t="n">
        <v>500</v>
      </c>
      <c r="O200" s="364" t="n">
        <v>0.03</v>
      </c>
      <c r="P200" s="345" t="n">
        <v>15</v>
      </c>
      <c r="Q200" s="345" t="inlineStr">
        <is>
          <t>g</t>
        </is>
      </c>
      <c r="R200" s="345" t="inlineStr"/>
      <c r="S200" s="345" t="inlineStr"/>
      <c r="T200" s="345" t="inlineStr"/>
      <c r="U200" s="345" t="inlineStr">
        <is>
          <t>工业</t>
        </is>
      </c>
      <c r="V200" s="345" t="inlineStr"/>
      <c r="W200" s="345" t="inlineStr"/>
      <c r="X200" s="345" t="inlineStr"/>
      <c r="Y200" s="345" t="inlineStr"/>
      <c r="Z200" s="345" t="inlineStr">
        <is>
          <t>confirmed</t>
        </is>
      </c>
      <c r="AA200" s="345" t="n">
        <v>0</v>
      </c>
      <c r="AB200" s="345" t="inlineStr">
        <is>
          <t>没有找到可靠候选</t>
        </is>
      </c>
      <c r="AC200" s="345" t="inlineStr">
        <is>
          <t>赛特尔25年.xls｜初中化学｜第256行</t>
        </is>
      </c>
    </row>
    <row r="201" customFormat="1" s="195">
      <c r="A201" s="323" t="n">
        <v>293</v>
      </c>
      <c r="B201" s="370" t="n">
        <v>30710000301</v>
      </c>
      <c r="C201" s="243" t="inlineStr">
        <is>
          <t>碳酸氢钠</t>
        </is>
      </c>
      <c r="D201" s="242" t="inlineStr">
        <is>
          <t>试剂</t>
        </is>
      </c>
      <c r="E201" s="358" t="n">
        <v>500</v>
      </c>
      <c r="F201" s="162" t="inlineStr">
        <is>
          <t>g</t>
        </is>
      </c>
      <c r="G201" s="323" t="n"/>
      <c r="H201" s="31" t="n"/>
      <c r="I201" s="220" t="n"/>
      <c r="J201" s="359" t="n">
        <v>30710000301</v>
      </c>
      <c r="K201" s="164" t="inlineStr">
        <is>
          <t>试剂</t>
        </is>
      </c>
      <c r="L201" s="39" t="inlineStr">
        <is>
          <t>良师</t>
        </is>
      </c>
      <c r="M201" s="39" t="inlineStr">
        <is>
          <t>义乌市教学仪器有限公司</t>
        </is>
      </c>
      <c r="N201" s="364" t="n">
        <v>500</v>
      </c>
      <c r="O201" s="364" t="n">
        <v>0.01</v>
      </c>
      <c r="P201" s="345" t="n">
        <v>5</v>
      </c>
      <c r="Q201" s="345" t="inlineStr">
        <is>
          <t>g</t>
        </is>
      </c>
      <c r="R201" s="345" t="inlineStr"/>
      <c r="S201" s="345" t="inlineStr"/>
      <c r="T201" s="345" t="inlineStr"/>
      <c r="U201" s="345" t="inlineStr">
        <is>
          <t>工业</t>
        </is>
      </c>
      <c r="V201" s="345" t="inlineStr"/>
      <c r="W201" s="345" t="inlineStr"/>
      <c r="X201" s="345" t="inlineStr"/>
      <c r="Y201" s="345" t="inlineStr"/>
      <c r="Z201" s="345" t="inlineStr">
        <is>
          <t>confirmed</t>
        </is>
      </c>
      <c r="AA201" s="345" t="n">
        <v>100</v>
      </c>
      <c r="AB201" s="345" t="inlineStr"/>
      <c r="AC201" s="345" t="inlineStr">
        <is>
          <t>赛特尔25年.xls｜初中新课标生物｜第161行</t>
        </is>
      </c>
    </row>
    <row r="202" customFormat="1" s="195">
      <c r="A202" s="323" t="n">
        <v>294</v>
      </c>
      <c r="B202" s="370" t="n">
        <v>30710000401</v>
      </c>
      <c r="C202" s="243" t="inlineStr">
        <is>
          <t>碳酸钙</t>
        </is>
      </c>
      <c r="D202" s="242" t="inlineStr">
        <is>
          <t>试剂</t>
        </is>
      </c>
      <c r="E202" s="358" t="n">
        <v>500</v>
      </c>
      <c r="F202" s="162" t="inlineStr">
        <is>
          <t>g</t>
        </is>
      </c>
      <c r="G202" s="323" t="n"/>
      <c r="H202" s="31" t="n"/>
      <c r="I202" s="220" t="n"/>
      <c r="J202" s="359" t="n">
        <v>30710000401</v>
      </c>
      <c r="K202" s="164" t="inlineStr">
        <is>
          <t>试剂</t>
        </is>
      </c>
      <c r="L202" s="39" t="inlineStr">
        <is>
          <t>良师</t>
        </is>
      </c>
      <c r="M202" s="39" t="inlineStr">
        <is>
          <t>义乌市教学仪器有限公司</t>
        </is>
      </c>
      <c r="N202" s="364" t="n">
        <v>500</v>
      </c>
      <c r="O202" s="364" t="n">
        <v>0.02</v>
      </c>
      <c r="P202" s="345" t="n">
        <v>10</v>
      </c>
      <c r="Q202" s="345" t="inlineStr">
        <is>
          <t>g</t>
        </is>
      </c>
      <c r="R202" s="345" t="inlineStr"/>
      <c r="S202" s="345" t="inlineStr"/>
      <c r="T202" s="345" t="inlineStr"/>
      <c r="U202" s="345" t="inlineStr">
        <is>
          <t>粉末</t>
        </is>
      </c>
      <c r="V202" s="345" t="inlineStr"/>
      <c r="W202" s="345" t="inlineStr"/>
      <c r="X202" s="345" t="inlineStr"/>
      <c r="Y202" s="345" t="inlineStr"/>
      <c r="Z202" s="345" t="inlineStr">
        <is>
          <t>confirmed</t>
        </is>
      </c>
      <c r="AA202" s="345" t="n">
        <v>100</v>
      </c>
      <c r="AB202" s="345" t="inlineStr"/>
      <c r="AC202" s="345" t="inlineStr">
        <is>
          <t>赛特尔25年.xls｜初中新课标化学｜第224行</t>
        </is>
      </c>
    </row>
    <row r="203" customFormat="1" s="195">
      <c r="A203" s="323" t="n">
        <v>295</v>
      </c>
      <c r="B203" s="370" t="n">
        <v>30710000201</v>
      </c>
      <c r="C203" s="243" t="inlineStr">
        <is>
          <t>碳酸钠</t>
        </is>
      </c>
      <c r="D203" s="242" t="inlineStr">
        <is>
          <t>试剂，无水</t>
        </is>
      </c>
      <c r="E203" s="358" t="n">
        <v>500</v>
      </c>
      <c r="F203" s="162" t="inlineStr">
        <is>
          <t>g</t>
        </is>
      </c>
      <c r="G203" s="323" t="n"/>
      <c r="H203" s="31" t="n"/>
      <c r="I203" s="220" t="n"/>
      <c r="J203" s="359" t="n">
        <v>30710000201</v>
      </c>
      <c r="K203" s="164" t="inlineStr">
        <is>
          <t>试剂，无水</t>
        </is>
      </c>
      <c r="L203" s="39" t="inlineStr">
        <is>
          <t>良师</t>
        </is>
      </c>
      <c r="M203" s="39" t="inlineStr">
        <is>
          <t>义乌市教学仪器有限公司</t>
        </is>
      </c>
      <c r="N203" s="364" t="n">
        <v>500</v>
      </c>
      <c r="O203" s="364" t="n">
        <v>0.01</v>
      </c>
      <c r="P203" s="345" t="n">
        <v>5</v>
      </c>
      <c r="Q203" s="345" t="inlineStr">
        <is>
          <t>g</t>
        </is>
      </c>
      <c r="R203" s="345" t="inlineStr"/>
      <c r="S203" s="345" t="inlineStr"/>
      <c r="T203" s="345" t="inlineStr"/>
      <c r="U203" s="345" t="inlineStr">
        <is>
          <t>工业</t>
        </is>
      </c>
      <c r="V203" s="345" t="inlineStr"/>
      <c r="W203" s="345" t="inlineStr"/>
      <c r="X203" s="345" t="inlineStr"/>
      <c r="Y203" s="345" t="inlineStr"/>
      <c r="Z203" s="345" t="inlineStr">
        <is>
          <t>confirmed</t>
        </is>
      </c>
      <c r="AA203" s="345" t="n">
        <v>100</v>
      </c>
      <c r="AB203" s="345" t="inlineStr"/>
      <c r="AC203" s="345" t="inlineStr">
        <is>
          <t>赛特尔25年.xls｜初中新课标化学｜第221行</t>
        </is>
      </c>
    </row>
    <row r="204" customFormat="1" s="195">
      <c r="A204" s="323" t="n">
        <v>298</v>
      </c>
      <c r="B204" s="370" t="n">
        <v>30702006001</v>
      </c>
      <c r="C204" s="243" t="inlineStr">
        <is>
          <t>二氧化硅</t>
        </is>
      </c>
      <c r="D204" s="242" t="inlineStr">
        <is>
          <t>试剂</t>
        </is>
      </c>
      <c r="E204" s="358" t="n">
        <v>500</v>
      </c>
      <c r="F204" s="162" t="inlineStr">
        <is>
          <t>g</t>
        </is>
      </c>
      <c r="G204" s="323" t="n"/>
      <c r="H204" s="31" t="n"/>
      <c r="I204" s="220" t="n"/>
      <c r="J204" s="359" t="n">
        <v>30702006001</v>
      </c>
      <c r="K204" s="164" t="inlineStr">
        <is>
          <t>试剂</t>
        </is>
      </c>
      <c r="L204" s="39" t="inlineStr">
        <is>
          <t>良师</t>
        </is>
      </c>
      <c r="M204" s="39" t="inlineStr">
        <is>
          <t>义乌市教学仪器有限公司</t>
        </is>
      </c>
      <c r="N204" s="364" t="n">
        <v>500</v>
      </c>
      <c r="O204" s="364" t="n">
        <v>0.15</v>
      </c>
      <c r="P204" s="345" t="n">
        <v>75</v>
      </c>
      <c r="Q204" s="345" t="inlineStr">
        <is>
          <t>g</t>
        </is>
      </c>
      <c r="R204" s="345" t="inlineStr"/>
      <c r="S204" s="345" t="inlineStr"/>
      <c r="T204" s="345" t="inlineStr"/>
      <c r="U204" s="345" t="inlineStr">
        <is>
          <t>试剂</t>
        </is>
      </c>
      <c r="V204" s="345" t="inlineStr"/>
      <c r="W204" s="345" t="inlineStr"/>
      <c r="X204" s="345" t="inlineStr"/>
      <c r="Y204" s="345" t="inlineStr"/>
      <c r="Z204" s="345" t="inlineStr">
        <is>
          <t>confirmed</t>
        </is>
      </c>
      <c r="AA204" s="345" t="n">
        <v>75</v>
      </c>
      <c r="AB204" s="345" t="inlineStr"/>
      <c r="AC204" s="345" t="inlineStr">
        <is>
          <t>赛特尔25年.xls｜初中新课标化学｜第200行</t>
        </is>
      </c>
    </row>
    <row r="205" customFormat="1" s="195">
      <c r="A205" s="323" t="n">
        <v>299</v>
      </c>
      <c r="B205" s="370" t="n">
        <v>30710031001</v>
      </c>
      <c r="C205" s="243" t="inlineStr">
        <is>
          <t>磷酸二氢钾</t>
        </is>
      </c>
      <c r="D205" s="242" t="inlineStr">
        <is>
          <t>试剂</t>
        </is>
      </c>
      <c r="E205" s="358" t="n">
        <v>500</v>
      </c>
      <c r="F205" s="162" t="inlineStr">
        <is>
          <t>g</t>
        </is>
      </c>
      <c r="G205" s="323" t="n"/>
      <c r="H205" s="31" t="n"/>
      <c r="I205" s="220" t="n"/>
      <c r="J205" s="359" t="n">
        <v>30710031001</v>
      </c>
      <c r="K205" s="164" t="inlineStr">
        <is>
          <t>试剂</t>
        </is>
      </c>
      <c r="L205" s="39" t="inlineStr">
        <is>
          <t>良师</t>
        </is>
      </c>
      <c r="M205" s="39" t="inlineStr">
        <is>
          <t>义乌市教学仪器有限公司</t>
        </is>
      </c>
      <c r="N205" s="364" t="n">
        <v>500</v>
      </c>
      <c r="O205" s="364" t="n">
        <v>0.03</v>
      </c>
      <c r="P205" s="345" t="n">
        <v>15</v>
      </c>
      <c r="Q205" s="345" t="inlineStr">
        <is>
          <t>g</t>
        </is>
      </c>
      <c r="R205" s="345" t="inlineStr"/>
      <c r="S205" s="345" t="inlineStr"/>
      <c r="T205" s="345" t="inlineStr"/>
      <c r="U205" s="345" t="inlineStr">
        <is>
          <t>标准</t>
        </is>
      </c>
      <c r="V205" s="345" t="inlineStr"/>
      <c r="W205" s="345" t="inlineStr"/>
      <c r="X205" s="345" t="inlineStr"/>
      <c r="Y205" s="345" t="inlineStr"/>
      <c r="Z205" s="345" t="inlineStr">
        <is>
          <t>confirmed</t>
        </is>
      </c>
      <c r="AA205" s="345" t="n">
        <v>0</v>
      </c>
      <c r="AB205" s="345" t="inlineStr">
        <is>
          <t>匹配到商品档案但无历史价格记录</t>
        </is>
      </c>
      <c r="AC205" s="345" t="inlineStr">
        <is>
          <t>赛特尔25年.xls｜初中化学｜第215行</t>
        </is>
      </c>
    </row>
    <row r="206" customFormat="1" s="195">
      <c r="A206" s="323" t="n">
        <v>300</v>
      </c>
      <c r="B206" s="370" t="n">
        <v>30707002401</v>
      </c>
      <c r="C206" s="243" t="inlineStr">
        <is>
          <t>硫酸锰</t>
        </is>
      </c>
      <c r="D206" s="242" t="inlineStr">
        <is>
          <t>试剂</t>
        </is>
      </c>
      <c r="E206" s="358" t="n">
        <v>500</v>
      </c>
      <c r="F206" s="162" t="inlineStr">
        <is>
          <t>g</t>
        </is>
      </c>
      <c r="G206" s="323" t="n"/>
      <c r="H206" s="31" t="n"/>
      <c r="I206" s="220" t="n"/>
      <c r="J206" s="359" t="n">
        <v>30707002401</v>
      </c>
      <c r="K206" s="164" t="inlineStr">
        <is>
          <t>试剂</t>
        </is>
      </c>
      <c r="L206" s="39" t="inlineStr">
        <is>
          <t>良师</t>
        </is>
      </c>
      <c r="M206" s="39" t="inlineStr">
        <is>
          <t>义乌市教学仪器有限公司</t>
        </is>
      </c>
      <c r="N206" s="364" t="n">
        <v>500</v>
      </c>
      <c r="O206" s="364" t="n">
        <v>0.03</v>
      </c>
      <c r="P206" s="345" t="n">
        <v>15</v>
      </c>
      <c r="Q206" s="345" t="inlineStr">
        <is>
          <t>g</t>
        </is>
      </c>
      <c r="R206" s="345" t="inlineStr"/>
      <c r="S206" s="345" t="inlineStr"/>
      <c r="T206" s="345" t="inlineStr"/>
      <c r="U206" s="345" t="inlineStr">
        <is>
          <t>工业</t>
        </is>
      </c>
      <c r="V206" s="345" t="inlineStr"/>
      <c r="W206" s="345" t="inlineStr"/>
      <c r="X206" s="345" t="inlineStr"/>
      <c r="Y206" s="345" t="inlineStr"/>
      <c r="Z206" s="345" t="inlineStr">
        <is>
          <t>confirmed</t>
        </is>
      </c>
      <c r="AA206" s="345" t="n">
        <v>0</v>
      </c>
      <c r="AB206" s="345" t="inlineStr">
        <is>
          <t>没有找到可靠候选</t>
        </is>
      </c>
      <c r="AC206" s="345" t="inlineStr">
        <is>
          <t>赛特尔25年.xls｜初中化学｜第256行</t>
        </is>
      </c>
    </row>
    <row r="207" customFormat="1" s="195">
      <c r="A207" s="323" t="n">
        <v>301</v>
      </c>
      <c r="B207" s="370" t="n">
        <v>30712010201</v>
      </c>
      <c r="C207" s="243" t="inlineStr">
        <is>
          <t>钼酸钠</t>
        </is>
      </c>
      <c r="D207" s="242" t="inlineStr">
        <is>
          <t>试剂</t>
        </is>
      </c>
      <c r="E207" s="358" t="n">
        <v>500</v>
      </c>
      <c r="F207" s="162" t="inlineStr">
        <is>
          <t>g</t>
        </is>
      </c>
      <c r="G207" s="323" t="n"/>
      <c r="H207" s="31" t="n"/>
      <c r="I207" s="220" t="n"/>
      <c r="J207" s="359" t="n">
        <v>30712010201</v>
      </c>
      <c r="K207" s="164" t="inlineStr">
        <is>
          <t>试剂</t>
        </is>
      </c>
      <c r="L207" s="39" t="inlineStr">
        <is>
          <t>良师</t>
        </is>
      </c>
      <c r="M207" s="39" t="inlineStr">
        <is>
          <t>义乌市教学仪器有限公司</t>
        </is>
      </c>
      <c r="N207" s="364" t="n">
        <v>500</v>
      </c>
      <c r="O207" s="364" t="n">
        <v>0.24</v>
      </c>
      <c r="P207" s="345" t="n">
        <v>120</v>
      </c>
      <c r="Q207" s="345" t="inlineStr">
        <is>
          <t>g</t>
        </is>
      </c>
      <c r="R207" s="345" t="inlineStr"/>
      <c r="S207" s="345" t="inlineStr"/>
      <c r="T207" s="345" t="inlineStr"/>
      <c r="U207" s="345" t="inlineStr">
        <is>
          <t>试剂</t>
        </is>
      </c>
      <c r="V207" s="345" t="inlineStr"/>
      <c r="W207" s="345" t="inlineStr"/>
      <c r="X207" s="345" t="inlineStr"/>
      <c r="Y207" s="345" t="inlineStr"/>
      <c r="Z207" s="345" t="inlineStr">
        <is>
          <t>confirmed</t>
        </is>
      </c>
      <c r="AA207" s="345" t="n">
        <v>0</v>
      </c>
      <c r="AB207" s="345" t="inlineStr">
        <is>
          <t>匹配到商品档案但无历史价格记录</t>
        </is>
      </c>
      <c r="AC207" s="345" t="inlineStr">
        <is>
          <t>赛特尔25年.xls｜高中化学｜第414行</t>
        </is>
      </c>
    </row>
    <row r="208" customFormat="1" s="195">
      <c r="A208" s="323" t="n">
        <v>302</v>
      </c>
      <c r="B208" s="370" t="n">
        <v>30707001201</v>
      </c>
      <c r="C208" s="243" t="inlineStr">
        <is>
          <t>硫酸镁</t>
        </is>
      </c>
      <c r="D208" s="242" t="inlineStr">
        <is>
          <t>试剂</t>
        </is>
      </c>
      <c r="E208" s="358" t="n">
        <v>500</v>
      </c>
      <c r="F208" s="162" t="inlineStr">
        <is>
          <t>g</t>
        </is>
      </c>
      <c r="G208" s="323" t="n"/>
      <c r="H208" s="31" t="n"/>
      <c r="I208" s="220" t="n"/>
      <c r="J208" s="359" t="n">
        <v>30707001201</v>
      </c>
      <c r="K208" s="164" t="inlineStr">
        <is>
          <t>试剂</t>
        </is>
      </c>
      <c r="L208" s="39" t="inlineStr">
        <is>
          <t>良师</t>
        </is>
      </c>
      <c r="M208" s="39" t="inlineStr">
        <is>
          <t>义乌市教学仪器有限公司</t>
        </is>
      </c>
      <c r="N208" s="364" t="n">
        <v>500</v>
      </c>
      <c r="O208" s="364" t="n">
        <v>0.03</v>
      </c>
      <c r="P208" s="345" t="n">
        <v>15</v>
      </c>
      <c r="Q208" s="345" t="inlineStr">
        <is>
          <t>g</t>
        </is>
      </c>
      <c r="R208" s="345" t="inlineStr"/>
      <c r="S208" s="345" t="inlineStr"/>
      <c r="T208" s="345" t="inlineStr"/>
      <c r="U208" s="345" t="inlineStr">
        <is>
          <t>工业</t>
        </is>
      </c>
      <c r="V208" s="345" t="inlineStr"/>
      <c r="W208" s="345" t="inlineStr"/>
      <c r="X208" s="345" t="inlineStr"/>
      <c r="Y208" s="345" t="inlineStr"/>
      <c r="Z208" s="345" t="inlineStr">
        <is>
          <t>confirmed</t>
        </is>
      </c>
      <c r="AA208" s="345" t="n">
        <v>0</v>
      </c>
      <c r="AB208" s="345" t="inlineStr">
        <is>
          <t>匹配到商品档案但无历史价格记录</t>
        </is>
      </c>
      <c r="AC208" s="345" t="inlineStr">
        <is>
          <t>赛特尔25年.xls｜初中化学｜第256行</t>
        </is>
      </c>
    </row>
    <row r="209" customFormat="1" s="195">
      <c r="A209" s="323" t="n">
        <v>303</v>
      </c>
      <c r="B209" s="370" t="n">
        <v>30707000801</v>
      </c>
      <c r="C209" s="243" t="inlineStr">
        <is>
          <t>硫酸铁</t>
        </is>
      </c>
      <c r="D209" s="242" t="inlineStr">
        <is>
          <t>试剂</t>
        </is>
      </c>
      <c r="E209" s="358" t="n">
        <v>500</v>
      </c>
      <c r="F209" s="162" t="inlineStr">
        <is>
          <t>g</t>
        </is>
      </c>
      <c r="G209" s="323" t="n"/>
      <c r="H209" s="31" t="n"/>
      <c r="I209" s="220" t="n"/>
      <c r="J209" s="359" t="n">
        <v>30707000801</v>
      </c>
      <c r="K209" s="164" t="inlineStr">
        <is>
          <t>试剂</t>
        </is>
      </c>
      <c r="L209" s="39" t="inlineStr">
        <is>
          <t>良师</t>
        </is>
      </c>
      <c r="M209" s="39" t="inlineStr">
        <is>
          <t>义乌市教学仪器有限公司</t>
        </is>
      </c>
      <c r="N209" s="364" t="n">
        <v>500</v>
      </c>
      <c r="O209" s="364" t="n">
        <v>0.03</v>
      </c>
      <c r="P209" s="345" t="n">
        <v>15</v>
      </c>
      <c r="Q209" s="345" t="inlineStr">
        <is>
          <t>g</t>
        </is>
      </c>
      <c r="R209" s="345" t="inlineStr"/>
      <c r="S209" s="345" t="inlineStr"/>
      <c r="T209" s="345" t="inlineStr"/>
      <c r="U209" s="345" t="inlineStr">
        <is>
          <t>工业</t>
        </is>
      </c>
      <c r="V209" s="345" t="inlineStr"/>
      <c r="W209" s="345" t="inlineStr"/>
      <c r="X209" s="345" t="inlineStr"/>
      <c r="Y209" s="345" t="inlineStr"/>
      <c r="Z209" s="345" t="inlineStr">
        <is>
          <t>confirmed</t>
        </is>
      </c>
      <c r="AA209" s="345" t="n">
        <v>0</v>
      </c>
      <c r="AB209" s="345" t="inlineStr">
        <is>
          <t>没有找到可靠候选</t>
        </is>
      </c>
      <c r="AC209" s="345" t="inlineStr">
        <is>
          <t>赛特尔25年.xls｜初中化学｜第256行</t>
        </is>
      </c>
    </row>
    <row r="210" customFormat="1" s="195">
      <c r="A210" s="323" t="n">
        <v>304</v>
      </c>
      <c r="B210" s="370" t="n">
        <v>30710035201</v>
      </c>
      <c r="C210" s="243" t="inlineStr">
        <is>
          <t>磷酸氢二钠</t>
        </is>
      </c>
      <c r="D210" s="242" t="inlineStr">
        <is>
          <t>试剂</t>
        </is>
      </c>
      <c r="E210" s="358" t="n">
        <v>500</v>
      </c>
      <c r="F210" s="162" t="inlineStr">
        <is>
          <t>g</t>
        </is>
      </c>
      <c r="G210" s="323" t="n"/>
      <c r="H210" s="31" t="n"/>
      <c r="I210" s="220" t="n"/>
      <c r="J210" s="359" t="n">
        <v>30710035201</v>
      </c>
      <c r="K210" s="164" t="inlineStr">
        <is>
          <t>试剂</t>
        </is>
      </c>
      <c r="L210" s="39" t="inlineStr">
        <is>
          <t>良师</t>
        </is>
      </c>
      <c r="M210" s="39" t="inlineStr">
        <is>
          <t>义乌市教学仪器有限公司</t>
        </is>
      </c>
      <c r="N210" s="364" t="n">
        <v>500</v>
      </c>
      <c r="O210" s="364" t="n">
        <v>0.24</v>
      </c>
      <c r="P210" s="345" t="n">
        <v>120</v>
      </c>
      <c r="Q210" s="345" t="inlineStr">
        <is>
          <t>g</t>
        </is>
      </c>
      <c r="R210" s="345" t="inlineStr"/>
      <c r="S210" s="345" t="inlineStr"/>
      <c r="T210" s="345" t="inlineStr"/>
      <c r="U210" s="345" t="inlineStr">
        <is>
          <t>试剂</t>
        </is>
      </c>
      <c r="V210" s="345" t="inlineStr"/>
      <c r="W210" s="345" t="inlineStr"/>
      <c r="X210" s="345" t="inlineStr"/>
      <c r="Y210" s="345" t="inlineStr"/>
      <c r="Z210" s="345" t="inlineStr">
        <is>
          <t>confirmed</t>
        </is>
      </c>
      <c r="AA210" s="345" t="n">
        <v>0</v>
      </c>
      <c r="AB210" s="345" t="inlineStr">
        <is>
          <t>匹配到商品档案但无历史价格记录</t>
        </is>
      </c>
      <c r="AC210" s="345" t="inlineStr">
        <is>
          <t>赛特尔25年.xls｜高中化学｜第414行</t>
        </is>
      </c>
    </row>
    <row r="211" customFormat="1" s="195">
      <c r="A211" s="323" t="n">
        <v>305</v>
      </c>
      <c r="B211" s="370" t="n">
        <v>30726000101</v>
      </c>
      <c r="C211" s="243" t="inlineStr">
        <is>
          <t>无水乙酸钠</t>
        </is>
      </c>
      <c r="D211" s="242" t="inlineStr">
        <is>
          <t>试剂</t>
        </is>
      </c>
      <c r="E211" s="358" t="n">
        <v>500</v>
      </c>
      <c r="F211" s="162" t="inlineStr">
        <is>
          <t>g</t>
        </is>
      </c>
      <c r="G211" s="323" t="n"/>
      <c r="H211" s="31" t="n"/>
      <c r="I211" s="220" t="n"/>
      <c r="J211" s="359" t="n">
        <v>30726000101</v>
      </c>
      <c r="K211" s="164" t="inlineStr">
        <is>
          <t>试剂</t>
        </is>
      </c>
      <c r="L211" s="39" t="inlineStr">
        <is>
          <t>良师</t>
        </is>
      </c>
      <c r="M211" s="39" t="inlineStr">
        <is>
          <t>义乌市教学仪器有限公司</t>
        </is>
      </c>
      <c r="N211" s="364" t="n">
        <v>500</v>
      </c>
      <c r="O211" s="364" t="n">
        <v>0.02</v>
      </c>
      <c r="P211" s="345" t="n">
        <v>10</v>
      </c>
      <c r="Q211" s="345" t="inlineStr">
        <is>
          <t>g</t>
        </is>
      </c>
      <c r="R211" s="345" t="inlineStr"/>
      <c r="S211" s="345" t="inlineStr"/>
      <c r="T211" s="345" t="inlineStr"/>
      <c r="U211" s="345" t="inlineStr">
        <is>
          <t>标准</t>
        </is>
      </c>
      <c r="V211" s="345" t="inlineStr"/>
      <c r="W211" s="345" t="inlineStr"/>
      <c r="X211" s="345" t="inlineStr"/>
      <c r="Y211" s="345" t="inlineStr"/>
      <c r="Z211" s="345" t="inlineStr">
        <is>
          <t>confirmed</t>
        </is>
      </c>
      <c r="AA211" s="345" t="n">
        <v>0</v>
      </c>
      <c r="AB211" s="345" t="inlineStr">
        <is>
          <t>没有找到可靠候选</t>
        </is>
      </c>
      <c r="AC211" s="345" t="inlineStr">
        <is>
          <t>赛特尔25年.xls｜初中化学｜第260行</t>
        </is>
      </c>
    </row>
    <row r="212" customFormat="1" s="195">
      <c r="A212" s="323" t="n">
        <v>306</v>
      </c>
      <c r="B212" s="370" t="n">
        <v>30726021001</v>
      </c>
      <c r="C212" s="243" t="inlineStr">
        <is>
          <t>乙二胺四乙酸二钠</t>
        </is>
      </c>
      <c r="D212" s="242" t="inlineStr">
        <is>
          <t>试剂</t>
        </is>
      </c>
      <c r="E212" s="358" t="n">
        <v>500</v>
      </c>
      <c r="F212" s="162" t="inlineStr">
        <is>
          <t>g</t>
        </is>
      </c>
      <c r="G212" s="323" t="n"/>
      <c r="H212" s="31" t="n"/>
      <c r="I212" s="220" t="n"/>
      <c r="J212" s="359" t="n">
        <v>30726021001</v>
      </c>
      <c r="K212" s="164" t="inlineStr">
        <is>
          <t>试剂</t>
        </is>
      </c>
      <c r="L212" s="39" t="inlineStr">
        <is>
          <t>良师</t>
        </is>
      </c>
      <c r="M212" s="39" t="inlineStr">
        <is>
          <t>义乌市教学仪器有限公司</t>
        </is>
      </c>
      <c r="N212" s="364" t="n">
        <v>500</v>
      </c>
      <c r="O212" s="364" t="n">
        <v>0.02</v>
      </c>
      <c r="P212" s="345" t="n">
        <v>10</v>
      </c>
      <c r="Q212" s="345" t="inlineStr">
        <is>
          <t>g</t>
        </is>
      </c>
      <c r="R212" s="345" t="inlineStr"/>
      <c r="S212" s="345" t="inlineStr"/>
      <c r="T212" s="345" t="inlineStr"/>
      <c r="U212" s="345" t="inlineStr">
        <is>
          <t>标准</t>
        </is>
      </c>
      <c r="V212" s="345" t="inlineStr"/>
      <c r="W212" s="345" t="inlineStr"/>
      <c r="X212" s="345" t="inlineStr"/>
      <c r="Y212" s="345" t="inlineStr"/>
      <c r="Z212" s="345" t="inlineStr">
        <is>
          <t>confirmed</t>
        </is>
      </c>
      <c r="AA212" s="345" t="n">
        <v>0</v>
      </c>
      <c r="AB212" s="345" t="inlineStr">
        <is>
          <t>匹配到商品档案但无历史价格记录</t>
        </is>
      </c>
      <c r="AC212" s="345" t="inlineStr">
        <is>
          <t>赛特尔25年.xls｜初中化学｜第260行</t>
        </is>
      </c>
    </row>
    <row r="213" customFormat="1" s="195">
      <c r="A213" s="323" t="n">
        <v>307</v>
      </c>
      <c r="B213" s="370" t="n">
        <v>30726005101</v>
      </c>
      <c r="C213" s="243" t="inlineStr">
        <is>
          <t>柠檬酸钠</t>
        </is>
      </c>
      <c r="D213" s="242" t="inlineStr">
        <is>
          <t>试剂</t>
        </is>
      </c>
      <c r="E213" s="358" t="n">
        <v>500</v>
      </c>
      <c r="F213" s="162" t="inlineStr">
        <is>
          <t>g</t>
        </is>
      </c>
      <c r="G213" s="323" t="n"/>
      <c r="H213" s="31" t="n"/>
      <c r="I213" s="220" t="n"/>
      <c r="J213" s="359" t="n">
        <v>30726005101</v>
      </c>
      <c r="K213" s="164" t="inlineStr">
        <is>
          <t>试剂</t>
        </is>
      </c>
      <c r="L213" s="39" t="inlineStr">
        <is>
          <t>良师</t>
        </is>
      </c>
      <c r="M213" s="39" t="inlineStr">
        <is>
          <t>义乌市教学仪器有限公司</t>
        </is>
      </c>
      <c r="N213" s="364" t="n">
        <v>500</v>
      </c>
      <c r="O213" s="364" t="n">
        <v>0.04</v>
      </c>
      <c r="P213" s="345" t="n">
        <v>20</v>
      </c>
      <c r="Q213" s="345" t="inlineStr">
        <is>
          <t>g</t>
        </is>
      </c>
      <c r="R213" s="345" t="inlineStr"/>
      <c r="S213" s="345" t="inlineStr"/>
      <c r="T213" s="345" t="inlineStr"/>
      <c r="U213" s="345" t="inlineStr">
        <is>
          <t>试剂</t>
        </is>
      </c>
      <c r="V213" s="345" t="inlineStr"/>
      <c r="W213" s="345" t="inlineStr"/>
      <c r="X213" s="345" t="inlineStr"/>
      <c r="Y213" s="345" t="inlineStr"/>
      <c r="Z213" s="345" t="inlineStr">
        <is>
          <t>confirmed</t>
        </is>
      </c>
      <c r="AA213" s="345" t="n">
        <v>100</v>
      </c>
      <c r="AB213" s="345" t="inlineStr"/>
      <c r="AC213" s="345" t="inlineStr">
        <is>
          <t>赛特尔25年.xls｜初中新课标生物｜第169行</t>
        </is>
      </c>
    </row>
    <row r="214" customFormat="1" s="195">
      <c r="A214" s="323" t="n">
        <v>308</v>
      </c>
      <c r="B214" s="370" t="n">
        <v>30734010101</v>
      </c>
      <c r="C214" s="243" t="inlineStr">
        <is>
          <t>琼脂</t>
        </is>
      </c>
      <c r="D214" s="242" t="inlineStr">
        <is>
          <t>试剂</t>
        </is>
      </c>
      <c r="E214" s="358" t="n">
        <v>250</v>
      </c>
      <c r="F214" s="162" t="inlineStr">
        <is>
          <t>g</t>
        </is>
      </c>
      <c r="G214" s="323" t="n"/>
      <c r="H214" s="31" t="n"/>
      <c r="I214" s="220" t="n"/>
      <c r="J214" s="359" t="n">
        <v>30734010101</v>
      </c>
      <c r="K214" s="164" t="inlineStr">
        <is>
          <t>试剂</t>
        </is>
      </c>
      <c r="L214" s="39" t="inlineStr">
        <is>
          <t>良师</t>
        </is>
      </c>
      <c r="M214" s="39" t="inlineStr">
        <is>
          <t>义乌市教学仪器有限公司</t>
        </is>
      </c>
      <c r="N214" s="364" t="n">
        <v>250</v>
      </c>
      <c r="O214" s="364" t="n">
        <v>0.4</v>
      </c>
      <c r="P214" s="345" t="n">
        <v>100</v>
      </c>
      <c r="Q214" s="345" t="inlineStr">
        <is>
          <t>g</t>
        </is>
      </c>
      <c r="R214" s="345" t="inlineStr"/>
      <c r="S214" s="345" t="inlineStr"/>
      <c r="T214" s="345" t="inlineStr"/>
      <c r="U214" s="345" t="inlineStr">
        <is>
          <t>试剂</t>
        </is>
      </c>
      <c r="V214" s="345" t="inlineStr"/>
      <c r="W214" s="345" t="inlineStr"/>
      <c r="X214" s="345" t="inlineStr"/>
      <c r="Y214" s="345" t="inlineStr"/>
      <c r="Z214" s="345" t="inlineStr">
        <is>
          <t>confirmed</t>
        </is>
      </c>
      <c r="AA214" s="345" t="n">
        <v>100</v>
      </c>
      <c r="AB214" s="345" t="inlineStr"/>
      <c r="AC214" s="345" t="inlineStr">
        <is>
          <t>赛特尔25年.xls｜初中新课标生物｜第172行</t>
        </is>
      </c>
    </row>
    <row r="215" customFormat="1" s="195">
      <c r="A215" s="323" t="n">
        <v>310</v>
      </c>
      <c r="B215" s="358" t="n">
        <v>30733000101</v>
      </c>
      <c r="C215" s="243" t="inlineStr">
        <is>
          <t>葡萄糖</t>
        </is>
      </c>
      <c r="D215" s="242" t="inlineStr">
        <is>
          <t>试剂</t>
        </is>
      </c>
      <c r="E215" s="358" t="n">
        <v>500</v>
      </c>
      <c r="F215" s="162" t="inlineStr">
        <is>
          <t>g</t>
        </is>
      </c>
      <c r="G215" s="323" t="n"/>
      <c r="H215" s="31" t="n"/>
      <c r="I215" s="220" t="n"/>
      <c r="J215" s="359" t="n">
        <v>30733000101</v>
      </c>
      <c r="K215" s="164" t="inlineStr">
        <is>
          <t>试剂</t>
        </is>
      </c>
      <c r="L215" s="39" t="inlineStr">
        <is>
          <t>良师</t>
        </is>
      </c>
      <c r="M215" s="39" t="inlineStr">
        <is>
          <t>义乌市教学仪器有限公司</t>
        </is>
      </c>
      <c r="N215" s="364" t="n">
        <v>500</v>
      </c>
      <c r="O215" s="364" t="n">
        <v>0.03</v>
      </c>
      <c r="P215" s="345" t="n">
        <v>15</v>
      </c>
      <c r="Q215" s="345" t="inlineStr">
        <is>
          <t>g</t>
        </is>
      </c>
      <c r="R215" s="345" t="inlineStr"/>
      <c r="S215" s="345" t="inlineStr"/>
      <c r="T215" s="345" t="inlineStr"/>
      <c r="U215" s="345" t="inlineStr">
        <is>
          <t>试剂</t>
        </is>
      </c>
      <c r="V215" s="345" t="inlineStr"/>
      <c r="W215" s="345" t="inlineStr"/>
      <c r="X215" s="345" t="inlineStr"/>
      <c r="Y215" s="345" t="inlineStr"/>
      <c r="Z215" s="345" t="inlineStr">
        <is>
          <t>confirmed</t>
        </is>
      </c>
      <c r="AA215" s="345" t="n">
        <v>100</v>
      </c>
      <c r="AB215" s="345" t="inlineStr"/>
      <c r="AC215" s="345" t="inlineStr">
        <is>
          <t>赛特尔25年.xls｜初中新课标生物｜第173行</t>
        </is>
      </c>
    </row>
    <row r="216" customFormat="1" s="195">
      <c r="A216" s="323" t="n">
        <v>311</v>
      </c>
      <c r="B216" s="370" t="n">
        <v>30733000201</v>
      </c>
      <c r="C216" s="243" t="inlineStr">
        <is>
          <t>蔗糖</t>
        </is>
      </c>
      <c r="D216" s="242" t="inlineStr">
        <is>
          <t>试剂</t>
        </is>
      </c>
      <c r="E216" s="358" t="n">
        <v>1000</v>
      </c>
      <c r="F216" s="162" t="inlineStr">
        <is>
          <t>g</t>
        </is>
      </c>
      <c r="G216" s="323" t="n"/>
      <c r="H216" s="31" t="n"/>
      <c r="I216" s="220" t="n"/>
      <c r="J216" s="359" t="n">
        <v>30733000201</v>
      </c>
      <c r="K216" s="164" t="inlineStr">
        <is>
          <t>试剂</t>
        </is>
      </c>
      <c r="L216" s="39" t="inlineStr">
        <is>
          <t>良师</t>
        </is>
      </c>
      <c r="M216" s="39" t="inlineStr">
        <is>
          <t>义乌市教学仪器有限公司</t>
        </is>
      </c>
      <c r="N216" s="364" t="n">
        <v>1000</v>
      </c>
      <c r="O216" s="364" t="n">
        <v>0.03</v>
      </c>
      <c r="P216" s="345" t="n">
        <v>30</v>
      </c>
      <c r="Q216" s="345" t="inlineStr">
        <is>
          <t>g</t>
        </is>
      </c>
      <c r="R216" s="345" t="inlineStr"/>
      <c r="S216" s="345" t="inlineStr"/>
      <c r="T216" s="345" t="inlineStr"/>
      <c r="U216" s="345" t="inlineStr">
        <is>
          <t>试剂</t>
        </is>
      </c>
      <c r="V216" s="345" t="inlineStr"/>
      <c r="W216" s="345" t="inlineStr"/>
      <c r="X216" s="345" t="inlineStr"/>
      <c r="Y216" s="345" t="inlineStr"/>
      <c r="Z216" s="345" t="inlineStr">
        <is>
          <t>confirmed</t>
        </is>
      </c>
      <c r="AA216" s="345" t="n">
        <v>100</v>
      </c>
      <c r="AB216" s="345" t="inlineStr"/>
      <c r="AC216" s="345" t="inlineStr">
        <is>
          <t>赛特尔25年.xls｜初中新课标生物｜第170行</t>
        </is>
      </c>
    </row>
    <row r="217" customFormat="1" s="195">
      <c r="A217" s="323" t="n">
        <v>312</v>
      </c>
      <c r="B217" s="370" t="n">
        <v>30734000101</v>
      </c>
      <c r="C217" s="243" t="inlineStr">
        <is>
          <t>可溶性淀粉</t>
        </is>
      </c>
      <c r="D217" s="242" t="inlineStr">
        <is>
          <t>试剂</t>
        </is>
      </c>
      <c r="E217" s="358" t="n">
        <v>500</v>
      </c>
      <c r="F217" s="162" t="inlineStr">
        <is>
          <t>g</t>
        </is>
      </c>
      <c r="G217" s="323" t="n"/>
      <c r="H217" s="31" t="n"/>
      <c r="I217" s="220" t="n"/>
      <c r="J217" s="359" t="n">
        <v>30734000101</v>
      </c>
      <c r="K217" s="164" t="inlineStr">
        <is>
          <t>试剂</t>
        </is>
      </c>
      <c r="L217" s="39" t="inlineStr">
        <is>
          <t>良师</t>
        </is>
      </c>
      <c r="M217" s="39" t="inlineStr">
        <is>
          <t>义乌市教学仪器有限公司</t>
        </is>
      </c>
      <c r="N217" s="364" t="n">
        <v>500</v>
      </c>
      <c r="O217" s="364" t="n">
        <v>0.03</v>
      </c>
      <c r="P217" s="345" t="n">
        <v>15</v>
      </c>
      <c r="Q217" s="345" t="inlineStr">
        <is>
          <t>g</t>
        </is>
      </c>
      <c r="R217" s="345" t="inlineStr"/>
      <c r="S217" s="345" t="inlineStr"/>
      <c r="T217" s="345" t="inlineStr"/>
      <c r="U217" s="345" t="inlineStr">
        <is>
          <t>试剂</t>
        </is>
      </c>
      <c r="V217" s="345" t="inlineStr"/>
      <c r="W217" s="345" t="inlineStr"/>
      <c r="X217" s="345" t="inlineStr"/>
      <c r="Y217" s="345" t="inlineStr"/>
      <c r="Z217" s="345" t="inlineStr">
        <is>
          <t>confirmed</t>
        </is>
      </c>
      <c r="AA217" s="345" t="n">
        <v>100</v>
      </c>
      <c r="AB217" s="345" t="inlineStr"/>
      <c r="AC217" s="345" t="inlineStr">
        <is>
          <t>赛特尔25年.xls｜初中新课标生物｜第171行</t>
        </is>
      </c>
    </row>
    <row r="218" customFormat="1" s="195">
      <c r="A218" s="323" t="n">
        <v>313</v>
      </c>
      <c r="B218" s="370" t="n">
        <v>30722030101</v>
      </c>
      <c r="C218" s="243" t="inlineStr">
        <is>
          <t>丙三醇</t>
        </is>
      </c>
      <c r="D218" s="242" t="inlineStr">
        <is>
          <t>试剂</t>
        </is>
      </c>
      <c r="E218" s="358" t="n">
        <v>500</v>
      </c>
      <c r="F218" s="162" t="inlineStr">
        <is>
          <t>mL</t>
        </is>
      </c>
      <c r="G218" s="323" t="n"/>
      <c r="H218" s="31" t="n"/>
      <c r="I218" s="220" t="n"/>
      <c r="J218" s="359" t="n">
        <v>30722030101</v>
      </c>
      <c r="K218" s="164" t="inlineStr">
        <is>
          <t>试剂</t>
        </is>
      </c>
      <c r="L218" s="39" t="inlineStr">
        <is>
          <t>良师</t>
        </is>
      </c>
      <c r="M218" s="39" t="inlineStr">
        <is>
          <t>义乌市教学仪器有限公司</t>
        </is>
      </c>
      <c r="N218" s="364" t="n">
        <v>500</v>
      </c>
      <c r="O218" s="364" t="n">
        <v>0.03</v>
      </c>
      <c r="P218" s="345" t="n">
        <v>15</v>
      </c>
      <c r="Q218" s="345" t="inlineStr">
        <is>
          <t>mL</t>
        </is>
      </c>
      <c r="R218" s="345" t="inlineStr"/>
      <c r="S218" s="345" t="inlineStr"/>
      <c r="T218" s="345" t="inlineStr"/>
      <c r="U218" s="345" t="inlineStr">
        <is>
          <t>试剂</t>
        </is>
      </c>
      <c r="V218" s="345" t="inlineStr"/>
      <c r="W218" s="345" t="inlineStr"/>
      <c r="X218" s="345" t="inlineStr"/>
      <c r="Y218" s="345" t="inlineStr"/>
      <c r="Z218" s="345" t="inlineStr">
        <is>
          <t>confirmed</t>
        </is>
      </c>
      <c r="AA218" s="345" t="n">
        <v>0</v>
      </c>
      <c r="AB218" s="345" t="inlineStr">
        <is>
          <t>没有找到可靠候选</t>
        </is>
      </c>
      <c r="AC218" s="345" t="inlineStr">
        <is>
          <t>赛特尔25年.xls｜高中化学｜第371行</t>
        </is>
      </c>
    </row>
    <row r="219" customFormat="1" s="195">
      <c r="A219" s="323" t="n">
        <v>317</v>
      </c>
      <c r="B219" s="370" t="n">
        <v>30772001001</v>
      </c>
      <c r="C219" s="243" t="inlineStr">
        <is>
          <t>肌醇</t>
        </is>
      </c>
      <c r="D219" s="242" t="inlineStr">
        <is>
          <t>试剂</t>
        </is>
      </c>
      <c r="E219" s="358" t="n">
        <v>100</v>
      </c>
      <c r="F219" s="162" t="inlineStr">
        <is>
          <t>g</t>
        </is>
      </c>
      <c r="G219" s="323" t="n"/>
      <c r="H219" s="31" t="n"/>
      <c r="I219" s="220" t="n"/>
      <c r="J219" s="359" t="n">
        <v>30772001001</v>
      </c>
      <c r="K219" s="164" t="inlineStr">
        <is>
          <t>试剂</t>
        </is>
      </c>
      <c r="L219" s="39" t="inlineStr">
        <is>
          <t>良师</t>
        </is>
      </c>
      <c r="M219" s="39" t="inlineStr">
        <is>
          <t>义乌市教学仪器有限公司</t>
        </is>
      </c>
      <c r="N219" s="364" t="n">
        <v>100</v>
      </c>
      <c r="O219" s="364" t="n">
        <v>0.03</v>
      </c>
      <c r="P219" s="345" t="n">
        <v>3</v>
      </c>
      <c r="Q219" s="345" t="inlineStr">
        <is>
          <t>g</t>
        </is>
      </c>
      <c r="R219" s="345" t="inlineStr"/>
      <c r="S219" s="345" t="inlineStr"/>
      <c r="T219" s="345" t="inlineStr"/>
      <c r="U219" s="345" t="inlineStr">
        <is>
          <t>试剂</t>
        </is>
      </c>
      <c r="V219" s="345" t="inlineStr"/>
      <c r="W219" s="345" t="inlineStr"/>
      <c r="X219" s="345" t="inlineStr"/>
      <c r="Y219" s="345" t="inlineStr"/>
      <c r="Z219" s="345" t="inlineStr">
        <is>
          <t>confirmed</t>
        </is>
      </c>
      <c r="AA219" s="345" t="n">
        <v>0</v>
      </c>
      <c r="AB219" s="345" t="inlineStr">
        <is>
          <t>匹配到商品档案但无历史价格记录</t>
        </is>
      </c>
      <c r="AC219" s="345" t="inlineStr">
        <is>
          <t>赛特尔25年.xls｜高中化学｜第400行</t>
        </is>
      </c>
    </row>
    <row r="220" customFormat="1" s="195">
      <c r="A220" s="323" t="n">
        <v>318</v>
      </c>
      <c r="B220" s="370" t="n">
        <v>30772011001</v>
      </c>
      <c r="C220" s="243" t="inlineStr">
        <is>
          <t>烟酸</t>
        </is>
      </c>
      <c r="D220" s="242" t="inlineStr">
        <is>
          <t>试剂</t>
        </is>
      </c>
      <c r="E220" s="358" t="n">
        <v>100</v>
      </c>
      <c r="F220" s="162" t="inlineStr">
        <is>
          <t>g</t>
        </is>
      </c>
      <c r="G220" s="323" t="n"/>
      <c r="H220" s="31" t="n"/>
      <c r="I220" s="220" t="n"/>
      <c r="J220" s="359" t="n">
        <v>30772011001</v>
      </c>
      <c r="K220" s="164" t="inlineStr">
        <is>
          <t>试剂</t>
        </is>
      </c>
      <c r="L220" s="39" t="inlineStr">
        <is>
          <t>良师</t>
        </is>
      </c>
      <c r="M220" s="39" t="inlineStr">
        <is>
          <t>义乌市教学仪器有限公司</t>
        </is>
      </c>
      <c r="N220" s="364" t="n">
        <v>100</v>
      </c>
      <c r="O220" s="364" t="n">
        <v>0.03</v>
      </c>
      <c r="P220" s="345" t="n">
        <v>3</v>
      </c>
      <c r="Q220" s="345" t="inlineStr">
        <is>
          <t>g</t>
        </is>
      </c>
      <c r="R220" s="345" t="inlineStr"/>
      <c r="S220" s="345" t="inlineStr"/>
      <c r="T220" s="345" t="inlineStr"/>
      <c r="U220" s="345" t="inlineStr">
        <is>
          <t>工业</t>
        </is>
      </c>
      <c r="V220" s="345" t="inlineStr"/>
      <c r="W220" s="345" t="inlineStr"/>
      <c r="X220" s="345" t="inlineStr"/>
      <c r="Y220" s="345" t="inlineStr"/>
      <c r="Z220" s="345" t="inlineStr">
        <is>
          <t>confirmed</t>
        </is>
      </c>
      <c r="AA220" s="345" t="n">
        <v>0</v>
      </c>
      <c r="AB220" s="345" t="inlineStr">
        <is>
          <t>匹配到商品档案但无历史价格记录</t>
        </is>
      </c>
      <c r="AC220" s="345" t="inlineStr">
        <is>
          <t>赛特尔25年.xls｜初中化学｜第256行</t>
        </is>
      </c>
    </row>
    <row r="221" customFormat="1" s="195">
      <c r="A221" s="323" t="n">
        <v>319</v>
      </c>
      <c r="B221" s="370" t="n">
        <v>30772011501</v>
      </c>
      <c r="C221" s="243" t="inlineStr">
        <is>
          <t>吡哆辛盐酸</t>
        </is>
      </c>
      <c r="D221" s="242" t="inlineStr">
        <is>
          <t>试剂</t>
        </is>
      </c>
      <c r="E221" s="358" t="n">
        <v>100</v>
      </c>
      <c r="F221" s="162" t="inlineStr">
        <is>
          <t>g</t>
        </is>
      </c>
      <c r="G221" s="323" t="n"/>
      <c r="H221" s="31" t="n"/>
      <c r="I221" s="220" t="n"/>
      <c r="J221" s="359" t="n">
        <v>30772011501</v>
      </c>
      <c r="K221" s="164" t="inlineStr">
        <is>
          <t>试剂</t>
        </is>
      </c>
      <c r="L221" s="39" t="inlineStr">
        <is>
          <t>良师</t>
        </is>
      </c>
      <c r="M221" s="39" t="inlineStr">
        <is>
          <t>义乌市教学仪器有限公司</t>
        </is>
      </c>
      <c r="N221" s="364" t="n">
        <v>100</v>
      </c>
      <c r="O221" s="364" t="n">
        <v>0.03</v>
      </c>
      <c r="P221" s="345" t="n">
        <v>3</v>
      </c>
      <c r="Q221" s="345" t="inlineStr">
        <is>
          <t>g</t>
        </is>
      </c>
      <c r="R221" s="345" t="inlineStr"/>
      <c r="S221" s="345" t="inlineStr"/>
      <c r="T221" s="345" t="inlineStr"/>
      <c r="U221" s="345" t="inlineStr">
        <is>
          <t>标准</t>
        </is>
      </c>
      <c r="V221" s="345" t="inlineStr"/>
      <c r="W221" s="345" t="inlineStr"/>
      <c r="X221" s="345" t="inlineStr"/>
      <c r="Y221" s="345" t="inlineStr"/>
      <c r="Z221" s="345" t="inlineStr">
        <is>
          <t>confirmed</t>
        </is>
      </c>
      <c r="AA221" s="345" t="n">
        <v>0</v>
      </c>
      <c r="AB221" s="345" t="inlineStr">
        <is>
          <t>匹配到商品档案但无历史价格记录</t>
        </is>
      </c>
      <c r="AC221" s="345" t="inlineStr">
        <is>
          <t>赛特尔25年.xls｜初中化学｜第258行</t>
        </is>
      </c>
    </row>
    <row r="222" customFormat="1" s="195">
      <c r="A222" s="323" t="n">
        <v>320</v>
      </c>
      <c r="B222" s="370" t="n">
        <v>30772012001</v>
      </c>
      <c r="C222" s="243" t="inlineStr">
        <is>
          <t>盐酸硫胺(盐酸硫胺素)</t>
        </is>
      </c>
      <c r="D222" s="242" t="inlineStr">
        <is>
          <t>试剂</t>
        </is>
      </c>
      <c r="E222" s="358" t="n">
        <v>100</v>
      </c>
      <c r="F222" s="162" t="inlineStr">
        <is>
          <t>g</t>
        </is>
      </c>
      <c r="G222" s="323" t="n"/>
      <c r="H222" s="31" t="n"/>
      <c r="I222" s="220" t="n"/>
      <c r="J222" s="359" t="n">
        <v>30772012001</v>
      </c>
      <c r="K222" s="164" t="inlineStr">
        <is>
          <t>试剂</t>
        </is>
      </c>
      <c r="L222" s="39" t="inlineStr">
        <is>
          <t>良师</t>
        </is>
      </c>
      <c r="M222" s="39" t="inlineStr">
        <is>
          <t>义乌市教学仪器有限公司</t>
        </is>
      </c>
      <c r="N222" s="364" t="n">
        <v>100</v>
      </c>
      <c r="O222" s="364" t="n">
        <v>0.03</v>
      </c>
      <c r="P222" s="345" t="n">
        <v>3</v>
      </c>
      <c r="Q222" s="345" t="inlineStr">
        <is>
          <t>g</t>
        </is>
      </c>
      <c r="R222" s="345" t="inlineStr"/>
      <c r="S222" s="345" t="inlineStr"/>
      <c r="T222" s="345" t="inlineStr"/>
      <c r="U222" s="345" t="inlineStr">
        <is>
          <t>标准</t>
        </is>
      </c>
      <c r="V222" s="345" t="inlineStr"/>
      <c r="W222" s="345" t="inlineStr"/>
      <c r="X222" s="345" t="inlineStr"/>
      <c r="Y222" s="345" t="inlineStr"/>
      <c r="Z222" s="345" t="inlineStr">
        <is>
          <t>confirmed</t>
        </is>
      </c>
      <c r="AA222" s="345" t="n">
        <v>0</v>
      </c>
      <c r="AB222" s="345" t="inlineStr">
        <is>
          <t>匹配到商品档案但无历史价格记录</t>
        </is>
      </c>
      <c r="AC222" s="345" t="inlineStr">
        <is>
          <t>赛特尔25年.xls｜初中化学｜第258行</t>
        </is>
      </c>
    </row>
    <row r="223" customFormat="1" s="195">
      <c r="A223" s="323" t="n">
        <v>321</v>
      </c>
      <c r="B223" s="370" t="n">
        <v>30738000201</v>
      </c>
      <c r="C223" s="243" t="inlineStr">
        <is>
          <t>甘氨酸</t>
        </is>
      </c>
      <c r="D223" s="242" t="inlineStr">
        <is>
          <t>试剂</t>
        </is>
      </c>
      <c r="E223" s="358" t="n">
        <v>100</v>
      </c>
      <c r="F223" s="162" t="inlineStr">
        <is>
          <t>g</t>
        </is>
      </c>
      <c r="G223" s="323" t="n"/>
      <c r="H223" s="31" t="n"/>
      <c r="I223" s="220" t="n"/>
      <c r="J223" s="359" t="n">
        <v>30738000201</v>
      </c>
      <c r="K223" s="164" t="inlineStr">
        <is>
          <t>试剂</t>
        </is>
      </c>
      <c r="L223" s="39" t="inlineStr">
        <is>
          <t>良师</t>
        </is>
      </c>
      <c r="M223" s="39" t="inlineStr">
        <is>
          <t>义乌市教学仪器有限公司</t>
        </is>
      </c>
      <c r="N223" s="364" t="n">
        <v>100</v>
      </c>
      <c r="O223" s="364" t="n">
        <v>0.03</v>
      </c>
      <c r="P223" s="345" t="n">
        <v>3</v>
      </c>
      <c r="Q223" s="345" t="inlineStr">
        <is>
          <t>g</t>
        </is>
      </c>
      <c r="R223" s="345" t="inlineStr"/>
      <c r="S223" s="345" t="inlineStr"/>
      <c r="T223" s="345" t="inlineStr"/>
      <c r="U223" s="345" t="inlineStr">
        <is>
          <t>试剂</t>
        </is>
      </c>
      <c r="V223" s="345" t="inlineStr"/>
      <c r="W223" s="345" t="inlineStr"/>
      <c r="X223" s="345" t="inlineStr"/>
      <c r="Y223" s="345" t="inlineStr"/>
      <c r="Z223" s="345" t="inlineStr">
        <is>
          <t>confirmed</t>
        </is>
      </c>
      <c r="AA223" s="345" t="n">
        <v>0</v>
      </c>
      <c r="AB223" s="345" t="inlineStr">
        <is>
          <t>匹配到商品档案但无历史价格记录</t>
        </is>
      </c>
      <c r="AC223" s="345" t="inlineStr">
        <is>
          <t>赛特尔25年.xls｜高中化学｜第400行</t>
        </is>
      </c>
    </row>
    <row r="224" customFormat="1" s="195">
      <c r="A224" s="323" t="n">
        <v>322</v>
      </c>
      <c r="B224" s="370" t="n">
        <v>30772021001</v>
      </c>
      <c r="C224" s="243" t="inlineStr">
        <is>
          <t>6-苄基腺嘌呤(6-BA)</t>
        </is>
      </c>
      <c r="D224" s="242" t="inlineStr">
        <is>
          <t>试剂</t>
        </is>
      </c>
      <c r="E224" s="358" t="n">
        <v>50</v>
      </c>
      <c r="F224" s="162" t="inlineStr">
        <is>
          <t>g</t>
        </is>
      </c>
      <c r="G224" s="323" t="n"/>
      <c r="H224" s="31" t="n"/>
      <c r="I224" s="220" t="n"/>
      <c r="J224" s="359" t="n">
        <v>30772021001</v>
      </c>
      <c r="K224" s="164" t="inlineStr">
        <is>
          <t>试剂</t>
        </is>
      </c>
      <c r="L224" s="39" t="inlineStr">
        <is>
          <t>良师</t>
        </is>
      </c>
      <c r="M224" s="39" t="inlineStr">
        <is>
          <t>义乌市教学仪器有限公司</t>
        </is>
      </c>
      <c r="N224" s="364" t="n">
        <v>50</v>
      </c>
      <c r="O224" s="364" t="n">
        <v>0.03</v>
      </c>
      <c r="P224" s="345" t="n">
        <v>1.5</v>
      </c>
      <c r="Q224" s="345" t="inlineStr">
        <is>
          <t>g</t>
        </is>
      </c>
      <c r="R224" s="345" t="inlineStr"/>
      <c r="S224" s="345" t="inlineStr"/>
      <c r="T224" s="345" t="inlineStr"/>
      <c r="U224" s="345" t="inlineStr">
        <is>
          <t>试剂</t>
        </is>
      </c>
      <c r="V224" s="345" t="inlineStr"/>
      <c r="W224" s="345" t="inlineStr"/>
      <c r="X224" s="345" t="inlineStr"/>
      <c r="Y224" s="345" t="inlineStr"/>
      <c r="Z224" s="345" t="inlineStr">
        <is>
          <t>confirmed</t>
        </is>
      </c>
      <c r="AA224" s="345" t="n">
        <v>0</v>
      </c>
      <c r="AB224" s="345" t="inlineStr">
        <is>
          <t>匹配到商品档案但无历史价格记录</t>
        </is>
      </c>
      <c r="AC224" s="345" t="inlineStr">
        <is>
          <t>赛特尔25年.xls｜高中化学｜第400行</t>
        </is>
      </c>
    </row>
    <row r="225" customFormat="1" s="195">
      <c r="A225" s="323" t="n">
        <v>323</v>
      </c>
      <c r="B225" s="370" t="n">
        <v>30772014001</v>
      </c>
      <c r="C225" s="243" t="inlineStr">
        <is>
          <t>萘乙酸(NAA)</t>
        </is>
      </c>
      <c r="D225" s="242" t="inlineStr">
        <is>
          <t>试剂</t>
        </is>
      </c>
      <c r="E225" s="358" t="n">
        <v>100</v>
      </c>
      <c r="F225" s="162" t="inlineStr">
        <is>
          <t>g</t>
        </is>
      </c>
      <c r="G225" s="323" t="n"/>
      <c r="H225" s="31" t="n"/>
      <c r="I225" s="220" t="n"/>
      <c r="J225" s="359" t="n">
        <v>30772014001</v>
      </c>
      <c r="K225" s="164" t="inlineStr">
        <is>
          <t>试剂</t>
        </is>
      </c>
      <c r="L225" s="39" t="inlineStr">
        <is>
          <t>良师</t>
        </is>
      </c>
      <c r="M225" s="39" t="inlineStr">
        <is>
          <t>义乌市教学仪器有限公司</t>
        </is>
      </c>
      <c r="N225" s="364" t="n">
        <v>100</v>
      </c>
      <c r="O225" s="364" t="n">
        <v>0.02</v>
      </c>
      <c r="P225" s="345" t="n">
        <v>2</v>
      </c>
      <c r="Q225" s="345" t="inlineStr">
        <is>
          <t>g</t>
        </is>
      </c>
      <c r="R225" s="345" t="inlineStr"/>
      <c r="S225" s="345" t="inlineStr"/>
      <c r="T225" s="345" t="inlineStr"/>
      <c r="U225" s="345" t="inlineStr">
        <is>
          <t>标准</t>
        </is>
      </c>
      <c r="V225" s="345" t="inlineStr"/>
      <c r="W225" s="345" t="inlineStr"/>
      <c r="X225" s="345" t="inlineStr"/>
      <c r="Y225" s="345" t="inlineStr"/>
      <c r="Z225" s="345" t="inlineStr">
        <is>
          <t>confirmed</t>
        </is>
      </c>
      <c r="AA225" s="345" t="n">
        <v>0</v>
      </c>
      <c r="AB225" s="345" t="inlineStr">
        <is>
          <t>匹配到商品档案但无历史价格记录</t>
        </is>
      </c>
      <c r="AC225" s="345" t="inlineStr">
        <is>
          <t>赛特尔25年.xls｜初中化学｜第260行</t>
        </is>
      </c>
    </row>
    <row r="226" customFormat="1" s="195">
      <c r="A226" s="323" t="n">
        <v>324</v>
      </c>
      <c r="B226" s="370" t="n">
        <v>30772014501</v>
      </c>
      <c r="C226" s="243" t="inlineStr">
        <is>
          <t>赤霉(GA3)</t>
        </is>
      </c>
      <c r="D226" s="242" t="inlineStr">
        <is>
          <t>试剂</t>
        </is>
      </c>
      <c r="E226" s="358" t="n">
        <v>50</v>
      </c>
      <c r="F226" s="162" t="inlineStr">
        <is>
          <t>g</t>
        </is>
      </c>
      <c r="G226" s="323" t="n"/>
      <c r="H226" s="31" t="n"/>
      <c r="I226" s="220" t="n"/>
      <c r="J226" s="359" t="n">
        <v>30772014501</v>
      </c>
      <c r="K226" s="164" t="inlineStr">
        <is>
          <t>试剂</t>
        </is>
      </c>
      <c r="L226" s="39" t="inlineStr">
        <is>
          <t>良师</t>
        </is>
      </c>
      <c r="M226" s="39" t="inlineStr">
        <is>
          <t>义乌市教学仪器有限公司</t>
        </is>
      </c>
      <c r="N226" s="364" t="n">
        <v>50</v>
      </c>
      <c r="O226" s="364" t="n">
        <v>0.03</v>
      </c>
      <c r="P226" s="345" t="n">
        <v>1.5</v>
      </c>
      <c r="Q226" s="345" t="inlineStr">
        <is>
          <t>g</t>
        </is>
      </c>
      <c r="R226" s="345" t="inlineStr"/>
      <c r="S226" s="345" t="inlineStr"/>
      <c r="T226" s="345" t="inlineStr"/>
      <c r="U226" s="345" t="inlineStr">
        <is>
          <t>试剂</t>
        </is>
      </c>
      <c r="V226" s="345" t="inlineStr"/>
      <c r="W226" s="345" t="inlineStr"/>
      <c r="X226" s="345" t="inlineStr"/>
      <c r="Y226" s="345" t="inlineStr"/>
      <c r="Z226" s="345" t="inlineStr">
        <is>
          <t>confirmed</t>
        </is>
      </c>
      <c r="AA226" s="345" t="n">
        <v>0</v>
      </c>
      <c r="AB226" s="345" t="inlineStr">
        <is>
          <t>匹配到商品档案但无历史价格记录</t>
        </is>
      </c>
      <c r="AC226" s="345" t="inlineStr">
        <is>
          <t>赛特尔25年.xls｜高中化学｜第400行</t>
        </is>
      </c>
    </row>
    <row r="227" customFormat="1" s="195">
      <c r="A227" s="323" t="n">
        <v>325</v>
      </c>
      <c r="B227" s="370" t="n">
        <v>30772016301</v>
      </c>
      <c r="C227" s="243" t="inlineStr">
        <is>
          <t>吲哚丁酸(IBA)</t>
        </is>
      </c>
      <c r="D227" s="242" t="inlineStr">
        <is>
          <t>试剂</t>
        </is>
      </c>
      <c r="E227" s="358" t="n">
        <v>25</v>
      </c>
      <c r="F227" s="162" t="inlineStr">
        <is>
          <t>g</t>
        </is>
      </c>
      <c r="G227" s="323" t="n"/>
      <c r="H227" s="31" t="n"/>
      <c r="I227" s="220" t="n"/>
      <c r="J227" s="359" t="n">
        <v>30772016301</v>
      </c>
      <c r="K227" s="164" t="inlineStr">
        <is>
          <t>试剂</t>
        </is>
      </c>
      <c r="L227" s="39" t="inlineStr">
        <is>
          <t>良师</t>
        </is>
      </c>
      <c r="M227" s="39" t="inlineStr">
        <is>
          <t>义乌市教学仪器有限公司</t>
        </is>
      </c>
      <c r="N227" s="364" t="n">
        <v>25</v>
      </c>
      <c r="O227" s="364" t="n">
        <v>0.03</v>
      </c>
      <c r="P227" s="345" t="n">
        <v>0.75</v>
      </c>
      <c r="Q227" s="345" t="inlineStr">
        <is>
          <t>g</t>
        </is>
      </c>
      <c r="R227" s="345" t="inlineStr"/>
      <c r="S227" s="345" t="inlineStr"/>
      <c r="T227" s="345" t="inlineStr"/>
      <c r="U227" s="345" t="inlineStr">
        <is>
          <t>试剂</t>
        </is>
      </c>
      <c r="V227" s="345" t="inlineStr"/>
      <c r="W227" s="345" t="inlineStr"/>
      <c r="X227" s="345" t="inlineStr"/>
      <c r="Y227" s="345" t="inlineStr"/>
      <c r="Z227" s="345" t="inlineStr">
        <is>
          <t>confirmed</t>
        </is>
      </c>
      <c r="AA227" s="345" t="n">
        <v>0</v>
      </c>
      <c r="AB227" s="345" t="inlineStr">
        <is>
          <t>匹配到商品档案但无历史价格记录</t>
        </is>
      </c>
      <c r="AC227" s="345" t="inlineStr">
        <is>
          <t>赛特尔25年.xls｜高中化学｜第400行</t>
        </is>
      </c>
    </row>
    <row r="228" customFormat="1" s="195">
      <c r="A228" s="323" t="n">
        <v>326</v>
      </c>
      <c r="B228" s="370" t="n">
        <v>30772016101</v>
      </c>
      <c r="C228" s="243" t="inlineStr">
        <is>
          <t>吲哚乙酸(IAA)</t>
        </is>
      </c>
      <c r="D228" s="242" t="inlineStr">
        <is>
          <t>试剂</t>
        </is>
      </c>
      <c r="E228" s="358" t="n">
        <v>25</v>
      </c>
      <c r="F228" s="162" t="inlineStr">
        <is>
          <t>g</t>
        </is>
      </c>
      <c r="G228" s="323" t="n"/>
      <c r="H228" s="31" t="n"/>
      <c r="I228" s="220" t="n"/>
      <c r="J228" s="359" t="n">
        <v>30772016101</v>
      </c>
      <c r="K228" s="164" t="inlineStr">
        <is>
          <t>试剂</t>
        </is>
      </c>
      <c r="L228" s="39" t="inlineStr">
        <is>
          <t>良师</t>
        </is>
      </c>
      <c r="M228" s="39" t="inlineStr">
        <is>
          <t>义乌市教学仪器有限公司</t>
        </is>
      </c>
      <c r="N228" s="364" t="n">
        <v>25</v>
      </c>
      <c r="O228" s="364" t="n">
        <v>0.02</v>
      </c>
      <c r="P228" s="345" t="n">
        <v>0.5</v>
      </c>
      <c r="Q228" s="345" t="inlineStr">
        <is>
          <t>g</t>
        </is>
      </c>
      <c r="R228" s="345" t="inlineStr"/>
      <c r="S228" s="345" t="inlineStr"/>
      <c r="T228" s="345" t="inlineStr"/>
      <c r="U228" s="345" t="inlineStr">
        <is>
          <t>标准</t>
        </is>
      </c>
      <c r="V228" s="345" t="inlineStr"/>
      <c r="W228" s="345" t="inlineStr"/>
      <c r="X228" s="345" t="inlineStr"/>
      <c r="Y228" s="345" t="inlineStr"/>
      <c r="Z228" s="345" t="inlineStr">
        <is>
          <t>confirmed</t>
        </is>
      </c>
      <c r="AA228" s="345" t="n">
        <v>0</v>
      </c>
      <c r="AB228" s="345" t="inlineStr">
        <is>
          <t>匹配到商品档案但无历史价格记录</t>
        </is>
      </c>
      <c r="AC228" s="345" t="inlineStr">
        <is>
          <t>赛特尔25年.xls｜初中化学｜第260行</t>
        </is>
      </c>
    </row>
    <row r="229" customFormat="1" s="195">
      <c r="A229" s="323" t="n">
        <v>327</v>
      </c>
      <c r="B229" s="370" t="n">
        <v>30773001001</v>
      </c>
      <c r="C229" s="243" t="inlineStr">
        <is>
          <t>牛肉膏</t>
        </is>
      </c>
      <c r="D229" s="242" t="inlineStr">
        <is>
          <t>试剂</t>
        </is>
      </c>
      <c r="E229" s="358" t="n">
        <v>500</v>
      </c>
      <c r="F229" s="162" t="inlineStr">
        <is>
          <t>g</t>
        </is>
      </c>
      <c r="G229" s="323" t="n"/>
      <c r="H229" s="31" t="n"/>
      <c r="I229" s="220" t="n"/>
      <c r="J229" s="359" t="n">
        <v>30773001001</v>
      </c>
      <c r="K229" s="164" t="inlineStr">
        <is>
          <t>试剂</t>
        </is>
      </c>
      <c r="L229" s="39" t="inlineStr">
        <is>
          <t>良师</t>
        </is>
      </c>
      <c r="M229" s="39" t="inlineStr">
        <is>
          <t>义乌市教学仪器有限公司</t>
        </is>
      </c>
      <c r="N229" s="364" t="n">
        <v>500</v>
      </c>
      <c r="O229" s="364" t="n">
        <v>0.1</v>
      </c>
      <c r="P229" s="345" t="n">
        <v>50</v>
      </c>
      <c r="Q229" s="345" t="inlineStr">
        <is>
          <t>g</t>
        </is>
      </c>
      <c r="R229" s="345" t="inlineStr"/>
      <c r="S229" s="345" t="inlineStr"/>
      <c r="T229" s="345" t="inlineStr"/>
      <c r="U229" s="345" t="inlineStr">
        <is>
          <t>试剂</t>
        </is>
      </c>
      <c r="V229" s="345" t="inlineStr"/>
      <c r="W229" s="345" t="inlineStr"/>
      <c r="X229" s="345" t="inlineStr"/>
      <c r="Y229" s="345" t="inlineStr"/>
      <c r="Z229" s="345" t="inlineStr">
        <is>
          <t>confirmed</t>
        </is>
      </c>
      <c r="AA229" s="345" t="n">
        <v>100</v>
      </c>
      <c r="AB229" s="345" t="inlineStr"/>
      <c r="AC229" s="345" t="inlineStr">
        <is>
          <t>赛特尔25年.xls｜初中新课标生物｜第155行</t>
        </is>
      </c>
    </row>
    <row r="230" customFormat="1" s="195">
      <c r="A230" s="323" t="n">
        <v>328</v>
      </c>
      <c r="B230" s="370" t="n">
        <v>30773002001</v>
      </c>
      <c r="C230" s="243" t="inlineStr">
        <is>
          <t>蛋白胨</t>
        </is>
      </c>
      <c r="D230" s="242" t="inlineStr">
        <is>
          <t>试剂</t>
        </is>
      </c>
      <c r="E230" s="358" t="n">
        <v>500</v>
      </c>
      <c r="F230" s="162" t="inlineStr">
        <is>
          <t>g</t>
        </is>
      </c>
      <c r="G230" s="323" t="n"/>
      <c r="H230" s="31" t="n"/>
      <c r="I230" s="220" t="n"/>
      <c r="J230" s="359" t="n">
        <v>30773002001</v>
      </c>
      <c r="K230" s="164" t="inlineStr">
        <is>
          <t>试剂</t>
        </is>
      </c>
      <c r="L230" s="39" t="inlineStr">
        <is>
          <t>良师</t>
        </is>
      </c>
      <c r="M230" s="39" t="inlineStr">
        <is>
          <t>义乌市教学仪器有限公司</t>
        </is>
      </c>
      <c r="N230" s="364" t="n">
        <v>500</v>
      </c>
      <c r="O230" s="364" t="n">
        <v>0.18</v>
      </c>
      <c r="P230" s="345" t="n">
        <v>90</v>
      </c>
      <c r="Q230" s="345" t="inlineStr">
        <is>
          <t>g</t>
        </is>
      </c>
      <c r="R230" s="345" t="inlineStr"/>
      <c r="S230" s="345" t="inlineStr"/>
      <c r="T230" s="345" t="inlineStr"/>
      <c r="U230" s="345" t="inlineStr">
        <is>
          <t>试剂</t>
        </is>
      </c>
      <c r="V230" s="345" t="inlineStr"/>
      <c r="W230" s="345" t="inlineStr"/>
      <c r="X230" s="345" t="inlineStr"/>
      <c r="Y230" s="345" t="inlineStr"/>
      <c r="Z230" s="345" t="inlineStr">
        <is>
          <t>confirmed</t>
        </is>
      </c>
      <c r="AA230" s="345" t="n">
        <v>100</v>
      </c>
      <c r="AB230" s="345" t="inlineStr"/>
      <c r="AC230" s="345" t="inlineStr">
        <is>
          <t>赛特尔25年.xls｜初中新课标生物｜第156行</t>
        </is>
      </c>
    </row>
    <row r="231" customFormat="1" s="195">
      <c r="A231" s="323" t="n">
        <v>329</v>
      </c>
      <c r="B231" s="370" t="n">
        <v>30728001501</v>
      </c>
      <c r="C231" s="243" t="inlineStr">
        <is>
          <t>尿素（脲）</t>
        </is>
      </c>
      <c r="D231" s="242" t="inlineStr">
        <is>
          <t>试剂</t>
        </is>
      </c>
      <c r="E231" s="358" t="n">
        <v>500</v>
      </c>
      <c r="F231" s="162" t="inlineStr">
        <is>
          <t>g</t>
        </is>
      </c>
      <c r="G231" s="323" t="n"/>
      <c r="H231" s="31" t="n"/>
      <c r="I231" s="220" t="n"/>
      <c r="J231" s="359" t="n">
        <v>30728001501</v>
      </c>
      <c r="K231" s="164" t="inlineStr">
        <is>
          <t>试剂</t>
        </is>
      </c>
      <c r="L231" s="39" t="inlineStr">
        <is>
          <t>良师</t>
        </is>
      </c>
      <c r="M231" s="39" t="inlineStr">
        <is>
          <t>义乌市教学仪器有限公司</t>
        </is>
      </c>
      <c r="N231" s="364" t="n">
        <v>500</v>
      </c>
      <c r="O231" s="364" t="n">
        <v>0.03</v>
      </c>
      <c r="P231" s="345" t="n">
        <v>15</v>
      </c>
      <c r="Q231" s="345" t="inlineStr">
        <is>
          <t>g</t>
        </is>
      </c>
      <c r="R231" s="345" t="inlineStr"/>
      <c r="S231" s="345" t="inlineStr"/>
      <c r="T231" s="345" t="inlineStr"/>
      <c r="U231" s="345" t="inlineStr">
        <is>
          <t>试剂</t>
        </is>
      </c>
      <c r="V231" s="345" t="inlineStr"/>
      <c r="W231" s="345" t="inlineStr"/>
      <c r="X231" s="345" t="inlineStr"/>
      <c r="Y231" s="345" t="inlineStr"/>
      <c r="Z231" s="345" t="inlineStr">
        <is>
          <t>confirmed</t>
        </is>
      </c>
      <c r="AA231" s="345" t="n">
        <v>0</v>
      </c>
      <c r="AB231" s="345" t="inlineStr">
        <is>
          <t>匹配到商品档案但无历史价格记录</t>
        </is>
      </c>
      <c r="AC231" s="345" t="inlineStr">
        <is>
          <t>赛特尔25年.xls｜高中化学｜第400行</t>
        </is>
      </c>
    </row>
    <row r="232" customFormat="1" s="195">
      <c r="A232" s="323" t="n">
        <v>331</v>
      </c>
      <c r="B232" s="370" t="n">
        <v>30750000201</v>
      </c>
      <c r="C232" s="243" t="inlineStr">
        <is>
          <t>酚酞</t>
        </is>
      </c>
      <c r="D232" s="242" t="inlineStr">
        <is>
          <t>试剂</t>
        </is>
      </c>
      <c r="E232" s="358" t="n">
        <v>500</v>
      </c>
      <c r="F232" s="162" t="inlineStr">
        <is>
          <t>mL</t>
        </is>
      </c>
      <c r="G232" s="323" t="n"/>
      <c r="H232" s="31" t="n"/>
      <c r="I232" s="220" t="n"/>
      <c r="J232" s="359" t="n">
        <v>30750000201</v>
      </c>
      <c r="K232" s="164" t="inlineStr">
        <is>
          <t>试剂</t>
        </is>
      </c>
      <c r="L232" s="39" t="inlineStr">
        <is>
          <t>良师</t>
        </is>
      </c>
      <c r="M232" s="39" t="inlineStr">
        <is>
          <t>义乌市教学仪器有限公司</t>
        </is>
      </c>
      <c r="N232" s="364" t="n">
        <v>500</v>
      </c>
      <c r="O232" s="364" t="n">
        <v>0.48</v>
      </c>
      <c r="P232" s="345" t="n">
        <v>240</v>
      </c>
      <c r="Q232" s="345" t="inlineStr">
        <is>
          <t>mL</t>
        </is>
      </c>
      <c r="R232" s="345" t="inlineStr"/>
      <c r="S232" s="345" t="inlineStr"/>
      <c r="T232" s="345" t="inlineStr"/>
      <c r="U232" s="345" t="inlineStr">
        <is>
          <t>指示剂</t>
        </is>
      </c>
      <c r="V232" s="345" t="inlineStr"/>
      <c r="W232" s="345" t="inlineStr"/>
      <c r="X232" s="345" t="inlineStr"/>
      <c r="Y232" s="345" t="inlineStr"/>
      <c r="Z232" s="345" t="inlineStr">
        <is>
          <t>confirmed</t>
        </is>
      </c>
      <c r="AA232" s="345" t="n">
        <v>0</v>
      </c>
      <c r="AB232" s="345" t="inlineStr">
        <is>
          <t>没有找到可靠候选</t>
        </is>
      </c>
      <c r="AC232" s="345" t="inlineStr">
        <is>
          <t>赛特尔25年.xls｜初中新课标生物｜第176行</t>
        </is>
      </c>
    </row>
    <row r="233" customFormat="1" s="195">
      <c r="A233" s="323" t="n">
        <v>332</v>
      </c>
      <c r="B233" s="370" t="n">
        <v>30750000401</v>
      </c>
      <c r="C233" s="243" t="inlineStr">
        <is>
          <t>品红</t>
        </is>
      </c>
      <c r="D233" s="242" t="inlineStr">
        <is>
          <t>试剂</t>
        </is>
      </c>
      <c r="E233" s="358" t="n">
        <v>100</v>
      </c>
      <c r="F233" s="162" t="inlineStr">
        <is>
          <t>g</t>
        </is>
      </c>
      <c r="G233" s="323" t="n"/>
      <c r="H233" s="31" t="n"/>
      <c r="I233" s="220" t="n"/>
      <c r="J233" s="359" t="n">
        <v>30750000401</v>
      </c>
      <c r="K233" s="164" t="inlineStr">
        <is>
          <t>试剂</t>
        </is>
      </c>
      <c r="L233" s="39" t="inlineStr">
        <is>
          <t>良师</t>
        </is>
      </c>
      <c r="M233" s="39" t="inlineStr">
        <is>
          <t>义乌市教学仪器有限公司</t>
        </is>
      </c>
      <c r="N233" s="364" t="n">
        <v>100</v>
      </c>
      <c r="O233" s="364" t="n">
        <v>0.8</v>
      </c>
      <c r="P233" s="345" t="n">
        <v>80</v>
      </c>
      <c r="Q233" s="345" t="inlineStr">
        <is>
          <t>g</t>
        </is>
      </c>
      <c r="R233" s="345" t="inlineStr"/>
      <c r="S233" s="345" t="inlineStr"/>
      <c r="T233" s="345" t="inlineStr"/>
      <c r="U233" s="345" t="inlineStr">
        <is>
          <t>染料</t>
        </is>
      </c>
      <c r="V233" s="345" t="inlineStr"/>
      <c r="W233" s="345" t="inlineStr"/>
      <c r="X233" s="345" t="inlineStr"/>
      <c r="Y233" s="345" t="inlineStr"/>
      <c r="Z233" s="345" t="inlineStr">
        <is>
          <t>confirmed</t>
        </is>
      </c>
      <c r="AA233" s="345" t="n">
        <v>100</v>
      </c>
      <c r="AB233" s="345" t="inlineStr"/>
      <c r="AC233" s="345" t="inlineStr">
        <is>
          <t>赛特尔25年.xls｜初中新课标化学｜第254行</t>
        </is>
      </c>
    </row>
    <row r="234" customFormat="1" s="195">
      <c r="A234" s="323" t="n">
        <v>333</v>
      </c>
      <c r="B234" s="370" t="n">
        <v>30751003000</v>
      </c>
      <c r="C234" s="243" t="inlineStr">
        <is>
          <t>尿糖试纸</t>
        </is>
      </c>
      <c r="D234" s="165" t="n"/>
      <c r="E234" s="358" t="n">
        <v>15</v>
      </c>
      <c r="F234" s="162" t="inlineStr">
        <is>
          <t>盒</t>
        </is>
      </c>
      <c r="G234" s="323" t="n"/>
      <c r="H234" s="31" t="n"/>
      <c r="I234" s="220" t="n"/>
      <c r="J234" s="359" t="n">
        <v>30751003000</v>
      </c>
      <c r="K234" s="40" t="inlineStr">
        <is>
          <t>符合教学要求</t>
        </is>
      </c>
      <c r="L234" s="39" t="inlineStr">
        <is>
          <t>必利</t>
        </is>
      </c>
      <c r="M234" s="39" t="inlineStr">
        <is>
          <t>上海必利试剂有限公司</t>
        </is>
      </c>
      <c r="N234" s="364" t="n">
        <v>15</v>
      </c>
      <c r="O234" s="364" t="n">
        <v>7</v>
      </c>
      <c r="P234" s="345" t="n">
        <v>105</v>
      </c>
      <c r="Q234" s="345" t="inlineStr">
        <is>
          <t>盒</t>
        </is>
      </c>
      <c r="R234" s="345" t="inlineStr"/>
      <c r="S234" s="345" t="inlineStr"/>
      <c r="T234" s="345" t="inlineStr"/>
      <c r="U234" s="345" t="inlineStr"/>
      <c r="V234" s="345" t="n">
        <v>8.5</v>
      </c>
      <c r="W234" s="345" t="inlineStr"/>
      <c r="X234" s="345" t="n">
        <v>8.5</v>
      </c>
      <c r="Y234" s="345" t="inlineStr"/>
      <c r="Z234" s="345" t="inlineStr">
        <is>
          <t>confirmed</t>
        </is>
      </c>
      <c r="AA234" s="345" t="n">
        <v>100</v>
      </c>
      <c r="AB234" s="345" t="inlineStr">
        <is>
          <t>同分多价：最高分候选存在不同历史价格</t>
        </is>
      </c>
      <c r="AC234" s="345" t="inlineStr">
        <is>
          <t>赛特尔25年.xls｜初中新课标生物｜第182行</t>
        </is>
      </c>
    </row>
    <row r="235" customFormat="1" s="195">
      <c r="A235" s="323" t="n">
        <v>334</v>
      </c>
      <c r="B235" s="370" t="n">
        <v>30751004000</v>
      </c>
      <c r="C235" s="243" t="inlineStr">
        <is>
          <t>酒精试纸</t>
        </is>
      </c>
      <c r="D235" s="165" t="n"/>
      <c r="E235" s="358" t="n">
        <v>25</v>
      </c>
      <c r="F235" s="162" t="inlineStr">
        <is>
          <t>盒</t>
        </is>
      </c>
      <c r="G235" s="323" t="n"/>
      <c r="H235" s="31" t="n"/>
      <c r="I235" s="220" t="n"/>
      <c r="J235" s="359" t="n">
        <v>30751004000</v>
      </c>
      <c r="K235" s="40" t="inlineStr">
        <is>
          <t>符合教学要求</t>
        </is>
      </c>
      <c r="L235" s="39" t="inlineStr">
        <is>
          <t>必利</t>
        </is>
      </c>
      <c r="M235" s="39" t="inlineStr">
        <is>
          <t>上海必利试剂有限公司</t>
        </is>
      </c>
      <c r="N235" s="364" t="n">
        <v>25</v>
      </c>
      <c r="O235" s="364" t="n">
        <v>25</v>
      </c>
      <c r="P235" s="345" t="n">
        <v>625</v>
      </c>
      <c r="Q235" s="345" t="inlineStr">
        <is>
          <t>盒</t>
        </is>
      </c>
      <c r="R235" s="345" t="inlineStr"/>
      <c r="S235" s="345" t="inlineStr"/>
      <c r="T235" s="345" t="inlineStr"/>
      <c r="U235" s="345" t="inlineStr">
        <is>
          <t>半定量或定性。10张</t>
        </is>
      </c>
      <c r="V235" s="345" t="inlineStr"/>
      <c r="W235" s="345" t="inlineStr"/>
      <c r="X235" s="345" t="inlineStr"/>
      <c r="Y235" s="345" t="inlineStr"/>
      <c r="Z235" s="345" t="inlineStr">
        <is>
          <t>confirmed</t>
        </is>
      </c>
      <c r="AA235" s="345" t="n">
        <v>100</v>
      </c>
      <c r="AB235" s="345" t="inlineStr"/>
      <c r="AC235" s="345" t="inlineStr">
        <is>
          <t>赛特尔25年.xls｜初中新课标生物｜第184行</t>
        </is>
      </c>
    </row>
    <row r="236" customFormat="1" s="195">
      <c r="A236" s="323" t="n">
        <v>335</v>
      </c>
      <c r="B236" s="370" t="n">
        <v>30751000301</v>
      </c>
      <c r="C236" s="30" t="inlineStr">
        <is>
          <t>精密pH试纸</t>
        </is>
      </c>
      <c r="D236" s="141" t="inlineStr">
        <is>
          <t>测量精度 0.1 级</t>
        </is>
      </c>
      <c r="E236" s="31" t="n">
        <v>25</v>
      </c>
      <c r="F236" s="30" t="inlineStr">
        <is>
          <t>本</t>
        </is>
      </c>
      <c r="G236" s="31">
        <f>_xlfn.DISPIMG("ID_AD5624A132404E8EB059C7F6DA590077",1)</f>
        <v/>
      </c>
      <c r="H236" s="31" t="n"/>
      <c r="I236" s="220" t="n"/>
      <c r="J236" s="359" t="n">
        <v>30751000301</v>
      </c>
      <c r="K236" s="33" t="inlineStr">
        <is>
          <t>测量精度 0.1 级</t>
        </is>
      </c>
      <c r="L236" s="39" t="inlineStr">
        <is>
          <t>必利</t>
        </is>
      </c>
      <c r="M236" s="39" t="inlineStr">
        <is>
          <t>上海必利试剂有限公司</t>
        </is>
      </c>
      <c r="N236" s="364" t="n">
        <v>25</v>
      </c>
      <c r="O236" s="364" t="n">
        <v>3</v>
      </c>
      <c r="P236" s="345" t="n">
        <v>75</v>
      </c>
      <c r="Q236" s="345" t="inlineStr">
        <is>
          <t>本</t>
        </is>
      </c>
      <c r="R236" s="345" t="inlineStr"/>
      <c r="S236" s="345" t="inlineStr"/>
      <c r="T236" s="345" t="inlineStr"/>
      <c r="U236" s="345" t="inlineStr"/>
      <c r="V236" s="345" t="n">
        <v>3</v>
      </c>
      <c r="W236" s="345" t="inlineStr"/>
      <c r="X236" s="345" t="n">
        <v>6</v>
      </c>
      <c r="Y236" s="345" t="inlineStr"/>
      <c r="Z236" s="345" t="inlineStr">
        <is>
          <t>confirmed</t>
        </is>
      </c>
      <c r="AA236" s="345" t="n">
        <v>61.5</v>
      </c>
      <c r="AB236" s="345" t="inlineStr">
        <is>
          <t>价格分歧&gt;30%：历史报价分歧较大，需人工核对</t>
        </is>
      </c>
      <c r="AC236" s="345" t="inlineStr">
        <is>
          <t>赛特尔25年.xls｜初中新课标生物｜第181行</t>
        </is>
      </c>
    </row>
    <row r="237" customFormat="1" s="195">
      <c r="A237" s="323" t="n">
        <v>336</v>
      </c>
      <c r="B237" s="370" t="n">
        <v>30751000101</v>
      </c>
      <c r="C237" s="30" t="inlineStr">
        <is>
          <t>pH广泛试纸</t>
        </is>
      </c>
      <c r="D237" s="141" t="inlineStr">
        <is>
          <t>1～14</t>
        </is>
      </c>
      <c r="E237" s="31" t="n">
        <v>25</v>
      </c>
      <c r="F237" s="30" t="inlineStr">
        <is>
          <t>本</t>
        </is>
      </c>
      <c r="G237" s="31">
        <f>_xlfn.DISPIMG("ID_3015680BE3E44AE3B9FB36BF3A8BE75C",1)</f>
        <v/>
      </c>
      <c r="H237" s="31" t="n"/>
      <c r="I237" s="220" t="n"/>
      <c r="J237" s="359" t="n">
        <v>30751000101</v>
      </c>
      <c r="K237" s="33" t="inlineStr">
        <is>
          <t>1～14</t>
        </is>
      </c>
      <c r="L237" s="39" t="inlineStr">
        <is>
          <t>必利</t>
        </is>
      </c>
      <c r="M237" s="39" t="inlineStr">
        <is>
          <t>上海必利试剂有限公司</t>
        </is>
      </c>
      <c r="N237" s="364" t="n">
        <v>25</v>
      </c>
      <c r="O237" s="364" t="n">
        <v>3</v>
      </c>
      <c r="P237" s="345" t="n">
        <v>75</v>
      </c>
      <c r="Q237" s="345" t="inlineStr">
        <is>
          <t>本</t>
        </is>
      </c>
      <c r="R237" s="345" t="inlineStr"/>
      <c r="S237" s="345" t="inlineStr"/>
      <c r="T237" s="345" t="inlineStr"/>
      <c r="U237" s="345" t="inlineStr"/>
      <c r="V237" s="345" t="n">
        <v>3</v>
      </c>
      <c r="W237" s="345" t="inlineStr"/>
      <c r="X237" s="345" t="n">
        <v>6</v>
      </c>
      <c r="Y237" s="345" t="inlineStr"/>
      <c r="Z237" s="345" t="inlineStr">
        <is>
          <t>confirmed</t>
        </is>
      </c>
      <c r="AA237" s="345" t="n">
        <v>76.90000000000001</v>
      </c>
      <c r="AB237" s="345" t="inlineStr">
        <is>
          <t>价格分歧&gt;30%：历史报价分歧较大，需人工核对</t>
        </is>
      </c>
      <c r="AC237" s="345" t="inlineStr">
        <is>
          <t>赛特尔25年.xls｜初中新课标生物｜第181行</t>
        </is>
      </c>
    </row>
    <row r="238" customFormat="1" s="195">
      <c r="A238" s="323" t="n">
        <v>337</v>
      </c>
      <c r="B238" s="370" t="n">
        <v>30750001001</v>
      </c>
      <c r="C238" s="243" t="inlineStr">
        <is>
          <t>亚甲基蓝</t>
        </is>
      </c>
      <c r="D238" s="242" t="inlineStr">
        <is>
          <t>试剂</t>
        </is>
      </c>
      <c r="E238" s="358" t="n">
        <v>100</v>
      </c>
      <c r="F238" s="162" t="inlineStr">
        <is>
          <t>g</t>
        </is>
      </c>
      <c r="G238" s="323" t="n"/>
      <c r="H238" s="31" t="n"/>
      <c r="I238" s="220" t="n"/>
      <c r="J238" s="359" t="n">
        <v>30750001001</v>
      </c>
      <c r="K238" s="164" t="inlineStr">
        <is>
          <t>试剂</t>
        </is>
      </c>
      <c r="L238" s="39" t="inlineStr">
        <is>
          <t>良师</t>
        </is>
      </c>
      <c r="M238" s="39" t="inlineStr">
        <is>
          <t>义乌市教学仪器有限公司</t>
        </is>
      </c>
      <c r="N238" s="364" t="n">
        <v>100</v>
      </c>
      <c r="O238" s="364" t="n">
        <v>0.96</v>
      </c>
      <c r="P238" s="345" t="n">
        <v>96</v>
      </c>
      <c r="Q238" s="345" t="inlineStr">
        <is>
          <t>g</t>
        </is>
      </c>
      <c r="R238" s="345" t="inlineStr"/>
      <c r="S238" s="345" t="inlineStr"/>
      <c r="T238" s="345" t="inlineStr"/>
      <c r="U238" s="345" t="inlineStr">
        <is>
          <t>试剂</t>
        </is>
      </c>
      <c r="V238" s="345" t="inlineStr"/>
      <c r="W238" s="345" t="inlineStr"/>
      <c r="X238" s="345" t="inlineStr"/>
      <c r="Y238" s="345" t="inlineStr"/>
      <c r="Z238" s="345" t="inlineStr">
        <is>
          <t>confirmed</t>
        </is>
      </c>
      <c r="AA238" s="345" t="n">
        <v>100</v>
      </c>
      <c r="AB238" s="345" t="inlineStr"/>
      <c r="AC238" s="345" t="inlineStr">
        <is>
          <t>赛特尔25年.xls｜初中新课标生物｜第178行</t>
        </is>
      </c>
    </row>
    <row r="239" customFormat="1" s="195">
      <c r="A239" s="323" t="n">
        <v>339</v>
      </c>
      <c r="B239" s="370" t="n">
        <v>30750001501</v>
      </c>
      <c r="C239" s="243" t="inlineStr">
        <is>
          <t>龙胆紫</t>
        </is>
      </c>
      <c r="D239" s="242" t="inlineStr">
        <is>
          <t>试剂</t>
        </is>
      </c>
      <c r="E239" s="358" t="n">
        <v>100</v>
      </c>
      <c r="F239" s="162" t="inlineStr">
        <is>
          <t>g</t>
        </is>
      </c>
      <c r="G239" s="323" t="n"/>
      <c r="H239" s="31" t="n"/>
      <c r="I239" s="220" t="n"/>
      <c r="J239" s="359" t="n">
        <v>30750001501</v>
      </c>
      <c r="K239" s="164" t="inlineStr">
        <is>
          <t>试剂</t>
        </is>
      </c>
      <c r="L239" s="39" t="inlineStr">
        <is>
          <t>良师</t>
        </is>
      </c>
      <c r="M239" s="39" t="inlineStr">
        <is>
          <t>义乌市教学仪器有限公司</t>
        </is>
      </c>
      <c r="N239" s="364" t="n">
        <v>100</v>
      </c>
      <c r="O239" s="364" t="n">
        <v>0.88</v>
      </c>
      <c r="P239" s="345" t="n">
        <v>88</v>
      </c>
      <c r="Q239" s="345" t="inlineStr">
        <is>
          <t>g</t>
        </is>
      </c>
      <c r="R239" s="345" t="inlineStr"/>
      <c r="S239" s="345" t="inlineStr"/>
      <c r="T239" s="345" t="inlineStr"/>
      <c r="U239" s="345" t="inlineStr">
        <is>
          <t>试剂</t>
        </is>
      </c>
      <c r="V239" s="345" t="inlineStr"/>
      <c r="W239" s="345" t="inlineStr"/>
      <c r="X239" s="345" t="inlineStr"/>
      <c r="Y239" s="345" t="inlineStr"/>
      <c r="Z239" s="345" t="inlineStr">
        <is>
          <t>confirmed</t>
        </is>
      </c>
      <c r="AA239" s="345" t="n">
        <v>0</v>
      </c>
      <c r="AB239" s="345" t="inlineStr">
        <is>
          <t>没有找到可靠候选</t>
        </is>
      </c>
      <c r="AC239" s="345" t="inlineStr">
        <is>
          <t>赛特尔25年.xls｜高中生物｜第232行</t>
        </is>
      </c>
    </row>
    <row r="240" customFormat="1" s="195">
      <c r="A240" s="323" t="n">
        <v>340</v>
      </c>
      <c r="B240" s="370" t="n">
        <v>30750001801</v>
      </c>
      <c r="C240" s="243" t="inlineStr">
        <is>
          <t>曙红B(伊红B)</t>
        </is>
      </c>
      <c r="D240" s="242" t="inlineStr">
        <is>
          <t>试剂</t>
        </is>
      </c>
      <c r="E240" s="358" t="n">
        <v>100</v>
      </c>
      <c r="F240" s="162" t="inlineStr">
        <is>
          <t>g</t>
        </is>
      </c>
      <c r="G240" s="323" t="n"/>
      <c r="H240" s="31" t="n"/>
      <c r="I240" s="220" t="n"/>
      <c r="J240" s="359" t="n">
        <v>30750001801</v>
      </c>
      <c r="K240" s="164" t="inlineStr">
        <is>
          <t>试剂</t>
        </is>
      </c>
      <c r="L240" s="39" t="inlineStr">
        <is>
          <t>良师</t>
        </is>
      </c>
      <c r="M240" s="39" t="inlineStr">
        <is>
          <t>义乌市教学仪器有限公司</t>
        </is>
      </c>
      <c r="N240" s="364" t="n">
        <v>100</v>
      </c>
      <c r="O240" s="364" t="n">
        <v>0.2</v>
      </c>
      <c r="P240" s="345" t="n">
        <v>20</v>
      </c>
      <c r="Q240" s="345" t="inlineStr">
        <is>
          <t>g</t>
        </is>
      </c>
      <c r="R240" s="345" t="inlineStr"/>
      <c r="S240" s="345" t="inlineStr"/>
      <c r="T240" s="345" t="inlineStr"/>
      <c r="U240" s="345" t="inlineStr">
        <is>
          <t>试剂</t>
        </is>
      </c>
      <c r="V240" s="345" t="inlineStr"/>
      <c r="W240" s="345" t="inlineStr"/>
      <c r="X240" s="345" t="inlineStr"/>
      <c r="Y240" s="345" t="inlineStr"/>
      <c r="Z240" s="345" t="inlineStr">
        <is>
          <t>confirmed</t>
        </is>
      </c>
      <c r="AA240" s="345" t="n">
        <v>66.7</v>
      </c>
      <c r="AB240" s="345" t="inlineStr"/>
      <c r="AC240" s="345" t="inlineStr">
        <is>
          <t>赛特尔25年.xls｜初中新课标化学｜第195行</t>
        </is>
      </c>
    </row>
    <row r="241" customFormat="1" s="195">
      <c r="A241" s="323" t="n">
        <v>341</v>
      </c>
      <c r="B241" s="370" t="n">
        <v>30750002001</v>
      </c>
      <c r="C241" s="243" t="inlineStr">
        <is>
          <t>美蓝</t>
        </is>
      </c>
      <c r="D241" s="242" t="inlineStr">
        <is>
          <t>试剂</t>
        </is>
      </c>
      <c r="E241" s="358" t="n">
        <v>100</v>
      </c>
      <c r="F241" s="162" t="inlineStr">
        <is>
          <t>g</t>
        </is>
      </c>
      <c r="G241" s="323" t="n"/>
      <c r="H241" s="31" t="n"/>
      <c r="I241" s="220" t="n"/>
      <c r="J241" s="359" t="n">
        <v>30750002001</v>
      </c>
      <c r="K241" s="164" t="inlineStr">
        <is>
          <t>试剂</t>
        </is>
      </c>
      <c r="L241" s="39" t="inlineStr">
        <is>
          <t>良师</t>
        </is>
      </c>
      <c r="M241" s="39" t="inlineStr">
        <is>
          <t>义乌市教学仪器有限公司</t>
        </is>
      </c>
      <c r="N241" s="364" t="n">
        <v>100</v>
      </c>
      <c r="O241" s="364" t="n">
        <v>1.4</v>
      </c>
      <c r="P241" s="345" t="n">
        <v>140</v>
      </c>
      <c r="Q241" s="345" t="inlineStr">
        <is>
          <t>g</t>
        </is>
      </c>
      <c r="R241" s="345" t="inlineStr"/>
      <c r="S241" s="345" t="inlineStr"/>
      <c r="T241" s="345" t="inlineStr"/>
      <c r="U241" s="345" t="inlineStr">
        <is>
          <t>试剂</t>
        </is>
      </c>
      <c r="V241" s="345" t="inlineStr"/>
      <c r="W241" s="345" t="inlineStr"/>
      <c r="X241" s="345" t="inlineStr"/>
      <c r="Y241" s="345" t="inlineStr"/>
      <c r="Z241" s="345" t="inlineStr">
        <is>
          <t>confirmed</t>
        </is>
      </c>
      <c r="AA241" s="345" t="n">
        <v>0</v>
      </c>
      <c r="AB241" s="345" t="inlineStr">
        <is>
          <t>没有找到可靠候选</t>
        </is>
      </c>
      <c r="AC241" s="345" t="inlineStr">
        <is>
          <t>赛特尔25年.xls｜高中生物｜第234行</t>
        </is>
      </c>
    </row>
    <row r="242" customFormat="1" s="195">
      <c r="A242" s="323" t="n">
        <v>342</v>
      </c>
      <c r="B242" s="370" t="n">
        <v>30750002201</v>
      </c>
      <c r="C242" s="243" t="inlineStr">
        <is>
          <t>酚红</t>
        </is>
      </c>
      <c r="D242" s="242" t="inlineStr">
        <is>
          <t>试剂</t>
        </is>
      </c>
      <c r="E242" s="358" t="n">
        <v>100</v>
      </c>
      <c r="F242" s="162" t="inlineStr">
        <is>
          <t>g</t>
        </is>
      </c>
      <c r="G242" s="323" t="n"/>
      <c r="H242" s="31" t="n"/>
      <c r="I242" s="220" t="n"/>
      <c r="J242" s="359" t="n">
        <v>30750002201</v>
      </c>
      <c r="K242" s="164" t="inlineStr">
        <is>
          <t>试剂</t>
        </is>
      </c>
      <c r="L242" s="39" t="inlineStr">
        <is>
          <t>良师</t>
        </is>
      </c>
      <c r="M242" s="39" t="inlineStr">
        <is>
          <t>义乌市教学仪器有限公司</t>
        </is>
      </c>
      <c r="N242" s="364" t="n">
        <v>100</v>
      </c>
      <c r="O242" s="364" t="n">
        <v>2</v>
      </c>
      <c r="P242" s="345" t="n">
        <v>200</v>
      </c>
      <c r="Q242" s="345" t="inlineStr">
        <is>
          <t>g</t>
        </is>
      </c>
      <c r="R242" s="345" t="inlineStr"/>
      <c r="S242" s="345" t="inlineStr"/>
      <c r="T242" s="345" t="inlineStr"/>
      <c r="U242" s="345" t="inlineStr">
        <is>
          <t>试剂</t>
        </is>
      </c>
      <c r="V242" s="345" t="inlineStr"/>
      <c r="W242" s="345" t="inlineStr"/>
      <c r="X242" s="345" t="inlineStr"/>
      <c r="Y242" s="345" t="inlineStr"/>
      <c r="Z242" s="345" t="inlineStr">
        <is>
          <t>confirmed</t>
        </is>
      </c>
      <c r="AA242" s="345" t="n">
        <v>0</v>
      </c>
      <c r="AB242" s="345" t="inlineStr">
        <is>
          <t>没有找到可靠候选</t>
        </is>
      </c>
      <c r="AC242" s="345" t="inlineStr">
        <is>
          <t>赛特尔25年.xls｜高中生物｜第235行</t>
        </is>
      </c>
    </row>
    <row r="243" customFormat="1" s="195">
      <c r="A243" s="323" t="n">
        <v>345</v>
      </c>
      <c r="B243" s="370" t="n">
        <v>30750002601</v>
      </c>
      <c r="C243" s="243" t="inlineStr">
        <is>
          <t>苏丹Ⅲ</t>
        </is>
      </c>
      <c r="D243" s="242" t="inlineStr">
        <is>
          <t>试剂</t>
        </is>
      </c>
      <c r="E243" s="358" t="n">
        <v>100</v>
      </c>
      <c r="F243" s="162" t="inlineStr">
        <is>
          <t>g</t>
        </is>
      </c>
      <c r="G243" s="323" t="n"/>
      <c r="H243" s="31" t="n"/>
      <c r="I243" s="220" t="n"/>
      <c r="J243" s="359" t="n">
        <v>30750002601</v>
      </c>
      <c r="K243" s="164" t="inlineStr">
        <is>
          <t>试剂</t>
        </is>
      </c>
      <c r="L243" s="39" t="inlineStr">
        <is>
          <t>良师</t>
        </is>
      </c>
      <c r="M243" s="39" t="inlineStr">
        <is>
          <t>义乌市教学仪器有限公司</t>
        </is>
      </c>
      <c r="N243" s="364" t="n">
        <v>100</v>
      </c>
      <c r="O243" s="364" t="n">
        <v>0.6</v>
      </c>
      <c r="P243" s="345" t="n">
        <v>60</v>
      </c>
      <c r="Q243" s="345" t="inlineStr">
        <is>
          <t>g</t>
        </is>
      </c>
      <c r="R243" s="345" t="inlineStr"/>
      <c r="S243" s="345" t="inlineStr"/>
      <c r="T243" s="345" t="inlineStr"/>
      <c r="U243" s="345" t="inlineStr">
        <is>
          <t>试剂</t>
        </is>
      </c>
      <c r="V243" s="345" t="inlineStr"/>
      <c r="W243" s="345" t="inlineStr"/>
      <c r="X243" s="345" t="inlineStr"/>
      <c r="Y243" s="345" t="inlineStr"/>
      <c r="Z243" s="345" t="inlineStr">
        <is>
          <t>confirmed</t>
        </is>
      </c>
      <c r="AA243" s="345" t="n">
        <v>0</v>
      </c>
      <c r="AB243" s="345" t="inlineStr">
        <is>
          <t>没有找到可靠候选</t>
        </is>
      </c>
      <c r="AC243" s="345" t="inlineStr">
        <is>
          <t>赛特尔25年.xls｜高中生物｜第237行</t>
        </is>
      </c>
    </row>
    <row r="244" customFormat="1" s="195">
      <c r="A244" s="323" t="n">
        <v>350</v>
      </c>
      <c r="B244" s="371" t="n">
        <v>30750003601</v>
      </c>
      <c r="C244" s="243" t="inlineStr">
        <is>
          <t>溴麝香草酚蓝</t>
        </is>
      </c>
      <c r="D244" s="242" t="inlineStr">
        <is>
          <t>试剂</t>
        </is>
      </c>
      <c r="E244" s="358" t="n">
        <v>50</v>
      </c>
      <c r="F244" s="162" t="inlineStr">
        <is>
          <t>g</t>
        </is>
      </c>
      <c r="G244" s="323" t="n"/>
      <c r="H244" s="31" t="n"/>
      <c r="I244" s="220" t="n"/>
      <c r="J244" s="372" t="n">
        <v>30750003601</v>
      </c>
      <c r="K244" s="164" t="inlineStr">
        <is>
          <t>试剂</t>
        </is>
      </c>
      <c r="L244" s="39" t="inlineStr">
        <is>
          <t>良师</t>
        </is>
      </c>
      <c r="M244" s="39" t="inlineStr">
        <is>
          <t>义乌市教学仪器有限公司</t>
        </is>
      </c>
      <c r="N244" s="364" t="n">
        <v>50</v>
      </c>
      <c r="O244" s="364" t="n">
        <v>6.5</v>
      </c>
      <c r="P244" s="345" t="n">
        <v>325</v>
      </c>
      <c r="Q244" s="345" t="inlineStr">
        <is>
          <t>g</t>
        </is>
      </c>
      <c r="R244" s="345" t="inlineStr"/>
      <c r="S244" s="345" t="inlineStr"/>
      <c r="T244" s="345" t="inlineStr"/>
      <c r="U244" s="345" t="inlineStr">
        <is>
          <t>试剂</t>
        </is>
      </c>
      <c r="V244" s="345" t="inlineStr"/>
      <c r="W244" s="345" t="inlineStr"/>
      <c r="X244" s="345" t="inlineStr"/>
      <c r="Y244" s="345" t="inlineStr"/>
      <c r="Z244" s="345" t="inlineStr">
        <is>
          <t>confirmed</t>
        </is>
      </c>
      <c r="AA244" s="345" t="n">
        <v>100</v>
      </c>
      <c r="AB244" s="345" t="inlineStr"/>
      <c r="AC244" s="345" t="inlineStr">
        <is>
          <t>赛特尔25年.xls｜初中新课标生物｜第179行</t>
        </is>
      </c>
    </row>
    <row r="245" customFormat="1" s="195">
      <c r="A245" s="323" t="n">
        <v>351</v>
      </c>
      <c r="B245" s="370" t="n">
        <v>30779022201</v>
      </c>
      <c r="C245" s="243" t="inlineStr">
        <is>
          <t>乳酸菌粉</t>
        </is>
      </c>
      <c r="D245" s="242" t="inlineStr">
        <is>
          <t>食品添加剂</t>
        </is>
      </c>
      <c r="E245" s="358" t="n">
        <v>100</v>
      </c>
      <c r="F245" s="162" t="inlineStr">
        <is>
          <t>g</t>
        </is>
      </c>
      <c r="G245" s="31" t="n"/>
      <c r="H245" s="31" t="n"/>
      <c r="I245" s="220" t="n"/>
      <c r="J245" s="359" t="n">
        <v>30779022201</v>
      </c>
      <c r="K245" s="164" t="inlineStr">
        <is>
          <t>食品添加剂</t>
        </is>
      </c>
      <c r="L245" s="39" t="inlineStr">
        <is>
          <t>良师</t>
        </is>
      </c>
      <c r="M245" s="39" t="inlineStr">
        <is>
          <t>义乌市教学仪器有限公司</t>
        </is>
      </c>
      <c r="N245" s="364" t="n">
        <v>100</v>
      </c>
      <c r="O245" s="364" t="n">
        <v>0.03</v>
      </c>
      <c r="P245" s="345" t="n">
        <v>3</v>
      </c>
      <c r="Q245" s="345" t="inlineStr">
        <is>
          <t>g</t>
        </is>
      </c>
      <c r="R245" s="345" t="inlineStr"/>
      <c r="S245" s="345" t="inlineStr"/>
      <c r="T245" s="345" t="inlineStr"/>
      <c r="U245" s="345" t="inlineStr">
        <is>
          <t>工业</t>
        </is>
      </c>
      <c r="V245" s="345" t="inlineStr"/>
      <c r="W245" s="345" t="inlineStr"/>
      <c r="X245" s="345" t="inlineStr"/>
      <c r="Y245" s="345" t="inlineStr"/>
      <c r="Z245" s="345" t="inlineStr">
        <is>
          <t>confirmed</t>
        </is>
      </c>
      <c r="AA245" s="345" t="n">
        <v>0</v>
      </c>
      <c r="AB245" s="345" t="inlineStr">
        <is>
          <t>匹配到商品档案但无历史价格记录</t>
        </is>
      </c>
      <c r="AC245" s="345" t="inlineStr">
        <is>
          <t>赛特尔25年.xls｜初中化学｜第256行</t>
        </is>
      </c>
    </row>
    <row r="246" customFormat="1" s="195">
      <c r="A246" s="323" t="n">
        <v>352</v>
      </c>
      <c r="B246" s="370" t="n">
        <v>30779022301</v>
      </c>
      <c r="C246" s="243" t="inlineStr">
        <is>
          <t>红曲霉米粉</t>
        </is>
      </c>
      <c r="D246" s="242" t="inlineStr">
        <is>
          <t>食品添加剂</t>
        </is>
      </c>
      <c r="E246" s="358" t="n">
        <v>100</v>
      </c>
      <c r="F246" s="162" t="inlineStr">
        <is>
          <t>g</t>
        </is>
      </c>
      <c r="G246" s="31" t="n"/>
      <c r="H246" s="31" t="n"/>
      <c r="I246" s="220" t="n"/>
      <c r="J246" s="359" t="n">
        <v>30779022301</v>
      </c>
      <c r="K246" s="164" t="inlineStr">
        <is>
          <t>食品添加剂</t>
        </is>
      </c>
      <c r="L246" s="39" t="inlineStr">
        <is>
          <t>良师</t>
        </is>
      </c>
      <c r="M246" s="39" t="inlineStr">
        <is>
          <t>义乌市教学仪器有限公司</t>
        </is>
      </c>
      <c r="N246" s="364" t="n">
        <v>100</v>
      </c>
      <c r="O246" s="364" t="n">
        <v>2.4</v>
      </c>
      <c r="P246" s="345" t="n">
        <v>240</v>
      </c>
      <c r="Q246" s="345" t="inlineStr">
        <is>
          <t>g</t>
        </is>
      </c>
      <c r="R246" s="345" t="inlineStr"/>
      <c r="S246" s="345" t="inlineStr"/>
      <c r="T246" s="345" t="inlineStr"/>
      <c r="U246" s="345" t="inlineStr"/>
      <c r="V246" s="345" t="inlineStr"/>
      <c r="W246" s="345" t="inlineStr"/>
      <c r="X246" s="345" t="inlineStr"/>
      <c r="Y246" s="345" t="inlineStr"/>
      <c r="Z246" s="345" t="inlineStr">
        <is>
          <t>confirmed</t>
        </is>
      </c>
      <c r="AA246" s="345" t="n">
        <v>0</v>
      </c>
      <c r="AB246" s="345" t="inlineStr">
        <is>
          <t>匹配到商品档案但无历史价格记录</t>
        </is>
      </c>
      <c r="AC246" s="345" t="inlineStr">
        <is>
          <t>普教清单.xlsx｜初中生物｜第147行</t>
        </is>
      </c>
    </row>
    <row r="247" customFormat="1" s="195">
      <c r="A247" s="323" t="n">
        <v>353</v>
      </c>
      <c r="B247" s="370" t="n">
        <v>30779022401</v>
      </c>
      <c r="C247" s="243" t="inlineStr">
        <is>
          <t>醋酸杆菌</t>
        </is>
      </c>
      <c r="D247" s="242" t="inlineStr">
        <is>
          <t>食品添加剂</t>
        </is>
      </c>
      <c r="E247" s="358" t="n">
        <v>100</v>
      </c>
      <c r="F247" s="162" t="inlineStr">
        <is>
          <t>mL</t>
        </is>
      </c>
      <c r="G247" s="31" t="n"/>
      <c r="H247" s="31" t="n"/>
      <c r="I247" s="220" t="n"/>
      <c r="J247" s="359" t="n">
        <v>30779022401</v>
      </c>
      <c r="K247" s="164" t="inlineStr">
        <is>
          <t>食品添加剂</t>
        </is>
      </c>
      <c r="L247" s="39" t="inlineStr">
        <is>
          <t>良师</t>
        </is>
      </c>
      <c r="M247" s="39" t="inlineStr">
        <is>
          <t>义乌市教学仪器有限公司</t>
        </is>
      </c>
      <c r="N247" s="364" t="n">
        <v>100</v>
      </c>
      <c r="O247" s="364" t="n">
        <v>35</v>
      </c>
      <c r="P247" s="345" t="n">
        <v>3500</v>
      </c>
      <c r="Q247" s="345" t="inlineStr">
        <is>
          <t>mL</t>
        </is>
      </c>
      <c r="R247" s="345" t="inlineStr"/>
      <c r="S247" s="345" t="inlineStr"/>
      <c r="T247" s="345" t="inlineStr"/>
      <c r="U247" s="345" t="inlineStr">
        <is>
          <t>500ml</t>
        </is>
      </c>
      <c r="V247" s="345" t="inlineStr"/>
      <c r="W247" s="345" t="inlineStr"/>
      <c r="X247" s="345" t="inlineStr"/>
      <c r="Y247" s="345" t="inlineStr"/>
      <c r="Z247" s="345" t="inlineStr">
        <is>
          <t>confirmed</t>
        </is>
      </c>
      <c r="AA247" s="345" t="n">
        <v>0</v>
      </c>
      <c r="AB247" s="345" t="inlineStr">
        <is>
          <t>匹配到商品档案但无历史价格记录</t>
        </is>
      </c>
      <c r="AC247" s="345" t="inlineStr">
        <is>
          <t>赛特尔25年.xls｜初中生物｜第262行</t>
        </is>
      </c>
    </row>
    <row r="248" customFormat="1" s="195">
      <c r="A248" s="323" t="n">
        <v>354</v>
      </c>
      <c r="B248" s="370" t="n">
        <v>30779022501</v>
      </c>
      <c r="C248" s="243" t="inlineStr">
        <is>
          <t>大肠杆菌</t>
        </is>
      </c>
      <c r="D248" s="242" t="inlineStr">
        <is>
          <t>菌种</t>
        </is>
      </c>
      <c r="E248" s="358" t="n">
        <v>100</v>
      </c>
      <c r="F248" s="162" t="inlineStr">
        <is>
          <t>mL</t>
        </is>
      </c>
      <c r="G248" s="31" t="n"/>
      <c r="H248" s="31" t="n"/>
      <c r="I248" s="220" t="n"/>
      <c r="J248" s="359" t="n">
        <v>30779022501</v>
      </c>
      <c r="K248" s="164" t="inlineStr">
        <is>
          <t>菌种</t>
        </is>
      </c>
      <c r="L248" s="39" t="inlineStr">
        <is>
          <t>良师</t>
        </is>
      </c>
      <c r="M248" s="39" t="inlineStr">
        <is>
          <t>义乌市教学仪器有限公司</t>
        </is>
      </c>
      <c r="N248" s="364" t="n">
        <v>100</v>
      </c>
      <c r="O248" s="364" t="n">
        <v>4</v>
      </c>
      <c r="P248" s="345" t="n">
        <v>400</v>
      </c>
      <c r="Q248" s="345" t="inlineStr">
        <is>
          <t>mL</t>
        </is>
      </c>
      <c r="R248" s="345" t="inlineStr">
        <is>
          <t>皖南</t>
        </is>
      </c>
      <c r="S248" s="345" t="inlineStr"/>
      <c r="T248" s="345" t="inlineStr"/>
      <c r="U248" s="345" t="inlineStr">
        <is>
          <t>43312</t>
        </is>
      </c>
      <c r="V248" s="345" t="inlineStr"/>
      <c r="W248" s="345" t="inlineStr"/>
      <c r="X248" s="345" t="inlineStr"/>
      <c r="Y248" s="345" t="inlineStr"/>
      <c r="Z248" s="345" t="inlineStr">
        <is>
          <t>confirmed</t>
        </is>
      </c>
      <c r="AA248" s="345" t="n">
        <v>0</v>
      </c>
      <c r="AB248" s="345" t="inlineStr">
        <is>
          <t>匹配到商品档案但无历史价格记录</t>
        </is>
      </c>
      <c r="AC248" s="345" t="inlineStr">
        <is>
          <t>高中理化生报价.xlsx｜凯迪｜第1468行</t>
        </is>
      </c>
    </row>
    <row r="249" customFormat="1" s="195">
      <c r="A249" s="323" t="n">
        <v>355</v>
      </c>
      <c r="B249" s="370" t="n">
        <v>30779022601</v>
      </c>
      <c r="C249" s="243" t="inlineStr">
        <is>
          <t>毛霉菌或根霉菌</t>
        </is>
      </c>
      <c r="D249" s="242" t="inlineStr">
        <is>
          <t>菌种</t>
        </is>
      </c>
      <c r="E249" s="358" t="n">
        <v>100</v>
      </c>
      <c r="F249" s="162" t="inlineStr">
        <is>
          <t>mL</t>
        </is>
      </c>
      <c r="G249" s="31" t="n"/>
      <c r="H249" s="31" t="n"/>
      <c r="I249" s="220" t="n"/>
      <c r="J249" s="359" t="n">
        <v>30779022601</v>
      </c>
      <c r="K249" s="164" t="inlineStr">
        <is>
          <t>菌种</t>
        </is>
      </c>
      <c r="L249" s="39" t="inlineStr">
        <is>
          <t>良师</t>
        </is>
      </c>
      <c r="M249" s="39" t="inlineStr">
        <is>
          <t>义乌市教学仪器有限公司</t>
        </is>
      </c>
      <c r="N249" s="364" t="n">
        <v>100</v>
      </c>
      <c r="O249" s="364" t="n">
        <v>2.4</v>
      </c>
      <c r="P249" s="345" t="n">
        <v>240</v>
      </c>
      <c r="Q249" s="345" t="inlineStr">
        <is>
          <t>mL</t>
        </is>
      </c>
      <c r="R249" s="345" t="inlineStr"/>
      <c r="S249" s="345" t="inlineStr"/>
      <c r="T249" s="345" t="inlineStr"/>
      <c r="U249" s="345" t="inlineStr"/>
      <c r="V249" s="345" t="inlineStr"/>
      <c r="W249" s="345" t="inlineStr"/>
      <c r="X249" s="345" t="inlineStr"/>
      <c r="Y249" s="345" t="inlineStr"/>
      <c r="Z249" s="345" t="inlineStr">
        <is>
          <t>confirmed</t>
        </is>
      </c>
      <c r="AA249" s="345" t="n">
        <v>0</v>
      </c>
      <c r="AB249" s="345" t="inlineStr">
        <is>
          <t>匹配到商品档案但无历史价格记录</t>
        </is>
      </c>
      <c r="AC249" s="345" t="inlineStr">
        <is>
          <t>普教清单.xlsx｜初中生物｜第149行</t>
        </is>
      </c>
    </row>
    <row r="250" customFormat="1" s="195">
      <c r="A250" s="323" t="n">
        <v>356</v>
      </c>
      <c r="B250" s="370" t="n">
        <v>30779022701</v>
      </c>
      <c r="C250" s="243" t="inlineStr">
        <is>
          <t>黑曲霉</t>
        </is>
      </c>
      <c r="D250" s="242" t="inlineStr">
        <is>
          <t>菌种</t>
        </is>
      </c>
      <c r="E250" s="358" t="n">
        <v>100</v>
      </c>
      <c r="F250" s="162" t="inlineStr">
        <is>
          <t>mL</t>
        </is>
      </c>
      <c r="G250" s="31" t="n"/>
      <c r="H250" s="31" t="n"/>
      <c r="I250" s="220" t="n"/>
      <c r="J250" s="359" t="n">
        <v>30779022701</v>
      </c>
      <c r="K250" s="164" t="inlineStr">
        <is>
          <t>菌种</t>
        </is>
      </c>
      <c r="L250" s="39" t="inlineStr">
        <is>
          <t>良师</t>
        </is>
      </c>
      <c r="M250" s="39" t="inlineStr">
        <is>
          <t>义乌市教学仪器有限公司</t>
        </is>
      </c>
      <c r="N250" s="364" t="n">
        <v>100</v>
      </c>
      <c r="O250" s="364" t="n">
        <v>2.4</v>
      </c>
      <c r="P250" s="345" t="n">
        <v>240</v>
      </c>
      <c r="Q250" s="345" t="inlineStr">
        <is>
          <t>mL</t>
        </is>
      </c>
      <c r="R250" s="345" t="inlineStr"/>
      <c r="S250" s="345" t="inlineStr"/>
      <c r="T250" s="345" t="inlineStr"/>
      <c r="U250" s="345" t="inlineStr"/>
      <c r="V250" s="345" t="inlineStr"/>
      <c r="W250" s="345" t="inlineStr"/>
      <c r="X250" s="345" t="inlineStr"/>
      <c r="Y250" s="345" t="inlineStr"/>
      <c r="Z250" s="345" t="inlineStr">
        <is>
          <t>confirmed</t>
        </is>
      </c>
      <c r="AA250" s="345" t="n">
        <v>0</v>
      </c>
      <c r="AB250" s="345" t="inlineStr">
        <is>
          <t>匹配到商品档案但无历史价格记录</t>
        </is>
      </c>
      <c r="AC250" s="345" t="inlineStr">
        <is>
          <t>普教清单.xlsx｜初中生物｜第147行</t>
        </is>
      </c>
    </row>
    <row r="251" customFormat="1" s="195">
      <c r="A251" s="323" t="n">
        <v>357</v>
      </c>
      <c r="B251" s="370" t="n">
        <v>30779022801</v>
      </c>
      <c r="C251" s="243" t="inlineStr">
        <is>
          <t>α-淀粉酶</t>
        </is>
      </c>
      <c r="D251" s="242" t="inlineStr">
        <is>
          <t>试剂</t>
        </is>
      </c>
      <c r="E251" s="358" t="n">
        <v>100</v>
      </c>
      <c r="F251" s="162" t="inlineStr">
        <is>
          <t>g</t>
        </is>
      </c>
      <c r="G251" s="31" t="n"/>
      <c r="H251" s="31" t="n"/>
      <c r="I251" s="220" t="n"/>
      <c r="J251" s="359" t="n">
        <v>30779022801</v>
      </c>
      <c r="K251" s="164" t="inlineStr">
        <is>
          <t>试剂</t>
        </is>
      </c>
      <c r="L251" s="39" t="inlineStr">
        <is>
          <t>良师</t>
        </is>
      </c>
      <c r="M251" s="39" t="inlineStr">
        <is>
          <t>义乌市教学仪器有限公司</t>
        </is>
      </c>
      <c r="N251" s="364" t="n">
        <v>100</v>
      </c>
      <c r="O251" s="364" t="n">
        <v>0.25</v>
      </c>
      <c r="P251" s="345" t="n">
        <v>25</v>
      </c>
      <c r="Q251" s="345" t="inlineStr">
        <is>
          <t>g</t>
        </is>
      </c>
      <c r="R251" s="345" t="inlineStr"/>
      <c r="S251" s="345" t="inlineStr"/>
      <c r="T251" s="345" t="inlineStr"/>
      <c r="U251" s="345" t="inlineStr">
        <is>
          <t>试剂</t>
        </is>
      </c>
      <c r="V251" s="345" t="inlineStr"/>
      <c r="W251" s="345" t="inlineStr"/>
      <c r="X251" s="345" t="inlineStr"/>
      <c r="Y251" s="345" t="inlineStr"/>
      <c r="Z251" s="345" t="inlineStr">
        <is>
          <t>confirmed</t>
        </is>
      </c>
      <c r="AA251" s="345" t="n">
        <v>0</v>
      </c>
      <c r="AB251" s="345" t="inlineStr">
        <is>
          <t>没有找到可靠候选</t>
        </is>
      </c>
      <c r="AC251" s="345" t="inlineStr">
        <is>
          <t>赛特尔25年.xls｜高中生物｜第224行</t>
        </is>
      </c>
    </row>
    <row r="252" customFormat="1" s="195">
      <c r="A252" s="323" t="n">
        <v>358</v>
      </c>
      <c r="B252" s="370" t="n">
        <v>30779022901</v>
      </c>
      <c r="C252" s="243" t="inlineStr">
        <is>
          <t>果胶酶</t>
        </is>
      </c>
      <c r="D252" s="242" t="inlineStr">
        <is>
          <t>试剂</t>
        </is>
      </c>
      <c r="E252" s="358" t="n">
        <v>100</v>
      </c>
      <c r="F252" s="162" t="inlineStr">
        <is>
          <t>g</t>
        </is>
      </c>
      <c r="G252" s="31" t="n"/>
      <c r="H252" s="31" t="n"/>
      <c r="I252" s="220" t="n"/>
      <c r="J252" s="359" t="n">
        <v>30779022901</v>
      </c>
      <c r="K252" s="164" t="inlineStr">
        <is>
          <t>试剂</t>
        </is>
      </c>
      <c r="L252" s="39" t="inlineStr">
        <is>
          <t>良师</t>
        </is>
      </c>
      <c r="M252" s="39" t="inlineStr">
        <is>
          <t>义乌市教学仪器有限公司</t>
        </is>
      </c>
      <c r="N252" s="364" t="n">
        <v>100</v>
      </c>
      <c r="O252" s="364" t="n">
        <v>2</v>
      </c>
      <c r="P252" s="345" t="n">
        <v>200</v>
      </c>
      <c r="Q252" s="345" t="inlineStr">
        <is>
          <t>g</t>
        </is>
      </c>
      <c r="R252" s="345" t="inlineStr"/>
      <c r="S252" s="345" t="inlineStr"/>
      <c r="T252" s="345" t="inlineStr"/>
      <c r="U252" s="345" t="inlineStr">
        <is>
          <t>试剂</t>
        </is>
      </c>
      <c r="V252" s="345" t="inlineStr"/>
      <c r="W252" s="345" t="inlineStr"/>
      <c r="X252" s="345" t="inlineStr"/>
      <c r="Y252" s="345" t="inlineStr"/>
      <c r="Z252" s="345" t="inlineStr">
        <is>
          <t>confirmed</t>
        </is>
      </c>
      <c r="AA252" s="345" t="n">
        <v>0</v>
      </c>
      <c r="AB252" s="345" t="inlineStr">
        <is>
          <t>没有找到可靠候选</t>
        </is>
      </c>
      <c r="AC252" s="345" t="inlineStr">
        <is>
          <t>赛特尔25年.xls｜高中生物｜第223行</t>
        </is>
      </c>
    </row>
    <row r="253" customFormat="1" s="195">
      <c r="A253" s="323" t="n">
        <v>359</v>
      </c>
      <c r="B253" s="370" t="n">
        <v>30779023001</v>
      </c>
      <c r="C253" s="243" t="inlineStr">
        <is>
          <t>蔗糖酶</t>
        </is>
      </c>
      <c r="D253" s="242" t="inlineStr">
        <is>
          <t>试剂</t>
        </is>
      </c>
      <c r="E253" s="358" t="n">
        <v>100</v>
      </c>
      <c r="F253" s="162" t="inlineStr">
        <is>
          <t>g</t>
        </is>
      </c>
      <c r="G253" s="31" t="n"/>
      <c r="H253" s="31" t="n"/>
      <c r="I253" s="220" t="n"/>
      <c r="J253" s="359" t="n">
        <v>30779023001</v>
      </c>
      <c r="K253" s="164" t="inlineStr">
        <is>
          <t>试剂</t>
        </is>
      </c>
      <c r="L253" s="39" t="inlineStr">
        <is>
          <t>良师</t>
        </is>
      </c>
      <c r="M253" s="39" t="inlineStr">
        <is>
          <t>义乌市教学仪器有限公司</t>
        </is>
      </c>
      <c r="N253" s="364" t="n">
        <v>100</v>
      </c>
      <c r="O253" s="364" t="n">
        <v>0.03</v>
      </c>
      <c r="P253" s="345" t="n">
        <v>3</v>
      </c>
      <c r="Q253" s="345" t="inlineStr">
        <is>
          <t>g</t>
        </is>
      </c>
      <c r="R253" s="345" t="inlineStr"/>
      <c r="S253" s="345" t="inlineStr"/>
      <c r="T253" s="345" t="inlineStr"/>
      <c r="U253" s="345" t="inlineStr">
        <is>
          <t>试剂</t>
        </is>
      </c>
      <c r="V253" s="345" t="inlineStr"/>
      <c r="W253" s="345" t="inlineStr"/>
      <c r="X253" s="345" t="inlineStr"/>
      <c r="Y253" s="345" t="inlineStr"/>
      <c r="Z253" s="345" t="inlineStr">
        <is>
          <t>confirmed</t>
        </is>
      </c>
      <c r="AA253" s="345" t="n">
        <v>100</v>
      </c>
      <c r="AB253" s="345" t="inlineStr"/>
      <c r="AC253" s="345" t="inlineStr">
        <is>
          <t>赛特尔25年.xls｜初中新课标生物｜第170行</t>
        </is>
      </c>
    </row>
    <row r="254" customFormat="1" s="195">
      <c r="A254" s="323" t="n">
        <v>360</v>
      </c>
      <c r="B254" s="370" t="n">
        <v>30779023101</v>
      </c>
      <c r="C254" s="243" t="inlineStr">
        <is>
          <t>嫩肉粉</t>
        </is>
      </c>
      <c r="D254" s="165" t="inlineStr">
        <is>
          <t>市售商品，含蛋白酶</t>
        </is>
      </c>
      <c r="E254" s="358" t="n">
        <v>100</v>
      </c>
      <c r="F254" s="162" t="inlineStr">
        <is>
          <t>g</t>
        </is>
      </c>
      <c r="G254" s="31" t="n"/>
      <c r="H254" s="31" t="n"/>
      <c r="I254" s="220" t="n"/>
      <c r="J254" s="359" t="n">
        <v>30779023101</v>
      </c>
      <c r="K254" s="168" t="inlineStr">
        <is>
          <t>市售商品，含蛋白酶</t>
        </is>
      </c>
      <c r="L254" s="39" t="inlineStr">
        <is>
          <t>良师</t>
        </is>
      </c>
      <c r="M254" s="39" t="inlineStr">
        <is>
          <t>义乌市教学仪器有限公司</t>
        </is>
      </c>
      <c r="N254" s="364" t="n">
        <v>100</v>
      </c>
      <c r="O254" s="364" t="n">
        <v>0.03</v>
      </c>
      <c r="P254" s="345" t="n">
        <v>3</v>
      </c>
      <c r="Q254" s="345" t="inlineStr">
        <is>
          <t>g</t>
        </is>
      </c>
      <c r="R254" s="345" t="inlineStr"/>
      <c r="S254" s="345" t="inlineStr"/>
      <c r="T254" s="345" t="inlineStr"/>
      <c r="U254" s="345" t="inlineStr">
        <is>
          <t>标准</t>
        </is>
      </c>
      <c r="V254" s="345" t="inlineStr"/>
      <c r="W254" s="345" t="inlineStr"/>
      <c r="X254" s="345" t="inlineStr"/>
      <c r="Y254" s="345" t="inlineStr"/>
      <c r="Z254" s="345" t="inlineStr">
        <is>
          <t>confirmed</t>
        </is>
      </c>
      <c r="AA254" s="345" t="n">
        <v>0</v>
      </c>
      <c r="AB254" s="345" t="inlineStr">
        <is>
          <t>没有找到可靠候选</t>
        </is>
      </c>
      <c r="AC254" s="345" t="inlineStr">
        <is>
          <t>赛特尔25年.xls｜初中化学｜第243行</t>
        </is>
      </c>
    </row>
    <row r="255" customFormat="1" s="192">
      <c r="A255" s="323" t="n">
        <v>363</v>
      </c>
      <c r="B255" s="370" t="n">
        <v>30809001701</v>
      </c>
      <c r="C255" s="243" t="inlineStr">
        <is>
          <t>PCR扩增实验试剂盒</t>
        </is>
      </c>
      <c r="D255" s="165" t="inlineStr">
        <is>
          <t>包括：10X 扩增缓冲液、4 种 10 mmol/L（或20 mmol/L 等其他浓度）脱氧核苷三磷酸（dNTP）、Taq DNA 聚合酶、10 mmol/L（或20 mmol/L 等其他浓度）引物 A 溶液、10mmol/L（或 20 mmol/L 等其他浓度）引物 B溶液、DNA 分子量标准物（Marker）</t>
        </is>
      </c>
      <c r="E255" s="358" t="n">
        <v>2</v>
      </c>
      <c r="F255" s="162" t="inlineStr">
        <is>
          <t>套</t>
        </is>
      </c>
      <c r="G255" s="31" t="n"/>
      <c r="H255" s="31" t="n"/>
      <c r="I255" s="229" t="n"/>
      <c r="J255" s="359" t="n">
        <v>30809001701</v>
      </c>
      <c r="K255" s="168" t="inlineStr">
        <is>
          <t>包括：10X 扩增缓冲液、4 种 10 mmol/L（或20 mmol/L 等其他浓度）脱氧核苷三磷酸（dNTP）、Taq DNA 聚合酶、10 mmol/L（或20 mmol/L 等其他浓度）引物 A 溶液、10mmol/L（或 20 mmol/L 等其他浓度）引物 B溶液、DNA 分子量标准物（Marker）</t>
        </is>
      </c>
      <c r="L255" s="39" t="inlineStr">
        <is>
          <t>翰仁</t>
        </is>
      </c>
      <c r="M255" s="39" t="inlineStr">
        <is>
          <t>合肥翰仁科学仪器有限公司</t>
        </is>
      </c>
      <c r="N255" s="362" t="n">
        <v>2</v>
      </c>
      <c r="O255" s="362" t="n">
        <v>400</v>
      </c>
      <c r="P255" s="345" t="n">
        <v>800</v>
      </c>
      <c r="Q255" s="345" t="inlineStr">
        <is>
          <t>套</t>
        </is>
      </c>
      <c r="R255" s="345" t="inlineStr"/>
      <c r="S255" s="345" t="inlineStr"/>
      <c r="T255" s="345" t="inlineStr"/>
      <c r="U255" s="345" t="inlineStr">
        <is>
          <t>本试剂盒根据PCR反应原理，精确提供PCR反应所需的全部试剂（包括Taq DNA聚合酶、PCR反应缓冲液、MgCl2、dNTPs、引物Ⅰ、引物Ⅱ、模板DNA），整个反应过程只需要1860秒。具有快速、高效、方便快捷等优点。
试剂盒规格：50人，25组，每组20μL。</t>
        </is>
      </c>
      <c r="V255" s="345" t="inlineStr"/>
      <c r="W255" s="345" t="inlineStr"/>
      <c r="X255" s="345" t="inlineStr"/>
      <c r="Y255" s="345" t="inlineStr"/>
      <c r="Z255" s="345" t="inlineStr">
        <is>
          <t>confirmed</t>
        </is>
      </c>
      <c r="AA255" s="345" t="n">
        <v>100</v>
      </c>
      <c r="AB255" s="345" t="inlineStr"/>
      <c r="AC255" s="345" t="inlineStr">
        <is>
          <t>赛特尔25年.xls｜高中生物｜第325行</t>
        </is>
      </c>
    </row>
    <row r="256" customFormat="1" s="192">
      <c r="A256" s="323" t="n">
        <v>364</v>
      </c>
      <c r="B256" s="370" t="n">
        <v>30809001801</v>
      </c>
      <c r="C256" s="243" t="inlineStr">
        <is>
          <t>琼脂糖凝胶电泳实验试剂盒</t>
        </is>
      </c>
      <c r="D256" s="165" t="inlineStr">
        <is>
          <t>包括：琼脂糖、电泳缓冲液、上样缓冲液、核酸荧光染料</t>
        </is>
      </c>
      <c r="E256" s="358" t="n">
        <v>2</v>
      </c>
      <c r="F256" s="162" t="inlineStr">
        <is>
          <t>套</t>
        </is>
      </c>
      <c r="G256" s="31" t="n"/>
      <c r="H256" s="31" t="n"/>
      <c r="I256" s="229" t="n"/>
      <c r="J256" s="359" t="n">
        <v>30809001801</v>
      </c>
      <c r="K256" s="168" t="inlineStr">
        <is>
          <t>包括：琼脂糖、电泳缓冲液、上样缓冲液、核酸荧光染料</t>
        </is>
      </c>
      <c r="L256" s="39" t="inlineStr">
        <is>
          <t>翰仁</t>
        </is>
      </c>
      <c r="M256" s="39" t="inlineStr">
        <is>
          <t>合肥翰仁科学仪器有限公司</t>
        </is>
      </c>
      <c r="N256" s="362" t="n">
        <v>2</v>
      </c>
      <c r="O256" s="362" t="n">
        <v>0.4</v>
      </c>
      <c r="P256" s="345" t="n">
        <v>0.8</v>
      </c>
      <c r="Q256" s="345" t="inlineStr">
        <is>
          <t>套</t>
        </is>
      </c>
      <c r="R256" s="345" t="inlineStr"/>
      <c r="S256" s="345" t="inlineStr"/>
      <c r="T256" s="345" t="inlineStr"/>
      <c r="U256" s="345" t="inlineStr">
        <is>
          <t>试剂</t>
        </is>
      </c>
      <c r="V256" s="345" t="inlineStr"/>
      <c r="W256" s="345" t="inlineStr"/>
      <c r="X256" s="345" t="inlineStr"/>
      <c r="Y256" s="345" t="inlineStr"/>
      <c r="Z256" s="345" t="inlineStr">
        <is>
          <t>confirmed</t>
        </is>
      </c>
      <c r="AA256" s="345" t="n">
        <v>0</v>
      </c>
      <c r="AB256" s="345" t="inlineStr">
        <is>
          <t>匹配到商品档案但无历史价格记录</t>
        </is>
      </c>
      <c r="AC256" s="345" t="inlineStr">
        <is>
          <t>赛特尔25年.xls｜初中新课标生物｜第172行</t>
        </is>
      </c>
    </row>
    <row r="257" customFormat="1" s="192">
      <c r="A257" s="41" t="n">
        <v>366</v>
      </c>
      <c r="B257" s="71" t="inlineStr">
        <is>
          <t>VI.0</t>
        </is>
      </c>
      <c r="C257" s="75" t="inlineStr">
        <is>
          <t>高中化学虚拟仿真实验资源</t>
        </is>
      </c>
      <c r="D257" s="169" t="inlineStr">
        <is>
          <t>1.针对人教版高中生物课程配套开发的虚拟仿真实验平台，平台提供66个生物教材实验资源，该平台采用H5技术，模拟真实实验环境，精准还原实验现象，确保实验结果科学合理。2.实验资源按照年级、教材、章节进行分类，方便用户查找。同时，用户可以通过模糊搜索功能，快速找到相关教材实验资源。生物实验室提供1：1显微镜模拟操作功能；
3.提供可编辑表格功能，用于记录实验数据，可依据所填数据生成相应的实验数据图像；
4.实验室提供实验目的要求查看、操作步骤提示、实验数据记录、实验保存、清屏、重置、锁屏及屏幕缩放功能，针对实验中存在较为复杂的操作过程，提供短视频讲解演示功能，帮助用户快速熟悉实验和完成操作学习；
5.仿真实验室提供电子白板功能，辅助教师进行实验讲解过程中板书记录；并提供不少于3种画笔颜色选择，板书记录支持撤销、还原及一键清空功能。
6.系统提供实验库管理功能，保存到库里的实验资源支持编辑、删除、查找、筛选等功能；
7.系统提供足迹查看功能，自动记录使用足迹，方便下次查找，并且支持编辑、删除等功能；
8.系统提供实验器材操作手册及模块使用手册查看功能；</t>
        </is>
      </c>
      <c r="E257" s="170" t="n">
        <v>1</v>
      </c>
      <c r="F257" s="267" t="inlineStr">
        <is>
          <t>套</t>
        </is>
      </c>
      <c r="G257" s="172" t="n"/>
      <c r="H257" s="173" t="n"/>
      <c r="I257" s="82" t="n"/>
      <c r="J257" s="50" t="inlineStr">
        <is>
          <t>VI.0</t>
        </is>
      </c>
      <c r="K257" s="77" t="inlineStr">
        <is>
          <t>1.针对人教版高中生物课程配套开发的虚拟仿真实验平台，平台提供66个生物教材实验资源，该平台采用H5技术，模拟真实实验环境，精准还原实验现象，确保实验结果科学合理。2.实验资源按照年级、教材、章节进行分类，方便用户查找。同时，用户可以通过模糊搜索功能，快速找到相关教材实验资源。生物实验室提供1：1显微镜模拟操作功能；
3.提供可编辑表格功能，用于记录实验数据，可依据所填数据生成相应的实验数据图像；
4.实验室提供实验目的要求查看、操作步骤提示、实验数据记录、实验保存、清屏、重置、锁屏及屏幕缩放功能，针对实验中存在较为复杂的操作过程，提供短视频讲解演示功能，帮助用户快速熟悉实验和完成操作学习；
5.仿真实验室提供电子白板功能，辅助教师进行实验讲解过程中板书记录；并提供不少于3种画笔颜色选择，板书记录支持撤销、还原及一键清空功能。
6.系统提供实验库管理功能，保存到库里的实验资源支持编辑、删除、查找、筛选等功能；
7.系统提供足迹查看功能，自动记录使用足迹，方便下次查找，并且支持编辑、删除等功能；
8.系统提供实验器材操作手册及模块使用手册查看功能；</t>
        </is>
      </c>
      <c r="L257" s="48" t="inlineStr">
        <is>
          <t>乐百仕</t>
        </is>
      </c>
      <c r="M257" s="48" t="inlineStr">
        <is>
          <t>江苏乐百仕教育科技有限公司</t>
        </is>
      </c>
      <c r="N257" s="362" t="n">
        <v>1</v>
      </c>
      <c r="O257" s="362" t="n">
        <v>35</v>
      </c>
      <c r="P257" s="345" t="n">
        <v>35</v>
      </c>
      <c r="Q257" s="345" t="inlineStr">
        <is>
          <t>套</t>
        </is>
      </c>
      <c r="R257" s="345" t="inlineStr">
        <is>
          <t>群信</t>
        </is>
      </c>
      <c r="S257" s="345" t="inlineStr"/>
      <c r="T257" s="345" t="inlineStr"/>
      <c r="U257" s="345" t="inlineStr">
        <is>
          <t>80202</t>
        </is>
      </c>
      <c r="V257" s="345" t="inlineStr"/>
      <c r="W257" s="345" t="inlineStr"/>
      <c r="X257" s="345" t="inlineStr"/>
      <c r="Y257" s="345" t="inlineStr"/>
      <c r="Z257" s="345" t="inlineStr">
        <is>
          <t>confirmed</t>
        </is>
      </c>
      <c r="AA257" s="345" t="n">
        <v>0</v>
      </c>
      <c r="AB257" s="345" t="inlineStr">
        <is>
          <t>匹配到商品档案但无历史价格记录</t>
        </is>
      </c>
      <c r="AC257" s="345" t="inlineStr">
        <is>
          <t>高中理化生报价.xlsx｜凯迪｜第1109行</t>
        </is>
      </c>
    </row>
    <row r="258" customFormat="1" s="12">
      <c r="A258" s="174" t="n"/>
      <c r="B258" s="181" t="n"/>
      <c r="C258" s="176" t="n"/>
      <c r="D258" s="177" t="n"/>
      <c r="E258" s="178" t="n"/>
      <c r="F258" s="179" t="n"/>
      <c r="G258" s="180" t="n"/>
      <c r="H258" s="181" t="n"/>
      <c r="I258" s="182" t="n"/>
      <c r="J258" s="183" t="n"/>
      <c r="K258" s="183" t="n"/>
      <c r="L258" s="183" t="n"/>
      <c r="M258" s="183" t="n"/>
      <c r="N258" s="183" t="n"/>
      <c r="O258" s="183" t="n"/>
    </row>
  </sheetData>
  <mergeCells count="6">
    <mergeCell ref="I39:I40"/>
    <mergeCell ref="A1:I1"/>
    <mergeCell ref="J2:M2"/>
    <mergeCell ref="I155:I156"/>
    <mergeCell ref="I11:I12"/>
    <mergeCell ref="I89:I90"/>
  </mergeCells>
  <pageMargins left="0.75" right="0.75" top="1" bottom="1" header="0.5" footer="0.5"/>
  <pageSetup orientation="landscape" paperSize="8"/>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Shang Liu</dc:creator>
  <dc:description>📌</dc:description>
  <dcterms:created xsi:type="dcterms:W3CDTF">2016-11-18T06:25:00Z</dcterms:created>
  <dcterms:modified xsi:type="dcterms:W3CDTF">2026-08-20T05:20:43Z</dcterms:modified>
  <cp:lastModifiedBy>zc19891219</cp:lastModifiedBy>
  <cp:keywords>执行标准文件</cp:keywords>
  <cp:lastPrinted>2019-12-18T05:34:00Z</cp:lastPrinted>
</cp:coreProperties>
</file>

<file path=docProps/custom.xml><?xml version="1.0" encoding="utf-8"?>
<Properties xmlns:vt="http://schemas.openxmlformats.org/officeDocument/2006/docPropsVTypes" xmlns="http://schemas.openxmlformats.org/officeDocument/2006/custom-properties">
  <property name="KSOProductBuildVer" fmtid="{D5CDD505-2E9C-101B-9397-08002B2CF9AE}" pid="2">
    <vt:lpwstr>2052-12.1.0.28043</vt:lpwstr>
  </property>
  <property name="ICV" fmtid="{D5CDD505-2E9C-101B-9397-08002B2CF9AE}" pid="3">
    <vt:lpwstr>DEDC2FDC2A2D4DC190F6AE3F040BE61E_13</vt:lpwstr>
  </property>
  <property name="CalculationRule" fmtid="{D5CDD505-2E9C-101B-9397-08002B2CF9AE}" pid="4">
    <vt:i4>0</vt:i4>
  </property>
</Properties>
</file>