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9372" tabRatio="918" firstSheet="6"/>
  </bookViews>
  <sheets>
    <sheet name="凯迪" sheetId="62" r:id="rId1"/>
    <sheet name="Sheet1" sheetId="63" r:id="rId2"/>
  </sheets>
  <externalReferences>
    <externalReference r:id="rId3"/>
    <externalReference r:id="rId4"/>
    <externalReference r:id="rId5"/>
  </externalReferences>
  <definedNames>
    <definedName name="_xlnm._FilterDatabase" localSheetId="0" hidden="1">凯迪!$A$1:$O$1898</definedName>
    <definedName name="修改02">#REF!</definedName>
    <definedName name="修改03">#REF!</definedName>
    <definedName name="修改04">#REF!</definedName>
    <definedName name="修改05">#REF!</definedName>
    <definedName name="修改06">#REF!</definedName>
    <definedName name="修改07">#REF!</definedName>
    <definedName name="修改08">#REF!</definedName>
    <definedName name="修改09">#REF!</definedName>
    <definedName name="修改10">#REF!</definedName>
    <definedName name="修改11">#REF!</definedName>
    <definedName name="修改17">#REF!</definedName>
    <definedName name="修改18">#REF!</definedName>
    <definedName name="修改19">#REF!</definedName>
    <definedName name="修改20">#REF!</definedName>
    <definedName name="修改21">#REF!</definedName>
    <definedName name="修改22">#REF!</definedName>
    <definedName name="修改24">#REF!</definedName>
    <definedName name="修改25">#REF!</definedName>
    <definedName name="修改26">#REF!</definedName>
    <definedName name="修改29">#REF!</definedName>
    <definedName name="修改30">#REF!</definedName>
    <definedName name="修改31">#REF!</definedName>
    <definedName name="修改32">#REF!</definedName>
    <definedName name="修改33">#REF!</definedName>
    <definedName name="修改34">#REF!</definedName>
    <definedName name="修改35">#REF!</definedName>
    <definedName name="修改4">#REF!</definedName>
    <definedName name="修改41">#REF!</definedName>
    <definedName name="修改5">[1]汇总表!$A$7:$K$7,[1]汇总表!$A$10:$K$11,[1]汇总表!$A$18:$K$18,[1]汇总表!$A$21:$K$22</definedName>
    <definedName name="修改6">#REF!</definedName>
    <definedName name="修改7">#REF!</definedName>
    <definedName name="修改9">#REF!</definedName>
    <definedName name="修改9.2">#REF!</definedName>
    <definedName name="_Ref417485384">#REF!</definedName>
    <definedName name="sadsdsd">#REF!</definedName>
    <definedName name="啊">#REF!</definedName>
    <definedName name="大办公室">#REF!</definedName>
    <definedName name="单一来源">#REF!</definedName>
    <definedName name="点击方案">[2]汇总!$I$4</definedName>
    <definedName name="公开招标">#REF!</definedName>
    <definedName name="公开招标11">#REF!</definedName>
    <definedName name="化学药品室">#REF!</definedName>
    <definedName name="竞争性谈判">#REF!</definedName>
    <definedName name="年接待您21" hidden="1">#REF!</definedName>
    <definedName name="年月1">[3]年月!$A$1:$A$756</definedName>
    <definedName name="森岛帆高是">#REF!</definedName>
    <definedName name="生物仪器室">#REF!</definedName>
    <definedName name="询价">#REF!</definedName>
    <definedName name="邀请招标">#REF!</definedName>
    <definedName name="撒大声地" hidden="1">#REF!</definedName>
    <definedName name="试试">#REF!</definedName>
    <definedName name="是" hidden="1">#REF!</definedName>
    <definedName name="修改13">#REF!</definedName>
    <definedName name="修改15">#REF!</definedName>
    <definedName name="修改2">#REF!</definedName>
    <definedName name="修改3">#REF!</definedName>
    <definedName name="修改8">#REF!</definedName>
    <definedName name="K高中化学数字化实验设备">#REF!</definedName>
    <definedName name="K高中化学数字化实验设备" localSheetId="0">#REF!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<sst xmlns="http://schemas.openxmlformats.org/spreadsheetml/2006/main" count="17020" uniqueCount="3188">
  <si>
    <t>序号</t>
  </si>
  <si>
    <t>采购品目</t>
  </si>
  <si>
    <t>产品编码</t>
  </si>
  <si>
    <t>数量</t>
  </si>
  <si>
    <t>单位</t>
  </si>
  <si>
    <t>参数</t>
  </si>
  <si>
    <t>参数性质（说明：1. ★为实质性响应（不允许负偏离）参数、▲为重要参数。2.主要产品中含有以上两种符号，除标有“▲”的参数外，该产品的其他参数属于“★”参数。3.主要产品中含有演示项，其演示项不属于“★”参数。4.供应商提供的产品技术参数、规格及要求需完全满足或优于招标文件的要求。）</t>
  </si>
  <si>
    <t>颜色</t>
  </si>
  <si>
    <t>规格型号</t>
  </si>
  <si>
    <t>品牌</t>
  </si>
  <si>
    <t>制造商名称</t>
  </si>
  <si>
    <t>赛特尔单价</t>
  </si>
  <si>
    <t>金额</t>
  </si>
  <si>
    <t>制造商</t>
  </si>
  <si>
    <t>型号</t>
  </si>
  <si>
    <t>物理准备室设备</t>
  </si>
  <si>
    <t>间</t>
  </si>
  <si>
    <t>共2间,每一间准备室的配置清单如下</t>
  </si>
  <si>
    <t>★</t>
  </si>
  <si>
    <t>3.6</t>
  </si>
  <si>
    <t>小推车</t>
  </si>
  <si>
    <t>个</t>
  </si>
  <si>
    <t>规格：≥600*450*850mm
1、层板内空净尺寸长宽≥550*400mm，双层层板设计，板材厚度≥0.75mm304不锈钢，立柱采用≥Φ28mm圆管，厚度≥1.0，二层之间层间距≥440MM，护栏采用≥16mm不锈钢，高≥70MM，每层加强横梁1根，单层载重不小于150GK。
2、推手通过专用模具成型和立柱为一体式设计，便于推动，握感舒适，整体焊接后打磨抛光处理。
3、配件：优质静音万向轮，360°全方位旋转，其中2只带刹车功能，移动方便，安全更耐用。
4、产品采用焊接连接方式、经打磨抛光处理，无毛刺不刮手。</t>
  </si>
  <si>
    <t>实验室</t>
  </si>
  <si>
    <t>2020-1</t>
  </si>
  <si>
    <t>群信</t>
  </si>
  <si>
    <t>宁波凯迪科教仪器有限公司</t>
  </si>
  <si>
    <t>外采/龚</t>
  </si>
  <si>
    <t>凯迪</t>
  </si>
  <si>
    <t>1间小计</t>
  </si>
  <si>
    <t>2间合计</t>
  </si>
  <si>
    <t>高中物理教学仪器</t>
  </si>
  <si>
    <t>套</t>
  </si>
  <si>
    <t>共2套,每一套教学仪器的配置清单如下</t>
  </si>
  <si>
    <t>5.1</t>
  </si>
  <si>
    <t>配置班额</t>
  </si>
  <si>
    <t>人</t>
  </si>
  <si>
    <t>（1）</t>
  </si>
  <si>
    <t>一般</t>
  </si>
  <si>
    <t>01011</t>
  </si>
  <si>
    <t>计算器</t>
  </si>
  <si>
    <t>10+2位数、有统计运算功能、有分数计算功能、双行LCD显示、有函数运算功能、有多行重视功能、有方程编辑及显示、查看功能、有独立储存器功能（具备保留运算过程功能，关机后能清除原运算过程及数据）、有临时储存器功能、有普通四则运算功能、有自动关机功能</t>
  </si>
  <si>
    <t>理化生仪器</t>
  </si>
  <si>
    <t>KENKO</t>
  </si>
  <si>
    <t>福建省新威电子工业有限公司</t>
  </si>
  <si>
    <t>02001</t>
  </si>
  <si>
    <t>钢制黑板</t>
  </si>
  <si>
    <t>块</t>
  </si>
  <si>
    <t>1、黑板为双面金属，中间为人造板，并与金属板粘结可靠，四周镶边。2、美观、精致、洁美、牢固。无精面反光，色泽均匀，书写流畅。3、尺寸约为900mm×600mm。4、使用无尘粉笔应手感流畅，充实，笔迹清晰，经反复擦拭，无明显遗留粉笔痕迹。5、黑板提手位于长边边框中间，安装牢靠，挂起或提拿时无明显倾斜。</t>
  </si>
  <si>
    <t>02002</t>
  </si>
  <si>
    <t>打孔器</t>
  </si>
  <si>
    <t>1、实验室常用工具，供对胶塞和木塞打孔用；2、有四支不同孔径带手柄的空芯钻头、顶屑杆（通条）组成；3、每支空芯管长度约为100㎜，管外径分别为6±0.1,8.5±0.1，10.5±0.1；4、符合JY0001-2003《教学仪器设备》。</t>
  </si>
  <si>
    <t>02011</t>
  </si>
  <si>
    <t>直联泵(直联高速旋片式真空泵)</t>
  </si>
  <si>
    <t>台</t>
  </si>
  <si>
    <t>单相，有防回油功能</t>
  </si>
  <si>
    <t>红宝石</t>
  </si>
  <si>
    <t>温岭市红宝石真空设备有限公司</t>
  </si>
  <si>
    <t>02013</t>
  </si>
  <si>
    <t>两用气筒</t>
  </si>
  <si>
    <t>一、适用范围：
1.适用于中学物理教学实验用。
二、技术参数：
1.两用气筒由抽气接头、打气接头、阀体接头、抽气活塞、打气活塞、筒体、拉杆、手柄等组成。
2.极限抽气压力≤6.7×103Pa，最低打气压力≥2.9×105Pa。</t>
  </si>
  <si>
    <t>02014</t>
  </si>
  <si>
    <t>抽气筒</t>
  </si>
  <si>
    <t>手持式，气筒外径Φ32mm±5mm，长约260mm±20mm，气筒外管用铝合金、工程塑料或其他同等强度的材质制成</t>
  </si>
  <si>
    <t>02015</t>
  </si>
  <si>
    <t>打气筒</t>
  </si>
  <si>
    <t>1.产品由气筒、活塞、活塞杆、手柄、橡胶管、气针夹等组成。</t>
  </si>
  <si>
    <t>02016</t>
  </si>
  <si>
    <t>抽气盘</t>
  </si>
  <si>
    <t>1．产品由底盘、钟罩、电铃、气阀、垫圈等组成。2．底盘为塑料制成，要求表面平整，无气孔、砂眼，外径Φ≥180mm。3．钟罩为透明式，外径不小于150mm。4．抽气盘的密封性能：极限压强≤6000Pa，极限压强下保持15分钟，腔内压强变化不大于2KPa。5．电铃电源：直流3～6V。6．电铃放置于抽气盘内应平稳，工作中无倒覆。</t>
  </si>
  <si>
    <t>02017</t>
  </si>
  <si>
    <t>吹风机</t>
  </si>
  <si>
    <t>1.使用电源：220V50Hz。2.塑料外壳，分二档调节风速。</t>
  </si>
  <si>
    <t>B2</t>
  </si>
  <si>
    <t>百思科</t>
  </si>
  <si>
    <t>揭阳市榕城区豪博电器厂</t>
  </si>
  <si>
    <t>02020</t>
  </si>
  <si>
    <t>仪器车</t>
  </si>
  <si>
    <t>辆</t>
  </si>
  <si>
    <t>采用优质不锈钢材质,钢材厚度不小于1.0mm。1、产品由搁盘2个，车架2个；2、 支架底部用万向轮组装，规格不小于Ф25mm×360mm×660mm；3、规格不小于800mm×500mm×1100mm，表面涂复；4、脚杆表面油漆涂复；5、附件由M6×30螺杆8个，M6螺帽8个，弹簧垫圈8个，Ф6平垫8个构成；6、整套产品组装后应有足够的平稳度和牢固度，其结构为货车式；7、其它应符合JY0001—2003《教学仪器设备产品一般质量要求》有关规定。</t>
  </si>
  <si>
    <t>02023</t>
  </si>
  <si>
    <t>充磁器</t>
  </si>
  <si>
    <t>1、主要由螺线管、整流器、电源按钮开关和外壳组成。2、对中学物理实验室配备的小磁针、磁针进行充磁或消磁。3、绝缘电阻≥20MΩ。</t>
  </si>
  <si>
    <t>02060</t>
  </si>
  <si>
    <t>望远镜</t>
  </si>
  <si>
    <t>双筒7×35目镜透镜Φ19mm，伸缩可调，物镜透镜Φ35mm，望远距离12m～9880m，配背带。</t>
  </si>
  <si>
    <t>02075</t>
  </si>
  <si>
    <t>酒精喷灯</t>
  </si>
  <si>
    <t>座式
1.用黄铜制成。
2.密闭无渗漏。
3.仪器由灯壶、灯管、空气调节器、预热盘、加料口等部分组成。
4.空气调节器可使调节片可靠稳定于调节范围内的任意位置，能自如地调节空气进量而调节火焰大小。
5.壸体装酒精容积250mL。喷管与各管焊接牢固，喷火燃烧而熔化焊接，无漏气。火苗调节杆柄在调节火苗时不变形。调节手轮不得因工作时焦熔。</t>
  </si>
  <si>
    <t>智博</t>
  </si>
  <si>
    <t>宜丰县智博科教仪器有限公司</t>
  </si>
  <si>
    <t>02102</t>
  </si>
  <si>
    <t>注射器</t>
  </si>
  <si>
    <t>规格：100ml。塑料制成。密封性好，滑动灵活。刻度标线规整、清晰。符合GB 15810-2019《一次性使用无菌注射器》的有关规定。</t>
  </si>
  <si>
    <t>02103</t>
  </si>
  <si>
    <t>锋利</t>
  </si>
  <si>
    <t xml:space="preserve">江阴市医疗器械有限公司 </t>
  </si>
  <si>
    <t>02115</t>
  </si>
  <si>
    <t>透明盛液筒</t>
  </si>
  <si>
    <t>1．产品由透明塑料制成。2．外表尺寸：高：300mm；直径：φ100mm，壁厚2mm。3．产品口部圆正，底部平整，表面无凹凸不平现象，无擦伤、划痕、裂缝，透明度好。4．符合JY0001－2003《教学仪器一般质量要求》的有关规定。</t>
  </si>
  <si>
    <t>02116</t>
  </si>
  <si>
    <t>透明水槽</t>
  </si>
  <si>
    <t>1.产品用无毒透明硬质塑料制成。
2.外形尺寸：270mm×200mm×100mm，壁厚2mm。
3.产品自1m高度处自由下落于水泥地面后无破损。
4.应符合原教育部标准《塑料水槽技术条件》JY53－80的要求。
5.仪器的性能、安全、结构及外观的一般要求应分别符合JY0001标准的第4、5、6、7章的有关要求。
6.标志、说明书、包装、运输、贮存等应符合JY0001-2003的有关规定。</t>
  </si>
  <si>
    <t>（3）</t>
  </si>
  <si>
    <t>支架</t>
  </si>
  <si>
    <t>03001</t>
  </si>
  <si>
    <t>物理支架</t>
  </si>
  <si>
    <t>产品为物理教学通用支架，可组装成垂直、平行、吊挂、夹持、放置等多种实验支架。产品主要由下列配件组成：1、大、小A型座各1件，大A型座的三只脚上装有螺套及M6调平螺钉，并由M6螺钉紧固；小A型座的顶脚上有螺套，其余两只脚由M6螺钉直接旋入,大、小A型座上插孔直径为φ12.3mm；2、立杆2件，立杆采用φ12mm的圆钢制作，长度分别为500mm和700mm，立杆表面镀铬；3、复夹2件，可垂直、水平夹持两用，夹持直径范围为φ6～14mm；4、烧瓶夹1件，烧瓶夹为弹簧式张口,开口不小于35mm，夹杆直径为φ7mm；5、万向夹1件，由球体和球套组成的转动方式，调节角度为120°，由M8螺钉紧固，夹持直径范围φ6～14mm；6、桌边夹1件，一端夹挂厚度不小于70mm，一端能安装φ12mm的支杆，并能牢固锁紧；7、铁环1件，开口式，内径为φ90mm，开口与杆身成120°，杆直径φ6mm，杆长90mm；8、圆托盘1件，直径φ200mm，厚度不小于5mm，托架插孔为φ12.3mm；9、吊钩卷4件、吊钩杆1件，吊钩卷内径φ12.5mm，由紧固螺钉紧固，钩可自由旋转。吊钩杆φ12mm×200mm，表面镀铬；10、绝缘杆1件，由φ12mm×120mm绝缘棒和φ12mm×200mm金属棒连接而成，绝缘杆上装有两只接线柱，两只接线柱间距50mm。</t>
  </si>
  <si>
    <t>03002</t>
  </si>
  <si>
    <t>方座支架</t>
  </si>
  <si>
    <t>1、方座支架由立杆1根，方形底座1个，烧瓶夹1个，大铁环1个，小铁环1个，垂直夹2个、平行夹1个，吊杆1根等组成。2、底座台面尺寸≥210mm×135mm，重量≥1，5kg，生铁材料铸造成型，板面上斜条纹深1.5mm,宽2.5mm成交叉形状均布，表面防锈处理。立杆直径Φ12mm，立杆一端有Μ10×15螺纹，总长度不得小于614mm，表面镀铬处理。3、大铁环内径Φ90±3mm，外径Φ110±3mm，小铁环内径Φ50±3mm，外径Φ70±3mm，大铁环环柄长125mm，小铁环环柄长105mm。大小铁环上有一开口（宽20mm）中心与环柄成120°夹角，金属材料表面防锈处理。4、烧瓶夹铝合金压铸，总长200mm，夹口宽度30mm，厚3mm夹口内壁贴有耐热柔软层。有锁紧装置，最大张口≥50mm闭合间隙≤0.1mm，闭合错位≤1mm。金属材料表面防锈处理。5、立杆与底座间的不垂直度不大于3mm，铁环柄，烧瓶夹杆与立杆不垂直度不大于3mm。6、垂直夹、平行夹，夹体由铝合金材料铸造成型，单个重量≥30g，表面防锈处理。其他技术要求应符合JY/T0393-2007。</t>
  </si>
  <si>
    <t>03003</t>
  </si>
  <si>
    <t>多功能实验支架</t>
  </si>
  <si>
    <t>一、适用范围：
初中物理通用仪器。
二、技术参数：
1、本仪器为组合式，由底座、复夹、烧瓶夹、铁环、立杆和圆托盘等组成。
2、两底座为Ａ型，一大一小，其上有供主杆插入的孔，立脚可调。3、立杆尺寸：Φ12mm×1200mm，镀铬处理。
4、大铁环内径Φ90mm±1.5mm，小铁环内径Φ50mm±1.5mm，柄长105mm±2mm。
5、台边夹夹紧厚70mm，夹入深度40mm。
6、圆托盘直径Φ200mm±2mm，厚5mm。
7、吊钩卷内径Φ120mm±0.3mm。
8、绝缘杆尺寸：Φ12mm×120mm，其上有2个接线柱。
9、烧瓶夹夹口闭合间隙≤0.1mm，开口35mm以上。
10、万向夹转动方向调节范围120°以上，球头直径Φ20mm。
11、复夹夹持直径范围Φ6mm～14mm，孔径Φ120mm±0.3mm。
三、标志、说明书、包装、运输、贮存：符合JY0001-2003的有关规定。</t>
  </si>
  <si>
    <t>03004</t>
  </si>
  <si>
    <t>升降台</t>
  </si>
  <si>
    <t>升降范围≥150mm，载重量≥10kg由载物台、下底座、升降机构、摇手柄等组成。载物台200mm×200mm×5mm用不锈钢制成。下底板尺寸≥200mm×200mm×10mm用铁制成。摇手柄，用金属制成，外表镀铬。</t>
  </si>
  <si>
    <t>03006</t>
  </si>
  <si>
    <t>三脚架</t>
  </si>
  <si>
    <t>1.圆环、支撑脚用料为φ6mm冷拉钢材质，表面喷漆或镀，铬防锈处理。
2.支撑圆环直径外径φ130mm，φ内径90mm、壁厚5mm。圆环平面与放置台面平行，高138mm。
3.三支撑脚与圆环间焊接牢靠，分布均匀，焊点光滑、平稳。
4.表面无明显的凹痕、裂缝、变形等缺陷；表面喷漆或涂镀层应均匀，不起泡、龟裂、脱落和磨损；无锈蚀及其他机械损伤。
5.标志、说明书、包装、运输、贮存等应符合JY0001-2003的有关规定。</t>
  </si>
  <si>
    <t>（4）</t>
  </si>
  <si>
    <t>电源</t>
  </si>
  <si>
    <t>04003</t>
  </si>
  <si>
    <t>高中学生电源</t>
  </si>
  <si>
    <t>交流：2～12V/3A，每2V一档直流稳压：2～12V/2A，每2V一档</t>
  </si>
  <si>
    <t>高中学生电源(改进型)</t>
  </si>
  <si>
    <t>双路0～12V稳压连续可调，1.5A，两路可串联使用，过载保护。交流一路，0～15V，3A，连续可调正弦波。带不低于2.5级电压表，过载保护</t>
  </si>
  <si>
    <t>04006</t>
  </si>
  <si>
    <t>高中教学电源</t>
  </si>
  <si>
    <t>交流：2V～24V，每2V一档，2V～6V/12A，8V～12V/6A，14V～24V/3A。直流稳压：1V～25V分档连续可调，2V～6V/6A，8V～12V/4A，14V～24V/2A；40A、8s自动关断</t>
  </si>
  <si>
    <t>金三角</t>
  </si>
  <si>
    <t>三门峡百事达科教设备有限公司</t>
  </si>
  <si>
    <t>04007</t>
  </si>
  <si>
    <t>蓄电池</t>
  </si>
  <si>
    <t>蓄电池额定电压：6V，电池容量：15Ah。产品由电池槽、电池盖、隔板、极板、连接板、电极接片等组成，总体尺寸约115×62×106mm。</t>
  </si>
  <si>
    <t>04008</t>
  </si>
  <si>
    <t>调压变压器</t>
  </si>
  <si>
    <t>单相，干式自冷，（环形）接触式，额定输容量：2千伏安，输入电压：220V；输出电压：0～250V，最大电流输出：8A。结构：1、调压器的线圈用罗杆紧固在底板上；2、调压器的刷架上装有一个或若干个并列电刷；3、调压器装有刻度盘，调节手轮，指针示出空载输出电压的数值，在器身上装有停档；4、调压器的接线板上标有输入及输出的符号，并装置有接线柱。</t>
  </si>
  <si>
    <t>CQDY</t>
  </si>
  <si>
    <t>浙江诚强电气有限公司</t>
  </si>
  <si>
    <t>04010</t>
  </si>
  <si>
    <t>电池盒</t>
  </si>
  <si>
    <t>组</t>
  </si>
  <si>
    <t>可串并联电池盒由1节1号电池的4个电池盒组合而成，做串连或并联使用。各接触片使用铜质或不锈钢材料，表面镀铬并联采用接触片连接，串联采用钦扭连接。</t>
  </si>
  <si>
    <t>04011</t>
  </si>
  <si>
    <t>感应圈</t>
  </si>
  <si>
    <t>电子开关式，外形尺寸约240mm×170mm×160mm，仪器正面标有高压电警示标志。放电杆长约75mm，直径4mm，前端逐渐变细呈尖状。放电杆可插入放电器插孔，由上端塑料旋钮在任一位置固定。
1.直接使用220V、50Hz市电、消耗功率不大于120W
2.输出端放电火花距离为100mm
3.火花条数在两条以上
4.可连续工作15分钟
5.箱内装有一对（两根）放电针杆。</t>
  </si>
  <si>
    <t>04012</t>
  </si>
  <si>
    <t>直流高压电源</t>
  </si>
  <si>
    <t>输出点压250V、300V、600V、1000V、1200V、1500V，纹波电压≤0.5V。输出电流：≥0.1A（250V、300V时）；≥0.05A（600V、1000V、1200V、1500V时）；有过载保护</t>
  </si>
  <si>
    <t>海正</t>
  </si>
  <si>
    <t>余姚市海正仪器有限公司</t>
  </si>
  <si>
    <t>04013</t>
  </si>
  <si>
    <t>电子起电机</t>
  </si>
  <si>
    <t>放电距离应为5mm～35mm，输出高压电流应≤500μA，有短路保护和开路保护，连续工作时间不少于30min；输出电压对地正负对称；安全要求：变压器的一次绕阻和二次绕阻抗电强度应达到交流3000V，电源与高压部分的电气间隙和爬电距离符合高压电气要求，宜采用外接的电源变换器（II类电器</t>
  </si>
  <si>
    <t>04014</t>
  </si>
  <si>
    <t>教学用铅酸蓄电池充电器</t>
  </si>
  <si>
    <t>可同时对不超过28只可调内阻电池和1只6V（4Ah或10Ah或15Ah)普通铅酸蓄电池充电,充电时间可在1-39小时之间，根据需要设定，仪器外形尺寸≥280mm*180mm*140mm</t>
  </si>
  <si>
    <t>测量</t>
  </si>
  <si>
    <t>长度</t>
  </si>
  <si>
    <t>木直尺</t>
  </si>
  <si>
    <t>只</t>
  </si>
  <si>
    <t>1．用木材制作，表面平整、挺直、无毛刺。木材材质应无节疤、无裂纹、无伤痕，并经过脱脂干燥处理，含水率≤18％。2．尺身一面白底，印有黑色刻线和数字，最小刻度为1毫米，每5厘米为一大格，每10厘米的刻线上标有数字，有mm、cm、dm、m四种单位。3．漆层平整清洁、色调美观、厚薄均匀、有足够的附着力，在主要表面上不得有流挂、针孔、气泡等缺陷。4．刻线和数字排列整齐端正，刻线粗细一致。5．米尺的外形尺寸：1000mm×25mm×8mm全尺刻度累计误差≤2mm,尺面平面度≤3mm,尺边直线度≤2mm。</t>
  </si>
  <si>
    <t>钢直尺</t>
  </si>
  <si>
    <t>碳钢材质，200mm，分度值≤0.5mm。</t>
  </si>
  <si>
    <t>曙光</t>
  </si>
  <si>
    <t>永康市世雅曙光工量具厂</t>
  </si>
  <si>
    <t>碳钢材质，600mm，分度值≤0.5mm。</t>
  </si>
  <si>
    <t>钢卷尺</t>
  </si>
  <si>
    <t>盒</t>
  </si>
  <si>
    <t>5000ｍｍ，宽边,最小刻度值为1ｍｍ，每厘米处的刻线是毫米刻线长的2倍并标有相应数字。刻线均匀、清晰</t>
  </si>
  <si>
    <t>游标卡尺</t>
  </si>
  <si>
    <t>把</t>
  </si>
  <si>
    <t>测量范围:0～150mm，分辨率:0.02mm，碳钢材质，表面做防锈处理，塑料盒装。</t>
  </si>
  <si>
    <t>卡工量</t>
  </si>
  <si>
    <t>台州华京工量具有限公司</t>
  </si>
  <si>
    <t>1.产品为有效量程150mm、分度值1mm、测量精度0.05mm的普通游标卡尺，具有内测、外测、深度等测量功能。
2.产品采用不锈钢材料制造，表面抛光处理。
3.刻度清晰，无断线、缺划。
4.产品应符合国标GB1214-75《游标卡尺》的要求。</t>
  </si>
  <si>
    <t>外径千分尺</t>
  </si>
  <si>
    <t>测量范围:0mm～25mm，分辨率:0.01mm。尺架材质：铁铸件，尺架表面处理：喷塑，量面材质：硬质合金。</t>
  </si>
  <si>
    <t>数显游标卡尺</t>
  </si>
  <si>
    <t>150mm，0.01mm，采用低碳钢金属材质，液晶显示：40mm×15mm</t>
  </si>
  <si>
    <t>质量</t>
  </si>
  <si>
    <t>物理天平</t>
  </si>
  <si>
    <t>一、杠杆式等臂双盘天平，有游码装置及水准器，砝码盒等。最大载荷500g,标尺称量：0-1g，分度值20mg，不等臂偏差不大于60mg，全量变动性不大于20mg，横梁材料必须为铝合金制品，刀口、刀承材料为高碳钢或玛瑙，称盘直径不小于118mm，制动机构应保证横梁升降平稳。二、砝码盒为塑料制品，内装200g砝码2个、100g砝码1个、50g砝码1个、20g砝码2个、10g砝码1个、5g砝码1个、2g砝码2个、1g砝码1个及砝码镊一把，定位包装。</t>
  </si>
  <si>
    <t>学生天平</t>
  </si>
  <si>
    <t>200g，0.02g
1.最大称量200g，分度值0.02g,标尺称量0-10g。
2.分度值误差：不大于1(分度值)。
3.示值变动性：不大于1(分度值)。
4.横梁不等臂性误差：不大于6(分度值)。
5.游码标尺称量误差：不大于1(分度值)。
6.砝码组合的总质量（包括标尺计量值）应不小于天平的最大秤量。
7.冲压件及铸件表面应光洁平整，不应有毛刺、锋棱、裂纹和显见砂眼。
8.电镀件的镀层应色泽均匀，不应有露底和显见的麻点、水迹、擦伤等缺陷。
9.油漆件表面应平整光滑，色泽均匀，不应有露底、起泡、挂漆、擦伤等缺陷。
10.符合JY0001－2003《教学仪器设备产品一般质量要求》的有关规定。</t>
  </si>
  <si>
    <t>托盘天平</t>
  </si>
  <si>
    <t>1.最大称量200g，分度值0.2g,标尺称量0-5g。
2.秤量允许误差为±0.5d(分度值)。
3.砝码组合的总质量（包括标尺计量值）应不小于天平的最大秤量。
4.冲压件及铸件表面应光洁平整，不应有毛刺、锋棱、裂纹和显见砂眼。
5.电镀件的镀层应色泽均匀，不应有露底和显见的麻点、水迹、擦伤等缺陷。6.油漆件表面应平整光滑，色泽均匀，不应有露底、起泡、挂漆、擦伤等缺陷。
7.符合JY0001－2003《教学仪器设备产品一般质量要求》的有关规定。</t>
  </si>
  <si>
    <t>1.最大称量500g，分度值0.5g,标尺称量0-10g。
2.秤量允许误差为±0.5d(分度值)。
3.砝码组合的总质量（包括标尺计量值）应不小于天平的最大秤量。
4.冲压件及铸件表面应光洁平整，不应有毛刺、锋棱、裂纹和显见砂眼。
5.电镀件的镀层应色泽均匀，不应有露底和显见的麻点、水迹、擦伤等缺陷。6.油漆件表面应平整光滑，色泽均匀，不应有露底、起泡、挂漆、擦伤等缺陷。
7.符合JY0001－2003《教学仪器设备产品一般质量要求》的有关规定。</t>
  </si>
  <si>
    <t>电子天平</t>
  </si>
  <si>
    <t>1、量程100g。2、读数精度：0.01g。3、采用高精度应变式称量传感器。4、自动外置砝码校准，标配砝码操作简便。5、可拆卸式方形透明防风罩。6、数码显示。7、具有超载保护及去皮，计数等功能。8、产品应符合JJG1036-2008《电子天平》。</t>
  </si>
  <si>
    <t>华驰</t>
  </si>
  <si>
    <t>慈溪市华徐衡器实业有限公司</t>
  </si>
  <si>
    <t>1.最大秤量1000g,分度值0.01g，天平等级三级。
2.塑料上下壳，配有调整脚，LED显示。
3.秤盘不锈钢材质，圆盘，秤盘直径128mm,。
4.使用电源：220V50Hz。
5.全量程去皮称重模式，附防风透明罩。</t>
  </si>
  <si>
    <t>指针式体重计</t>
  </si>
  <si>
    <t>0g～120kg，500g。1、由金属底座、脚踏面、刻度盘、调零旋钮等构成，含测体高装置。2.长度计量：量度范围700-1900mm，分度值5mm。3.承重板面积：375mm×270mm。4.外形尺寸：695mm×285mm×935mm。5.重量：15KG。</t>
  </si>
  <si>
    <t>思缔</t>
  </si>
  <si>
    <t>江苏思缔医疗科技有限公司</t>
  </si>
  <si>
    <t>金属钩码</t>
  </si>
  <si>
    <t>10g×1，20g×2，50g×2，200g×2，塑料盒包装：100mm×68mm×33mm，钩码表面电镀处理，无毛刺。</t>
  </si>
  <si>
    <t>金属槽码</t>
  </si>
  <si>
    <t>镀锌，铁质。2g×3，5g×2，10g×2，20g×2，50g×2，100g×2，200g×2，5g×1金属槽码盘和10g×1金属槽码盘，塑料盒包装：100mm×40mm×44mm。</t>
  </si>
  <si>
    <t>时间</t>
  </si>
  <si>
    <t>机械停表</t>
  </si>
  <si>
    <t>一、适用范围、规格：1.用于中学物理学生实验测量时间使用。2.最小刻度值（秒）：0.1；有暂停机构。
二、技术要求：1．秒表在环境温度为-10℃～40℃工作时不应停摆。2．秒表在任何位置工作时不应停摆。3．秒表质量等级和平均分走时差、分走时偏差、最大秒走时差应符合QB/T1534第4.3条要求。4．延时走时应符合QB/T1534第4.4条要求。5．上条机构、启动、停止、回零按钮、秒针、分针和秒针示值、刻度盘刻度等项应符合QB/T1534第4.5～4.19条要求。6.金属外壳。塑料盒定位包装。</t>
  </si>
  <si>
    <t>钻石牌</t>
  </si>
  <si>
    <t>上海星钻秒表有限公司</t>
  </si>
  <si>
    <t>电子停表</t>
  </si>
  <si>
    <t>1.有石英谐振器，分辨率为0.01S，以标称电压为DC1.5V或DC3.0V的扣式电池为能源，液晶显示。
2.具有计时（含累加计时）等功能、附挂绳。
3.表玻璃透明无伤、印字清楚正确、表壳与玻璃后盖配合紧密，无明显的缝隙。
4.使用可靠，各功能显示及相互转换正常。零部、组件不得自行脱落，字段显示清晰、无误。</t>
  </si>
  <si>
    <t>电火花计时器</t>
  </si>
  <si>
    <t>单频率：0.02s，火花距离≥10mm，平均电流不大于0.5mA</t>
  </si>
  <si>
    <t>多频率：0.01s、0.02s、0.05s，有同步释放功能</t>
  </si>
  <si>
    <t>电磁打点计时器</t>
  </si>
  <si>
    <t>一、产品组成：电磁打点计时器由计时器主机、固定G形夹、重锤（300g）、纸带（宽17.5mm、长50m）、复写纸片等组成。</t>
  </si>
  <si>
    <t>数字计时器</t>
  </si>
  <si>
    <t>四位及以上，数据存贮，显示：10个挡光间隔时间、10周振动、n次振动时间总和、加速度计时三个时间、自由落体时间不少于二个、二路光电门分别计二个挡光时间(对碰、追碰)。</t>
  </si>
  <si>
    <t>四位及以上，数据存贮，显示：10个挡光间隔时间、10周振动、n次振动时间总和、加速度计时三个时间、自由落体时间不少于二个、二路光电门分别计二个挡光时间(对碰、追碰)，有光电门接口和电磁铁接口，统一接口。显示对应间隔时间的平均速度、加速度、碰撞计时四个平均速度；电磁铁可调释放延时补偿</t>
  </si>
  <si>
    <t>频闪光源</t>
  </si>
  <si>
    <t>采用高亮度LED作为频闪光源，使用寿命长。工作电压为AC220V、50Hz,仪器测试量程1-9999Hz，分辨率1Hz，频闪频率：1-9999Hz，调节精度1Hz，功耗小于15W。</t>
  </si>
  <si>
    <t>温度</t>
  </si>
  <si>
    <t>温度计</t>
  </si>
  <si>
    <t>支</t>
  </si>
  <si>
    <t>1．红液。2．全长：约280mm；外径：5mm－6mm；头长：约10mm。3．测量范围：0－100℃；最小分度值：1℃；允许误差±1℃。4．玻管要直，不得弯曲，不得崩损缺口，红液不得断线。</t>
  </si>
  <si>
    <t>1.感温物质：水银。2．测量范围：0－200℃；最小分度值：1℃；允许误差±1℃。3．玻璃应光洁透明，不得有裂痕。毛细管不得有明显的弯曲现象，其孔径应均匀，管壁内应清洁无杂质。4．感温液体（水银）必须纯洁、无杂质。液线不得中断。上升时不得有停滞和跳跃现象；下降时不得在管壁上留下液滴</t>
  </si>
  <si>
    <t>数字温度计</t>
  </si>
  <si>
    <t>集成温度传感器，-50℃～+150℃，分辩率0.1℃</t>
  </si>
  <si>
    <t>电子体温计</t>
  </si>
  <si>
    <t>1．显示范围32～42.9℃。2．测量时间：口腔1min、液下3min。3.电池为扭扣电池。4.蜂鸣提示：温度稳定约10秒鸣响。5.警示功能：高于37.81℃自动报警。</t>
  </si>
  <si>
    <t>红外人体表面温度快速筛选仪</t>
  </si>
  <si>
    <t>1.工作环境温度：25～30℃2.测量范围：摄氏30～50℃3.分度值：摄氏0.1℃；准确度：0.5℃</t>
  </si>
  <si>
    <t>长坤</t>
  </si>
  <si>
    <t>深圳市长坤科技有限公司</t>
  </si>
  <si>
    <t>寒暑表</t>
  </si>
  <si>
    <t>一、适用范围：初中物理演示仪器。二、技术参数：1、由木质材料镶嵌玻璃棒芯组成。2、采用摄氏（℃）和华氏（℉）木板双刻度，面板标有：摄氏-30℃～50℃；华氏-20℃120℃的标志。3、玻璃棒芯感温液，正面放大玻璃液读数。4、温度准确度：±1℃（0℃～30℃）5、最小分度值：1℃6、储藏条件：-30℃～60℃7、性能、结构、外观符合JY0001第4、6、7的有关要求。三、标志、说明书、包装、运输、贮存：符合JY0001-2003的有关规定。</t>
  </si>
  <si>
    <t>力</t>
  </si>
  <si>
    <t>条形盒测力计</t>
  </si>
  <si>
    <t>10N由方形弹簧盒（带刻板）、弹簧、提环、挂钩、指针等组成。零点可调。量程：0～10N。产品应符合JY0127-91《教学测力计》的要求</t>
  </si>
  <si>
    <t>5N由方形弹簧盒（带刻板）、弹簧、提环、挂钩、指针等组成。零点可调。量程：0～5N。产品应符合JY0127-91《教学测力计》的要求。</t>
  </si>
  <si>
    <t>2.5N由方形弹簧盒（带刻板）、弹簧、提环、挂钩、指针等组成。零点可调。量程：0～2.5N。产品应符合JY0127-92《教学测力计》的要求。</t>
  </si>
  <si>
    <t>1N，分度值0.02N由方形弹簧盒（带刻板）、弹簧、提环、挂钩、指针等组成。零点可调。量程：0～1N。产品应符合JY0127-92《教学测力计》的要求。</t>
  </si>
  <si>
    <t>14010</t>
  </si>
  <si>
    <t>圆盘测力计</t>
  </si>
  <si>
    <t>1、由外筒、内管、弹簧、端盖、提环、挂钩等组成。零点可调；
2、量程：0～5N（牛顿）；
3、分度值为量程的1／50，零点平均示差不大于1／4分度，任一点的平均示差不大于1个分度，任一点的重复称量的最大示差不大于1／2分度；</t>
  </si>
  <si>
    <t>拉压测力计</t>
  </si>
  <si>
    <t>拉压两用,结构组成：由具有测量性能的耐疲劳弹簧，指针，调节器，小勾，承压台，刻度板构成。最大量程：10N,指针、调节器、小勾、刻度板采用金属制，承压台圆形塑料制。刻度板为铝板表面印刷刻线。</t>
  </si>
  <si>
    <t>双向测力计</t>
  </si>
  <si>
    <t>双向9N，可同时显示被测力的大小和方向的测力计，9N簧，每一分度为1度</t>
  </si>
  <si>
    <t>演示数字测力计</t>
  </si>
  <si>
    <t>量程2N，分辨率0.001N，误差≤0。2%，满量程±1/2字，有调零、内置校准、记忆（能显示定值）</t>
  </si>
  <si>
    <t>学生数字测力计</t>
  </si>
  <si>
    <t>量程2N，分辨率0.001N，误差≤0。2%，满量程±1/2字，有调零、内置校准、记忆（能显示定值）功能</t>
  </si>
  <si>
    <t>电</t>
  </si>
  <si>
    <t>高中数字演示电表</t>
  </si>
  <si>
    <t>1.使用电源：220V50Hz。2.交、直流电压量程：a.200mV档：0~199.9mV。b.2V档：0~1.9999V。c.20V档：0~19.999V。d.200V档：0~199.99V。e.500V档：0~499.9V。3.交、直流电流量程：a.检流档：0~199.99uA。b.2mA档：0~1.9999mA。c.20mA档：0~19.999mA。d.200mA档：0~199.99mA。e.10A档：0~9.9A。4.LED数码管4位半显示，字高55mm。5.塑料外壳，外形尺寸：288mm×100mm×320mm。</t>
  </si>
  <si>
    <t>绝缘电阻表</t>
  </si>
  <si>
    <t>手提式。额定电压：500V，测量范围：0-500MΩ；准确度：10级；摇柄额定转速：120r/min；绝缘电阻：20MΩ；试电电压：1000V；。</t>
  </si>
  <si>
    <t>存真</t>
  </si>
  <si>
    <t>上海存真仪器仪表有限公司</t>
  </si>
  <si>
    <t>直流电流表</t>
  </si>
  <si>
    <t>产品由测量机构、外壳等组成。1.指示面板与水平面成45度夹角。2.测量范围：（-0.2A~0~0.6A）（-1~0~3A）。3.仪表准确度等级：2.5级。4.对外界磁场的防御等级为Ⅲ级。。</t>
  </si>
  <si>
    <t>电表采用磁电系表头，透明有机玻璃盖罩。技术特征：1、指示面板与水平成45度角。2、量程：0~200μA。3、电表降压（分两档）：Vg1=100mV、Vg2=500mV。4、内阻Rg1为500Ω，Rg2为2.5kΩ。5、阻尼时间：不大于4秒；6、对外界磁场的防御等级：三级。</t>
  </si>
  <si>
    <t>直流电压表</t>
  </si>
  <si>
    <t>产品由测量机构、外壳等组成。1.指示面板与水平面成45度夹角。2.测量范围：（-1~0~3V）（-5~0~15V）。3.仪表准确度等级：2.5级。4.对外界磁场的防御等级为Ⅲ级。</t>
  </si>
  <si>
    <t>灵敏电流计</t>
  </si>
  <si>
    <t>产品由测量机构、外壳等组成。1.指示面板与水平面成45度夹角。2.测量范围：±300μA内阻。3.仪表准确度等级：2.5级。4.对外界磁场的防御等级为Ⅲ级。5.规格：130mm×95mm×90mm。</t>
  </si>
  <si>
    <t>多用电表</t>
  </si>
  <si>
    <t>1、不低于2.5级2、外壳为胶木制，成型美观光滑，上有三个调节旋钮和四个接线柱孔3、指针灵活，测量准确，表面清晰，分格均匀4、配测笔一套。可测量范围：交流电压：0-10-50-250-1000V，2500V直流电压：0-2.5-10-50-250-1000V2500V直流电流：0.05-0.5-5-50-500mA电阻：0-1Ω-10Ω-100Ω-1KΩ-10KΩ</t>
  </si>
  <si>
    <t>南京科华</t>
  </si>
  <si>
    <t>南京科华仪器仪表有限公司</t>
  </si>
  <si>
    <t>数字式，3-1/2位，最大显示1999。用于直流电压与交流电压的测量、直流电流与交流电流的测量、电阻测量、电容测量、频率测量、温度测量、二极管与蜂鸣连续性测量、晶体三极管hFE测量。附表笔一对。</t>
  </si>
  <si>
    <t>数字式，4-1/2位，最大显示3999。用于直流电压与交流电压的测量、直流电流与交流电流的测量、电阻测量、电容测量、频率测量、温度测量、二极管与蜂鸣连续性测量、晶体三极管hFE测量。附表笔一对。</t>
  </si>
  <si>
    <t>交流电流表</t>
  </si>
  <si>
    <t>采用磁电系表头，输入电路经过电流互感器转换，最高不超过600MV，适于做低压交流电流的测量，电表采取半波整流及滤波。表身为光亮黑色有机玻璃壳，设有防震装置和磁短路片。二、技术特性：1、测量范围：单刻度：双量程、100MA和500MA。2、准确度等级：2.5级；3、工作位置：表面与合面成45度角；4、阻尼时间：不大于4秒；5、标度尺全长：不少于84.8mm；6、外形尺寸：不大于135×98×95mm；7、工作条件：周围气温0-40℃，相对湿度不超过85%；8、绝缘耐压试验：交流50Hz，2KV，1分钟；9、对外界磁场防御等级：5奥斯特或每米400A；10、工作频率：45-65Hz。</t>
  </si>
  <si>
    <t>演示电流电压表</t>
  </si>
  <si>
    <t>高中演示电流电压表为指针式内磁结构，及其测量电路等部分组成。它具有使用方便，性能稳定、安全可靠、演示直观等优点。它共有十四档测量量程，供教学演示实验中作检流计，及测量直流电流、直流电压、交流电流、交流电压等之用。二、主要规格及技术参数：1、测量范围：DCA:-500μA-0-+500μA，0-10-100mA-1-5A；DCV：0-5-10V；ACA:0-10-100mA-1-5A；ACV:0-10-50-250V；2、基本误差：±2.5%；3、阻尼时间：≤6S；4、重量：1Kg，规格300×270×115mm。准确度等级：2.5级，</t>
  </si>
  <si>
    <t>三磊</t>
  </si>
  <si>
    <t>温州市华中仪表有限公司</t>
  </si>
  <si>
    <t>演示微电流电阻表</t>
  </si>
  <si>
    <t>一、构造及使用范围：高中演示电表为指针式内磁结构，及其测量电路等部分所组成，共有十四个测量档位，使用方便，性能稳定、安全可靠，供学生教学演示实验中作检流计测量微量直流电流及直流电压、直流电阻等演示项目。二、主要规格及技术参数：DCA:(G)-50μA-0-+500μA，0-100μA；DCV：0-1-2.5-5-10-25-50-100-150-250V；DCΩ：R×1：1-100Ω（中心值10Ω），R×10：10-1kΩ（中心值100Ω），R×100：100-10kΩ（中心值1kΩ），R×1kΩ：1kΩ-100kΩ（中心值10kΩ）；灵敏度：DCV：5kΩ/V；基本误差：DCA、DCV为±2.5%，DCΩ为标度尺弧长±2.5%；重量：1kg；测电流：直流微电流微安级。测电压：直流电压测量。测电阻：分辩率0.1Ω。精度：0.5级,三位半数码显示。</t>
  </si>
  <si>
    <t>教学示波器</t>
  </si>
  <si>
    <t>DC5MHz，扫描范围：10Hz～100KHz</t>
  </si>
  <si>
    <t>光扬</t>
  </si>
  <si>
    <t>扬中市光扬电子仪器厂</t>
  </si>
  <si>
    <t>学生示波器</t>
  </si>
  <si>
    <t>DC2MHz，扫描范围：10Hz～100KHz</t>
  </si>
  <si>
    <t>示波器</t>
  </si>
  <si>
    <t>小型、通用。DC10MHz，5mV/div，触发电平锁定</t>
  </si>
  <si>
    <t>通用二踪。采样频率不低于20MHz</t>
  </si>
  <si>
    <t>电阻箱</t>
  </si>
  <si>
    <t>四位9999Ω，0.5级</t>
  </si>
  <si>
    <t>六位99999.9Ω，0.1级</t>
  </si>
  <si>
    <t>携式直流单双臂电桥</t>
  </si>
  <si>
    <t>金属外壳,单双臂,电桥的总有效量程,单臂电桥10~1111000欧姆.双臂电桥10-4~1111Ω</t>
  </si>
  <si>
    <t>微电流放大器</t>
  </si>
  <si>
    <t>多路输入档。一路为毫伏级，低阻抗输入，放大倍数约一千倍。两路用于传感器，分别为电流型放大输出和电压型放大输出</t>
  </si>
  <si>
    <t>虚拟电子测试仪器软件</t>
  </si>
  <si>
    <t>软件，能在电脑上模拟示波器、信号源、频率计等</t>
  </si>
  <si>
    <t>其它</t>
  </si>
  <si>
    <t>湿度计</t>
  </si>
  <si>
    <t>双指针式、全塑料外壳，带座可悬挂。1.可测温度及湿度。2.直径约128mm。3.温度可测-30°C~50°C，湿度可测10%RH~90%RH。</t>
  </si>
  <si>
    <t>空盒气压表</t>
  </si>
  <si>
    <t>多膜盒。产品由上拖板、真空膜盒、连接拉杆、调节螺丝、中间轴、调整器、扇形齿轮、直齿轮、偏心螺钉、游丝、指针、刻度盘及打气球等组成。1.测量范围：80～106Kpa，分度值：0.1Kpa，测量误差：小于0.25Kpa。2.外形尺寸：直径≥150mm，高≥80mm。3.全透明外壳。</t>
  </si>
  <si>
    <t>露点测定器</t>
  </si>
  <si>
    <t>用于测定空气中的相对湿度等实验。1.产品由玻璃瓶、橡胶塞、直角弯管玻璃管和直管玻璃管组成。2.玻璃瓶容积不小于125ml，橡胶塞与瓶口配合良好。3.玻璃管外径≥6mm，长≥130mm。</t>
  </si>
  <si>
    <t>量角器(圆等分器)</t>
  </si>
  <si>
    <t>塑料制品、演示用，带手柄。量角器上部为直径500mm±2mm的半园环，下部为一宽50mm，长500mm的直尺，两者不可分离，应印有0~180°角度刻度线，在0°、90°、180°位置印有角度数值，90°刻度线与圆心应在一条直线上，垂直于下方的直尺，两边对称。</t>
  </si>
  <si>
    <t>（2）</t>
  </si>
  <si>
    <t>专用仪器</t>
  </si>
  <si>
    <t>力学</t>
  </si>
  <si>
    <t>惯性演示器</t>
  </si>
  <si>
    <t>1、本仪器为工程塑料制作而成，由蓝色壳体、红色启动键、拉簧、绳线、金属挡片、金属球等组成。2、壳体为塑料制品，尺寸≥158mm*76mm*75mm。3、红色启动键为塑料制品，按键直径为10mm，滑杆长53mm，启动键装入壳体后，滑杆露出长度不小于3mm，启动键运行灵活、无阻滞现象。4、拉簧用弹簧钢丝制成，表面镀锌。5、金属球直径不小于20mm，外表作镀镍处理，光滑明亮。</t>
  </si>
  <si>
    <t>摩擦计</t>
  </si>
  <si>
    <t>由磨擦板和磨擦块组成。磨擦板外形尺寸≥500mm×50mm×10mm。磨擦块外形尺寸100mm×40mm×30mm。上面有两个砝码孔，端面中心有挂钩。</t>
  </si>
  <si>
    <t>螺旋弹簧组</t>
  </si>
  <si>
    <t>1、由钢丝绕成的螺旋弹簧3种一组组成。2、3种螺旋弹簧拉力限量分别为：2N，1N，0.5N。表面镀镍防护，弹簧上端为园环，下端有三角片，杆勾，指针组成。3、2N钢丝直径0.8mm；1N钢丝直径0.6mm；0.5N钢丝直径0.5mm。</t>
  </si>
  <si>
    <t>1、由钢丝绕成的螺旋弹簧2种一组组成。2、2种螺旋弹簧拉力限量分别为：5N，3N。表面镀镍防护，弹簧上端为园环，下端有三角片，杆勾，指针组成。3、5N钢丝直径1mm；3N钢丝直径0.9mm。</t>
  </si>
  <si>
    <t>帕斯卡球</t>
  </si>
  <si>
    <t>1、产品主要由圆管、空心球、活塞、活塞杆、手柄组成。2、圆管选用金属无缝钢管，有效尺寸不小于直径28×180mm,一端应有连接空球的螺纹，另一端有拧盖螺纹、螺纹连接部分应牢靠、表面防锈处理。3、空心球用不锈钢制作，直径约80mm.圆球上装有10个不同方向的喷嘴，喷嘴连接牢固、密封。圆球与圆管连接方便。无漏水现象。4、活塞选用耐油优质橡胶制作、规格尺寸与圆管内径密封配合，活塞安装在活塞杆上。活塞另一端安装塑料手柄。5、组装后的帕斯卡球应抽动自如，密封性良好。</t>
  </si>
  <si>
    <t>摩擦力演示器</t>
  </si>
  <si>
    <t>产品由底座，抽板，木块，摩擦力显示器等组成，摩擦力显示器分别为最大摩擦力和摩擦力瞬时值两部分，数字不少于3位，电源供电为4节5号干电池，摩擦块为长方形金属材料制作，外形尺寸≥73mm*45mm*25mm,正面为摩擦块粗糙面，中间有一凹孔，供放置配重块来使用，摩擦块具有弹性拉伸杆，其它三面为光滑面，皮带宽度≥75mm,仪器传动方式为手摇式。</t>
  </si>
  <si>
    <t>微小形变演示器</t>
  </si>
  <si>
    <t>利用光杠杆原理。产品由半导体激光器、三脚架、平面镜、调节装置组成。激光器射出的为红色圆点；三脚架的钢丝弹性良好。演示效果明显。</t>
  </si>
  <si>
    <t>力的合成分解演示器</t>
  </si>
  <si>
    <t>仪器由分度标盘、汇力环、测力计、调节器、滑轮、滑轮夹、主杆、底座组成。仪器的结构符合力系构成的实际条件，在一个分度的直角座标盘上，借助于挂线将三个力汇集在一个园环上，构成共点力的平衡力系，以此来演示力的合成与分解。1.分度座标盘应采用塑料注塑成型，表面光滑平整、无变形，直径不小于270mm；2.主杆为金属制品，直径12mm,长不小于400mm,一端有M10的外丝，表面镀铬处理。</t>
  </si>
  <si>
    <t>支杆定滑轮和桌边夹组</t>
  </si>
  <si>
    <t>每套带支杆单滑轮、尼龙线、桌边夹各3件，小铁环1件，支杆高度可调。滑轮外径不小于40mm塑料制；支杆直径不小于6mm，长不小于200mm，高度调节不小于100mm。</t>
  </si>
  <si>
    <t>高中静力学演示教具</t>
  </si>
  <si>
    <t>1、结构组成：实验底板：工程塑料压制成形，单板面积:360mm×240mm,96个插孔，塑料三角板，塑料紧固销，塑料吊环，金属支承细杆：Φ4mm×80mm，塑料力矩盘：Φ270mm，色圈，螺旋弹簧，塑料小接插座，双向测力计：5N。加长杆，定位杆，小车，塑料小滑轮：Φ60mm，塑料大滑轮：Φ120mm，滑轮联杆，钢丝挂钩，重锤，双向插头，叉形金属调节杆，钢丝卡环，惯性块，车钩，滑轮挂钩，压簧：1N,5N，单向插头。2、完成演示实验：47个3、演示实验可见距离：＞5m4、定量实验误差：＜8%；5、测力计示值误差和回零误差：不大于1个分度；将测力计倒置，示值误差和回零误差：不大于2个分度；</t>
  </si>
  <si>
    <t>高中力学演示板</t>
  </si>
  <si>
    <t>1、由工程塑料压制成型单板面积约360*240mm²表面有九十六个插孔供装插实验部件使用。底板与底板均可拼可卸、任意改变实验面积、单板和拼板均可吊挂也可用直角支板支承后放在桌面上既可教学演示也可分组使用,该力学实验底板和电学线路实验底板完全相互通用。
2、大三角支板用塑料压制成型，每套四只供支承实验底板竖直用,使竖放的底板保持垂直、稳定、牢固两只支板前面支承，两只背面支承，螺旋可调准底板垂直度
3、紧固销用塑料制成,在底板与底板拼合时,插入紧固销使板与板拼接紧固,不易松动。实验完毕，又可以从板后推压取出,然后卸拆拼板
4、塑料吊环使用时,将吊环压入底板边孔,即可供吊挂使用,不用时也可取下,或压留在边孔。
5、支承杆是一个圆金属细杆 80Xφ4,一头压配一只塑料小接插座,实验时只要用力将塑料小接插座的插头插进底板φ6 小孔并垂直板面,另一头空出段,即可做支轴、支点、吊挂绳索或弹簧支承杠杆、力矩盘、横梁、平面、斜面型材、悬挂动滑轮组等使用。</t>
  </si>
  <si>
    <t>滚摆</t>
  </si>
  <si>
    <t>1．滚摆由摆体（摆轮和摆轴）、悬线、支柱、横梁和底座组成。2．摆轮直径≥Φ120mm。摆轴直径≥Φ8mm，≥长150mm。3．产品应符合JY110-82《滚摆》的要求。</t>
  </si>
  <si>
    <t>离心轨道</t>
  </si>
  <si>
    <t>1、由底座、环形轨道、接球槽和高度调节器组成。2、底座塑料制成，长：300mm（±5%），宽：125mm（±5%）。3、环形轨道采用宽20mm（±5%）,厚9mm（±5%）铝槽弯制而成，中心圆环的外径约140mm（±5%）。4、接球槽为塑料制成，钢球Φ22mm（±5%）。5、高度调节器为塑料制成，可在长轨上调节移动，长轨长约400（±5%）mm,短轨长约120（±5%）mm。</t>
  </si>
  <si>
    <t>手摇离心转台</t>
  </si>
  <si>
    <t>产品由机座、主动轮（附摇手）和从动轮等组成。1、外形尺寸约：478mm×238mm×113mm。2、机座材料为铸铁，平放、立放均平稳可靠。3、主动轮直径约为240mm,从动轮直径约为39mm。4、主动轮和从动轮转动灵活、平稳，转动时皮带来会脱落。5、各部件作防锈处理。</t>
  </si>
  <si>
    <t>电动离心转台</t>
  </si>
  <si>
    <t>产品为分4段可调式。主要由电机、调速器、底板、底脚、套管、支架、电源线等组成
技术参数：
电机功率：85W
最高转速：1150r/min
使用电源电压:220V50Hz
可与离心机械模、离心球、离心环、离心分液器、发音齿轮等型配套使用。</t>
  </si>
  <si>
    <t>毛钱管(牛顿管)</t>
  </si>
  <si>
    <t>有机玻璃或玻璃，可抽气，管直径≥50mm;管长（不含气嘴蝶阀）约为1000mm</t>
  </si>
  <si>
    <t>伽利略理想斜面演示器</t>
  </si>
  <si>
    <t>外形长度≥1000mm，一端高度可连续升降，连接曲面光滑</t>
  </si>
  <si>
    <t>运动合成分解演示器</t>
  </si>
  <si>
    <t>产品由底座、面板、小车、画板、画笔、X向传动装置、Y向传动装置、控制系统部分、电源接线等组成。底座及面板采用厚度1mm的钢板制作，面板尺寸为395×315mm，底座尺寸为395×120×10mm；小车尺寸约80×50×15mm，车轮采用金属材料制作；画板尺寸为240×180mm；笔尖与画板的间距可通过调节螺母调节；X向传动装置及Y向传动装置均采用小电机带动皮带轮传动。大皮带轮采用工程塑料制作，尺寸为Φ39×5mm，小皮带轮采用铜棒制作，直径为Φ8mm，皮带采用Φ42mm的橡胶皮带；控制系统部分包括：X向换向开关、Y向换向开关、Y向调速旋钮、X向运动按键、Y向运动按键、合运动操作键等。仪器使用电源电压：DC3～6V。可用于演示匀速-匀速、匀速-匀加速运动合成等实验。</t>
  </si>
  <si>
    <t>演示轨道（小车）</t>
  </si>
  <si>
    <t>产品由轨道、小车、固定架、释放装置、砝码桶、滑轮等组成。1.轨道为铝型材，表面化学抛光处理，长1200mm，轨道两内尺寸：49mm。2.小车车体为塑料，总质量为200g±6g。3.砝码桶为塑料，质量为5g±1g。4.滑轮为塑料，外径28mm。</t>
  </si>
  <si>
    <t>轨道（小车）</t>
  </si>
  <si>
    <t>车拖纸带打点式。产品由轨道、小车、砝码桶、固定架、释放装置、、滑轮及小车捕捉器等组成。1.轨道长900mm，小车轨道外边宽度54mm。2.小车质量200g，放砝码槽尺寸约57*51*18mm。</t>
  </si>
  <si>
    <t>21051</t>
  </si>
  <si>
    <t>轨道小车</t>
  </si>
  <si>
    <t>演示斜面小车</t>
  </si>
  <si>
    <t>1、整体是由斜面板、底板、小车砝码、支撑杆摩擦块各滑轮支架组成。
2、斜面板：木质材料，全长1.2米，表面光滑平直，不变形。
3、底板：长800mm，边上装有调节螺杆。
4、支架滑轮：滑轮φ45mm，支架高度43mm，都是塑料注塑而成。
5、小车：塑料外壳，基本尺寸约101mm*62mm*40mm,内部带两块长34mm铁块，车轮用螺丝铁杆固定，是自由滑动。6、摩擦块：木质材料，尺寸为约99mm*80mm*37mm,顶部打有4个φ27.5*13mm孔，右侧打有2个φ27*6mm孔</t>
  </si>
  <si>
    <t>斜面小车</t>
  </si>
  <si>
    <t>产品由斜面板、小车、支撑杆、摩擦块、砝码桶组成。1.斜面板外形尺寸约：815×100×20mm；档条宽15mm、高14mm。2.标尺全长800mm、累计误差不超过2mm、最小分度值10mm，其“0”位与挡条内侧边线齐平，刻线和数字清晰。3.安装支撑杆孔直径为6mm，深30－40mm，孔与支撑杆配合松紧适度。4.滑轮倾角可调，应能承受0.25N·m的转动力矩而不滑动。5.支撑杆总长150mm。6.摩擦块外形尺寸约：100mm×80mm×40mm，摩擦面分别有2个和4个圆孔。</t>
  </si>
  <si>
    <t>气垫导轨</t>
  </si>
  <si>
    <t xml:space="preserve">1、外形尺寸约：1260*200*130mm     2、材料：   采用空心三角形合金型材、附有六T行槽、 三点支撑 、单排孔     3、导轨工作面：长度1200mm   工作面夹角：90°     4、导轨表面粗糙度Ra3.2    5、工作环境：-10℃—40℃  </t>
  </si>
  <si>
    <t>小型气源</t>
  </si>
  <si>
    <t>本产品为中学物理演示实验用气垫导轨的配套仪器。气压不小于5kPa，低噪声。供气垫导轨使用。1.工作电压：220V50Hz;2.波纹管内径约为30mm，长不小于1000mm。3.接口配合紧密。其它符合JY0001－2003《教学仪器一般质量要求》的有关规定。</t>
  </si>
  <si>
    <t>自由落体实验仪</t>
  </si>
  <si>
    <t>1、仪器总高：1.5M
2、实验有效高度：1.2M
3、电磁铁电源：DC6V
4、钢球直径约：16mm
5、g值实验相对误差：≤2%
6、工作环境：-10℃—40℃</t>
  </si>
  <si>
    <t>牛顿第二定律演示仪</t>
  </si>
  <si>
    <t>1、产品由导轨、小车、标尺、刹车机构、砝码桶等组成。2、导轨：长度不小于800mm，两层轨道间距离不小于100mm，轨道平直、光滑、不容易变形，轨道间距一致。3、小车：质量为200g±6g，车厢可放砝码，两边有挂钩，小车轴距不小于60mm。4、标尺：全长750mm，标尺累计误差不大于2mm。5、滑轮：滑轮支架倾角应能调整，紧固后能承受0.25Kg的转动力矩而不滑动。滑轮质量不小于8g，外径30mm。6、砝码桶：质量不大于6g，有盖，吊线长度不小于800mm。</t>
  </si>
  <si>
    <t>牛顿第二定律实验仪</t>
  </si>
  <si>
    <t>1、产品由导轨、小车、标尺、刹车机构、滑轮、砝码桶等组成。2、导轨：长度不小于800mm，两层轨道间距离不小于100mm，轨道平直、光滑、不容易变形，轨道间距一致。3、小车：质量为200g±6g，车厢可放砝码，两边有挂钩，小车轴距不小于60mm。4、标尺累计误差不大于2mm，最小分度值1mm，每隔10mm处有一较长刻度并标注数字。5、滑轮：滑轮支架倾角应能调整，紧固后能承受0.25Kg的转动力矩而不滑动。滑轮质量不小于8g，外径30mm。6、砝码桶：质量不大于6g，有盖，吊线长度不小于800mm。</t>
  </si>
  <si>
    <t>反冲运动演示器</t>
  </si>
  <si>
    <t>用于高中物理教学中演示有关反冲运动的实验，利用空气的反向作用力推动模型。仪器由金属筒，橡皮塞 小车铝杯等组成。小车尺寸约为100*70*20mm，铝杯φ30mm深25mm，金属筒外径16mm。</t>
  </si>
  <si>
    <t>超重失重演示器</t>
  </si>
  <si>
    <t>记忆式。
1、本仪器主要由可升降的指针式圆盘测力计、槽码和支架组成。支架上装有钢丝导轨、定滑轮、传动索、砝码吊袋、桌边夹等。
2、指针式圆盘测力计上端有调零装置，刻度盘也可拨转。测力计有红色主指针、红色游标、蓝色游针。红色游标用以指示槽码静止时的重力；蓝色游标用以标定槽码在变速升降运动中对测力计的作用力。
3、基本参数：
1)测力计最大量程：2N（实验中槽码限挂1.5N内）。
2)测力计最小分度为0.02N。
3)测力计误差：0.02N。
4)槽码：共3个，每个重50g。
5)测力计自重：约0.35kg
4、外型尺寸：250㎜×160㎜×60㎜。移动距离1.5m,超重、失重加速度可调，灵敏测力计示数可见</t>
  </si>
  <si>
    <t>产品由可升降的指针式圆盘测力计、导轨、定滑轮、传动索、桌边夹及支架组成。1.测力计极限为2N，最小分度值为0.02N。圆盘直径160mm。2.支杆为金属制，表面防锈处理，直径11mm，长1000mm（两根连接）。</t>
  </si>
  <si>
    <t>动能势能演示器</t>
  </si>
  <si>
    <t>产品由大刻度板、定位圈及滑杆、小滑块、圆筒、弹簧及释放手柄、底座、小刻度板、大滑块、导轨、钢球等组成。底板、带刻度的面板均采用厚度为1mm的铁板制作，底板长760mm，宽140mm，，钢球下落定位孔由支杆和孔架构成，孔架采用工程塑料制作，其上设有内径为φ20mm、φ26mm的两个孔，孔深34mm，支杆采用φ9.5mm的钢管制作，长不小于300mm，孔架的高度可通过支杆任意调节；透明圆筒采用内径φ34.5mm的有机玻璃筒制作，圆筒壁厚不小于4mm，长312mm；弹簧为φ2mm的弹簧钢丝绕制的压缩弹簧，自由长度为φ31×140mm；弹簧压缩杆尺寸为φ3.5×90mm的金属杆，两端设带柄螺帽；水平连接杆采用铝合金型材制作，长450mm，宽27mm；竖直立柱由两根φ9.5×450mm的钢管制作；钢球3只，球直径分别为φ24mm、φ19mm、φ15.8mm，；滑块采用工程塑料制作，尺寸为φ60×50mm；产品能直观演示动能势能的种类、产生和相互转化转化，以及能的守恒。</t>
  </si>
  <si>
    <t>平抛竖落仪</t>
  </si>
  <si>
    <t>仪器能被固定在物理支架上使用，也可放置在桌边使用。产品由仪器主体、释球板、撞击器和两颗钢球组成。1、主体采用塑料注塑成型，外形的长宽高尺寸分别为133mm×70mm×180mm。2、释放板为T型、塑料注塑成型，两只钢球可放在T型板的两边。3、撞击器为机械式，有释放撞杆开关、撞杆及弹簧等构成。4、钢球Φ19mm。</t>
  </si>
  <si>
    <t>平抛运动实验器</t>
  </si>
  <si>
    <t xml:space="preserve">产品由铝制导轨、钢球、重锤、接球槽、演示板组成。1.，面板烤白漆，面板尺寸约：325mmx240mmx1mm，底座尺寸
约255mmx100mmx10m，并有调平螺丝;2.钢球直径为16mm;3.接球槽可上下移动，能停留在任一位置。
 </t>
  </si>
  <si>
    <t>平抛和碰撞实验器</t>
  </si>
  <si>
    <t>产品由底座、面板、平抛导轨、接球槽、调平螺栓、平抛球、支撑杆、磁条、平板活动立柱等组成。底座四角有评平螺钉，供实验时调平仪器。底座尺寸约为350×130×12mm,面板采用1.5mm厚钢板制作，尺寸约为230×320mm；平抛导轨采用铝合金型材制作，导轨宽度20mm，导轨用于承放平抛球，并可调节平抛球位置高度，并使球水平抛出；接线槽采用工程塑料制作，接线槽的高度位置可自由调节；平抛球为直径φ16mm，磁条2根，可吸附在面板上。</t>
  </si>
  <si>
    <t>碰撞实验器</t>
  </si>
  <si>
    <t>产品分高中物理教学学生分组实验仪器，利用该产品可完成验证动量守恒定律、验证弹性碰撞中的动能守恒、验证动量守恒的条件、研究平抛物体的运动等实验。产品主要由轨道、支球架、支球管、挡球板、金属球、非金属球、重锤等组成。轨道采用铝型材制作，轨道外形宽度约20mm，支球架、支球管、挡球板与轨道组装为一体；金属球尺寸不小于Sφ14mm；非金属球尺寸不小于Sφ14mm；</t>
  </si>
  <si>
    <t>冲击摆实验器</t>
  </si>
  <si>
    <t>产品由弹簧枪、冲击摆、刻度盘、指针和弹丸组成。外形尺寸约：400×120×340mm 。重量：约2.5kg 。摆块质量为80g±2。内填阻尼物质，应使弹丸射入后为非弹性碰撞。摆线长度为270mm±2。摆线上端在同一水平面内，并可分别调节摆线长度。摆块在摆动中应保持平动。 刻度盘刻度应准确、清晰。最小刻度为0.5°，满刻度为35°。满刻度的累计角度误差不大于0.5°。测试方法：用万能角度尺校验。</t>
  </si>
  <si>
    <t>运动频闪观测仪</t>
  </si>
  <si>
    <t xml:space="preserve">1、外形尺寸约：200*175*90mm                                                  2、技术指标
1）、测试量程：1-9999Hz；分辨率：1Hz
2）、闪光频率：1-9999Hz；调节精度：1Hz
3）、输入电压：AC220V,50Hz
4）、功    耗：＜15W
5）、工作温度：-10℃—40℃ 
6）、高速数字合成信号源,;由快速调节步进1Hz，按键调节频闪频率，LED长寿命光源.                                                                        3、外壳为金属喷塑成型
</t>
  </si>
  <si>
    <t>二维空间—时间描迹仪</t>
  </si>
  <si>
    <t>同步计时打点描迹，悬浮式平抛。产品由主机、发射枪组件、单摆组件、向心力组件、卷纸机、运动体、基准尺、压纸条等构成。能完成：研究平抛物体的运动、斜抛、机械能守恒、弹性、非弹性、向心力、单摆、简谐、自由落体等实验。</t>
  </si>
  <si>
    <t>向心力演示器</t>
  </si>
  <si>
    <t>由机座、变速盘、大皮带轮、小皮带轮、旋臂、示力标尺、压杆、套筒、弹簧、钢球、铝球、驱动机构等组成。主动轮≥200mm,从动轮≥130mm</t>
  </si>
  <si>
    <t xml:space="preserve">1、工作电压：AC 220±10%  50Hz                                                 2、技术指标：                                                                1）、外壳采用优质钢板喷塑成型                                                2）、转臂为有机玻璃和不锈钢材质                                                    3）、微电脑模块,转速数字可调、无线发射与接收、光电计数                         3、工作环境：-10～40℃       </t>
  </si>
  <si>
    <t>向心力实验器</t>
  </si>
  <si>
    <t>向心力演示器1、产品结构：本仪器由底座、传动部分、塑料转盘、弹簧装置、金属球等组成。2、测量范围：力 不小于0 N～10 N  角速度 不小于0 rad/s～99 rad/s
分度：力 ≤0.001N     角速度≤ 0.01rad/s</t>
  </si>
  <si>
    <t>凹凸桥演示器</t>
  </si>
  <si>
    <t>高中教师演示在凹面桥物体对桥面的压力。演示器由电磁铁、钢球、轨道、电磁铁开关、台秤、底座、接球槽、接球槽支杆等组成。1.外接电源：AC220V。2.钢球直径约28.5mm。3.底座为木质。</t>
  </si>
  <si>
    <t>演示力矩盘</t>
  </si>
  <si>
    <t>供中学物理教学演示和学生分组实验用。仪器由圆盘、轴、底座、立杆、带线的空心销6个组成、塑料圆盘直径270mm，盘面有4个同心圆，均匀分布若干个小孔，供安插空心销用。立杆直径为12mm，长度为400mm，表面电镀处理。底座为铁制三角形或者塑料圆盘、三脚形底座，中心点有Φ2mm小孔可固定。</t>
  </si>
  <si>
    <t>力矩盘</t>
  </si>
  <si>
    <t>供中学物理教学演示和学生分组实验用，主要由圆盘、轴、带线的空心销6个组成。圆盘塑料制，直径约270mm×16mm，盘面上有4个同心圆，均匀分布若干个小孔，供安插空心销用。轴端有卡环槽，防止圆盘脱落。</t>
  </si>
  <si>
    <t>动量传递演示器(碰撞球)</t>
  </si>
  <si>
    <t>产品由底座、支架、5个钢球带线组成。1.底座采用塑料制，尺寸：约130×110×15mm。2.钢球直径约16mm，表面电镀处理。</t>
  </si>
  <si>
    <t>微重力实验装置</t>
  </si>
  <si>
    <t>仪器由控制面板、起落台、光源、摄像机、静止坐标系、安装软件(光盘或移动U盘)、吸小钢球的电磁铁和用于观察现象的配件盒等组成。</t>
  </si>
  <si>
    <t>振动和波、分子物理和热学</t>
  </si>
  <si>
    <t>音叉</t>
  </si>
  <si>
    <t>256Hz1、产品由音叉、共鸣箱、音叉槌组成。2、音叉外形尺寸：≥190mm×5mm×8mm。3、共鸣箱外形尺寸：≥300mm×80mm×40mm。4、音叉槌用橡胶制造，槌杆用木材或塑料制造；应符合JY/T0395-2007《教学音叉》标准。</t>
  </si>
  <si>
    <t>512Hz1、产品由音叉、共鸣箱、音叉槌组成。2、音叉外形尺寸：≥150mm×5mm×8mm。3、共鸣箱外形尺寸：≥300mm×80mm×40mm。4、音叉槌用橡胶制造，槌杆用木材或塑料制造。应符合JY227-87《F256音叉、F512音叉》的要求。</t>
  </si>
  <si>
    <t>纵波演示器</t>
  </si>
  <si>
    <t>1.由支架、螺旋弹簧、振源及附件、连接杆和衬布等部件组成。2弹簧钢片应有足够的长度和钢度，表面防锈处理。通过改变振子位置，其频率可在2.5～3.3Hz范围内调整。3.螺旋弹簧需经防锈处理，在工作状态下应满足下表要求。弹簧工作长度全长圈数波速（mm/s）波的传播可见距离。100mm200±10不大于0.5不少于2个单程1250mm230±101600mm250±10不少于1个单程。5.螺旋弹簧吊线结点应在一条直线上，且分布均匀。6.外观质量应符合JY0001第6章的有关规定。</t>
  </si>
  <si>
    <t>声速测量仪</t>
  </si>
  <si>
    <t>产品由触发器、传感器1、传感器2、支座、声源及连接导线等组成。1.声源频率大于5KHz。2.传感器间距：3-4米。3.工作电压：DC9V。4.触发器输出插孔2个，输入插孔2个，显示灯2个，复位开关、电源开关。塑料外壳，尺寸：130×65×85mm。</t>
  </si>
  <si>
    <t>共振音叉</t>
  </si>
  <si>
    <t>对</t>
  </si>
  <si>
    <t>1、音叉的频率为：440HZ。
2、击发一次，共振音响持续时间不少于10秒钟。音叉的全长166mm，叉股截面积为6.35×16mm2,叉臂平直段长109mm，叉股间距17mm。</t>
  </si>
  <si>
    <t>纵横波演示器</t>
  </si>
  <si>
    <t>中学物理演示纵横波的传播、反射等；仪器采用支架悬挂弹簧形式，全长约100cm、Φ50mm螺旋弹簧自由悬挂在支架上，振源金属球可上下调节，整套仪器包括机架1个（螺旋弹簧1支、振源2只）；连接杆15个；反光白布1块；可拆卸后装入箱内。</t>
  </si>
  <si>
    <t>绳波演示器</t>
  </si>
  <si>
    <t>电动液晶显示式，产品由振荡频率显示器、控制面板、开关、紧绳柱、振荡杆、细线、定滑轮、张力砝码、刻度支架等构成。使用电源：220V50Hz；2.有效刻度不小于100cm。</t>
  </si>
  <si>
    <t>波动弹簧</t>
  </si>
  <si>
    <t>扁钢丝弹簧，外径≥66mm，圈数≥180，两端为90°弯折半圆</t>
  </si>
  <si>
    <t>波动演示器</t>
  </si>
  <si>
    <t>1、外形尺寸约：500*204*260mm  2、技术指标：
外壳采用优质钢板喷塑成型
可演示纵波波形和横波波形可以连续不间断曲轴连杆                                 3、工作环境：-10～40℃</t>
  </si>
  <si>
    <t>发波水槽</t>
  </si>
  <si>
    <t>一、用途：利用水波的投影显示波的形成、传播、反射、干涉和衍射等现象；二、结构：主要由壳体、水槽、振动源,附件及光源等组成，水槽及壳体：水槽是用底部装有密封、透明玻璃的塑料盆制成，1、壳体用塑料制成，上面放置水槽，正面竖直安装毛玻璃，作为水波投影屏幕，框架内部倾斜45°装有平面镜；2、振源：振动源采用电磁、激励式，由电磁铁、电位器、振杆、振子、主板等组成；3、光源：光源为盒式机械遮挡频闪光源，灯泡为12V100W幻灯机溴钨灯，频闪器是由直流微型电动机驱动一个可旋转的遮挡叶片，盒的顶部开有散热窗；4、水槽发波附件为单振子、双振子、平面波振子及挡板2块。主机体规格尺寸约：290mm×264mm×320mm.</t>
  </si>
  <si>
    <t>产品由水槽、振源及附件组成。1.水槽由透明有机玻璃制成，尺寸：280mm×280mm×30mm，槽内四周均放有海棉。2.振源由振荡电路、弹簧片连接器构成，其频率可调。3.附件由圆波振子、双振子、横波振子、直档板构成。</t>
  </si>
  <si>
    <t>学友</t>
  </si>
  <si>
    <t>余姚市学友教学仪器有限公司</t>
  </si>
  <si>
    <t>弹簧振子</t>
  </si>
  <si>
    <t>水平式和竖式</t>
  </si>
  <si>
    <t>弹簧振子振动图象描绘器</t>
  </si>
  <si>
    <t>产品有气源、弹簧振子（气垫式）、和卷纸机构及打点装置一体化组成，气源和打点装置有独立的开关控制，电源电压：AC220V/50Hz电源功率≥50W。、扫描电火花频率：50Hz扫描脉冲电压：≥8000V 走纸速度：80±5mm/s。电火花在描绘纸上描绘出曲线的点的直径：≮0.6mm。记录用纸：直接用热敏纸，无需用导电墨粉纸，幅宽110mm、直径50mm的热敏纸卷，衰减振动次数：≥20个周期。</t>
  </si>
  <si>
    <t>简谐振动投影演示器</t>
  </si>
  <si>
    <t>由铝合金框架、激光源、振动弹片及入射镜光屏、电机、反射镜及支架等组成。</t>
  </si>
  <si>
    <t>匀速圆周运动投影器</t>
  </si>
  <si>
    <t>1、吊线横梁2、吊杆3、摆长调整器4、屏幕板5、单摆球6、电磁铁7、转动盘8、小球9、机箱座10、屏幕支架11、直流电源插座12、电磁铁开关13、电机开机K214、指示灯15、电位器16、机箱盖</t>
  </si>
  <si>
    <t>单摆组</t>
  </si>
  <si>
    <t>5个摆球。钢球3个，直径分别约为19mm一个，Φ12mm2个；塑料球2个，直径分别为26mm一个，Φ20mm一个。全部带线，线长不小于1.2m。</t>
  </si>
  <si>
    <t>单摆振动图象演示器</t>
  </si>
  <si>
    <t>本仪器由底座，砂锤，立杆，电机等组成。1、外形尺寸约：450*250*55mm
2、工作电压：DC6-12V                                                       3、工作环境：-10℃—40℃                                                   4、外壳为pp材质</t>
  </si>
  <si>
    <t>单摆运动规律演示器</t>
  </si>
  <si>
    <t>由圆底盘、立柱≥直径12*600mm、横杆、立柱夹、上标尺，下标尺、光电门、塑料空心摆球≥直径22mm、钢球≥16mm、玻璃球16mm、胶木球16mm、摆线、偏转指针组成</t>
  </si>
  <si>
    <t>受迫振动和共振演示器</t>
  </si>
  <si>
    <t>仪器由底座、铝合金立杆、钢球等组成 。外形尺寸约：410*170*430mm。铝合金立杆尺寸约：20*20*400，5个摆球。</t>
  </si>
  <si>
    <t>共振演示器</t>
  </si>
  <si>
    <t>仪器弹簧振子、受偏心负载的变速箱装置、能摆动的有机玻璃面板、画板、画笔以及底座、导轨控制系统等组成                      1、外形尺寸约：250*145*150mm   2、工作电压：DC6-12V
3、工作环境：-10℃—40℃
4、外壳为金属喷塑成型</t>
  </si>
  <si>
    <t>内聚力演示器</t>
  </si>
  <si>
    <t>由两个中空镶铅圆柱体、刮削器组成。1、铅柱分为红、蓝各1，每支上有挂钩，外形尺寸不小于：Φ20mm，长50mm。2、刮削器外壳为塑料，塑料筒内置刀片。</t>
  </si>
  <si>
    <t>空气压缩引火仪</t>
  </si>
  <si>
    <t>1、由手柄、连杆、端盖、耐油橡皮圈、气缸体、底座等组成。2、手柄和底座为塑料制品。3、气缸体为透明塑料注塑成型，表面光洁、透明。</t>
  </si>
  <si>
    <t>双金属片</t>
  </si>
  <si>
    <t>由铜、铁组成。该产品由长度≧200mm、宽≧20mm、厚≧0.3mm铜、铁板材各1片铆合而成，铆合应牢固</t>
  </si>
  <si>
    <t>气体做功内能减少演示器</t>
  </si>
  <si>
    <t>1、产品由气室、进气管、胶塞、防护套、底座及背景衬板凳组成。2、气室：（1）气室为圆筒形，有进气口和出气口，进气咀与进气管配合紧密；出气口为喇叭状，与胶塞配合紧密。（2）仪器放置应平稳可靠。4、进气管内径与气室进气嘴配合牢固。</t>
  </si>
  <si>
    <t>纸盆扬声器</t>
  </si>
  <si>
    <t>直径≥200mm，8Ω，动圈式扬声器的主要性能在指向性、频响(5-5KHZ)、失真度、音质等方面应符合技术要求。</t>
  </si>
  <si>
    <t>油膜实验器</t>
  </si>
  <si>
    <t>产品由油酸、无水酒精、盛水盘、刻度板、石松粉、针筒等组成。1.盛水盘采用塑料注塑成型，盛液尺寸不小于200mm×200mm，并有刻度板限位机构；2.刻度板采用透明有机玻璃制成，刻度板表面印有刻线方格，最小方格为5mm，其中两个边上有毫米刻线，刻线清晰、无断线。</t>
  </si>
  <si>
    <t>浸润和不浸润现象演示器</t>
  </si>
  <si>
    <t>用于高中物理教学中有关物体浸润和不浸润现象的演示实验。由透明塑料槽、洁净的玻璃片、涂蜡的玻璃片、胶头滴管组成。1.透明水槽外形尺寸：80mm×40mm×20mm。2.玻璃片尺寸：76mm×25mm×1mm。</t>
  </si>
  <si>
    <t>液体表面张力演示器</t>
  </si>
  <si>
    <t>供中学物理课讲述液体的表面张力进行演示实验或分组实验用。1.产品由半球环、双环、棉线环、棉线圈环、金属框架、钢丝圈六件组成。1.半球环、双环、、棉线圈环、金属框架采用用Φ1.5mm的钢丝制造，表面镀铬。手柄长度均不小于70mm。</t>
  </si>
  <si>
    <t>液体表面张力实验器</t>
  </si>
  <si>
    <t>毛细现象演示器</t>
  </si>
  <si>
    <t>仪器由塑料盛液座、毛细管支架及五根内径大小不同的玻璃毛细管组成。盛液座及毛细管支架采用工程塑料制作，盛液座内空尺寸约为160mm×86mm×10mm，毛细管支架宽20mm，支架距盛液座底部高度不小于80mm；毛细管长度均为130mm。</t>
  </si>
  <si>
    <t>伽尔顿板(道尔顿板)</t>
  </si>
  <si>
    <t>一、道尔顿板是通过宏观的方法，通过钢珠下落过程中与铜钉列阵碰撞后，因钢珠的位置随机性来观察统计规律。二、仪器结构包括：漏斗、一组斜面、控制器、铜钉列阵、弧形导轨、木框（或塑料框）、狭槽、钢珠（或塑料球）、闸门、钢珠（或塑料球）出口、盒子、底脚。</t>
  </si>
  <si>
    <t>气体定律实验器</t>
  </si>
  <si>
    <t>可验证玻意耳-马路特定律、查理定律、盖吕萨克定律和理想气体状态方程等。产品由气柱（玻璃或者是塑料）、固定夹和挂钩板组成。</t>
  </si>
  <si>
    <t>玻意耳定律实验器</t>
  </si>
  <si>
    <t>供高中物理教学课堂演示用，用于验证玻意耳-马路特定律和理想气体状态方程。结构：由尺度板、U型玻璃管、压力表和加压气囊、底座等组成。1.尺度板采用厚度1mm金属材质一次成型，规格约：280*120*170mm；板为白底红字，刻线中线为“0”刻线、两边刻线为20cm、每1cm一个刻线、10cm为一大刻线，数字分别为“0”、“5”、“10”、“15”、“20”，在尺度板上固定一U型管，U型管外径20mm，两中心距为60±3mm，长度不小于尺度板的长度尺寸，U型管口一端密封连接乳胶管橡胶塞及玻璃弯管，玻璃弯管外径8mm，长不小于35mm；另一端密封2.5级0.1圆形负压表，表与管之间应有放气阀门。2.底座采用厚度1.2mm金属材质一次成型，规格约;280*120*15mm，表面烤黑漆。</t>
  </si>
  <si>
    <t>盖·吕萨克定律实验器</t>
  </si>
  <si>
    <t>尺度板是铁质的，演示器由尺度板、玻璃管、橡胶塞、烧瓶、温度计、支脚、胶头滴管等组成。用来实验一定质量的某种气体在压强不变的情况下其体积V与热力学温度T成正比。</t>
  </si>
  <si>
    <t>气压模拟演示器</t>
  </si>
  <si>
    <t>产品主要由导向杆、配重块、透明筒、活动圆盘、塑料小球、振动板、底座、电机调速旋钮、电源接线柱、电源开关等组成</t>
  </si>
  <si>
    <t>饱和水汽膨胀液化演示器</t>
  </si>
  <si>
    <t>透明容器内能承受3个以上大气压，成雾明显，使用安全。产品由底座、打气筒、储气瓶、转能堵头、转能堵孔及堵头固定棒等组成。1.底座采用冷轧板冲压成型，表面烤漆处理，尺寸约：285mm×125mm×15mm。2.储气瓶为无色透明塑料瓶，安装、拆卸方便，密封良好。</t>
  </si>
  <si>
    <t>静电、电流</t>
  </si>
  <si>
    <t>玻棒(附丝绸)</t>
  </si>
  <si>
    <t>有机玻棒(附丝绸)，教师用。1、直径为12mm、长为295mm，一端为锥体，头部为球形状。2、丝绸尺寸不小于：150mm×150mm。</t>
  </si>
  <si>
    <t>胶棒(附毛皮)</t>
  </si>
  <si>
    <t>聚碳酸酯棒(附毛皮)，教师用。1、直径为12mm、长为295mm，一端为锥体，头部为球形状。2、毛皮尺寸不小于：100mm×100mm。</t>
  </si>
  <si>
    <t>箔片验电器</t>
  </si>
  <si>
    <t>一对装。1．本产品由塑料外壳、圆盘、导电杆、箔片等组成。2．外壳透光洁透明，无气泡及划痕。3．圆盘（直径26mm）、导电杆（直径6mm）用金属制成，表面镀铬处理。4．导电杆与外壳间有绝缘套管，安装后应无明显缝隙，取下方便。5．金属箔片厚度不大于0.2mm，长度不小于20mm。</t>
  </si>
  <si>
    <t>学生用，一对装。1、产品由透明外壳、导电杆、圆球及箔片组成。2、箔片成条形，片体平整，无卷曲。长约25mm，宽3mm。3、外壳采用透明塑料注塑成型，表面光洁明亮，无划痕。外形尺寸为50mm×30mm×60mm。4、导电杆Φ4mm，高约45mm。5、圆球Φ10mm。</t>
  </si>
  <si>
    <t>静电计(指针验电器)</t>
  </si>
  <si>
    <t>1.由两只灵敏度相同的指针验电器组成。指针验电器由外壳、圆球或圆盘、导电杆、绝缘子、指针、指针架、接地线柱等构成。2.圆球或圆盘及导电杆用金属制成，镀铬抛光。3.指针用薄金属片制成；长度≥100mm。4.指针架用金属制成，镀铬抛光。5.产品应符合JY203－85《指针验电器》的要求。</t>
  </si>
  <si>
    <t>感应起电机</t>
  </si>
  <si>
    <t>由起电盘、底座、莱顿瓶、集电杆、放电杆电刷、电刷杆、皮带轮、连接片等组成。起电盘上导电膜应采用铝箔和纸箔交替分布；莱顿瓶应采用塑料制成，电容量应≥30pF击穿电压应≥42kV；集电杆采用直径不低于4mm的冷拉圆钢制成，电梳应由针状金属杆或束状裸铜线制成，与起电盘距离不应小于6mm；放电杆采用直径为3mm的冷拉圆钢制成，表面镀铬，绝缘手柄长度应≥80mm，体积电阻率≥1016Ω·m；电刷应采用束状磷铜线；导电膜与起电盘的90°剥离强度应≥8N。性能要求：在温度为20℃、相对湿度为65%±5%的环境中，摇柄转速120r/min火花放电距离应≥55mm；在温度为5℃～
30℃范围，相对湿度为85%±5%的条件下，
仪器应正常工作，火花放电距离应≥30mm</t>
  </si>
  <si>
    <t>枕形导体</t>
  </si>
  <si>
    <t>副</t>
  </si>
  <si>
    <t>1、枕形导体用铜或铝制成，铜质导体应用镍、锌或铬镀层、表面抛光，铝质导体应做电化学处理。2、缘支柱用有机玻璃制成，底座用绝缘材料制成。3．性能、安全、结构、外观应符合JY0001第4、5、6、7的有关要求。</t>
  </si>
  <si>
    <t>小灯座</t>
  </si>
  <si>
    <t xml:space="preserve">1.小灯座由底板、接线柱、灯座等组成。
2.小灯座为螺旋式灯座。
3.小灯座最高工作电压为36V，最大工作电流为2.5A。
4.底座用黑色优质ABS工程塑料制成，表面平整光洁。外形尺寸约75×38×10mm
5.灯座用厚0.5～0.6mm的铜片制做。灯座与两接线柱之间用宽大于5mm的铜片连接和灯座为一整体。
6.小灯座上所有螺丝、螺母、垫片均为铜质。
7.小电珠旋入后，接触良好可靠，无接触不良或短路。
</t>
  </si>
  <si>
    <t>单刀开关</t>
  </si>
  <si>
    <t>1.由底座，接线柱，闸刀，刀座，刀承和绝缘手柄组成。
2.底座：黑色塑料，75mm×39mm×10mm
3.闸刀刀座采用铜片,长50mm、宽8mm，厚0.6mm。工作电压不超过36V，工作电流不超过6A。</t>
  </si>
  <si>
    <t>滑动变阻器</t>
  </si>
  <si>
    <t>1、20Ω，2A；2、产品由线绕瓷管、滑动头、滑杆、支架、接线柱等主要部件组成。有氧化膜绝缘层的铜镍合金电阻丝密绕在瓷管上。3、变阻器电阻值误差不超过±10%。4、变阻器能在环境温度-10℃至+40℃，相对湿度不大于85%的条件下连续工作。</t>
  </si>
  <si>
    <t>1、50Ω，1.5A。2、产品由线绕瓷管、滑动头、滑杆、支架、接线柱等主要部件组成。有氧化膜绝缘层的铜镍合金电阻丝密绕在瓷管上。3、变阻器电阻值误差不超过±10%。4、变阻器能在环境温度-10℃至+40℃，相对湿度不大于85%的条件下连续工作。</t>
  </si>
  <si>
    <t>200Ω、1.25A。产品主要由线绕瓷管、滑动头、滑杆、支架、接线柱等部件组成。线绕瓷管用有氧化膜绝缘层的铜镍合金电阻丝密绕在瓷管上构成；滑动头电刷采用0.5mm厚的钢板成型，滑片宽度14mm；滑杆采用不小于Φ6mm的圆钢制作，滑杆总长度约300mm；支架采用1mm厚的冷轧板成型。产品外形尺寸约：320×90×140mm。</t>
  </si>
  <si>
    <t>电阻定律演示器</t>
  </si>
  <si>
    <t>1.由底板及铜、铁、镍铬三种金属导线、接线柱、连接片、支撑架等组成。2.外形尺寸：≥1050mm×150mm×40mm。3.产品应符合JY217－87《电阻定律演示器》的有关规定。</t>
  </si>
  <si>
    <t>电阻定律实验器</t>
  </si>
  <si>
    <t>不少于四根导线，长度、截面积、材料不同；≥800×130×40mm。</t>
  </si>
  <si>
    <t>演示线路实验板</t>
  </si>
  <si>
    <t>尺寸≥400*90*300mm，绿色软塑，有金属扣。底板为ABS塑料压制，单板面积为：360*240平方毫米。厚度为20mm。底板上有12*8个等距圆孔，供接插元件插座用。元件插座为聚乙烯塑料压制，表面装有电路元件，下方有两个等距塑料插柱可插入底板的等距圆孔。</t>
  </si>
  <si>
    <t>学生线路实验板</t>
  </si>
  <si>
    <t>高中学生组，元件插座为聚乙烯塑料压制，表面装有电路元件，下方有两个等距塑料插柱可插入底板的等距圆孔。</t>
  </si>
  <si>
    <t>单刀双掷开关</t>
  </si>
  <si>
    <t>底座、接线柱，闸刀，刀座，双刀承和绝缘手柄组成。开关的最高工作电压36V，额定工作电流6A。底座为塑料注塑成型,尺寸:77mm×35mm×9mm。</t>
  </si>
  <si>
    <t>双刀双掷开关</t>
  </si>
  <si>
    <t>底座、接线柱，双闸刀，刀座，双刀承和绝缘手柄组成。开关的最高工作电压36V，额定工作电流6A。底座为塑料注塑成型,尺寸:75mm×53mm×10mm。</t>
  </si>
  <si>
    <t>焦耳定律演示器</t>
  </si>
  <si>
    <t>产品由面板、贮气盒、电阻、液面玻璃管、乳胶管、止水夹、底脚等组成。产品主要性能指标：电压范围：DC6～10V或AC6～10V50Hz；电阻阻值：R1=10Ω，R2=10Ω，R3=10Ω，R4=5Ω，阻值误差≤+5%。仪器面板采用工程塑料制作，尺寸为270×250×6mm，面板上印制液面高度标尺，标尺总长140mm，分度值1cm，每1cm标注刻度数字，数字标注在中间，两面印制液面刻度线；贮气盒由透明塑料制作，采用橡胶垫盖密封，尺寸约60×30×85mm，电阻分别焊接于贮气盒内；液面玻璃管直径φ5.5mm，高约180mm。仪器组装后总高度290mm。</t>
  </si>
  <si>
    <t>保险丝作用演示器</t>
  </si>
  <si>
    <t>1.产品使用电源:交流198V-242V，50HZ。2.面板应采用阻燃材料或金属面板，长度≥450mm，高度≥300mm，具有线路压降显示表和工作电流表，有相应的实验电路图，电路图图形符号应符合JY0001的有关规定。3.符合JY/T0364-2004《保险丝作用演示器》有关规定。</t>
  </si>
  <si>
    <t>范氏起电机</t>
  </si>
  <si>
    <t>放电距离：&gt;300mm,最大电流：&lt;30ua，力量：~220v，力量：&lt;100w,蓄电球直径：200mm，放电球直径：60mm,底座长宽高：280*185*90mm</t>
  </si>
  <si>
    <t>球形导体</t>
  </si>
  <si>
    <t>1）表面镀镍（镀锌或镀铬）的金属空壳，球形导体呈球状。2）三角形铁脚底座（或胶木脚）。3）插在底座上的有机玻璃棒。包装尺寸：105*105*137mm</t>
  </si>
  <si>
    <t>验电器连接杆</t>
  </si>
  <si>
    <t>产品由绝缘手柄、连接杆、紧固螺钉构成。绝缘手柄采用直径Φ12mm的有机玻璃棒制作，长度不小于130mm；连接杆采用直径不小于Φ2mm的钢丝制作，长度约200mm，一端成形为“∨”形。</t>
  </si>
  <si>
    <t>移电球(验电球)</t>
  </si>
  <si>
    <t>产品由绝缘手柄及金属球构成。绝缘手柄采用Φ12mm的有机玻璃棒制作，长度不小于90mm；金属球采用约Φ16mm钢球，表面镀铬。金属球与绝缘手柄端面接触良好，螺接牢靠。</t>
  </si>
  <si>
    <t>验电羽</t>
  </si>
  <si>
    <t>产品由底座、支架、丝线固定卡、丝线等组成，每套配两只。底座采用工程塑料制作，尺寸为Φ69mm×12mm；支架采用Φ3.5mm的金属杆制作，支杆高度100mm；丝线固定卡采用厚度为0.5mm金属板成型，固定卡Φ27mm；丝线颜色为红色，线径约1mm，丝线均匀分布在固定卡周边，根数不少于45根，丝线下垂长度不小于50mm。产品外形尺寸约Φ69×120mm。</t>
  </si>
  <si>
    <t>验电幡</t>
  </si>
  <si>
    <t>产品由铜丝网、红丝线、支柱、底座等组成。铜丝网为平纹黄铜丝网，目数：200目/吋，铜丝网尺寸为360×105mm；红丝线Φ1×150mm，共8根，悬挂在铜丝网两侧。支柱共3根，采用Φ5mm铜管制作，长度160mm，3根支杆分别固定在铜丝网的两端及中心位置；支座采用工程塑料制作，底座3个，底座底径Φ40mm，高度28mm。将带支杆的铜丝网插入底座组成验电幡，产品组装后总高度约190mm。</t>
  </si>
  <si>
    <t>尖形布电器</t>
  </si>
  <si>
    <t>产品由尖形导体（包括内锥体）、绝缘支杆、底座三部分组成。尖形导体用铜材制作，表面电镀，导体直径φ57mm，柱形长度85mm，锥体高度75mm；绝缘支杆及底座的总高度约80mm，绝缘支杆直径10mm，底座采用ABS工程塑料制作，尺寸约82×55×14mm。导体与绝缘支杆之间用金属杆连接，金属杆尺寸φ5×23mm。</t>
  </si>
  <si>
    <t>正负电荷检验器</t>
  </si>
  <si>
    <t>本仪器适用于中学物理实验，它可以检验摩擦起电的电荷、电容等带电体的正负，以及演示静电感应。1.检验器的探头为金属制品，表面镀铬处理；2.检验器上的红灯指示为正电荷，绿灯指示为负电荷。</t>
  </si>
  <si>
    <t>静电实验箱</t>
  </si>
  <si>
    <t>产品为组合式教具，主要由圆锥底座3个，金属立杆2根，电场线小瓶3个，电场力盒，微静电观察盒、验电羽小球，泡沫球2个，植绒盒，电子风轮，消烟除尘装置，燃气爆发装置，香座及香，抗静电液等组成。产品与电子起电机配用，可完成电场力(静电乒乓)实验；电场线实验；静电屏蔽实验；微静电观察盒实验；钟摆小球实验；验电羽实验；电子风轮实验（静电电动机）；燃气爆发实验；避雷针实验；静电除尘实验；静电植绒实验等多种静电实验。</t>
  </si>
  <si>
    <t>金属网罩</t>
  </si>
  <si>
    <t>用于演示在电荷平衡时，导体内部的电场强度等于零，从而说明静电屏蔽原理。产品由金属网罩、金属底盘、底座及连接器等组成。1.金属网罩采用直径0.9mm的镀锌铁丝编制而成，外径约200mm，高约230mm。2.金属底盘采用厚0.4mm镀锌板冲压成型，直径220mm。3.底座采用塑料注塑成型，直径100mm。4.连接器为全金属制，由直径14mm钢球、直径5mm金属杆、金属吊链及限位柱构成，金属表面电镀处理。</t>
  </si>
  <si>
    <t>电荷间作用力演示器</t>
  </si>
  <si>
    <t>1.传感器分辨率：≤10－5次方牛顿2.环境温度：≤26℃3.相对湿度≤50%4.大气压力：86～106kPa5.实验误差：≤5％6.供电电压：220VAC</t>
  </si>
  <si>
    <t>电荷间作用力实验器</t>
  </si>
  <si>
    <t>产品有透明防风罩、角度指示器、悬挂的轻质铝箔球、可调节距离金属球、底座等组成，透明防风罩尺寸约为103mm*55mm*115mm,角度指示器范围0-70度，最小角度1度，轻质铝箔球和金属球直径为20mm,金属球可调距离不小于20mm，带有手柄，仪器总尺寸不小于165mm*90mm*135mm.</t>
  </si>
  <si>
    <t>库仑定律演示器</t>
  </si>
  <si>
    <t>测量范围:摆球偏转距离：0-25cm,偏转角度：0-45°,摆球水平方向偏转力见45°角度时的标示值.使用范围:空气湿度≤80%可做定性演示;空气湿度＜70%可做库仑定律的验证性实验</t>
  </si>
  <si>
    <t>启星动力</t>
  </si>
  <si>
    <t>天津启星动力科技有限公司</t>
  </si>
  <si>
    <t>电场线演示器</t>
  </si>
  <si>
    <t>产品由五块电场线演示板组成，分别为单点电极演示板、双点电极演示板、平行板电极演示板、环形电极演示板、尖形导体演示板。演示板采用透明性好的“372”材料制作，由盒座和盒盖组成，盒座内注满机油和适量发屑后与盒盖密封良好，</t>
  </si>
  <si>
    <t>电势演示仪</t>
  </si>
  <si>
    <t>产品由导电玻璃、带坐标孔的透明塑料板、接线柱、表笔一对、白纸、复写纸、导电纸各1张组成。1.导电玻璃板的一面为导电的，尺寸：237mm×200mm×5mm。2.带坐标孔的透明板孔径1.8mm，两孔间距20mm，尺寸：237mm×200mm×3mm。</t>
  </si>
  <si>
    <t>等势线描绘实验器</t>
  </si>
  <si>
    <t>产品由底座、导电纸2张、白纸50张、复写纸10张、固定架、表笔等组成。底座为塑料注塑成型，外形尺寸：180mm×120mm×14mm。</t>
  </si>
  <si>
    <t>平行板电容器</t>
  </si>
  <si>
    <t>产品由两块圆形铝板、绝缘板一块、支杆、底脚构成。1.铝板和绝缘板直径应相同，直径220mm，厚1mm。2.绝缘板手柄采用透明有机玻璃制，直径15mm，长115mm。3.铝板支杆采用透明有机玻璃制，直径12mm、长70mm。4.底脚为大半圆形，直径90mm，内有配重。</t>
  </si>
  <si>
    <t>电场中带电粒子运动模拟演示器</t>
  </si>
  <si>
    <t>演示模拟电场中带电粒子加速、偏转，由模拟屏、加速旋钮、偏转旋钮等组成，工作电压220V，50Hz.模拟屏由12块规格约40mm×40mm带8×8个发光二极管的电路板组成，仪器整体规格约320*260*53mm</t>
  </si>
  <si>
    <t>常用电容器示教板</t>
  </si>
  <si>
    <t>产品由演示板、电解电容器、云母电容器、陶瓷电容器、薄膜电容器、贴片电容器、微调电容器、可变电容器等组成。演示板为木质，外形尺寸不小于400mm×300mm，带悬挂装置。演示板上均印刷元件符号，图形明显。</t>
  </si>
  <si>
    <t>常用电阻示教板</t>
  </si>
  <si>
    <t>产品由演示板、定值电阻(碳膜电阻、金属膜电阻、绕线电阻、水泥电阻等)、可变电阻(电位器等)、特殊电阻(热敏电阻、光敏电阻等组成。演示板为木质，外形尺寸不小于400mm×300mm，带悬挂装置。演示板上均印刷元件符号，图形明显。</t>
  </si>
  <si>
    <t>演示可调内阻电池</t>
  </si>
  <si>
    <t>产品由电池槽、溢水槽、盖板、探针、下负极板、气咀、气室、气管、开关、气筒等组成。1.电池槽和溢水槽均采用透明塑料注塑成型，外形尺寸约：210mm×85mm×90mm。2.正负极板尺寸约：50mm×43mm。3.探针采用宽度约10mm，可固定于电池槽内。4.气筒采用不小于50ml的注射器。5.正负极板和探针上均安装有接线柱。</t>
  </si>
  <si>
    <t>演示电桥</t>
  </si>
  <si>
    <t xml:space="preserve">供中学物理演示实验用，产品主要由电阻丝、刻度尺、滑键、支架。电阻丝采用直径0.3mm的电阻丝，刻度尺有效刻度为490mm,滑键采用透明塑料制作，中间有按键，按键采用锡磷青铜皮制作，按压按键后能够与电阻丝接触良好，滑键滑行自如，支架采用木质，可立与桌面。
</t>
  </si>
  <si>
    <t>电磁、电子</t>
  </si>
  <si>
    <t>条形磁铁</t>
  </si>
  <si>
    <t>铝铁碳，180mm。有极性标注，红色为N极，兰色为S极。</t>
  </si>
  <si>
    <t>蹄形磁铁</t>
  </si>
  <si>
    <t>蹄型，铝铁碳，100mm，有极性标注，红色为N极，兰色为S极。</t>
  </si>
  <si>
    <t>磁感线演示器</t>
  </si>
  <si>
    <t>产品由透明有机成型盒内装细铁粉、配条形磁铁组成。透明有机成型盒外形尺寸：200mm×110mm×30mm，盒体下部一角应有释放铁粉的螺丝孔。</t>
  </si>
  <si>
    <t>立体磁感线演示器</t>
  </si>
  <si>
    <t>1、演示器由圆形立体磁感线演示器组成；2、圆形立体磁感线演示器由铆有可自动转动的软铁小指针366个，透明塑料制成6块立片（相向60°）及条形磁铁或圆柱形磁铁组成。3、上下两圆片的直径为170mm，组装后的高度为200mm。</t>
  </si>
  <si>
    <t>磁感线演示板</t>
  </si>
  <si>
    <t>磁感线演示板由透明穴板、小铁针、方架及永磁体组成。透明穴板采用“372”材料制作，表面光洁无划痕。透明穴板尺寸为225×225×25mm；</t>
  </si>
  <si>
    <t>电流磁场演示器</t>
  </si>
  <si>
    <t>1．仪器由直线电流磁场演示器、环形电流磁场演示器、螺线管电流磁场演示器等构成。2．工作电流：直流3～6A</t>
  </si>
  <si>
    <t>菱形小磁针</t>
  </si>
  <si>
    <t>1、16个。
2、小磁针体长28mm，宽8mm，磁针体为平面菱形，中间铆接铜轴承套，内嵌玻璃轴承，磁针体表面喷漆，有极性标志，N极为红色，S极为兰色。
3、执行JY0012-1990标准</t>
  </si>
  <si>
    <t>翼形磁针</t>
  </si>
  <si>
    <t>1、每组包含翼形磁针2支，磁针体尺寸≥140×8mm；支座底径71mm，总高112mm。2、符合JY0001－2003《教学仪器一般质量要求》的有关规定。</t>
  </si>
  <si>
    <t>演示原副线圈</t>
  </si>
  <si>
    <t>由演示原线圈、演示副线圈、软铁芯三部分组成。原线圈和副线圈都是用漆包线绕在空心的胶木骨架上做成。线圈外面绕有三圈塑料线以表明线圈的绕向，线圈两头都装有接线柱；外形尺寸≥70mm×l06mm×ll3mm，原线圈内径≥13mm，外径≥22mm、副线圈内径≥35mm，外径≥49mm，软铁直径≥12mm，长度≥113mm；产品应符合JY120－82《演示原副线圈》的有关规定。</t>
  </si>
  <si>
    <t>原副线圈</t>
  </si>
  <si>
    <t>1.原副线圈由原线圈、副线圈、软铁芯三部分组成；原线圈骨架：圆筒内径≥11mm；圆筒外径≥15mm；绕线宽度≥57mm；副线圈骨架：圆筒内径≥24mm；圆筒外径≥30mm；绕线宽度≥50mm；铁芯：直径≥10mm；长度≥77mm；外形尺寸：≥67mm×40mm×88mm。2.产品应符合JY121－88《原副线圈》的有关规定。</t>
  </si>
  <si>
    <t>演示电磁继电器</t>
  </si>
  <si>
    <t>包括电磁线圈、铁芯、轭铁、衔铁、常开触点、常闭触点、弹簧、底座等。电磁铁额定工作电压直流9V，工作电流100mA±15mA吸合电流≤70mA，释放电流20mA～40mA触点常闭电阻≤1Ω，常开电阻≤0.5Ω，开距≥2mm</t>
  </si>
  <si>
    <t>左右手定则演示器</t>
  </si>
  <si>
    <t>1.左右手定则演示器由塑料底座、电镀撑杆、接线板、方形线圈组成。
2.底座采用优质塑料，规格：168mm×108mm×14mm
3.撑杆长253mm。
4.方形线圈边长80mm
5.接线板长148mm</t>
  </si>
  <si>
    <t>手摇交直流发电机</t>
  </si>
  <si>
    <t>1．本机输出端电压：在转子转速为1600转/分时，空载电压≥8V，串入4.8V，0.3A小灯泡，负载电压≥5V。2．本机两个电刷放在整流子两端时，输出为交流电，放在整流子中间时，输出为直流电。3．转子线圈用Ф0.47～0.49mm高强度漆包线，平绕440匝，误差±5%，转子外表刷绝缘清漆。4．磁铁两极应有明确的表示色,红色为N极,蓝色为S极。5．电枢转轴,由元钢制成,电枢支架上两轴孔的不同轴度≤0.1mm,转手与极靴的距离≤1.5mm,无碰撞和磨擦。6．本机底座为木制,平面无变形,裂缝,四脚平放,不晃动,漆面应光洁,均匀,美观大方。7．底板上各紧固件不得松动,转动部分应灵活,均匀,杂音小。8．对演示效果的要求和测试方法空载电压:交直流电压：≥8V两个电刷片，放在整流子的两端，或中间，输出端效空载，接上交直流电压表，当转子转速为1600转／分时，测得电压为≥8V。测试仪器精度不低于1.5级的仪器。负载电压:交直流电压：≥5V电路连接同上。输出端接上4.8V，0.3A小灯泡作负载，当转子转速为1600转／分时，小灯泡正常发光。电压表测得输出端交直流电压为≥5V。测试仪器精度不低于1.5级的仪器。9．产品应符合JY21－79《手摇交直流发电机》的要求。</t>
  </si>
  <si>
    <t>阴极射线管</t>
  </si>
  <si>
    <t>1、演示阴极射线在磁场内发生偏转的现象，说明阴极射线是从阴极发射出的带电微粒流。。
2、示直进入磁效应阴极射线管由泡壳、挡板、荧光板、阴极、阳极、胶木座等组成。
3、配套仪器：低压直流电源为输出直流10-12V、高压感应圈为火花距离50-80mm、调压变压器为交流220V±10V、直流高压电流为输出直流250V-300V、蹄形磁铁为开口50-70mm、导线和带鳄鱼夹的导线等。</t>
  </si>
  <si>
    <t>烛光</t>
  </si>
  <si>
    <t>鄂州市全宇教学仪器设备有限公司</t>
  </si>
  <si>
    <t>1、演示阴极射线沿直线运动，并能被金属阻挡的现象。
2、示直进阴极射线管由泡壳、金属挡板、支架、阴极、阳极、胶木座等组成。
3、配套仪器：低压直流电源为输出直流10-12V、高压感应圈为火花距离50-80mm、调压变压器为交流220V±10V、直流高压电流为输出直流250V-300V、蹄形磁铁为开口50-70mm、导线和带鳄鱼夹的导线等。</t>
  </si>
  <si>
    <t>1、演示阴极射线使物体发生机械运动的现象，说明阴极射线具有动量和能量。
2、产品由泡壳、导轨支架、小翼轮、圆片电极、胶木座等组成。
3、配套仪器：低压直流电源为输出直流10-12V、高压感应圈为火花距离50-80mm、调压变压器为交流220V±10V、直流高压电流为输出直流250V-300V、蹄形磁铁为开口50-70mm、导线和带鳄鱼夹的导线等。</t>
  </si>
  <si>
    <t>1、演示阴极射线在电场中发生偏转的现象，证明阴极射线是带负电的微粒流。
2、产品由泡壳、挡板、荧光板、电场电极、阴极、阳极、胶木座等组成。
3、配套仪器：低压直流电源为输出直流10-12V、高压感应圈为火花距离50-80mm、调压变压器为交流220V±10V、直流高压电流为输出直流250V-300V、蹄形磁铁为开口50-70mm、导线和带鳄鱼夹的导线等。</t>
  </si>
  <si>
    <t>低频信号发生器</t>
  </si>
  <si>
    <t>10Hz～1MKHz,正弦波功率输出≥5W</t>
  </si>
  <si>
    <t>高频信号发生器</t>
  </si>
  <si>
    <t>0.4MHz～130MKHz分段连续可调,误差±5%</t>
  </si>
  <si>
    <t>学生信号发生器</t>
  </si>
  <si>
    <t>455KHz～1700KHz,误差±5%；中频465KHz，±3%；低频正弦波、方波、锯齿波信号</t>
  </si>
  <si>
    <t>教学信号发生器</t>
  </si>
  <si>
    <t>455KHz～1700KHz,误差±5%；中频465KHz，±2%；低频500Hz、1KHz、1.5KHz、2KHz，2.5KHz</t>
  </si>
  <si>
    <t>24030</t>
  </si>
  <si>
    <t>条形强磁体</t>
  </si>
  <si>
    <t>磁感应强度≥0.8T。外形尺寸：150mm×25mm×15mm，一对纸盒装。</t>
  </si>
  <si>
    <t>24031</t>
  </si>
  <si>
    <t>蹄形强磁体</t>
  </si>
  <si>
    <t>磁感应强度≥0.8T。</t>
  </si>
  <si>
    <t>24032</t>
  </si>
  <si>
    <t>强磁针</t>
  </si>
  <si>
    <t>高磁能积磁体。1.由垂直翼形针体和支座两部分。一对装。2.磁针长度140mm、宽11mm，塑料底座直径70mm。</t>
  </si>
  <si>
    <t>24033</t>
  </si>
  <si>
    <t>通电平行直导线相互作用演示器</t>
  </si>
  <si>
    <t>1.产品能明显、完整地演示通电平行直导线间的电流相互作用（作用力）。
2.产品由主机箱、平行直导线、连接导线、导线支架等组成，具有过载自动保护功能。
3.通电触点为银触点，两银触点间的间距为30mm。
4.两平行直导线为铜材料制管，其直径为4mm。
5.产品能瞬间提供60A以上的电流，以供实验所需。
6.通电动作可连续操作次数大于20次。
7.产品为低能耗产品，其功率小于25W。</t>
  </si>
  <si>
    <t>电流天平</t>
  </si>
  <si>
    <t>用于演示磁场对电流的作用F与电流I、磁感应强度B、及通电导体长度L成正比（即F=BIL)这一规律，同时可用来测定磁感应强度B（B=F/IL）。结构：底座、线圈、立柱、刻度盘、天平臂。</t>
  </si>
  <si>
    <t>安培力演示器</t>
  </si>
  <si>
    <t>1、励磁方式：永磁式（分立平行放置的匀强磁铁）。2、直导线：a、直径：Φ1.6mm紫铜线。b、长度：150mm(磁感线段)。3、工作电源：a、3V-6V。</t>
  </si>
  <si>
    <t>安培力实验器</t>
  </si>
  <si>
    <t>由底座(两面固定带磁的金属板)，力传感器固定架，矩形线圈(可调100匝200匝300匝)连接固定杆组成,连接力传感器使用，也可接入电流传感器。</t>
  </si>
  <si>
    <t>自感现象演示器</t>
  </si>
  <si>
    <t>1、主线圈：带铁芯线圈。2、显示方式：高亮度LED发光二极管3、工作电源：CD3V（5电池二节）尺寸≥500*300mm</t>
  </si>
  <si>
    <t>电磁感应演示器</t>
  </si>
  <si>
    <t>主要由微电流放大器、磁针、直导体、滚动导体、连接导线、蹄形磁钢（U082型）、底座、水平支架等组成。微电流放大器电源电压：DC6V，放大倍数：≥600倍，输入电流：0.5～10uA；磁针采用长140mm，宽8mm的翼形磁针。</t>
  </si>
  <si>
    <t>楞次定律演示器</t>
  </si>
  <si>
    <t>产品由铝梁、铝环（开口环和闭合环各一只）、带顶针的支柱及底座组成。铝梁及铝环采用厚度0.5mm的铝板制作，铝梁长度约140mm，宽度14mm；铝环的直径不小于40mm。底座底面为圆形，底径为φ67mm，支柱及底座总高度约100mm。</t>
  </si>
  <si>
    <t>电磁阻尼演示器</t>
  </si>
  <si>
    <t>产品由摆锺、磁铁、支架、底座等构成，支架为名铝制、磁铁为强磁、摆锺分为强阻尼摆和弱阻尼摆，应采用铝材加工制成，表面光学抛光处理。</t>
  </si>
  <si>
    <t>动能发电手电筒</t>
  </si>
  <si>
    <t>由按柄、齿轮、线圈、磁性飞轮、LED灯泡等组成。</t>
  </si>
  <si>
    <t>单匝线圈电机原理演示器</t>
  </si>
  <si>
    <t>产品由底座、接线柱、转子、强磁铁等构成。能演示交流电的产生原理和演示直流电动机实验。效果明显。1.底座尺寸不小于290mm×190mm。2.转子由支架、换向器、碳刷、转轴、线圈构成。支架为厚1.5mm冷轧板冲压成型，表面电镀处理；换向器为两个半圆铜环，内为绝缘芯；碳刷为厚不大于0.3mm磷铜加工制成；转轴为直径6mm，长不小于100mm铝棒加工制成；线圈为单股漆包线，直径为1mm，组成长方形的尺寸为65mm×45mm；强磁外形尺寸为70mm×30mm×15mm。磁场强度不低于0.07T。</t>
  </si>
  <si>
    <t>三相电机原理演示器</t>
  </si>
  <si>
    <t>1.由永磁式旋转磁场演示器和电磁式旋转磁场演器两部分组成。2.附件磁针为冀形，长约40mm，铝框尺寸约：40mm×60mm，塑料框尺寸约：40mm×60mm鼠笼转子尺寸约：φ33mm×40mm.。</t>
  </si>
  <si>
    <t>手摇三相交流发电机</t>
  </si>
  <si>
    <t>1．手摇三相交直流发电机由发电机、星形负载板和三角形负载板组成采用直流激磁方式手摇发电。2．当转子激磁电压为6V、转速1500转/分，输出频率为25Hz时，3．产品应符合JY23－88《手摇三相交直流发电机》的要求。</t>
  </si>
  <si>
    <t>三线电子开关</t>
  </si>
  <si>
    <t>1、输入阻抗：300KΩ//40PFA、B、C相同；2、最大输入耐压：≥200V（DC+AC）；3、开关频率：50Hz～50KHz连续可调；4、放大系数：≥3倍A、B、C相同；5、最大相对位移：≥4伏；6、输入通道间隔离比：≥30分贝；7、输出极性</t>
  </si>
  <si>
    <t>交流电路特性演示器</t>
  </si>
  <si>
    <t>大电感、小电感、大电容、小电容，电阻</t>
  </si>
  <si>
    <t>可拆变压器</t>
  </si>
  <si>
    <t>产品由单相芯式变压器铁芯、变压器线圈及铁芯压紧螺钉装置等组成，仪器外形尺寸约170×95×180mm。铁芯由U形铁芯、条形轭铁组成，U形铁芯截面尺寸约30×33mm，条形铁轭截面尺寸约28×24mm，铁芯窗口高60mm，宽58mm；线圈采用高强度漆包线绕制，线圈共两个，其中一个总匝数为1400匝，分别在200匝及800匝处抽头，另一个线圈共400匝，在100匝处抽头。</t>
  </si>
  <si>
    <t>小型变压器</t>
  </si>
  <si>
    <t>额定功率：0.5W输入电压：220V输出电压：9V频率特性：50-60赫兹防潮方式：开放式冷却方式：自然冷却</t>
  </si>
  <si>
    <t>变压器原理说明器</t>
  </si>
  <si>
    <t>供中学物理演示实验中作变压器原理的定量演示用。仪器由：线圈2件、U型铁芯2件、条形铁轭1件、极掌2件、压板螺钉2件、强阻尼摆1件、弱阻尼摆1件、摆架1件、示教板1套（规格：215×155mm）、感应线圈1件、铝环1件、低压小灯泡5只（6V、15A4只，1.5V0.2A1只）等组成。</t>
  </si>
  <si>
    <t>日光灯原理演示器</t>
  </si>
  <si>
    <t>日光灯原理演示器由实验座、荧光灯、镇流器、启辉器、电源开关、电源线等组成。演示板采用工程塑料成型，尺寸为490×270×55mm；产品荧光灯采用15W双端荧光灯。</t>
  </si>
  <si>
    <t>电子束演示器</t>
  </si>
  <si>
    <t>1、加速极电压：0～200伏连续可调2、偏转板电压：电压幅度0～40伏连续可调电压方向：上正、断路、下正三档3、电源：220V±10%50Hz4、功率消耗：小于8瓦</t>
  </si>
  <si>
    <t>阴极射线演示器</t>
  </si>
  <si>
    <t>热阴极射线管演示器是作为中学物理教学中演示电子束在电场、磁场中运动轨迹及说明示波管原理用。产品由电源、扫描发生器、射线管显示控制电路三部分组成。1.额定电压：AC220V。2.额定输入功率：10W。3.加速极电压：335-440V。4.Y偏转板电压：0-70V。5.扫描频率范围：25-50Hz。6.X偏转板电压：-75-75V。7.金属外壳，尺寸：280mm×190mm×140mm。</t>
  </si>
  <si>
    <t>门电路和传感器应用实验箱</t>
  </si>
  <si>
    <t>与门、或门、非门电路、干簧管、温度传感器、热敏电阻、光敏电阻、感温铁氧体、霍尔元件等应用实验</t>
  </si>
  <si>
    <t>电学元件黑箱</t>
  </si>
  <si>
    <t>电学元件黑箱为四个抽屉式的探测单元，各个单元的面板上有三个呈三角形分布的测试点，各测试点之间接有各种电学元件。电学元件有电阻、电池、二极管三种。三个接点，两个元件(电池、电阻、二极管均可更换)。</t>
  </si>
  <si>
    <t>低气压放电管组</t>
  </si>
  <si>
    <t>由六支大小相同抽空密封的长玻璃管组成。里面的气压分别为40、10、3、1、0.1、0.02㎜Hg，每支玻璃管两端各装有一个电极，玻璃管直径24mm,长400，整体尺寸：340*120*450mm</t>
  </si>
  <si>
    <t>电谐振演示器</t>
  </si>
  <si>
    <t>发送：放电距离0.2㎜～2㎜可调，来顿瓶电容≥500pF；接收：来顿瓶电容≥500pF，可变电容3500pF～8500pF</t>
  </si>
  <si>
    <t>赫兹实验演示器</t>
  </si>
  <si>
    <t>产品由发射部分和接收部分组成（即A、B两套件），产品由底座、支架、拉杆天线、低压灯管、放电球等组成。1.底座采用胶合板制成，外形尺寸：300mm×100mm×18mm。2.支架采用透明有机玻棒制成，直径12mm，高度不小于200mm。3.拉杆天线可上下移动或抻缩，能停在任一位置。4.低压灯管应为无色透明的材料制成，两端为导电体，与放电球接合良好。5.放电球直径不大于10mm，放电球由一调节丝杆固定，调节丝杆的调节范围不小于30mm。</t>
  </si>
  <si>
    <t>电磁振荡演示仪</t>
  </si>
  <si>
    <t>演示阻尼振荡,等幅振荡,振荡频率与振荡电路的电容、电感关系。产品由演示面板、框架、支脚等组成。1.演示面板的电路图线清晰，分等幅和减幅振荡演示内容，并有选择开关和波形调节以及连接导线。2.框架为塑料制，能固定演示板和背板，四角为塑料包边，外形尺寸：460mm×310mm×55mm。3.支脚为塑料制，竖直后能使演示板有一定的倾斜度。4.外接直流电：6V。</t>
  </si>
  <si>
    <t>电磁波的发送和接收演示器</t>
  </si>
  <si>
    <t>发射器频率225MHz～250MHz,等幅、调幅；接收器有声、光、电显示。产品由发射机部分、接收机部分、电表演示接收器、放大接收器四大部分构成。</t>
  </si>
  <si>
    <t>电磁波的干涉衍射偏振演示器</t>
  </si>
  <si>
    <t>产品由带体效应管振荡器的发生器、喇叭天线接收器、振子接收器、连接电缆、反射板、石腊棱镜、木质折射体、木质吸收体、搁架等组成。1.发射器：频率10GHz±1GHz，等幅波输出≥10mW。2.接收器：喇叭天线接收距离≥1m，振子接收距离≥0.5m，有声、光、电显示。</t>
  </si>
  <si>
    <t>密立根油滴仪</t>
  </si>
  <si>
    <t>平均相对误差：≤3%；板极电压：0~900VDC；电子分划板刻度：油滴下落距离2mm;配10寸液晶监视器</t>
  </si>
  <si>
    <t>电子比荷实验仪</t>
  </si>
  <si>
    <t>1.仪器由箱体、示波管等组成，箱体上端应附提手。面板上应附量程为3A的安培表、量程为1500V的伏特表、开关、旋钮等。详细参数如下：
2.额定电压：AC,220V
3.额定频率：50Hz
4.最大输入功率不小于85W
5.低压直流电源：电流强度0.2A～1.5A，1.5A～2.5A，各档连续可调。电流方向可转换。
6.螺线管参数：螺线管单位长度匝数N=3800匝/米。
7.示波管参数：焚光屏至y偏转板距离l≈0.148m
8.连续工作时间：1h
9.使用环境条件：温度-10～40℃，相对湿度不大于85%（40℃）
10.仪器外形尺寸应不小于380mm×190mm×320mm
11.质量：11kg</t>
  </si>
  <si>
    <t>三水西南</t>
  </si>
  <si>
    <t>佛山市三水西南教学仪器厂</t>
  </si>
  <si>
    <t>半导体致冷器</t>
  </si>
  <si>
    <t>产品由致冷组件、支杆、底座、水槽、接线装置、电源导线、取冰器等组成。致冷组件由储冷板（铝槽）、陶瓷片、散热块、导热硅脂等组成。铝槽由厚度不小于1mm的铝板制作，内空尺寸：≥40×40mm，深约10mm。支杆采用直径φ8mm的金属杆制作，支杆高度145mm，表面镀铬；底座外形尺寸：≥230×110×30mm；水槽采用“372”材料制作，内空尺寸≥100×100×100mm，壁厚不小于2mm；电源导线采用多股铜芯绝缘软导线，内接导线长度250mm，外接导线长度300mm。产品的工作电压为DC：12V、3A</t>
  </si>
  <si>
    <t>整流电路实验器</t>
  </si>
  <si>
    <t>产品由实验座、连接导线、各器件模块组成。实验座采用ABS工程塑料压制，外形尺寸约为400×380×40mm；实验模块包括：桥式整流模块一块：（由四只1N4007二极管组成）；半波整流模块一块：（由一只二极管和一根短接线组成）；电解电容模块：470 uF、10 uF、4.7uF各一只；滤波模块：300Ω、1KΩ各一只；实验器将该实验分成4大部分。</t>
  </si>
  <si>
    <t>光学﹑原子物理</t>
  </si>
  <si>
    <t>光具盘</t>
  </si>
  <si>
    <t>1．产品由矩形光盘、圆形光盘、光源、狭缝、光学零件等组成的磁吸附式光具盘。2．矩形光盘尺寸为：650mm×240mm，平面度误差不大于2mm。3．圆形光盘直径为250mm，平面度误差不大于1mm。装在矩形光盘上应转动灵活，并能停止在任意位置上。4．光源电压不大于24V，电流不大于6A。光源出口处照度不小于6Klx。开启光源后，外壳最大温升不大于60°。5．狭缝数不小于7条，缝宽为3±0.2mm，相邻两条缝的中心距为13±0.5mm。6．光学零件：梯形玻璃砖1个，等腰直角三棱镜1个，半圆柱透镜1个，凹凸柱面镜1个，大双凸柱透镜1个，小双凸柱透镜1个，小双凹柱透镜1个，平面反射镜1个，正三棱镜2个，双凸透镜1个。</t>
  </si>
  <si>
    <t>凹面镜</t>
  </si>
  <si>
    <t>由凹面镜体，托架、支柱、底座各部分组成。托架、支柱、底座均为金属制品。底座直径≥Φ100mm，厚度≥1mm，表面涂清漆，支柱直径≥Φ6mm，表面电镀，托架呈半圆形，厚度≥2mm，半圆直径≥Φ100mm。凹面镜体直径≥Φ85mm。产品应符合JY138－82《凹、凸面镜》的有关规定。</t>
  </si>
  <si>
    <t>凸面镜</t>
  </si>
  <si>
    <t>由凸面镜体，托架、支柱、底座各部分组成。托架、支柱、底座均为金属制品。底座直径≥Φ100mm，厚度≥1mm，表面涂清漆，支柱直径≥Φ6mm，表面电镀，托架呈半圆形，厚度≥2mm，半圆直径≥Φ100mm。凹面镜体直径≥Φ85mm。产品应符合JY138－82《凹、凸面镜》的有关规定。</t>
  </si>
  <si>
    <t>玻璃砖</t>
  </si>
  <si>
    <t>1．外形尺寸：上底长≥35mm；两底角为60±0.5°和45±0.5°；高度为35±1mm；厚度为15±1mm。2．玻璃料的一拉质量要求应符合GB903一65《无色光学玻璃》中的要求，</t>
  </si>
  <si>
    <t>光具座</t>
  </si>
  <si>
    <t>1.导轨采用铝合金结构。2、主机由铝合金导轨，支脚、滑块、刻度尺组成。3、导轨全长1000mm。4、附件：光源筒∽6v-8v3w;双凸透镜≥35mmf=100mm、≥25mmf=50mm;平凸透镜≥45mm，双凹透镜≥25mm;一字屏100×80mm2;白色光屏100×80mm2;毛玻璃120×80mm2；烛台φ26mm；插杆φ6×110mm2。5、导轨上附刻度尺总长1000mm,滑块上应有一中央刻线,利于学生读数。6、符合JY0034要求。</t>
  </si>
  <si>
    <t>三棱镜</t>
  </si>
  <si>
    <t>由三棱镜体、托架、支柱、底座等组成。玻璃材料应符合GB903-65《无色光学玻璃》中的规定；外形尺寸约≥90mm×90mm×180mm。产品应符合JY142－82《三棱镜》的有关规定。</t>
  </si>
  <si>
    <t>白光的色散与合成演示器</t>
  </si>
  <si>
    <t>1．产品由三棱镜2个（一对）、光源、光屏及底座等组成。2．两块棱镜应配对，其折射率之差不大于0.003，中部色散之差不大于0.0004。3．三棱镜的顶角为60±0.5°，有效边长≥25mm，高度≥25mm，非工作面磨砂。应有保护性倒角。4．产品应符合的要求JY0310-91《白光的色散与合成演示器技术备件》的规定。</t>
  </si>
  <si>
    <t>透镜及其应用实验器</t>
  </si>
  <si>
    <t>由凹透镜、凸透镜、透镜支架、套圈、底座等组成</t>
  </si>
  <si>
    <t>光的折射全反射实验器</t>
  </si>
  <si>
    <t>由刻度盘、底座、激光笔、玻璃管、套筒等组成</t>
  </si>
  <si>
    <t>光的干涉衍射偏振演示器</t>
  </si>
  <si>
    <t>光源单缝缝宽a=0.025,a=0.11,牛顿环直径32mm，偏振片直径32mm，投影透镜直径30mm,符合教学实验要求</t>
  </si>
  <si>
    <t>激光光学演示仪</t>
  </si>
  <si>
    <t>产品由激光器、扩束器、分束器、演示屏、度盘、移动尺及光学附件组成。激光器机箱及演示屏均采用厚度不小于1mm的铁板制作，机箱外形尺寸约415×140×120mm，演示屏尺寸为350×280mm；度盘直径约160mm，度盘上有纵横两直径把圆周分为四个象限，每个象限划分为90°。圆盘圆周印制刻度，分度值为10°，每30°标注刻度数字，度盘中心孔为Φ13mm，用于插放光学组件。光学组件包括：平面镜1只、双平面镜1只、漫反射镜1只、半圆柱透镜1只、直角棱镜1只、潜望镜1只、平行平板1只，螺形玻璃棒1只、凹凸面反光镜1只、双凸透镜1只、等边棱镜1只、望远镜1只、平凸透镜1只、平凹透镜1只、扩束透镜（f=15）1只、劈尖1只、起偏器1只、检偏器1只、偏振器插片座1只、1#光刻衍射片1只、光具架1只、牛顿环1只。1#光刻衍射片结构尺寸：单缝0.1mm，双缝0.1×0.1mm，三缝：0.08×0.08mm，四缝：0.06×0.12mm，光栅：0.08×0.08mm：0.04×0.08mm；圆孔：Φ0.4mm；方孔：0.3×0.3mm；矩孔：0.25×0.4mm；三角孔：0.4mm。</t>
  </si>
  <si>
    <t>微型物理光学观察器</t>
  </si>
  <si>
    <t>半导体激光器，光的干涉、多种衍射(单缝、多缝、圆孔、异形孔、单丝、圆屏、刀口等)</t>
  </si>
  <si>
    <t>双缝干涉实验仪</t>
  </si>
  <si>
    <t>主要部件有遮光管、照明系统、双缝、观察筒及测量头。照明系统包括光源灯泡、透镜、遮光板、光源单缝及滤色片。双缝有两块，观察筒由筒体、毛玻璃屏及目镜组成。测量头上有游标尺、分划板、滑座、滑块、目镜、手轮等。光源的供电电压12伏，功率为15～24瓦。</t>
  </si>
  <si>
    <t>牛顿环</t>
  </si>
  <si>
    <t>由球面玻璃和平面玻璃组成，平凸透镜的曲面半径2000mm以上，直径25mm以上</t>
  </si>
  <si>
    <t>光导纤维应用演示器</t>
  </si>
  <si>
    <t>高中物理教学演示光导纤维具有传光、传声、传像功能。仪器由机座、控制面板、传声光纤束、传像光纤束、电源线等组成。机座（也兼作仪器盒）采用木材制作，外形尺寸330×260×70mm，幻灯镜头为15×15mm，反光镜尺寸为40×25mm；电路原理图印制于面板上。</t>
  </si>
  <si>
    <t>25022</t>
  </si>
  <si>
    <t>光的偏振观察器</t>
  </si>
  <si>
    <t>产品由带座框的两块偏振片组成部分。1.整体塑料压制成型，主体（Φ49mm×25mm),底座（Φ59mm×10mm）。2.偏振片直径约35mm，座框外缘带有指示刻度（0-360度）每小格值45度。</t>
  </si>
  <si>
    <t>紫外线作用演示器</t>
  </si>
  <si>
    <t>技术要求1．产品由防紫外线罩，紫外线灯，日光灯，滤光片，荧光片，主机盒等组成。2．使用电源AC220V±22V50Hz.3．紫外线灯为AC220V6W波长265mm、254mm各一只。4．日光灯：220V，8W一只。5。12、符合JY0001－2003《教学仪器一般质量要求》的有关规定。</t>
  </si>
  <si>
    <t>红外线作用演示器</t>
  </si>
  <si>
    <t>本仪器分为红外线发现实验器、红外线性质说明器、红外线控制器三部分组成。1.红外线发现实验器由平行光源、三棱分光镜及暗箱等构成，暗箱为金属制，表面烤黑漆，光源为12V30W的卤钨灯。2.红外线性质说明器由凹面镜（直径90mm）热辐射物体（直径约25mm钢球）及底座构成，底座为冷板冲压成型，表面处理，尺寸：230mm×105mm×14mm。3.红外线控制器由发射装置、接收装置两部分构成，外接DC6V电源。</t>
  </si>
  <si>
    <t>手持直视分光镜</t>
  </si>
  <si>
    <t>本分光镜采用光学玻璃，制成复合棱镜和会聚透镜，将平行光管与棱镜装在一个套管内，狭缝与会聚透镜产生的平行光束，通过棱镜，可用眼直接观察色散光谱。利用它可以对各种发光体的光谱进行分析。主要部件：1.保护片2.单缝3.透镜4.组合棱镜5.保护片。</t>
  </si>
  <si>
    <t>棱镜分光镜</t>
  </si>
  <si>
    <t>分光镜仪器的结构为在底座上装有镜台、准直管固定在镜台上、约位于三棱镜的最小偏向角的方向。标度管可以绕镜台边缘上的固定螺丝转动，望远镜可以沿镜台边缘移动、并都用螺丝固定，三棱镜用支夹固定在镜台中央，并有三棱镜罩罩住。</t>
  </si>
  <si>
    <t>光谱管组</t>
  </si>
  <si>
    <t>光谱管组是一种低气压放电管，用来观察气体的发射光谱。每组6支，每支玻璃管两端均装有电极，管内抽真空至≤10－3Pa后，分别充进氢、氮、氧、二氧化碳、氖和氩等气体（气压为1009—2000Pa），为了增强气体的发光亮度，管的中部制成窄的管道。6支光谱管共装在一个带金属夹片的框架上，底座上的接线柱与各管下面的电极都相通。将感应圈或高压电源的一端接在与底座相连的电极上，另一端通过导线接在带绝缘柄的金属导杆上。实验时，用导杆任意与一支光谱管的顶部电极相接，使此管内气体产生辉光放电。由于处于气态的各种元素或化合物都有它本身所固有的明线光谱或带状光谱，用分光镜来观察时，可以看到：氢和氩的线状光谱，氮和二氧化碳的带状光谱等。</t>
  </si>
  <si>
    <t>钠的吸收光谱演示器</t>
  </si>
  <si>
    <t>产品由钠管、钠管加热炉、防护散热罩、光源、立柱、底盘等组成。加热炉炉膛长≥80mm，内径φ25mm。炉膛两端有厚度≥2mm的耐热玻璃光窗，加热炉工作电压为AC24V，电流约为5A；防护散热罩采用φ0.5mm厚的铝板制作。</t>
  </si>
  <si>
    <t>光电效应演示器</t>
  </si>
  <si>
    <t>用于演示中学物理的光电效应现象，仪器采用锌板及紫外线光源演示。产品由光电效应演示器（主机）、锌板及铜丝网、连接线、光源（紫外灯、目光灯）及细砂纸组成。1.主机外壳为全塑料，外形尺寸：195mm×175mm×75mm（±5%）。面板上高有电源开关、高压输出和检流计端子、调零旋扭及电源指示灯。2.锌板及铜网外形尺寸：220mm×175mm×19mm（±5%）。</t>
  </si>
  <si>
    <t>产品供中学物理教学演示光电效应之用。原理：光电管在光源照射下产生光电效应现象。产品由演示面板、电压表、电流表、光电管、光源、电压调节旋钮等组成。1.直流5mA电流表；2.演示面板尺寸不小于450mm×300mm，面板图线清晰、正确。</t>
  </si>
  <si>
    <t>太阳电池演示器</t>
  </si>
  <si>
    <t>产品由机壳、太阳能电池板、小电机、风叶、蜂鸣器、转换开关等组成。最大开路电压：3.5V；最大短路电流：50mA；蜂鸣器工作电压：3V，蜂鸣器工作电流：20mA；风叶电机工作电压：3V，风叶电机工作电流：30mA。</t>
  </si>
  <si>
    <t>X射线演示仪</t>
  </si>
  <si>
    <t>热阴极X射线管、高压电源、防护机箱等组成。</t>
  </si>
  <si>
    <t>盖革计数器</t>
  </si>
  <si>
    <t>1、计数管：J305β、γ   工作寿命10^9次。2、显示方式：声响：&gt;70dB及液晶显示。数码：6位LED数码管。3、工作电源：220V±10％、50Hz</t>
  </si>
  <si>
    <t>25114</t>
  </si>
  <si>
    <t>威尔逊云雾室</t>
  </si>
  <si>
    <t>杠杆式</t>
  </si>
  <si>
    <t>高温扩散云雾室</t>
  </si>
  <si>
    <t>220V电源，演示持续不间断，云雾现象明显，有专用放射源盒（铝盒内部灌铅），有三个视窗盖拉扣（体现三角固定的稳定性，安全可靠）</t>
  </si>
  <si>
    <t>25115</t>
  </si>
  <si>
    <t>普朗克常量测定器</t>
  </si>
  <si>
    <t>中空光电管，滤光片635nm,570nm,540nm,550nm,460nm,加速极电压误差&lt;2%，暗电流&lt;0.003uA，220V/25W白炽灯泡，电流放大器增益60db.</t>
  </si>
  <si>
    <t>嘉远</t>
  </si>
  <si>
    <t>嘉兴市远航环保教育仪器有限公司</t>
  </si>
  <si>
    <t>模型</t>
  </si>
  <si>
    <t>物理</t>
  </si>
  <si>
    <t>液压机模型</t>
  </si>
  <si>
    <t>产品由大缸体、小缸体、角式截气阀、底座、压力表和压力弹簧等构成。1.大小活塞为透明材料，外径分别为57mm、22mm。2.底座为塑料注塑成型，外形尺寸约：230mm*130mm*50mm，中心部位为油箱。3.压力表示值：最大值为2.5Mpa。4.整体高度：280mm。</t>
  </si>
  <si>
    <t>汽油机模型</t>
  </si>
  <si>
    <t>1、汽油机模型由底座、模型主体、接线柱、电池槽等组成。2、产品用途：物理教学中演示四冲程单缸汽油机的结构及工作原理。3、产品规格：高度≥300mm，底座140*100mm，可使用2节5号电池或直流教学电源供电，压缩比：6，材料；工程塑料</t>
  </si>
  <si>
    <t>柴油机模型</t>
  </si>
  <si>
    <t>金属或硬塑料制成，高度≥300mm。由进气管、进气阀、排气管、排气阀、气缸、活塞、连杆、曲轴、喷油嘴、油针、齿轮、凸轮总成、手柄齿轮、介轮、挺杆等组成，外壳剖开，能看清内部结构。模型能直观地演示出吸气过程、压缩过程、做功过程及排气过程，在做功冲程时，油针应开启。</t>
  </si>
  <si>
    <t>磁分子模型</t>
  </si>
  <si>
    <t>外形尺寸≥95×130mm全透明塑料盒，下底安插二十四枚钢针，排列成四行，每行六枚，钢针上安放二十四枚小磁针片，每枚小磁针都可以绕钢针自由转动。</t>
  </si>
  <si>
    <t>离心机械模型</t>
  </si>
  <si>
    <t>仪器包括离心干燥器、离心分离器、离心节速器。离心干燥器由内桶和外桶组成，内桶尺寸Φ72mm×71mm，外桶尺寸Φ116mm×72mm；离心分离器由支承框架、离心套、离心管等组成。离心套采用透明塑料制成，内径Φ20mm，高100mm；离心节速器由调节器、节流阀等组成。</t>
  </si>
  <si>
    <t>晶体空间点阵模型</t>
  </si>
  <si>
    <t>全塑料制。产品由氯化钠晶体结构模型、金刚石晶体结构模型、石墨晶体结构模型三种晶体结构模型组成。</t>
  </si>
  <si>
    <t>蒸汽机模型</t>
  </si>
  <si>
    <t>产品由气缸、活塞、连杆、小飞轮、汽室、滑阀、凸轮、大飞轮、飞轮支架、底板等构成。外形尺寸约：165mm×120mm×200mm。演示蒸汽机工作原理过程。为吹动模型。</t>
  </si>
  <si>
    <t>蒸汽轮机模型</t>
  </si>
  <si>
    <t>产晶由外汽缸、缸体剖视体、叶轮支架、叶轮、叶轮轴、汽缸支架、底座等组成。外形尺寸约280mm×120mm×130mm，所有材质为金属、有机玻璃、塑料制。外汽缸为透明塑料。为可动模型。</t>
  </si>
  <si>
    <t>燃气轮机模型</t>
  </si>
  <si>
    <t>产品由缸体剖视体、外汽缸、叶轮支架、压气机叶轮、燃烧室剖体、透平叶轮、叶轮轴、缸体支架、底板构成。外形尺寸约280mm×120mm×140mm，所有材质为金属、有机玻璃、塑料制。外汽缸为透明塑料。为可动模型。</t>
  </si>
  <si>
    <t>高压输变电模拟演示器</t>
  </si>
  <si>
    <t>演示器为两对输电线路，线路中每根导线电阻均相同（4欧），其中一对线路终点直接接用电器（3.8V小灯泡），另一对线路外接交流2-4V的电压升压变压器（升压比12：1），升压后经输电线路降压变压器（降压比1：12）降压后再输送到用电器（3.8V小灯泡）。产品由底座、变压器、支架、灯泡、灯座等组成。底座采用木质，外形尺寸：约500mm×195mm×16mm。</t>
  </si>
  <si>
    <t>车床变速器模型</t>
  </si>
  <si>
    <t>材料；有机玻璃、塑料。直观的看到齿轮的变换过程和轮子的转速变化。尺寸≥300*200mm</t>
  </si>
  <si>
    <t>汽车变速箱模型</t>
  </si>
  <si>
    <t>常用于演示汽车变速箱的结构和基本原理。结构比较形象。带档位调节。材料；全金属材料，两档变速</t>
  </si>
  <si>
    <t>机械机构模型</t>
  </si>
  <si>
    <t>曲柄摇杆机构、双曲柄机构、双摇杆机构、曲柄滑块机构、凸轮机构，材料；有机玻璃、塑料,尺寸≥300*200mm</t>
  </si>
  <si>
    <t>机械传动模型</t>
  </si>
  <si>
    <t>含齿轮传动、皮带传动、链传动、蜗轮蜗杆传动、摩擦轮传动，材料；金属、塑料、木质，手动或电动</t>
  </si>
  <si>
    <t>液压传动模型</t>
  </si>
  <si>
    <t>由缸体、底座、压力表、拉杆等组成</t>
  </si>
  <si>
    <t>汽车刹车系统模型</t>
  </si>
  <si>
    <t>产品主要由底板、小电机、大（小）皮带轮、刹车碟、油路管、液压缸、支架等组成。尺寸：≥300×200×150mm。电机起动电压：DC6-8V；刹车碟直径：φ110mm。液压缸尺寸：φ22×30mm。</t>
  </si>
  <si>
    <t>（6）</t>
  </si>
  <si>
    <t>玻璃仪器</t>
  </si>
  <si>
    <t>计量</t>
  </si>
  <si>
    <t>量筒</t>
  </si>
  <si>
    <t>1.标称容量：10mL，量入式允差±0.1mL，量出式允差±0.1mL；2.最小分度：0.2mL；3.透明钠钙玻璃材质；4.底座和口部边缘应做熔光处理，口边应与量筒的轴线垂直；5.量筒放在平台上，不应摇晃，空量筒放在15°的斜面上不应跌倒；6.底座可以采用玻璃制作，也可以使用塑料或其他材料（与身部分离），底部可以是六角形也可以是其他形状；7.当从量筒向外倾倒液体时，液体呈一束细流流出，不应外溢，不应沿壁外流；8.所有分度线应位于与量筒轴线相垂直的平面内；量筒的最低分度线应从标称容量的10%起向上分度；9.量筒的外表面和内表面不应有破皮气泡和薄皮气泡、密集小气泡和积水条纹存在。</t>
  </si>
  <si>
    <t>苏创</t>
  </si>
  <si>
    <t>江苏省苏创教学设备有限公司</t>
  </si>
  <si>
    <t>1.标称容量：50mL，量入式允差±0.25mL，量出式允差±0.25mL；2.最小分度：1.0mL；3.透明钠钙玻璃材质；4.底座和口部边缘应做熔光处理，口边应与量筒的轴线垂直；5.量筒放在平台上，不应摇晃，空量筒放在15°的斜面上不应跌倒；6.底座可以采用玻璃制作，也可以使用塑料或其他材料（与身部分离），底部可以是六角形也可以是其他形状；7.当从量筒向外倾倒液体时，液体呈一束细流流出，不应外溢，不应沿壁外流；8.所有分度线应位于与量筒轴线相垂直的平面内；量筒的最低分度线应从标称容量的10%起向上分度；9.量筒的外表面和内表面不应有破皮气泡和薄皮气泡、密集小气泡和积水条纹存在。</t>
  </si>
  <si>
    <t>1.标称容量：100mL，量入式允差±0.5mL，量出式允差±0.5mL；2.最小分度：1.0mL；3.透明钠钙玻璃材质；4.底座和口部边缘应做熔光处理，口边应与量筒的轴线垂直；5.量筒放在平台上，不应摇晃，空量筒放在15°的斜面上不应跌倒；6.底座可以采用玻璃制作，也可以使用塑料或其他材料（与身部分离），底部可以是六角形也可以是其他形状；7.当从量筒向外倾倒液体时，液体呈一束细流流出，不应外溢，不应沿壁外流；8.所有分度线应位于与量筒轴线相垂直的平面内；量筒的最低分度线应从标称容量的10%起向上分度；9.量筒的外表面和内表面不应有破皮气泡和薄皮气泡、密集小气泡和积水条纹存在。</t>
  </si>
  <si>
    <t>量杯</t>
  </si>
  <si>
    <t>1.标称容量：250mL；.最小分度：25mL；3.最高标线到内底最小距离：110mm；4.量入式允差±3.0mL，量出式允差±3.0mL；5.透明钠钙玻璃材质；6.底座和口部边缘应做熔光处理，口边应与量筒的轴线垂直；7.量杯放在平台上，不应摇晃，空量杯放在15°的斜面上不应跌倒；8.底座可以采用玻璃制作；9.当从量杯向外倾倒液体时，液体呈一束细流流出，不应外溢，不应沿壁外流；10.外表面和内表面不应有破皮气泡和薄皮气泡、密集小气泡和积水条纹存在。可有不影响计量读数和强度的轻微缺陷存在。</t>
  </si>
  <si>
    <t>加热</t>
  </si>
  <si>
    <t>试管</t>
  </si>
  <si>
    <t>1.高硼硅玻璃材质；厚薄均匀，不得有刺手现象；2.规格：试管外径Φ15mm；试管高150mm；壁厚1mm，急冷温差＞200℃。3.内应力双折射的光程差≤180nm/cm；4.试管应无影响其性能的缺陷。截面应为适度的圆形；5.试管口部是熔光的平口。管口应平整、光滑，不得有裂口、裂纹存在；6.试管的底部应基本为半球形，半球形的最大直径应不超过外径的18%，底厚至少为平均壁厚的66.7%，但不得超过166.7%。</t>
  </si>
  <si>
    <t>1.高硼硅玻璃材质；管口应切平正烘光，底部圆正，厚薄均匀，不得有刺手现象；2.规格：试管外径Φ30mm；试管高200mm；急冷温差＞200℃；3.内应力双折射的光程差≤180nm/cm；4.试管应无影响其性能的缺陷。截面应为适度的圆形；5.试管口部是熔光的平口。管口应平整、光滑，不得有裂口、裂纹存在；6.试管的底部应基本为半球形，半球形的最大直径应不超过外径的18%，底厚至少为平均壁厚的66.7%，但不得超过166.7%。</t>
  </si>
  <si>
    <t>烧杯</t>
  </si>
  <si>
    <t>1.高硼硅玻璃材质；2.规格：250mL；尺寸：外径70.0±2.0mm，全高95.0±2.0mm，急冷温差不小于200℃；3.满容量应超过标称容量的10%，满容量和标称容量两液面间距≥10mm；4.烧杯上标志应清晰、耐久；5.造型规范、薄厚均匀、无明显偏斜，底部不允许有结石、节瘤存在；应力消除：在偏光仪下呈紫色。</t>
  </si>
  <si>
    <t>1.高硼硅玻璃材质；2.规格：500mL；尺寸：外径85.0±2.0mm，全高120.0±3.0mm，急冷温差不小于200℃；3.满容量应超过标称容量的10%，满容量和标称容量两液面间距≥10mm；4.烧杯上标志应清晰、耐久；5.造型规范、薄厚均匀、无明显偏斜，底部不允许有结石、节瘤存在；应力消除：在偏光仪下呈紫色。</t>
  </si>
  <si>
    <t>烧瓶</t>
  </si>
  <si>
    <t>1.规格：圆底，500mL；2.细口球形圆底烧瓶颈与壁部的过渡半径等于颈外径的5%；3.底部不允许存在结石；薄皮气泡、破气泡不允许存在；4.制造烧瓶的玻璃应无色透明，允许带有玻璃本身的浅黄绿色；5.内应力双折射的光程差数值不应超过180nm/cm；6.烧瓶颈应上下粗细一致，不应有明显的弯曲，颈与壁部过渡半径约等于颈的半径，瓶口可以翻边或圆口；瓶口边缘应熔光；7.不允许有严重的条纹存在，不允许有明显的能目测的铁锈、铁屑存在。</t>
  </si>
  <si>
    <t>61034</t>
  </si>
  <si>
    <t>1.高硼硅玻璃材质；2.规格：平底，250mL；3.细口球形平底烧瓶放在平台上不应旋转或摇晃；4.烧瓶颈应上下粗细一致，不应有明显的弯曲，不允许有严重的条纹存在，不允许有明显的能目测的铁锈、铁屑存在。</t>
  </si>
  <si>
    <t>61037</t>
  </si>
  <si>
    <t>酒精灯</t>
  </si>
  <si>
    <t>150mL</t>
  </si>
  <si>
    <t>漏斗</t>
  </si>
  <si>
    <t>90mm</t>
  </si>
  <si>
    <t>分液漏斗</t>
  </si>
  <si>
    <t>筒形，250mL</t>
  </si>
  <si>
    <t>平底管</t>
  </si>
  <si>
    <t>φ12mm×150mm</t>
  </si>
  <si>
    <t>T形管</t>
  </si>
  <si>
    <t>玻璃T形导管7-8mm玻璃三通管</t>
  </si>
  <si>
    <t>可密封长玻璃管</t>
  </si>
  <si>
    <t>内径10mm×1000mm，有胶塞，带刻度衬板</t>
  </si>
  <si>
    <t>材料和配套用品</t>
  </si>
  <si>
    <t>镊子</t>
  </si>
  <si>
    <t>不锈钢板材制成，镊子的宽度不小于9mm，镊子的长度为140mm±5mm（±2mm）。</t>
  </si>
  <si>
    <t>陶土网</t>
  </si>
  <si>
    <t>网格较为均匀且规整</t>
  </si>
  <si>
    <t>玻璃管</t>
  </si>
  <si>
    <t>千克</t>
  </si>
  <si>
    <t>φ7～φ8mm</t>
  </si>
  <si>
    <t>乳胶管</t>
  </si>
  <si>
    <t>米</t>
  </si>
  <si>
    <t>1、产品用优质乳牛胶制造。2、产品内径为5～6mm，壁厚1mm。3、产品每根之长度应不和于10米。4、产品应符合国标GB1189-81《胶管外观质量》的规定。</t>
  </si>
  <si>
    <t>（8）</t>
  </si>
  <si>
    <t>其它实验材料和工具</t>
  </si>
  <si>
    <t>实验材料</t>
  </si>
  <si>
    <t>电工材料</t>
  </si>
  <si>
    <t>鳄鱼夹、插口夹、香蕉插头、电阻丝、锌片、铜片、灯泡(15W、60W)、小电池(5号、纽扣、太阳电池)、保险丝、保险管(不同规格的合金熔丝、保险管)、焊锡、绝缘胶布、导线等</t>
  </si>
  <si>
    <t>电子元件(工业产品)</t>
  </si>
  <si>
    <t>电阻(碳膜电阻、瓷管电阻、线绕电阻、电位器、光敏电阻、热敏电阻等)；玩具电动机、电磁继电器、电容、电感、二极管、发光二极管、三极管、集成电路块等</t>
  </si>
  <si>
    <t>家庭电路器材</t>
  </si>
  <si>
    <t>空气开关、漏电保护器、螺丝口灯座、卡口灯座、三孔插座、三孔插头、插入式保险盒、拉线开关、按钮开关、声控开关、光控开关、导线等</t>
  </si>
  <si>
    <t>一般材料</t>
  </si>
  <si>
    <t>磁性橡胶片、乒乓球、大头针、回形针、橡胶泥、胶帽、泡沫塑料、透明胶带、小蜡烛、灯芯、火柴、塑料板、木板、玻璃板、毛巾、棉布、橡皮筋、气球、塑料袋、塑料薄膜、纸板、坐标纸、图钉、高泡洗衣粉、钢炭(木炭)粉或痱子粉﹑松香等</t>
  </si>
  <si>
    <t>彩色透光片</t>
  </si>
  <si>
    <t>红、绿、蓝</t>
  </si>
  <si>
    <t>甲电池</t>
  </si>
  <si>
    <t>1.中学物理分组实验用。2.1.5V。3.接线柱为铜质。4.性能、安全、结构、外观应符合JY0001第4、5、6、7的有关要求</t>
  </si>
  <si>
    <t>金牛头</t>
  </si>
  <si>
    <t>重庆神鸟科技有限公司</t>
  </si>
  <si>
    <t>1号电池</t>
  </si>
  <si>
    <t>每组2～3个</t>
  </si>
  <si>
    <t>双鹿</t>
  </si>
  <si>
    <t>中银（宁波）电池有限公司</t>
  </si>
  <si>
    <t>电珠(小灯泡)</t>
  </si>
  <si>
    <t>2.5V或3.8V</t>
  </si>
  <si>
    <t>洗洁精</t>
  </si>
  <si>
    <t>瓶</t>
  </si>
  <si>
    <t>环保，无毒无害，使用安全，500ml</t>
  </si>
  <si>
    <t>白猫</t>
  </si>
  <si>
    <t>上海和黄白猫有限公司</t>
  </si>
  <si>
    <t>蜂蜡</t>
  </si>
  <si>
    <t>环保，无毒无害，使用安全,250g</t>
  </si>
  <si>
    <t>集成电路实验板(面包板)</t>
  </si>
  <si>
    <t>尺寸：16*11mm间距：0.65mm材质：FR-4表面处理：双面喷锡</t>
  </si>
  <si>
    <t>传感器器材</t>
  </si>
  <si>
    <t>色标传感器、各种温度传感器(双金属片、热电偶、铂电阻、铜电阻、热敏电阻、半导体、感温铁氧体)、光敏电阻、硅光电池、光电二极管、湿敏电阻、干簧管、霍尔元件、应变式力传感器、气体压强传感器、酒精气体传感器等</t>
  </si>
  <si>
    <t>晶体和非晶体样品</t>
  </si>
  <si>
    <t>石英晶体，食盐晶体，云母片，明矾晶体，硫酸铜晶体;玻璃，松香，蜂蜡，沥青，橡胶</t>
  </si>
  <si>
    <t>滚珠盒</t>
  </si>
  <si>
    <t>自行车小滚珠200粒，钢球直径为4mm，自封袋封装，塑料盒外包装。</t>
  </si>
  <si>
    <t>演示实验器材</t>
  </si>
  <si>
    <t>云母片、电解电容器(25V，470～1000µF)、三极管、驻极体话筒、光声控延时开关、100kΩ可变电阻、1kΩ电阻、74LS00</t>
  </si>
  <si>
    <t>学生实验纸材</t>
  </si>
  <si>
    <t>打点纸带、墨粉纸、坐标纸、复印纸</t>
  </si>
  <si>
    <t>温度报警实验器材套件</t>
  </si>
  <si>
    <t>热敏电阻、74LS14、1kΩ可变电阻、蜂鸣器(YMD或HMB)</t>
  </si>
  <si>
    <t>电熨斗控温电路套件</t>
  </si>
  <si>
    <t>本款电熨斗控温电路套件是由双金属片、电热丝、弹性片、触点、绝缘支架、调温螺丝等组成。</t>
  </si>
  <si>
    <t>防盗报警电路器材套件</t>
  </si>
  <si>
    <t>小永磁体、干簧管、74LS14、2.2kΩ电阻、蜂鸣器(YMD或HMB)</t>
  </si>
  <si>
    <t>光控开关实验器材套件</t>
  </si>
  <si>
    <t>光敏电阻、74LS14、发光二极管、51kΩ可变电阻、330Ω电阻</t>
  </si>
  <si>
    <t>火灾报警器</t>
  </si>
  <si>
    <t>产品通过监测烟雾浓度来实现火灾报警，报警器内部采用离子式烟雾传感器，工作稳定可靠。主要技术参数：工作温度：-10℃～+50℃；报警浓度：0.65～15.5%FT；工作电源：12VDC/9VDC；蜂鸣器声量能级：10英尺处为85分贝；外壳：阻燃树脂；外形尺寸约：Φ60×30mm。</t>
  </si>
  <si>
    <t>电子闹钟套件</t>
  </si>
  <si>
    <t>产品由外壳、液晶显示屏、调整键（秒、分）、开始/停止键及支架组成。1.外壳为塑料。2.电源：钮扣电池电压1.5V。</t>
  </si>
  <si>
    <t>小制作材料</t>
  </si>
  <si>
    <t>桥梁模型器材套件</t>
  </si>
  <si>
    <t>产品由梁式桥模型、拱形桥模型、斜拉桥模型、桁架桥模型、吊桥模型、悬索桥模型组成。模型主件采用工程塑料注塑成型。模型基本尺寸约：梁式桥：250×40×80mm；拱形桥：250×40×80mm；斜拉桥：250×40×140mm；桁架桥：250×40×115mm；吊桥：250×40×115mm；悬索桥：250×40×137mm。</t>
  </si>
  <si>
    <t>走马灯器材套件</t>
  </si>
  <si>
    <t>由扇叶、螺旋灯罩、棒针支架、灯罩、底座、蜡烛、及双面胶组成。1.扇叶为硬板纸制成，直径约120mm。2.棒针直径约2mm，长约195mm。3.灯罩尺寸约：390mm*160mm。</t>
  </si>
  <si>
    <t>箔片验电器器材套件</t>
  </si>
  <si>
    <t>物理探究实验用。1.本产品由塑料外壳、圆盘、导电杆、箔片等组成，一对装。2．外壳采用透明塑料注塑成型。3．圆盘、导电杆用金属制成，表面电镀处理。4．导电杆与外壳间应有绝缘套管，安装后应无明显缝隙，取下方便，不致损坏箔片。5．金属箔片厚度不大于0.2mm，长度不小于20mm。</t>
  </si>
  <si>
    <t>简易无线话筒器材套件</t>
  </si>
  <si>
    <t>塑料外盒包装，上盖透明。盒底内贴有元件标签，由三极管、电容、电阻、漆包线、驻极体话筒、电池盒组成。盒子尺寸：200mm×120mm×35mm。</t>
  </si>
  <si>
    <t>环保动能手电筒器材套件</t>
  </si>
  <si>
    <t>物理探究实验用。杠杆式，塑料外壳，三只LED灯，转动机构，开关等构成。</t>
  </si>
  <si>
    <t>简易收音机器材套件</t>
  </si>
  <si>
    <t>本套件为3V低压全硅六管超外差收音机散件。由三极管、线圈、变压器、杨声器、电阻、电容、磁性天线、二极管、导线等组成。</t>
  </si>
  <si>
    <t>三极管放大电路器材套件</t>
  </si>
  <si>
    <t>塑料外盒包装，上盖透明。盒底内贴有元件标签，由三极管9013、100K可变电容、1KΩ电阻、四节电池盒、电容16V100uf、一节电池盒组成。盒子尺寸：200mm×120mm×35mm。</t>
  </si>
  <si>
    <t>光控路灯开关器材套件</t>
  </si>
  <si>
    <t>塑料外盒包装，上盖透明。盒底内贴有元件标签，由光敏电阻、集成块74LS14、二极管、四节电池盒、继电器、小灯座、电位器B50K组成。盒子尺寸：200mm×120mm×35mm。</t>
  </si>
  <si>
    <t>遥控器器材套件</t>
  </si>
  <si>
    <t>本器材由连接板、电池盒、发射管、接收管、发光二极管、三极管（9014）、电阻（2.2K）按键开关等组成。</t>
  </si>
  <si>
    <t>简易微型汽轮发电机器材套件</t>
  </si>
  <si>
    <t>微型发电机、微型汽轮机、压力锅炉、发光二极管</t>
  </si>
  <si>
    <t>模型火箭器材套件</t>
  </si>
  <si>
    <t>物理探究实验用。材料采用泡沫塑料制成，学生自己动手粘贴组装，由四块构成，每块外形尺寸：200mm×150mm。</t>
  </si>
  <si>
    <t>科技活动材料</t>
  </si>
  <si>
    <t xml:space="preserve"> </t>
  </si>
  <si>
    <t>滚上体</t>
  </si>
  <si>
    <t>秤陀螺三件套</t>
  </si>
  <si>
    <t>简单机器人</t>
  </si>
  <si>
    <t>质量可靠，性能稳定，本产品符合教育部教学仪器配备参考</t>
  </si>
  <si>
    <t>频闪观察器</t>
  </si>
  <si>
    <t>LED频闪灯，频率可调范围1-120HZ，电源6-12V。</t>
  </si>
  <si>
    <t>各种陀螺</t>
  </si>
  <si>
    <t>圆周运动、离心运动</t>
  </si>
  <si>
    <t>大回转轮</t>
  </si>
  <si>
    <t>由底座、支杆、线、滚轮等组成</t>
  </si>
  <si>
    <t>三轨竟速</t>
  </si>
  <si>
    <t>由底座、支架及三条弯曲各异的轨道组成，把三个相同的小球在各轨道同一高度同时释放，观察小球运动到终点的先后顺序。用于探究最速轨道。</t>
  </si>
  <si>
    <t>翻转环实验器</t>
  </si>
  <si>
    <t>由圆环、底座、支杆等组成</t>
  </si>
  <si>
    <t>离心力铁环</t>
  </si>
  <si>
    <t>产品由主机、铁环、转轴等组成。1.主机外壳采用塑料注塑成型，尺寸约：190mm×160mm×95mm。2.铁环为弹性钢片，直径约160mm、厚0.3mm，表面处理。3.转轴为金属材料制成，表面电镀处理，直径5mm，长170mm。4.外接电源：DC6V-8V。5.转速可调。</t>
  </si>
  <si>
    <t>滚动的方轮</t>
  </si>
  <si>
    <t>产品由一个呈弧线状的曲面斜轨道和一个与弧线状曲面配合的方形轮子组成。1.曲面斜轨道的曲面不少于14个，外形尺寸约：610mm×190mm×50mm。2.方形轮子为全塑料制，两端为方形，中间为圆柱形，方形边长为50mm，厚3mm；圆柱直径16mm，长100mm。</t>
  </si>
  <si>
    <t>玩具赛车</t>
  </si>
  <si>
    <t>产品为遥控国，遥控车分为电动车和遥控器两部分。遥控车使用3粒1.5V“AA”电池；遥控器内使用2粒1.5V“AA”电池。采用纸盒定位包装车体和遥控器。</t>
  </si>
  <si>
    <t>饮水鸟</t>
  </si>
  <si>
    <t>物态变化.产品由底座、盛水杯及小鸟模型组成。1.底座采用塑料注塑成型，外形尺寸约：205×125×26mm。2.盛水杯为透明塑料注塑成型，约直径40mm，高105mm。3.小鸟模型由支架、底座、乙醚玻璃瓶及小鸟模型构成。</t>
  </si>
  <si>
    <t>鱼洗</t>
  </si>
  <si>
    <t>物理探究实验用。复古龙洗，铜铸造。直径约375mm，盆底直径约195mm，盆檐高度约98mm，带柄高度约130mm。</t>
  </si>
  <si>
    <t>水火箭</t>
  </si>
  <si>
    <t>器材由发射支架、导轨、火箭、火箭头组成。发射支架由底座、可调角度加构成，表面烤漆。</t>
  </si>
  <si>
    <t>滴水起电机</t>
  </si>
  <si>
    <t>在频闪光源下连续观察均匀水滴自由下落及抛射运动，仪器由支架、滴水装置、感应圈、盛水筒、绝缘垫组成   外形尺寸约：500*160*590mm   水槽尺寸约：230*130*95mm</t>
  </si>
  <si>
    <t>气体辉光球</t>
  </si>
  <si>
    <t>使用电压：220V。塑料底座，球φ120mm 高度约210mm</t>
  </si>
  <si>
    <t>工具</t>
  </si>
  <si>
    <t>测电笔</t>
  </si>
  <si>
    <t>笔式，氖泡式，测电极长≤10mm，测量范围100V～500V，辉光应稳定不闪烁</t>
  </si>
  <si>
    <t>一字螺丝刀</t>
  </si>
  <si>
    <t>1、旋杆长度L:75mm，直径D:4mm3、旋杆应经镀鉻防锈处理。</t>
  </si>
  <si>
    <t>十字螺丝刀</t>
  </si>
  <si>
    <t>1、旋杆长度L:75mm，直径D:4mm3、旋杆应经镀铬防锈处理。</t>
  </si>
  <si>
    <t>尖嘴钳</t>
  </si>
  <si>
    <t>1、载荷F≥550N，中号，长度不小于150mm，优质钢材精工锻造，镀镍处理，，防滑塑料手柄。</t>
  </si>
  <si>
    <t>电工刀</t>
  </si>
  <si>
    <t>不小于180mm,采用3CR-13硬质钢材料制造,刃部硬度大于52HRC,采用胶质手柄,坚固耐磨，其他符合QB/T2208标准。</t>
  </si>
  <si>
    <t>手摇钻</t>
  </si>
  <si>
    <t>45号钢精铸，结实耐用，手感舒适，钻头夹持0.6-6mm</t>
  </si>
  <si>
    <t>木锉</t>
  </si>
  <si>
    <t>250mm带手柄</t>
  </si>
  <si>
    <t>木工锤</t>
  </si>
  <si>
    <t>0.25Kg</t>
  </si>
  <si>
    <t>钢手锯</t>
  </si>
  <si>
    <t>锯条1条，长300mm,由钢锯弓、钢锯条组成</t>
  </si>
  <si>
    <t>剥线钳</t>
  </si>
  <si>
    <t>材质：高碳钢，长度不小于170mm,压接范围：0.5、1、1.5、2.5、4平方毫米，其他符合QB/T 2207-2017《剥线钳》标准。</t>
  </si>
  <si>
    <t>钢丝钳</t>
  </si>
  <si>
    <t>钳体采用优质高碳钢，高频淬火；双色胶柄，开合灵活，手柄覆膜，表面防锈处理。</t>
  </si>
  <si>
    <t>手锤</t>
  </si>
  <si>
    <t>1、规格：锤体重0.44Kg，2、材质：45～55优质碳素结构钢</t>
  </si>
  <si>
    <t>錾子</t>
  </si>
  <si>
    <t>采用60号络钒钢，整体淬火处理，7寸</t>
  </si>
  <si>
    <t>锉刀(平板)</t>
  </si>
  <si>
    <t>250mm，带柄</t>
  </si>
  <si>
    <t>三角锉刀</t>
  </si>
  <si>
    <t>什锦锉</t>
  </si>
  <si>
    <t>十只装金刚锉</t>
  </si>
  <si>
    <t>活扳手</t>
  </si>
  <si>
    <t>材质：中碳钢，规格：8寸活动扳手，其他符合GB/T 4440-2022《活扳手》的要求。</t>
  </si>
  <si>
    <t>手剪</t>
  </si>
  <si>
    <t>钳工工具，剪铁皮、铜片</t>
  </si>
  <si>
    <t>直角尺</t>
  </si>
  <si>
    <t>不锈钢钳工工具</t>
  </si>
  <si>
    <t>电烙铁</t>
  </si>
  <si>
    <t>橡胶线，30W外热式电烙铁</t>
  </si>
  <si>
    <t>飞鸽</t>
  </si>
  <si>
    <t>宁波市镇海飞鸽电烙铁厂</t>
  </si>
  <si>
    <t>平口钳</t>
  </si>
  <si>
    <t>80mm，台钻上用</t>
  </si>
  <si>
    <t>台钻</t>
  </si>
  <si>
    <t>钻夹φ1～φ13mm</t>
  </si>
  <si>
    <t>精鹰</t>
  </si>
  <si>
    <t>扬州市维扬区力源电动工具厂</t>
  </si>
  <si>
    <t>手电钻</t>
  </si>
  <si>
    <t>φ1～φ13mm</t>
  </si>
  <si>
    <t>飞将牌</t>
  </si>
  <si>
    <t>永康市飞博五金加工厂</t>
  </si>
  <si>
    <t>钻头</t>
  </si>
  <si>
    <t>规格；φ1～φ13mm</t>
  </si>
  <si>
    <t>台虎钳</t>
  </si>
  <si>
    <t>100mm-150mm</t>
  </si>
  <si>
    <t>砂轮机</t>
  </si>
  <si>
    <t>单相，300W，3000r/min，含安全护板</t>
  </si>
  <si>
    <t>凯祥</t>
  </si>
  <si>
    <t>温岭市凯祥电机厂</t>
  </si>
  <si>
    <t>钳工工作台</t>
  </si>
  <si>
    <t>桌面≥1150mm×530mm，高780mm，桌面厚65mm，实木制作</t>
  </si>
  <si>
    <t>烙铁架</t>
  </si>
  <si>
    <t>尺寸约：123*83*125mm,铸铁座子</t>
  </si>
  <si>
    <t>油石</t>
  </si>
  <si>
    <t>粗细两面</t>
  </si>
  <si>
    <t>冲子</t>
  </si>
  <si>
    <t>φ2mm～φ20mm</t>
  </si>
  <si>
    <t>水平尺</t>
  </si>
  <si>
    <t>三水泡型，水平面工作长度160～250mm</t>
  </si>
  <si>
    <t>安全防护用具</t>
  </si>
  <si>
    <t>工作服</t>
  </si>
  <si>
    <t>件</t>
  </si>
  <si>
    <t>防酸碱产品需利于人体活动，具有一定牢固性和舒适感，白色。1.产品外观无破损、斑点、污物等缺陷。2.产品应做工精细，穿着方便书、舒适。3.产品所用材料应能满足日常穿用和中学实验室日常使用要求，具有一定耐穿性和牢固性</t>
  </si>
  <si>
    <t>护目镜</t>
  </si>
  <si>
    <t>用于实验教师防强光、眩光、紫外、激光，或是机械性伤害(机加工)。</t>
  </si>
  <si>
    <t>手套</t>
  </si>
  <si>
    <t>双</t>
  </si>
  <si>
    <t>普通棉线手套。编织紧密、耐磨、易洗，穿戴后手感舒适，活动自如。</t>
  </si>
  <si>
    <t>1套小计</t>
  </si>
  <si>
    <t>2套合计</t>
  </si>
  <si>
    <t>初中物理教学仪器</t>
  </si>
  <si>
    <t>批</t>
  </si>
  <si>
    <t>6.1</t>
  </si>
  <si>
    <t>02</t>
  </si>
  <si>
    <t>02003</t>
  </si>
  <si>
    <t>打孔夹板</t>
  </si>
  <si>
    <t>1、产品长175mm，宽34mm，厚12mm。2、上、下夹板应由脱脂干燥处理过的优质木材制成，表面平整。3、上夹板应备有直径为6mm，8mm，10mm，12mm直穿孔4个。4、紧固螺钉与下夹板紧固为一体，不得松动；紧固螺钉长度不小于80mm。上夹板上下高度可调，由蝴蝶螺母定位。</t>
  </si>
  <si>
    <t>02004</t>
  </si>
  <si>
    <t>打孔器刮刀</t>
  </si>
  <si>
    <t>1．由刀架、刀片、刀片定位销钉、刀片张角定位螺钉和手柄组成；2.刀架应采用金属材料制作，表面作防锈处理；刀架工作端为1：4锥度圓锥体，经调节刀片张角，可修削刀口直径4mm～13mm的打孔器刀口；3.刀片应采用工具钢片，具有足够钢性和硬度；4.手柄表面光洁，大小适当，握持手感舒适；5.刀片与刀架配合灵活，便于装拆。</t>
  </si>
  <si>
    <t>02005</t>
  </si>
  <si>
    <t>手摇钻孔器</t>
  </si>
  <si>
    <t>1． 本产品由手柄轴、衬套筒、螺母、连接板、螺钉、螺杆、钻头、夹板、底座等组成。2． 钻头4个，外径尺寸分别为：φ6mm、φ8mm、φ10mm、φ12mm。3． 所有构件均应作防锈处理。</t>
  </si>
  <si>
    <t>02010</t>
  </si>
  <si>
    <t>手摇抽气机</t>
  </si>
  <si>
    <t>1、有气缸、活塞、曲拐、曲轴、弹簧箱体、手轮、底座等部分组成。2、机壳为铝合金或HT150材料,表面光整。缸体为注塑嵌件，平整光洁。活塞材料为45#钢，表面无划痕毛刺。</t>
  </si>
  <si>
    <t>直联泵</t>
  </si>
  <si>
    <t>单相，功率不小于370W，扬程不小于10m，流量每小时不小于1.5m3，出水口直径约25mm。</t>
  </si>
  <si>
    <t>特民</t>
  </si>
  <si>
    <t>上海特民机电有限公司</t>
  </si>
  <si>
    <t>02012</t>
  </si>
  <si>
    <t>旋片式真空泵</t>
  </si>
  <si>
    <t>1、一种旋片式油封单级真空泵。2、抽气速率：3.6M3/H ，极限压力：5Pa ，电机功率：150 W ，进气口径：Φ10mm ，用油量：220ml，质量：约6.8kg</t>
  </si>
  <si>
    <t>1、产品由气筒、踏脚、活塞、活塞杆、手柄、橡胶管、气针夹等组成。2、整机尺寸：不小于Φ28mm*535mm*112mm3、气筒内径22.5mm±0.2mm，长约460mm，铝材制成。4、踏脚选用金属制成。5、活塞杆Φ17mm，与活塞固定牢靠，活塞与气筒配合密合。6、气针夹选配有两种功能，可在自行车、摩托车等使用。7、其余应符合SB/T10205《打气筒》的技术要求。采用优质钢材、防锈处理及表面环保油漆涂层精制而成。 符合JY0001－2003《教学仪器一般质量要求》的有关规定。</t>
  </si>
  <si>
    <t>1、抽气盘由底盘、玻璃、钟罩、真空表、阀门橡皮塞及垫圈等组成。2、底座由铸件制成。3、钟罩的外径≥φ180mm，高不低于200mm，且透明度良好。4、钟罩与底盘的接触面密封良好。5、当钟罩内抽气压力达到一定时，静置2分钟无漏气现象。6、产品应符合JY208-85《电铃》的要求。</t>
  </si>
  <si>
    <t>1． 规格：600mm×400mm×800mm。2． 仪器车应分为2层，层间距不小于300mm。3． 车架用直径不小于Φ19mm、壁厚不小于0.7mm的不锈钢管制成，架高不低于800mm。4． 车架脚安装有不小于Φ50mm、厚15mm转动灵活的万向轮。5． 车隔板为不薄于0.7mm的不锈钢制成，四周安装有30mm的挡板。6． 整车安装好后应载重50Kg应运行平稳，不得变形、摇晃、松动。</t>
  </si>
  <si>
    <t>02022</t>
  </si>
  <si>
    <t>水准器</t>
  </si>
  <si>
    <t>1.铝合金框架，表面喷塑处理；工作面洗加工处理；2.不少于2个有机玻璃水准泡指示水平和垂直和45°,测量精度0.057°=1mm/1m；3.防震，长度不小于300mm。</t>
  </si>
  <si>
    <t>02051</t>
  </si>
  <si>
    <t>放大镜</t>
  </si>
  <si>
    <t>1、产品有效通光孔径为45-60mm，放大倍数为5倍的单倍数玻璃放大镜2、其它要求应符合JY/T0378《手持放大镜》有关规定</t>
  </si>
  <si>
    <t>02061</t>
  </si>
  <si>
    <t>天文望远镜</t>
  </si>
  <si>
    <t>1．光学设计：消色差折射式；2．口径  70 mm；3．焦距  900 mm；4．焦比 F/12.9；5．有效放大倍率 200×；6．极限星等 12.1；7．寻星镜 5×24；8．目镜(31.7mm)：K9、K20；9．赤道仪；90度天顶镜，1.5x正像镜，2x增倍镜，月亮滤光片。</t>
  </si>
  <si>
    <t>湛京</t>
  </si>
  <si>
    <t>宁波湛京光学仪器有限公司</t>
  </si>
  <si>
    <t>酒精噴灯</t>
  </si>
  <si>
    <t>实验室常用的工具，用于弯曲玻管（棒）和熔接玻璃管用，结构为座式。纯铜制作，具有耐高温的功能。1、产品为组合式，主要由壶体、燃杯、壶嘴、喷管、火苗调节杆、钢针组成。2、壶体外形尺寸：直径100mm±2mm，高135mm±2mm。容量250ml，组合后应摆放平稳，左右调节,调节方便。3、喷管与壶体连接螺纹、壶体密封盖无漏气现象。4.焊接部位应焊接牢固、光滑。符合JY0001－2003《教学仪器设备产品一般质量要求》的有关规定。</t>
  </si>
  <si>
    <t>02101</t>
  </si>
  <si>
    <t>听诊器</t>
  </si>
  <si>
    <t>1、医用级；2、听诊器选择杯式听头，直径在45-50mm之间；3、听头零件不松动，Y管完好无损不松动；4、听诊器的材质为钢质。</t>
  </si>
  <si>
    <t>和美</t>
  </si>
  <si>
    <t>江苏和美电子科技有限公司</t>
  </si>
  <si>
    <t>1． 产品由透明塑料制成。2． 外表尺寸：高：300mm；直径：φ100mm，壁厚2mm。3． 产品口部圆正，底部平整，表面无凹凸不平现象，无擦伤、划痕、裂缝，透明度好。4． 符合JY0001－2003《教学仪器一般质量要求》的有关规定。</t>
  </si>
  <si>
    <t>透明水槽(圆形或方形)</t>
  </si>
  <si>
    <t xml:space="preserve">φ270mm×高140mm,或300mm×300mm×高150mm                       </t>
  </si>
  <si>
    <t>02125</t>
  </si>
  <si>
    <t>碘升华凝华管</t>
  </si>
  <si>
    <t>1、由玻璃密封管体和手柄组成，管体和手柄彼此独立，不连通。管的高度≥45mm，直径≥30mm。管内密封碘的质量≥0.1克。2、手柄长≥70mm，直径为Φ6±1mm。3、管体外形端正，玻璃熔接平滑均匀，无气泡、无条纹。管体在90℃热水中检测无泄漏（无气泡溢出）。4、管体应耐80℃温差的急冷骤热。5、升华与凝华的全过程耗时应≤2分钟。</t>
  </si>
  <si>
    <t>03</t>
  </si>
  <si>
    <t>1． 由铁环和3只脚组成。2． 铁环内径：74mm，外径：90mm 3． 三只脚与铁环焊接紧固，脚距相等，立放台上时圆环应与台面平行，所支承的容器不得有滑动。脚高：150mm4． 三脚架须经镀锌防锈处理，镀层均匀、牢固。5． 符合JY0001－2005《教学仪器一般质量要求》的有关规定。</t>
  </si>
  <si>
    <t>03007</t>
  </si>
  <si>
    <t>泥三角</t>
  </si>
  <si>
    <t>1.由耐火材料、铁丝组成。2.黄泥棒外径10mm±0.5mm，长53mm±1mm，其中心孔能穿过1mm的铁丝。3.三支棒组成等边三角形。</t>
  </si>
  <si>
    <t>03013</t>
  </si>
  <si>
    <t>旋转架</t>
  </si>
  <si>
    <t xml:space="preserve">1.注塑成型，每套为2个；
2.由底座、支杆、转台组成；
3.旋转架中心设有半圆槽，槽体直径约12mm（±1mm），槽深约5mm（±1mm）；底座尺寸不小于60×60×15mm，旋转架总高不低于90mm。
</t>
  </si>
  <si>
    <t>04</t>
  </si>
  <si>
    <t>04001</t>
  </si>
  <si>
    <t>学生电源</t>
  </si>
  <si>
    <t>1.初中学生电源，有过载保护功能。a.输出电压：直流稳压输出，1.5V～12V，每1.5V一档，共六档；b.额定电流：1.5A；c.交流输出2V～12V，每2V一档。2.过载保护。</t>
  </si>
  <si>
    <t>04004</t>
  </si>
  <si>
    <t>教学电源</t>
  </si>
  <si>
    <t>1.输出电压：交流输出，2V～12V，每2V一挡，共六挡；直流稳压输出，1.5V、3V、4.5V、6V、9V、12V、，共六挡；2.额定电流：交流输出时5A，有过载保护；直流输出时2A，有过载保护。</t>
  </si>
  <si>
    <t>04009</t>
  </si>
  <si>
    <t>充电器</t>
  </si>
  <si>
    <t>全金属外壳，表层喷漆，铝金属镶边，面板两边各有一对铝金属提拿把手.1、电源电压：AC220V 50Hz。2、功率：50W。3、充电电流：充可调内阻电池100mA±5%。4、蓄电池规格：6V4Ah、6V10Ah、6V15Ah可选。5、定时时间：充可调内阻电池1-99小时。</t>
  </si>
  <si>
    <t xml:space="preserve">电子开关式，外形尺寸约240mm×170mm×160mm，仪器正面标有高压电警示标志。放电杆长约75mm，直径4mm，前端逐渐变细呈尖状。放电杆可插入放电器插孔，由上端塑料旋钮在任一位置固定。
1.直接使用220V、50Hz市电、消耗功率不大于120W  
2.输出端放电火花距离为100mm  
3.火花条数在两条以上 
4.可连续工作15分钟    
5.箱内装有一对（两根）放电针杆 。 </t>
  </si>
  <si>
    <t>10</t>
  </si>
  <si>
    <t>10001</t>
  </si>
  <si>
    <t>演示直尺</t>
  </si>
  <si>
    <t>演示用，1000mm,毫米刻度 木质材料制成，最小分度值：1cm要符合技术标准的要求JY 168《演示直尺》。</t>
  </si>
  <si>
    <t>10002</t>
  </si>
  <si>
    <t>1． 用不易变形的木材制作，表面平整、挺直、无毛刺。木材材质应无节疤、无裂纹、无伤痕，并经过脱脂干燥处理，含水率≤18％。2． 尺身一面白底，印有黑色刻线和数字，最小刻度为1毫米，每5厘米为一大格，每10厘米的刻线上标有数字，有mm、cm、dm、m四种单位。3． 漆层平整清洁、色调美观、厚薄均匀、有足够的附着力，在主要表面上不得有流挂、针孔、气泡等缺陷。4． 刻线和数字排列整齐端正，刻线粗细一致。5． 米尺的外形尺寸：1000mm×25mm×8mm全尺刻度累计误差≤2mm尺面平面度公差≤3mm尺边直线度公差≤2mm6．要符合技术标准的要求JY 168《演示直尺》。7．符合JY0001－2003《教学仪器一般质量要求》的有关规定。</t>
  </si>
  <si>
    <t>10004</t>
  </si>
  <si>
    <t>碳钢材质，200mm，分度值≤0.5mm。符合JJG 1-1999《钢直尺》 的有关规定，符合JY0001－2003《教学仪器一般质量要求》的有关规定。</t>
  </si>
  <si>
    <t>10005</t>
  </si>
  <si>
    <t>2000ｍｍ，宽边,最小刻度值为1ｍｍ，每厘米处的刻线是毫米刻线长的2倍并标有相应数字。刻线均匀、清晰</t>
  </si>
  <si>
    <t>布卷尺</t>
  </si>
  <si>
    <t>30m。布卷尺。外壳由ABS塑料制成，带摇手装置。具有抗冲击功能。采用全公制，纤维尺带不导电，不生锈，尺带黄色、亚光，尺带宽13mm。</t>
  </si>
  <si>
    <t>10010</t>
  </si>
  <si>
    <t>测量范围: 0～150mm，分辨率:0.02mm，碳钢材质，表面做防锈处理，塑料盒装。</t>
  </si>
  <si>
    <t>10011</t>
  </si>
  <si>
    <t>外径千分尺(螺旋测微器)</t>
  </si>
  <si>
    <t>产品为有效量程为25mm、测量精度为0.01mm的测砧为固定式的千分尺， 产品采用钢材制造，表面抛光处理。其中砧头用优质钢材制造。刻度清晰，无断线、缺划。 产品应符合国标GB1216-75《千分尺》的要求。符合JY0001－2003《教学仪器一般质量要求》的有关规定。</t>
  </si>
  <si>
    <t>11</t>
  </si>
  <si>
    <t>11001</t>
  </si>
  <si>
    <t>一、杠杆式等臂双盘天平，有游码装置及水准器，砝码盒等。 最大载荷500g,标尺称量：0-1g，分度值20mg，不等臂偏差不大于60mg，全量变动性不大于20mg，横梁材料必须为铝合金制品，刀口、刀承材料为高碳钢或玛瑙，称盘直径不小于118mm，制动机构应保证横梁升降平稳。二、砝码盒为塑料制品，内装200g砝码2个、100g砝码1个、50g砝码1个、20g砝码2个、10g砝码1个、5g砝码1个、2g砝码2个、1g砝码1个及砝码镊一把，定位包装。</t>
  </si>
  <si>
    <t>11002</t>
  </si>
  <si>
    <t>200g，0.02g  
1.最大称量200g，分度值0.02g,标尺称量0-10g。
2.分度值误差：不大于1(分度值)。
3.示值变动性：不大于1(分度值)。
4.横梁不等臂性误差：不大于6(分度值)。
5.游码标尺称量误差：不大于1(分度值)。
6.砝码组合的总质量（包括标尺计量值）应不小于天平的最大秤量。
7.冲压件及铸件表面应光洁平整，不应有毛刺、锋棱、裂纹和显见砂眼。
8.电镀件的镀层应色泽均匀，不应有露底和显见的麻点、水迹、擦伤等缺陷。
9.油漆件表面应平整光滑，色泽均匀，不应有露底、起泡、挂漆、擦伤等缺陷。
10.符合JY0001－2003《教学仪器设备产品一般质量要求》的有关规定。</t>
  </si>
  <si>
    <t>11004</t>
  </si>
  <si>
    <t>最大称量100g，分度值0.1g,标尺称量0-10g, 秤量允许误差为±0.5d(分度值), 砝码组合的总质量（包括标尺计量值）应不小于天平的最大秤量,冲压件及铸件表面应光洁平整，不应有毛刺、锋棱、裂纹和显见砂眼,电镀件的镀层应色泽均匀，不应有露底和显见的麻点、水迹、擦伤等缺陷,油漆件表面应平整光滑，色泽均匀，不应有露底、起泡、挂漆、擦伤等缺陷</t>
  </si>
  <si>
    <t>11003</t>
  </si>
  <si>
    <t>11005</t>
  </si>
  <si>
    <t>1.最大称量200g，分度值0.2 g,标尺称量0-5g。
2.秤量允许误差为±0.5d(分度值)。
3.砝码组合的总质量（包括标尺计量值）应不小于天平的最大秤量。
4.冲压件及铸件表面应光洁平整，不应有毛刺、锋棱、裂纹和显见砂眼。
5.电镀件的镀层应色泽均匀，不应有露底和显见的麻点、水迹、擦伤等缺陷。6.油漆件表面应平整光滑，色泽均匀，不应有露底、起泡、挂漆、擦伤等缺陷。
7.符合JY0001－2003《教学仪器设备产品一般质量要求》的有关规定。</t>
  </si>
  <si>
    <t>11010</t>
  </si>
  <si>
    <t>100g，0.001g。1.称盘尺寸：圆盘ф130mm。2.电源电压：220VAC。3.采用高精度电磁平衡传达室感器，LED显示。4.具有计数、确认、清零、校准。5.防风罩一套，采用透明塑料注塑成型。6.校准砝码1个。</t>
  </si>
  <si>
    <t>11015</t>
  </si>
  <si>
    <t>单杠杆天平</t>
  </si>
  <si>
    <t xml:space="preserve"> 规格；100g，0.01g，链式1.最大称量：100g;  分度值：0.01g;  游码标尺称量：0-100g; 最小称量：1g;  链条计量值：±1g;  最小计量值:0.01g2.附磁性缓冲器。3.冲压件及铸件表面应光洁平整，不应有毛刺、锋棱、裂纹和显见砂眼。4.电镀件的镀层应色泽均匀，不应有露底和显见的麻点、水迹、擦伤等缺陷。5.油漆件表面应平整光滑，色泽均匀，不应有露底、起泡、挂漆、擦伤等缺陷。6.符合JY0001－2003《教学仪器设备产品一般质量要求》的有关规定。</t>
  </si>
  <si>
    <t>11018</t>
  </si>
  <si>
    <t>案秤</t>
  </si>
  <si>
    <t>产品由底座、盘架、标尺、砣架、砣及盛物盘等组成。1.最大秤量：10kg，最小分度值10g。2.底座和盘架为铸铁制造，表面喷漆处理。3.砣架为金属制，电镀。4.盛物盘直径270mm，不锈钢。</t>
  </si>
  <si>
    <t>11020</t>
  </si>
  <si>
    <t>弹簧度盘秤</t>
  </si>
  <si>
    <t>10kg。1.产品由圆盘指针、秤盘等组成。2.最大秤量为10kg，最小分度值为50g。3.圆盘直径200mm。4.秤盘为不锈钢制成，直径260mm。5.有调零装置。整体机架为金属材料制，表面喷漆处理。</t>
  </si>
  <si>
    <t>11021</t>
  </si>
  <si>
    <t>10g×1,20g×2,50g×2,200g×2。塑料盒包装。</t>
  </si>
  <si>
    <t>11022</t>
  </si>
  <si>
    <t>lOg×1,20g×2,50g×2,200g×1，另附10g金属槽码盘，塑料盒定位包装。</t>
  </si>
  <si>
    <t xml:space="preserve">  </t>
  </si>
  <si>
    <t>一、适用范围、规格：1. 用于中学物理学生实验测量时间使用。2. 最小刻度值（秒）：0.1；有暂停机构。
二、技术要求：1．秒表在环境温度为-10℃～40℃工作时不应停摆。2．秒表在任何位置工作时不应停摆。3．秒表质量等级和平均分走时差、分走时偏差、最大秒走时差应符合QB/T 1534第4.3条要求。4．延时走时应符合QB/T 1534第4.4条要求。5．上条机构、启动、停止、回零按钮、秒针、分针和秒针示值、刻度盘刻度等项应符合QB/T 1534第4.5～4.19条要求。6.金属外壳。塑料盒定位包装。</t>
  </si>
  <si>
    <t>机械停钟</t>
  </si>
  <si>
    <t>1、采用不锈钢发条，单金属光摆轮，镍基合金游丝机构。2、重量：约120克。3、金属外壳，表机能在－10℃到＋40℃温度范围内保持正常工作。</t>
  </si>
  <si>
    <t>聊城中泰</t>
  </si>
  <si>
    <t>山东聊城中泰表业有限公司</t>
  </si>
  <si>
    <t>0.1S,防水防震,数码显示。秒表计时可选择简易计时。符合国标GB6050第一章要求。</t>
  </si>
  <si>
    <t>电子停钟</t>
  </si>
  <si>
    <t>产品具有数据存储记录功能。1.测量范围：0-99小时59分59.9秒。2.存储数据：9组。3.最小分辨率：0.1秒。4.电源：220V 50Hz。5.功耗：2W。6.带支撑架。</t>
  </si>
  <si>
    <t>节拍器</t>
  </si>
  <si>
    <t xml:space="preserve">材料：注塑外壳 纯金属机芯
机芯：高档金属机芯
模式：传统示拍模式
速度：40~208拍/分
节拍：0、2、3、4、6 
误差：速度误差&lt;1%
特色：纯金属机芯结构，精准、稳定、音亮、操作简便,外观时尚 
尺寸：20.5*9.7*10.5CM
无须电池         </t>
  </si>
  <si>
    <t>沙漏</t>
  </si>
  <si>
    <t>产品由细沙容器、细沙、保护支套等组成。细沙容器采用95#玻璃制成上下容积相等的葫芦状玻璃瓶，内装细沙。容器的最大圆弧直径55mm，容器壁厚均匀，密封完好；细沙颗粒均匀、干燥并经染色；保护支套采用壁厚2mm的有机玻璃管制作，上下端设有防震垫块。产品总高度约160mm。</t>
  </si>
  <si>
    <t>日晷</t>
  </si>
  <si>
    <t>产品采用ABS工程塑料制作，主要由晷盘及晷针构成。晷盘直径φ300mm，盘面印有时间换算刻度，晷面至地面高度55mm；晷针厚度约10mm，总长200mm。晷盘与晷针连接可靠、调节方便。</t>
  </si>
  <si>
    <t>13</t>
  </si>
  <si>
    <t>13001</t>
  </si>
  <si>
    <t>1． 红液。2． 全长：300mm；外径：6±1mm；头：10mm。3． 测量范围：0－100℃；最小分度值：1℃；允许误差±1℃。4． 玻管要直，不得弯曲，不得崩损缺口，红液不得断线。5． 产品应符合《玻璃仪器通用技术要求》6．要符合技术标准的要求JJG 130《温度计》       7． 符合JY0001－2003《教学仪器设备产品一般质量要求》的有关规定。</t>
  </si>
  <si>
    <t>13003</t>
  </si>
  <si>
    <t>1．感温物质：水银。2．测量范围：0－200℃；最小分度值：1℃；允许误差±1℃。3．玻璃应光洁透明，不得有裂痕。毛细管不得有明显的弯曲现象，其孔径应均匀，管壁内应清洁无杂质。4．感温液体（水银）必须纯洁、无杂质。液线不得中断。上升时不得有停滞和跳跃现象；下降时不得在管壁上留下液滴。5．产品应符合《玻璃仪器通用技术要求》6．要符合技术标准的要求JJG130《温度计》7．符合JY0001－2003《教学仪器设备产品一般质量要求》的有关规定。</t>
  </si>
  <si>
    <t>13004</t>
  </si>
  <si>
    <t>演示温度计</t>
  </si>
  <si>
    <t>1. 由玻璃温度计、标度牌、保护套组成。2. 感温液：红色，装在感温泡和毛细管中。3.其标度线有两种温度指示，摄氏温度（符号℃）和热力学温度（符号K）。4. 刻度范围：摄氏温标0～100℃，热力学温标273～373K。每1℃刻线的长度为4mm。</t>
  </si>
  <si>
    <t>热敏温度计</t>
  </si>
  <si>
    <t>具线性刻度,温度正负范围由仪器自动转换显示，技术性能：1、测量范围-10℃到100℃；2、基本误差：10℃-100℃不大于5%，-10℃-10℃不大于1℃；3、温度正负范围指示：自动；4、平均反应时间不大于5秒；5、显示电表：演示电表直流0～500μA或其他直流电表500μA档；6、使用电源：交流220V±10%，50Hz；</t>
  </si>
  <si>
    <t>双金属片温度计</t>
  </si>
  <si>
    <t>1. 由双金属片、刻度板、玻璃罩、指针组成。2. 双金属片温度计为圆形指针式温度计，有摄氏和华氏刻度，里面充油。3. 面板标有-20℃～50℃，测量误差不大于5%。4. 玻璃罩应符合JY 0001第8章的有关要求。5. 结构、外观应符合JY 0001第6、7的有关要求</t>
  </si>
  <si>
    <t>13010</t>
  </si>
  <si>
    <t>体温计</t>
  </si>
  <si>
    <t>1．棒式，测量范围35－42℃。2．体温计按国际实用温标刻度，稳度最小分度值为0.1℃，分度均匀，两相邻分度中心的距离应不小于0.55mm。3．标度线、计量数字和标志颜色牢固，不允许由脱色、影响读数、颜色污迹等现象。4．产品应符合国标B1588-2001《玻璃体温计》的要求。5．符合JY0001－2003《教学仪器设备产品一般质量要求》的有关规定。</t>
  </si>
  <si>
    <t>梅芳</t>
  </si>
  <si>
    <t>安徽方达药械股份有限公司</t>
  </si>
  <si>
    <t>液晶显示阿拉伯数字；2. 测温范围：32.0℃～42.0℃；3. 精确性：小于35.0℃，±0.2℃； 35.0℃到39.0℃，±0.1℃；大于39.0℃±0.2℃；4. 电池寿命：连续使用可多于200小时</t>
  </si>
  <si>
    <t>红外线快速体温检测仪</t>
  </si>
  <si>
    <t>1. 工作环境温度：25～30℃；2. 测量范围：摄氏30～50℃；3. 分度值：摄氏0.1℃；准确度：0.5℃；4. 产品由红外线感应器探测头测量体温，通过LCD显示屏显示测量数据。5. 外观结构应满足JY0001标准第6、7章的有关规定。</t>
  </si>
  <si>
    <t>13020</t>
  </si>
  <si>
    <t>1.由木质材料镶嵌玻璃棒芯组成。2.采用摄氏（℃）和华氏（℉）双刻度，面板标有：摄氏-30℃～50℃；华氏-20℃～120℃的标志。3.玻璃棒芯感温液，正面放大玻璃液读数。4.温度准确度：±1℃（0℃～30℃）5.最小分度值：0.5℃6.储藏条件：-30℃～60℃7.尺寸：不小于250mm×49mm×9mm8.性能、结构、外观应符合JY0001第4、6、7的有关要求。</t>
  </si>
  <si>
    <t>14001</t>
  </si>
  <si>
    <t>10N。1.由方形弹簧盒（带刻板）、弹簧、提环、挂钩、指针等组成。零点可调。 2.最小刻度：0.2N。4.金属表面防锈处理。</t>
  </si>
  <si>
    <t>14002</t>
  </si>
  <si>
    <t>5N。1.由方形弹簧盒（带刻板）、弹簧、提环、挂钩、指针等组成。零点可调。2.最小刻度：0.1N。4.金属表面防锈处理。</t>
  </si>
  <si>
    <t>14003</t>
  </si>
  <si>
    <t>2.5N。1.由方形弹簧盒（带刻板）、弹簧、提环、挂钩、指针等组成。零点可调。2.最小刻度：0.05N。4.金属表面防锈处理。</t>
  </si>
  <si>
    <t>14004</t>
  </si>
  <si>
    <t>1N。1.由方形弹簧盒（带刻板）、弹簧、提环、挂钩、指针等组成。零点可调。2.最小刻度：0.02N。4.金属表面防锈处理。</t>
  </si>
  <si>
    <t>14005</t>
  </si>
  <si>
    <t>圆筒测力计</t>
  </si>
  <si>
    <t>5N；外筒由透明塑料制成，外径21mm，长150mm；具有优良测量性能的耐疫劳弹簧、提环和塑料外筒等构成，全封闭结构。2、有N和g对应刻度，最小分度值为0.1N，最大分度值1N上标有数字。</t>
  </si>
  <si>
    <t>14006</t>
  </si>
  <si>
    <t>1N；外筒由透明塑料制成，外径21mm，长150mm；具有优良测量性能的耐疫劳弹簧、提环和塑料外筒等构成，全封闭结构。2、有N和g对应刻度，最小分度值为0.05N，最大分度值0.2N上标有数字。</t>
  </si>
  <si>
    <t>14008</t>
  </si>
  <si>
    <t>平板测力计</t>
  </si>
  <si>
    <t>5N，由对疲劳弹簧、可调节指针、旋片及刻度板等构成，最小刻度值为0.1N，白色塑料面板或铝板。</t>
  </si>
  <si>
    <t>10N，圆盘指针式。产品由上滑杆、予力调正套、复零调节套、指针、示度盘、下予力调正套、下滑杆、后盖、联销轴、圆盘、垫板、支撑板等组成。表面直径约200mm，分度值1N。</t>
  </si>
  <si>
    <t>14011</t>
  </si>
  <si>
    <t>演示测力计</t>
  </si>
  <si>
    <t>由弹簧、指针、刻度板、拉杆、悬挂装置、夹持柄等组成，刻度板为塑料制品，刻度值为 0N～2N，最小分度值为0.1N、最大分度值为0.5N。右左侧刻度线一致。</t>
  </si>
  <si>
    <t>1.量程：10N，分度值：0.2N。2. 拉力测力计由耐疲劳弹簧、指针、调节器、小勾、承压台和分度板等构成。3. 材料用工程塑料或≥0.5mm的金属薄板制成。4. 其它技术要求参照JY 0127执行。 5. 安全、结构、外观应符合JY 0001第5、6、7的有关要求执行。</t>
  </si>
  <si>
    <t>1. 双向测力计主要由左右对称的标尺、拉压弹簧、指针架、拉杆、托架、挂钩、限拉片等组成。 2. 最大测量范围10N，最小分度值0.5N。3. 测力计由工程塑料或金属材料制成，测力计两端挂钩，其材料应符合JY 0001中的7.4和7.7条的要求。4. 其它技术要求应符合JY 0127的有关规定。5. 结构、外观应符合JY 0001第6、7的有关要求执行。</t>
  </si>
  <si>
    <t>14020</t>
  </si>
  <si>
    <t>握力计</t>
  </si>
  <si>
    <t>1. 由测力盘、指针、握力杆、弹簧等组成。 2. 刻度盘标有0—1000N。 3.性能、结构、外观应符合JY 0001第4、6、7章有关规定。</t>
  </si>
  <si>
    <t>霸王</t>
  </si>
  <si>
    <t>慈溪市宗汉霸王体育用品厂</t>
  </si>
  <si>
    <t>14021</t>
  </si>
  <si>
    <t>拉力计</t>
  </si>
  <si>
    <t>1. 采用表盘推拉力计。 2. 表盘推拉力计材料选用工程塑料或金属材料。3. 刻度盘标有10—500N，最小单位5N。4. 拉力计应能承受1分钟550N的拉力而不损坏。5. 性能、结构、外观应符合JY 0001第4、6、7章有关规定。</t>
  </si>
  <si>
    <t>15</t>
  </si>
  <si>
    <t>15001</t>
  </si>
  <si>
    <t>演示电表</t>
  </si>
  <si>
    <t>量程范围：检流计：100～0～-100µA（内阻＜500Ω＝；电压计：直流电压0～10V、0～25V；电流计：直流电流0～500µA、0～5mA、0～100mA、0～1A、0～5A；电表精度要求2.5级</t>
  </si>
  <si>
    <t>15002</t>
  </si>
  <si>
    <t>数字演示电表</t>
  </si>
  <si>
    <t>4-1/2 位，双面显示，同一物理量能自动转 换量程。直流电流：200 μA、2 mA、20 mA、 200 mA、2 A、20 A，不确定度 0.2％；直流电压：2 V、20 V、200 V，不确定度 0.1％；电阻：200 Ω、2 kΩ、20 kΩ、200 kΩ、 2 MΩ、20 MΩ，不确定度 0.2％；交流电压： 2 V、20 V、200 V、700 V，不确定度 0.5％； 交流电流：2 mA、20 mA、200 mA、2 A，不确定度 1.0％。2 A、20 A 自动过载保护，故障排除自动恢复。交流供电，采用 II 类变压器。</t>
  </si>
  <si>
    <t>15006</t>
  </si>
  <si>
    <t>电能表</t>
  </si>
  <si>
    <t>单相。1.电压：220V 10（40）A  50Hz  1600imp/kw.h。2.塑料外壳。</t>
  </si>
  <si>
    <t>泰丰电表</t>
  </si>
  <si>
    <t>浙江泰丰电表有限公司</t>
  </si>
  <si>
    <t>15007</t>
  </si>
  <si>
    <t>15008</t>
  </si>
  <si>
    <t>2.5 级，0.6A，3A等级指数2.5级，量程0.6A、3A。</t>
  </si>
  <si>
    <t>15009</t>
  </si>
  <si>
    <t>2.5 级，3V，15V等级指数2.5级，量程3V、15V。</t>
  </si>
  <si>
    <t>15010</t>
  </si>
  <si>
    <t>测量范围：-300µA～0～300µA。误差：≤5μA。</t>
  </si>
  <si>
    <t>15011</t>
  </si>
  <si>
    <t>准确度等级：DC电流、电压电阻2.5级，AC电压5级。灵敏度：DC:5KΩ/V，AC:2.5KΩ/V。测量范围： 直流电流0～1mA～10mA～100mA，直流电压   2.5v～10v～50v～250v～500v ，交流电压2.5v～10v～50v～250v～500v，电阻R×1、R×10、R×100、R×1K中心电阻15Ω、150Ω、1.5KΩ、15KΩ。</t>
  </si>
  <si>
    <t>15012</t>
  </si>
  <si>
    <t>投影电流表</t>
  </si>
  <si>
    <t>2.5 级，0.6A，3A，最小分度值为0.02A、0.1A，测量范围：（-0.2～0～0.6A）（-1～0～3A），测量精度：2.5级，阻尼时间：不大于4s，对外界磁场的防御等级为Ⅲ级。</t>
  </si>
  <si>
    <t>15013</t>
  </si>
  <si>
    <t>投影电压表</t>
  </si>
  <si>
    <t>2.5 级，3V，15V，最小分度值为0.5V、0.1V，指示面板与水面平行，测量范围：（-1～0～0.6A）（-1～0～3V）(-5～0～15V)，测量精度：2.5级，阻尼时间：不大于4s，对外界磁场的防御等级为Ⅲ级。</t>
  </si>
  <si>
    <t>15014</t>
  </si>
  <si>
    <t>投影检流计</t>
  </si>
  <si>
    <t>±300μA，对外界磁场的防御等级为Ⅲ级。</t>
  </si>
  <si>
    <t>15020</t>
  </si>
  <si>
    <t>垂直系统频率响应：直流DC~5MHz≤3dB，交流10Hz~5MHz≤3dB；偏转因素：20mVp-p／格，误差±10%；输入电容：1M∥40PF；衰减倍率：1、10、100、1000，误差±10%；输入耐压：400V（DC+ACpk）；扫描系统扫描频率： 10Hz~100kHz，分四挡；同步：内正、内负、外同步；水平系统频率响应：10Hz~500kHz≤3dB；偏转因素：100mVp-p／格；输入电容：1M∥60PF；波形：正弦波 50Hz；幅度：250mVp-p±10%；余辉：中；工作环境：温度0℃~+40℃；相对湿度：≤90%（40℃）。产品应符合JY3-85《教学示波器》的有关规定。</t>
  </si>
  <si>
    <t>15021</t>
  </si>
  <si>
    <t>大屏幕示波器</t>
  </si>
  <si>
    <t>1.显示面积：≥270mm×220mm，中余辉。
2.Y轴灵敏度：≤200mVP-P/格，可调。
3.Y轴频响：20Hz-20kHz小于5dB（幅度为10cm时）。
4.X轴扫描频率：20Hz-2500Hz可调。
5.X轴灵敏度：≤100mVp-p/格可调。
6.X轴频响：20Hz-2500Hz小于5dB（幅度为18cm时）。
7.机内汛号：正弦波。</t>
  </si>
  <si>
    <t>佳仪</t>
  </si>
  <si>
    <t>嘉兴市佳仪教育仪器厂</t>
  </si>
  <si>
    <t>16</t>
  </si>
  <si>
    <t>16001</t>
  </si>
  <si>
    <t>密度计</t>
  </si>
  <si>
    <t>1.计量范围：密度1.000—2.000。2.最小分度值：0.001。3.全长：250±10mm。4.误差：±0.001。5.产品符合GB/T17764-2008《密度计》的技术要求。</t>
  </si>
  <si>
    <t>16002</t>
  </si>
  <si>
    <t>1.计量范围：密度0.7000—1.000。2.刻度：0.001。3.全长：250±10mm。4.误差：±0.001。5.产品符合GB/T17764-2008《密度计》的技术要求。</t>
  </si>
  <si>
    <t>16004</t>
  </si>
  <si>
    <t>双指针式、全塑料外壳，带座可悬挂。1.可测温度及湿度。2.直径约128mm。3.温度可测 -30°C~50°C，湿度可测 10%RH~90%RH。</t>
  </si>
  <si>
    <t>16005</t>
  </si>
  <si>
    <t>罗盘</t>
  </si>
  <si>
    <t>产品为手持式，表盘形式。
1、产品由基准线、转动表盘、放大镜、指南针、金属挂件组成。</t>
  </si>
  <si>
    <t>16008</t>
  </si>
  <si>
    <t>空盒气压计</t>
  </si>
  <si>
    <t>多膜盒。产品由上拖板、真空膜盒、连接拉杆、调节螺丝、中间轴、调整器、扇形齿轮、直齿轮、偏心螺钉、游丝、指针、刻度盘及打气球等组成。1.测量范围：80～106Kpa，分度值：0.1Kpa，测量误差：小于0.25 Kpa。3.全透明外壳。</t>
  </si>
  <si>
    <t>21</t>
  </si>
  <si>
    <t>21001</t>
  </si>
  <si>
    <t>圆柱体组</t>
  </si>
  <si>
    <t>1.包括纯铜、铝(或铝合金)和铁(钢)等3种材质圆柱体；
2.每个圆柱体配网兜。</t>
  </si>
  <si>
    <t>21002</t>
  </si>
  <si>
    <t>立方体组</t>
  </si>
  <si>
    <t>1、产品为单件盒袋，由铜1个、铁1个、铝1个、木1个组成。2、铜块、铁块、铝块、木块规格约：20×20×20mm。3、立方块表面平整光滑。木材采用优质环保木料，表面环保油漆涂层精制而成。采用优质钢材，防锈处理。</t>
  </si>
  <si>
    <t>21003</t>
  </si>
  <si>
    <t>运动和力实验器</t>
  </si>
  <si>
    <t>1.由平面板、短斜面，小车，钢球1个，塑料球1个，塑料盒1只，毛巾1块，布1块组成。短斜面长度200mm±5mm，宽120mm±5mm，厚12mm±2mm，有可调节斜面倾角的支撑，表面用黑色节字贴包贴，平整、光滑，美观。平面板长度530mm±5mm，宽120mm±5mm,厚12mm±2mm，有可调节斜面倾角的支撑，表面用黑色节字贴包贴，平整、光滑，美观。小车外形尺寸约：105mm×65mm×40mm,小车轮距不小于50mm，轴距不小于67mm，车轮直径不小于20mm。小车在500mm长度平面内。</t>
  </si>
  <si>
    <t>21004</t>
  </si>
  <si>
    <t>21005</t>
  </si>
  <si>
    <t>21006</t>
  </si>
  <si>
    <t>1、产品由5种钢丝绕成的螺旋弹簧组成。2、弹簧的拉力分别为0.5N、1N、2N、3N、5N，弹簧表面镀镍防锈，弹簧上端为圆环，下端有三角片，杠勾，指针等。</t>
  </si>
  <si>
    <t>21007</t>
  </si>
  <si>
    <t>阿基米德原理实验器</t>
  </si>
  <si>
    <t>1.由测力计、塑料吊桶、塑料圆柱体、溢液杯组成。2.测力计面板应有0g、50g、100g、150g、200g和0N、0.5N、1.0N、1.5N、2.0N两种对应刻度、量程的示值误差≤1%，测力计上端要有零调装置。塑料圆柱的体积为100ml,有等分刻度线，质量≥120g，直径≥φ35mm,塑料吊桶透明,外直径≥φ400mm，容积为100ml有等分刻度线,溢液杯透明</t>
  </si>
  <si>
    <t>阿基米德原理及其应用实验器</t>
  </si>
  <si>
    <t>产品主要由由游标指针、塑料桶、塑料圆柱体和溢液杯组成。溢液杯采用透明塑料制作，溢水口中心离溢水杯口边缘约18mm；塑料桶采用透明塑料制作，筒壁有刻度标尺，塑料桶附有挂钩；</t>
  </si>
  <si>
    <t>液体压强与深度关系实验器</t>
  </si>
  <si>
    <t>由低重心实验筒、砝码组（放入实验筒内）、浮标环等组成；实验筒在水中倾斜不应超过8</t>
  </si>
  <si>
    <t>21010</t>
  </si>
  <si>
    <t>连通器</t>
  </si>
  <si>
    <t>1． 本产品由玻璃连通器和底座两部分组成。2． 外形尺寸不小于：210×120×210mm。3． 玻璃件选用钠钙玻璃或硼硅玻璃。4． 玻璃件壁厚约1.0mm。5． 玻璃件细管外径为12mm，粗管外径为30mm。6． 玻璃件必须经过退火处理，消除应力。7． 底座要平稳，表面光滑无痕。8． 产品应符合QB/T 2561《实验室玻璃仪器》,产品应符合JY232-87《连通器》的要求。9． 符合JY0001－2003《教学仪器一般质量要求》的有关规定。</t>
  </si>
  <si>
    <t>21012</t>
  </si>
  <si>
    <t>浮力原理演示器</t>
  </si>
  <si>
    <t>产品由大水箱、小水箱、浮子、连通管、接头等组成。水箱采用透明性好的塑料制成，大水箱外径100mm，壁厚不小于2mm；小水箱容积不小于60ml；大水箱外壁标有指示深度的刻度线，分度为5mm；浮子采用工程塑料制作，直径不小于50mm，色泽鲜艳、醒目；浮子上配有重物，体积能做微量调节；产品的连接软管为乳胶管。</t>
  </si>
  <si>
    <t>21013</t>
  </si>
  <si>
    <t>物体浮沉条件演示器</t>
  </si>
  <si>
    <t>由透明盛液筒（内径≥95mm，深度≥285mm）、浮体及附件（U形杯、叉子、注射器、密度计）组成；悬浮应有微调，浮体可处于漂浮、悬浮、下沉三种状态</t>
  </si>
  <si>
    <t>21014</t>
  </si>
  <si>
    <t>潜水艇浮沉演示器</t>
  </si>
  <si>
    <t>1.由透明气室及吸排气装置配套组成，气室顶端有吸排气孔， 下端有进、排水孔。2. 气室用无毒、透明塑料制成。气室容积≥300cm3。3. 性能、结构和外观符合JY 0001第4、6、7有关规定。</t>
  </si>
  <si>
    <t>21015</t>
  </si>
  <si>
    <t>液体内部压强实验器</t>
  </si>
  <si>
    <t>由承压盒、支杆、过渡接头、硅橡胶管、硅橡胶膜组成；承压盒内径Φ36mm～Φ38mm硅橡胶膜厚0.5mm，支杆长度不小于300mm有手动转动机构，有标尺</t>
  </si>
  <si>
    <t>21016</t>
  </si>
  <si>
    <t>微小压强计</t>
  </si>
  <si>
    <t>透明圆筒壁同一直线上不同高度处应有3个喷嘴，有表示深度的标尺</t>
  </si>
  <si>
    <t>21017</t>
  </si>
  <si>
    <t>液体对器壁压强演示器</t>
  </si>
  <si>
    <t>气体浮力演示器</t>
  </si>
  <si>
    <t>抽气式，产品应由透明容器、圆柱形浮体、平衡块、杠杆和气阀和连接软管组成，透明容器的体积为不小于4L，圆柱形浮体浮体宜采用轻质材料制作，体积应不小于1000cm³，浮体在容器里压强达到-0.07MPa，浮体长度、直径变化不大于3%，且不可有开裂、破损及变形现象，平衡块、杠杆采用金属材料制成，平衡块中心螺纹孔贯穿，杠杆与平衡块应采用螺纹连接，表面应作防锈处理，可以通过调节平衡块位置达到平衡，气阀为台阶口，外径为8mm的，仪器平衡状态时在抽到真空时杠杆挂浮体端应向下倾斜25°±2°，打开气阀后杠杆恢复平衡状态。</t>
  </si>
  <si>
    <t>马德堡半球</t>
  </si>
  <si>
    <t>由两个附有拉手的铸铁组成。铸铁件应符合：（1）铸铁件其中一个半球上装有旋塞和抽气管咀。（2）半球（圆盘）外径≥φ105mm，内径≥φ75mm。两半球（圆盘）的合口处和旋塞应进行成组研磨，并配套编号。金属球体内表面涂防锈漆。（3）旋塞和抽气管咀由黄铜制成。应符合JY108-82《马德堡半球》的要求。</t>
  </si>
  <si>
    <t>21020</t>
  </si>
  <si>
    <t>大气压系列实验器</t>
  </si>
  <si>
    <t>1. 由透明杯、橡胶套圈、胶塞、多孔盖、方格盖板、带嘴盖板、小气球、弹簧夹、乳胶管组成。2. 透明杯的直径≥80mm，高度≥120 mm。 3. 乳胶管长≥400 mm，壁厚≥2 mm。 4. 弹簧夹采用钢丝。 5. 性能、结构、外观应符合JY 0001第4、6、7章有关规定。</t>
  </si>
  <si>
    <t>21021</t>
  </si>
  <si>
    <t>压力和压强演示器</t>
  </si>
  <si>
    <t>产品有压强小桌、海绵块组成。压强小桌为塑料制品，桌面尺寸≥130×70mm，应精制美观。小桌腿长≥50mm，圆柱形略带锥度。海绵块尺寸：≥135×80×45mm，须切割平整。产品配合J2106金属钩码使用，要求不再配砝码。</t>
  </si>
  <si>
    <t>21022</t>
  </si>
  <si>
    <t>流体流速与压强关系演示器</t>
  </si>
  <si>
    <t>一、规格要求：
1．产品由演示屏、底座、快慢流速管玻璃制品、两只U形管玻璃制品、乳胶管等组成。</t>
  </si>
  <si>
    <t>21030</t>
  </si>
  <si>
    <t>杠杆</t>
  </si>
  <si>
    <t>产品由调节螺母、杆身、转轴、螺杆及挂钩孔组成。
杆身长500mm±20mm宽25mm，每两个挂钩孔间隔20mm。转轴为铜制,以转轴为中心为零点向两端刻有刻度线(长6mm宽0.5mm)每两条刻度线间隔10mm，两端各25条。螺杆为金属材质，直径6mm,有郊长度为70mm</t>
  </si>
  <si>
    <t>21031</t>
  </si>
  <si>
    <t>演示滑轮组</t>
  </si>
  <si>
    <t>演示滑轮组的组成及规格：包括单滑轮2个、三并滑轮2个、三串滑轮2个、可卡滑轮2个。单滑轮配备数量:2个，轮盘数量:1个，外径D:70mm，轮缘厚a:8mm， 轮毂厚b：10mm， 槽深c：5mm；三并滑轮配备数量:2个，轮盘数量:3个，外径D:70mm，轮缘厚a:8mm， 轮毂厚b：10mm， 槽深c：5mm；三串滑轮配备数量:2个，轮盘数量:3个，其一为外径D:70mm，轮缘厚a:8mm， 轮毂厚b：10mm， 槽深c：5mm；其二为外径D:53mm，轮缘厚a:8mm， 轮毂厚b：10mm， 槽深c：5mm； 其三为外径D:40mm，轮缘厚a:8mm， 轮毂厚b：10mm， 槽深c：5mm，三并滑轮为直边半封闭式，三串滑轮和单滑轮为单边悬臂式，滑轮的上下挂钩方向互成90°或可转动。</t>
  </si>
  <si>
    <t>21032</t>
  </si>
  <si>
    <t>滑轮组</t>
  </si>
  <si>
    <t>滑轮组的组成及规格：由单滑轮4个、二并滑轮2个、二串滑轮2个、可卡滑轮2个组成。单滑轮配备数量：4件，轮盘数量：1个；二串滑轮配备数量：2件，轮盘数量：2个；外径D：40mm ；轮缘厚a：7mm ； 轮毂厚b：10mm ；槽深c：4.5mm 。框架结构形式均为直边封闭式，上下挂钩互成90°或可转动。允许负荷：2千克。轮盘用塑料制成。框架用碳钢冷轧板制成。中轴由钢丝制成，框架表面作防锈处理。轮盘应转动灵活，轮盘沿轴向串动距离不大于1mm。</t>
  </si>
  <si>
    <t>21033</t>
  </si>
  <si>
    <t>1． 滚摆由摆体（摆轮和摆轴）、悬线、支柱、横梁和底座组成。2． 摆轮直径Φ125mm。摆轴直径Φ8mm，长160mm，轴上两个穿线孔距离140mm，穿线孔径Φ1.5mm。支柱高400mm，横梁长240mm。3． 摆体（摆轮和摆轴）重0.65Kg。4． 摆轴对摆轮的垂直度公差为0.25mm。5． 摆轴应粗细均匀。轴上二穿线孔对于摆轮的对称公差为0.5mm。6． 摆体重心偏移轴线公差为0.45mm。7． 摆轴镀铬。底座应稳固、表面涂漆，支柱表面应作防锈处理。8． 产品应符合JY110-82《滚摆》的要求。</t>
  </si>
  <si>
    <t>力学实验盒</t>
  </si>
  <si>
    <t>产品主要由下列部件组成：小车1个、弹簧测力计2支、支杆1支、小支杆1支、刻度牌1块、多用端头1个、横梁平衡母和丝杆1套、游码1只、托盘2个、大桶1个、大胶塞1个、小胶塞2个、薄膜1块、小桶1个、重物1个、塑料管2根、砝码块（20g两只、10g四只、5g两只）、砝码托2个、滑轮2个、滑轮架2个、滚摆配件、粗糙布块1块、S型挂钩1只、小球及带钩长细线1套、皮筋2根、海绵块1块、重锤及线1套、指针1个、弹簧片1只、两端带挂钩的细绳1套、带钩插杆1支、小桌1个、皮碗2个。</t>
  </si>
  <si>
    <t>初中力学演示板</t>
  </si>
  <si>
    <t>1、为手提式组合教具，全部教具组装于塑料箱内，所有配件应有定位放置。仪器由实验底板、大三角支板、紧固销、塑料吊杯、支撑杆、平直导轨、双向测力计等组成。2、完成初中物理力学“重力的方向和重锤线”、“用弹簧称测力”、“弹簧的伸长跟所受的拉力成正比”、“二力平衡的条件”、“物体的惯性”、“摩擦”、“杠杆的作用和平衡条件”、“轮轴的作用和平衡条件”、“定滑轮、动画轮和滑轮组的作用”、“功的原理”、“斜面”、“机械效率”、等22个实验。</t>
  </si>
  <si>
    <t>21037</t>
  </si>
  <si>
    <t>飞机升力原理演示器</t>
  </si>
  <si>
    <t>1、产品由风机、飞机模型、透明罩、滑杆、滑杆压板、底座等组成。2、风机：（1）风机工作电压：AC220V±22V  50HZ；（2）风机导风管口横截面为长方形，风力应稳定、均匀。（3）风机的风量大小应可调节，调节旋钮应转动灵活。（4）风机上的开关及调节旋钮应可靠耐用、松紧适度、手感舒适。（5）风机工作时不得产生大于60dB的噪音和剧烈震动。3、飞机模型：（1）飞机模型应采用质轻的材料制作，应造型逼真。整件表面光洁，无飞边毛刺。（2）机翼应成型为前端圆钝、后端尖锐，上弯下平，上下不对称。机翼尺寸不小于110×80×20mm。（3）透明罩应采用透明性好的材料制作，表面光洁无划痕。长度不小于185mm，高度不小于85mm。（4）滑杆高度应不小于120mm，要求杆身挺直、光滑，飞机模型在滑杆上应能上下活动自如。（5）滑杆压板应与滑杆配合可靠，取放方便。仪器工作时，飞机模型在上升至滑杆顶部时不得脱出。（6）底座应放置平稳，周边光滑。尺寸不小于520×150×30mm。（7）调整好仪器后，接通电源，闭合电源开关，通过透明罩观察，飞机模型应能缓缓升起，通过调节风量旋钮，应可控制飞机模型上升的高度。</t>
  </si>
  <si>
    <t>21038</t>
  </si>
  <si>
    <t>振动和波、热学</t>
  </si>
  <si>
    <t>22002</t>
  </si>
  <si>
    <t>发音齿轮</t>
  </si>
  <si>
    <t>由三片齿板、转动轴等组成。齿轮用钢材制成，齿数分别为80、60、40齿，三片齿板表面镀铬，其余表面镀锌。应符合JY224-87《发音齿轮》的要求。</t>
  </si>
  <si>
    <t>单摆</t>
  </si>
  <si>
    <t>1、由摆球、线绳组成。2、钢球直径19mm。3、摆球均沿直径方向钻孔，供穿线使用，钢球表面镀铬、抛光。4、摆球附悬线1根，长度均≥1100mm。</t>
  </si>
  <si>
    <t>22005</t>
  </si>
  <si>
    <t>由支架、螺旋弹簧、振源及附件、连接杆和衬布等部件组成。在工作状态下应满足下表要求。 弹簧工作长度 全长圈数 波速（mm/s） 波的传播可见距离100mm 200±10 ≤0.5 ，2个单程1250mm 230±10  1600mm 250±10  不少于1个单程 6. 螺旋弹簧吊线结点应在一条直线上，且分布均匀。外观质量应符合JY 0001第6章的有关规定。</t>
  </si>
  <si>
    <t>22007</t>
  </si>
  <si>
    <t>声传播演示器</t>
  </si>
  <si>
    <t>1. 仪器由底板、透明管、密封上盖、发声声源、固体传声棒、喇叭、声源接受器、密封下盖、气阀门、电源输入端、抽气管、放气管组成。2. 仪器密封后用抽气管抽气，应使透明管内极限压强≤6.7×103Pa。3. 当管内压强被抽至6.7×103Pa时，放置30秒钟，其漏气引起的压强变化应小于2.6×102Pa.。4. 当管内压强被抽至6.7×103Pa时，实验声音传播音量应明显小于在充满空气时的传播音量。5. 用液体或固体实验声音传播时，音量明显大于空气稀薄时的音量。6. 管内注入适量的水，无漏水现象。符合JY/T0371-2004《声传播演示器》标准。</t>
  </si>
  <si>
    <t>22008</t>
  </si>
  <si>
    <t>超声应用演示器</t>
  </si>
  <si>
    <t>1、振子的功率：不小于100W2、槽内容积：不小于2.81升3、内槽尺寸：不小于240mm×140mm×100mm4、振子频率：不低于标准频率40KHz5、槽体材质：不低于SUS3046、排水方式：放液阀门7、绝缘电阻≥20MΩ8、性能、安全、结构、外观应符合JY 0001第4、5、6、7章的有关要求。</t>
  </si>
  <si>
    <t>22009</t>
  </si>
  <si>
    <t>环境适应性：工作温度10～35℃；相对湿度25～75%。抗电强度：仪器能耐受50Hz正弦波500V电压1min耐压试验。压电陶瓷换能器谐振频率：37±3kHz；可承受的连续电功率≥15W</t>
  </si>
  <si>
    <t>22201</t>
  </si>
  <si>
    <t>量热器</t>
  </si>
  <si>
    <t>它是由白瓷外筒和铜（或铝）质小筒组成，小筒的底部用不传热的小支架支起来,小筒放在大筒内的木支架上,而且大小筒之间有空隙,支架和大筒选用热的不良导体,这样可以防止热传导散热。将筒盖盖紧可防止辐射散热。</t>
  </si>
  <si>
    <t>22202</t>
  </si>
  <si>
    <t>有挤压扳动器和刮 削器由两只带有金属挂钩的铅圆柱体组成，并配有挤压板和旋转式刮削器。圆柱体直径φ20mm、长50mm。挂钩镀铬。安装在圆柱体端面的中心，允许偏差不大于1毫米。应符合JY171-84《内聚力演示器》的要求。</t>
  </si>
  <si>
    <t>22203</t>
  </si>
  <si>
    <t>22204</t>
  </si>
  <si>
    <t>爆燃器</t>
  </si>
  <si>
    <t>由内部带放电针的缸体、缓冲冠、缸盖和底座组成。缸体应使用无色透明聚丙烯（PP）树脂，缸体容积40mL～50mL，壁厚2mm
±0.1mm。缸盖应带有缓冲冠，缸盖与缸体紧密配合，10N≤脱开力≤30N</t>
  </si>
  <si>
    <t>22205</t>
  </si>
  <si>
    <t>机械能热能互变演示器</t>
  </si>
  <si>
    <t>产品由导热管、塞盖、弓形夹、摩擦绳等组成。导热管采用φ16×1mm紫铜管制成，长约65mm；塞盖材质为橡胶；弓形夹有效夹持厚度5～55mm，夹持深度不小于30mm，夹紧压力不小于200kg；摩擦绳采用腊旗绳，直径约φ4mm，长度不小于1米。</t>
  </si>
  <si>
    <t>22206</t>
  </si>
  <si>
    <t>金属线膨胀演示器</t>
  </si>
  <si>
    <t>产品由金属试棒、支架、传动机构、指针、标尺和底座组成，附有专用酒精灯和火焰罩。 金属试棒分别为铝棒、铜棒、铁棒，试棒长度为185±0.5mm，直径为6mm；支架一端设有调节螺丝，与传动机构配合，在常温下能将指针调至零位。三组传动机构传动灵活，互不干扰；指针采用铝材制作，针体长约170mm，最宽部分10mm， 三根指针分别着红、蓝、白三种颜色；标尺采用金属材料制成，印有刻度线，表面镀铬；底座材质为金属，外形尺寸约240×90×20mm。</t>
  </si>
  <si>
    <t>22207</t>
  </si>
  <si>
    <t>固体缩力演示器</t>
  </si>
  <si>
    <t>由试棒、手柄、底座、铸铁销、专用酒精槽等构成。碳素结构钢试棒，直径不小于16mm长不小于350mm，扁形段长不小于60mm。灰铸铁手柄，M16螺纹与试棒配合。灰铸铁底座，试棒在底座上高度80mm。灰铸铁铁销，直径5mm～6mm，长不小于60mm，每套不少于50根。酒精槽尺寸约150mm×30mm×30mm，铝，配盖，有手柄</t>
  </si>
  <si>
    <t>22208</t>
  </si>
  <si>
    <t>热传导演示器</t>
  </si>
  <si>
    <t>产品由试验棒、加热块、手持支杆等组成。试验棒包括：黄铜棒、紫铜棒、铁棒、铝棒、不锈钢棒，试验棒尺寸约为φ5×80mm(±5%)；加热块采用铜材制作；手持支杆总长约240mm(±5%)，采用金属杆制作，手持支杆附有手柄，手柄采用绝热性能好的材料制作，握持长度80mm(±5%)。</t>
  </si>
  <si>
    <t>22209</t>
  </si>
  <si>
    <t>22210</t>
  </si>
  <si>
    <t>声热实验盒</t>
  </si>
  <si>
    <t>结构：采用小型组合式结构，插接方便。1. 仪器盒（弦定位座） 1套 ；2. 弦调节轴 2个；3. 弦定位柱 2个；4. 三角形片 1片；5. 弦（粗、细长均为360mm） 各1根；6 .弦支座 2根；7 .喇叭  8欧 2个；8. 喇叭固定板 1个；9. 喇叭罩 1个；10 .薄膜板 1个；11. U形插片座 2个 ；12 .穿线钢球 1个 ；13. 小锤 1个  ；14. 铜丝（Φ0.3-Φ0.5） 1根；15. 指针 1根； 16 .立柱 2根；17 .拉线杆 1个；18 .白屏 1块；19 .销轴 ；20. 铜棒 1根；21 .凡士林 1盒；22 .蜡烛 1根； 23 .定位螺丝 1根。</t>
  </si>
  <si>
    <t>22213</t>
  </si>
  <si>
    <t>纸盘扬声器</t>
  </si>
  <si>
    <t>直径≥ 200mm，8Ω，动圈式扬声器的主要性能在指向性、频响(5-5KHZ)、失真度、音质等方面应符合技术要求。</t>
  </si>
  <si>
    <t>22214</t>
  </si>
  <si>
    <t>手持式喇叭</t>
  </si>
  <si>
    <t>手持式，塑料制。功能：音亮调节、语音播放、音乐播放。口径150mm，高240mm，输出功率15W。</t>
  </si>
  <si>
    <t>玻棒（附丝绸）</t>
  </si>
  <si>
    <t>1． 产品包括：硬质玻棒（或有机玻棒）1根，丝绸1块。2． 玻棒（或有机玻棒）外形尺寸不小于300mm。3． 丝绸尺寸应不小于360mm×360mm。4． 在规定工作条件下，用丝绸裹住玻棒（或有机玻棒）做一次快速拉出，棒上所带的电荷用指针验电器检验应具备下列效果：使用玻棒，指针验电器张角不小于30o使用有机玻棒，指针验电器张角不小于45o5． 玻棒表面应无斑痕、气孔，烧制后做退火处理。有机玻棒表面要光洁，手持端要有标志。6． 丝绸为桑蚕织品，颜色为本色。7． 产品应符合JY179－85《玻棒附丝绸、有机玻棒附丝绸、胶棒附毛皮、聚碳酸脂棒附毛皮》的要求。8． 符合JY0001－2003《教学仪器一般质量要求》的有关规定。</t>
  </si>
  <si>
    <t>1． 产品包括：硬质玻棒（或有机玻棒）1根，丝绸1块。2． 玻棒（或有机玻棒）外形尺寸不小于250mm。3． 丝绸尺寸应不小于360mm×360mm。4． 在规定工作条件下，用丝绸裹住玻棒（或有机玻棒）做一次快速拉出，棒上所带的电荷用指针验电器检验应具备下列效果：使用玻棒，指针验电器张角不小于30o使用有机玻棒，指针验电器张角不小于45o5． 玻棒表面应无斑痕、气孔，烧制后做退火处理。有机玻棒表面要光洁，手持端要有标志。6． 丝绸为桑蚕织品，颜色为本色。7． 产品应符合JY179－85《玻棒附丝绸、有机玻棒附丝绸、胶棒附毛皮、聚碳酸脂棒附毛皮》的要求。8． 符合JY0001－2003《教学仪器一般质量要求》的有关规定。</t>
  </si>
  <si>
    <t>教师用，应含胶棒（或聚碳酸脂棒）2根、毛皮2块。胶棒用硬橡胶或聚碳酸脂制成，外形尺寸直径为14±1mm，长度300±5mm，头部为球形半径R4mm。毛皮为经过鞣制的猫皮、羊羔皮等，尺寸应≥150mm×150mm。产品应符合JY179-85标准。</t>
  </si>
  <si>
    <t>胶棒（附毛皮）</t>
  </si>
  <si>
    <t>产品由两根胶棒及一块毛皮组成。胶棒材质为聚碳酸脂，胶棒尺寸为φ12.5×300mm，胶棒的一端成圆弧形，圆弧尺寸约为SR4mm；毛皮为经过鞣制的动物毛皮，尺寸不小于150×150mm。</t>
  </si>
  <si>
    <t>1． 本产品由外壳、圆球或圆盘、导电杆、箔片及中位卡组成。2． 外壳应牢固、平整、底座平稳，透光部分应光洁透明，无气泡及划痕。3． 园球或园盘、导电杆及中位片用金属制成，镀铬抛光后，表面光洁无毛刺。安装后应紧固无松动及歪斜现象。4． 导电杆与外壳间应有绝缘套管，安装后应无明显缝隙，取下方便，不致损坏箔片。5． 金属箔片厚度不大于0.02mm，长度不小于25mm，带电时应能顺利张开，两边张角应对称，不飞翻弯曲，电荷消失后应能完全回零。6． 在圆球或圆盘上加8KV的直流高压时，泊片的两边张开与中位片的角度应不小于45°。移去高压后，箔片张开角度保持30°以上的时间应不小于1分钟。7． 产品应符合JY202－85《箔片验电器》的要求。8． 符合JY0001－2003《教学仪器一般质量要求》的有关规定。</t>
  </si>
  <si>
    <t>学生用；本仪器用于静电实验，可检验物体是否带电，检验物体带的电是正或负，检验物体的绝缘性以及演示感应带电等。箔片验电器是仿日全塑料封闭式，绝缘性能好，灵敏度高，不受气候影响，实验效果显著，并置有角度尺，亦可作指针验电器使用。在底座上装上一只全封闭透明外壳，上面有一小孔，装有绝缘套筒，一根金属杆穿过绝缘套筒插入外壳内，金属杆上端装不一块集电板，下端挂有一片金属箔片，外壳内部一侧装有一块刻度板。尺寸: ≥150*123*66mm</t>
  </si>
  <si>
    <t>指针验电器</t>
  </si>
  <si>
    <t>23009</t>
  </si>
  <si>
    <t>1、枕形导体用铜或铝制成，铜质导体应用镍、锌或铬镀层、表面抛光，铝质导体应做电化学处理。 2、缘支柱用有机玻璃制成，底座用绝缘材料制成。3．性能、安全、结构、外观应符合JY 0001第4、5、6、7的有关要求。</t>
  </si>
  <si>
    <t>23010</t>
  </si>
  <si>
    <t>23011</t>
  </si>
  <si>
    <t>23012</t>
  </si>
  <si>
    <t>23013</t>
  </si>
  <si>
    <t>1、50Ω，1.5A   2、电阻阻值误差≤10% 3、绝缘层耐压1.5V  4、工作温升≤300℃  5、绝缘电阻：≥20M∩   6、耐压1.5KV不出现飞弧和击穿。 7、电接触：滑动头在滑动时电阻阻值应均匀化，不得有间断跳跃现象。   8、触头机械压力：滑动头与电阻线、滑杆保持良好的弹性、接头应圆滑，压力均可，滑动应顺畅。</t>
  </si>
  <si>
    <t>23014</t>
  </si>
  <si>
    <t>1、5Ω，3A；2、产品由线绕瓷管、滑动头、滑杆、支架、接线柱等主要部件组成。有氧化膜绝缘层的铜镍合金电阻丝密绕在瓷管上。3、变阻器电阻值误差不超过±10%。4、变阻器能在环境温度-10℃至+40℃，相对湿度不大于85%的条件下连续工作。</t>
  </si>
  <si>
    <t>23018</t>
  </si>
  <si>
    <t>电阻圈</t>
  </si>
  <si>
    <t>电阻圈有三个规格：5Ω，10Ω，15Ω，.电阻圈的电阻丝应采用精密电阻合金丝（如康铜线、锰铜线、新康铜线等）绕制。表面氧化处理。环境温度：-10～40℃；相对湿度：不大于85%。接线端钮应为铜质材料，连线后其接触电阻不应大于0.1Ω                                        电阻圈阻值的基本误差不大于1%，电阻圈在额定电流下工作2h后，各性能指标仍能达到规定要求，电阻圈在无包装状态下，从1m高处自由落下到水泥地面无明显损伤，电阻圈经-40℃4h后，各性能指标仍能达到规定要求，绕线平整、间距均匀、使用中或使用后不得松动。氧化层不得脱落，支座不得出现灼焦现象，底座为绝缘性能良好的电木粉压制。产品应符合JY0029－91《电阻圈》的有关规定。</t>
  </si>
  <si>
    <t>23019</t>
  </si>
  <si>
    <t>23020</t>
  </si>
  <si>
    <t>1.由底板及铜、铁、镍铬三种金属导线、接线柱、连接片、支撑架等组成。2.外形尺寸：≥550mm×170mm×40mm。3.产品应符合JY217－87《电阻定律演示器》的有关规定。</t>
  </si>
  <si>
    <t>演示电阻箱</t>
  </si>
  <si>
    <t>仪器为插头式电阻箱的解剖形式，用于演示插头式电阻箱的基本构造和原理，亦可作一般定值电阻用。产品主要由面板、电阻线圈四只、短路插头四只、连接片、站架等组成。面板采用高密板制作，表面贴装饰板，四周封边；电阻线圈采用直径为约φ0.55mm的康铜丝绕制，阻值分别为：1Ω、2Ω、2Ω、5Ω；短路插头由手柄和插头组成，手柄采用M4接线帽，插头采用约φ8mm的黄铜棒制作，插头长约20mm；连接片采用厚度约0.3mm的铜片制作，连接片宽10mm；站架格质为塑料</t>
  </si>
  <si>
    <t>23022</t>
  </si>
  <si>
    <t>教学电阻箱</t>
  </si>
  <si>
    <t>9999.9Ω，电阻箱阻值变换方式为开关式，每十进开关上电阻值的比值是 1：2：2：2：2或1：1：1：1：1：1：1：1：1；电阻箱外壳应用胶木制作。产品应符合JY31－88《教学电阻箱》的有关规定</t>
  </si>
  <si>
    <t>简式电阻箱</t>
  </si>
  <si>
    <t>产品为塑胶密封结构，产品的阻值变换方式为旋钮开关式，结构为十进多盘式。仪器的电阻元件采用精密电阻和高稳定的精密合金锰铜丝以无感式绕于瓷骨架上，经过严格的筛选、检测、老化、浸渍处理，电阻值稳定正确。主要技术参数：准确度等级：1级；阻值可调范围：0～9999Ω；最小步进值为1Ω；零位电阻：＜0.035Ω；参考功率：1W；电路对外壳的金属部分之间的绝缘电阻＞50MΩ；产品外形尺寸约110×145×70mm。</t>
  </si>
  <si>
    <t>23030</t>
  </si>
  <si>
    <t>初中演示组，初中学生组，外壳尺寸为400*90*300mm，绿色软塑，有金属扣。底板为ABS塑料压制，单板面积为：360*240平方毫米。厚度为20mm。底板上有12*8个等距圆孔，供接插元件插座用。元件插座为聚乙烯塑料压制，表面装有电路元件，下方有两个等距塑料插柱可插入底板的等距圆孔。配套器件：小灯座3只，灯泡3.8v/0.3A,2.5v/0.3A灯泡两个，电池盒4只，单掷电键3只，线绕电阻8w-5Ω、4w-10Ω各两个，底板：360*240平方毫米、96孔一块，小插接座20只，吊环3只，插头导线115、145mm各12支，叉头导线135、225、315mm各4支。</t>
  </si>
  <si>
    <t>23031</t>
  </si>
  <si>
    <t>初中电学演示箱</t>
  </si>
  <si>
    <t>磁贴式电学演示箱1．本产品配备的仪器应能满足初中物理教学大纲的最低要求，且实验效果良好。2．本实验箱箱内最少应装备如下表规定的仪器。序号仪器名称规格数量技术要求1滑动变阻器20Ω/2A50Ω/1.5A各1件JY218标准200Ω/1.25A5Ω/3A初中学生组1件JY218标准；2学生线路实验板1件；3焦耳定律演示器T0541对；4条形磁铁10个1盒；5小磁针附丝绸1对JY179标准；6玻棒（有机）附毛皮1对JY122标准；7胶棒1件JY50标准；8蹄形电磁铁1件JY123标准；9演示电磁继电器1件JY218标准；10左右手定则演示1件JY28标准；11电机模型立式1件12导线2ｍ。3．各仪器在箱内应定位可靠。4．箱体尺寸应以各仪器在箱体内存放合理为原则。5．箱内各个活动部位开启应灵活，仪器取用方便。6．箱体及门、盖、提手、合页、箱扣等结合处要连接可靠，不得由于震动、碰撞而变形、松脱。7．箱体及部件应有一定的耐腐蚀性能。</t>
  </si>
  <si>
    <t>23032</t>
  </si>
  <si>
    <t>初中型，包括线路底板 1 块、元器件模块、零部件等。元器件模块包括电阻器（10 Ω、4 W）2 块，电阻器（5 Ω、8 W）2 块，单级开关 3 块，灯座 3 块。零部件含灯泡（3.8 V，0.3 A）2 只，灯泡（2.5 V，0.2 A）1 只，导线不少于 26 根。线路底板用工程塑料，能相互拼接，拼接后紧固平整</t>
  </si>
  <si>
    <t>开关的最高工作电压36V，额定工作电流6A。开关闸刀与接线柱及垫片均为铜质，闸刀的宽度不小于7mm，闸刀厚度不小于0.7mm。接线柱直径为φ4mm，有效行程不小于4mm。底座采用绝缘性能良好的电木粉压制。</t>
  </si>
  <si>
    <t>23034</t>
  </si>
  <si>
    <t>23035</t>
  </si>
  <si>
    <t>产品由面板、贮气盒、电阻、液面玻璃管、乳胶管、止水夹、底脚等组成。产品主要性能指标：电压范围：DC6～10V或AC6～10V 50Hz；电阻阻值：R1=10Ω，R2=10Ω，R3=10Ω，R4=5Ω ，阻值误差≤+5%。仪器面板采用工程塑料制作，尺寸为270×250×6mm，面板上印制液面高度标尺，标尺总长140mm，分度值1cm，每1cm标注刻度数字，数字标注在中间，两面印制液面刻度线；贮气盒由透明塑料制作，采用橡胶垫盖密封，尺寸约60×30×85mm，电阻分别焊接于贮气盒内；液面玻璃管直径φ5.5mm，高约180mm。仪器组装后总高度290mm。</t>
  </si>
  <si>
    <t>23036</t>
  </si>
  <si>
    <t>焦耳定律实验器</t>
  </si>
  <si>
    <t>1、由面板、贮气盒、电阻、电流表、玻璃管、连接软管等构成；2、电源电压：DC6V-10V,工作电流：小于1A；3、面板尺寸不小于270mm×250mm,面板上标尺不小于140mm,每10mm一分度，并标注数字，刻度线均匀，宽度为1mm。4、贮气盒三只，由透明材料做成，密封良好，无漏气，容积不小于70cm³。贮气盒内装有外形尺寸相同，阻值不同（ 5Ω1只， 10Ω2只）的电阻，电阻上有明显的阻值、功率等标识。阻值误差在5%以内。电阻的引线与贮气盒上部的接线柱连接，并且连接可靠。另一个10Ω电阻装在面板的接线柱上。5、电流表为1A，最小分度为50mA,外形尺寸不小于55mm×60mm，6、两支玻璃管为U形管，内径均匀，管外径约5mm ±0.5mm，壁厚不小于0.5mm，U形管长边不小于150mm,短边不小于30mm。玻璃管通过退火处理，消除应力。贮气盒与玻璃管通过软管相连，要求连接可靠，不漏气，分离容易。6、在2分钟，演示效果应显著。7、面板及各塑料件应表面平整，无变形、毛刺，颜色配置应突出演示效果。</t>
  </si>
  <si>
    <t>23038</t>
  </si>
  <si>
    <t>玩具电动机</t>
  </si>
  <si>
    <t>产品由底座、小电动机、风扇、接线柱、外接导线等组成。底座采用工程塑料制作，外形尺寸约50×50×15mm，底座上设有接线装置，接线柱为M4铜质标准件，接线帽红、黑各一；小电动机启动电压1.5-3V，机壳透明，能清楚看清内部结构。风扇采用无毒优质塑料制作，外圆直径25mm；外接导线采用多股铜芯软导线，长约200mm。</t>
  </si>
  <si>
    <t>23039</t>
  </si>
  <si>
    <t>电子门铃</t>
  </si>
  <si>
    <t>产品由底座、蜂鸣器、按钮开关、接线柱、外接导线等组成。产品使用电源：DC3V。底座采用工程塑料制作，外形尺寸约50×50×15mm；蜂鸣器安装于底座内，声音悦耳、柔和、清脆；外接导线采用多股铜芯软导线，长度约200mm。</t>
  </si>
  <si>
    <t>24001</t>
  </si>
  <si>
    <t>D-CG-LT-180D-CG-LT-180尺寸≥180×20×10mm。磁铁经高温老化处理后两磁极磁感应强度平均值≥60mT。</t>
  </si>
  <si>
    <t>D-CG-LU-80D-CG-LU-80主参数（高度）≥80mm，磁极横截面积200平方毫米、磁感应强度应≥0.055T。</t>
  </si>
  <si>
    <t>24003</t>
  </si>
  <si>
    <t>24004</t>
  </si>
  <si>
    <t>1.仪器由条形磁铁及六个矩形透明磁感应板立片、蹄形磁铁及月牙形透明磁感应板和固定支架组成。2.透明磁感应板上装有多个小磁针；每块板上的空穴数量≥130个；直径：≥172mm，高：≥205mm，条形磁铁边长：≥19mm，条形磁铁长：≥80mm，U型磁铁臂长：≥65mm。</t>
  </si>
  <si>
    <t>24005</t>
  </si>
  <si>
    <t>24006</t>
  </si>
  <si>
    <t>24007</t>
  </si>
  <si>
    <t>24008</t>
  </si>
  <si>
    <t>由垂直翼形针体和支座组成。翼型磁针，每组2支，J2405型；磁针体长140±2.0mm，宽8±0.7mm。支座低径71±1.5mm，总高112±1.7mm；产品应符合JY0012－90《磁针》的有关规定。</t>
  </si>
  <si>
    <t>24009</t>
  </si>
  <si>
    <t>24010</t>
  </si>
  <si>
    <t>蹄形电磁铁</t>
  </si>
  <si>
    <t>密绕细线，稀绕粗 线线圈骨架用塑料制成。骨架上在两端应有接线柱，接线柱要安装牢固。铁芯磁路平均总长度≥220mm，两磁极面中心距离≥40mm。接线柱、焊片及垫圈均为铜质。接线柱分别用红色、黑色表示接入后的电流方向。线圈外绕有明显的绕向标志。绕向标志方向应与线圈绕向一致。产品应符合JY0013－90《蹄形电磁铁》的有关规定。</t>
  </si>
  <si>
    <t>电磁铁实验器</t>
  </si>
  <si>
    <t>1、基本性能，结构外观应符合ZBY51001-88第4、5、6章有关规定。2、螺线管线圈共有2只，线圈匝数相同，可方便串并联。3、2只螺线管各配铁芯1只，铁芯用电工纯铁制成。4、连接导线≥2根，每根导线长度≥10cm。</t>
  </si>
  <si>
    <t>电铃</t>
  </si>
  <si>
    <t>1. 产品为立式结构，由电磁铁、衔铁、铁铃、衬板和底座组成。2. 工作电压：直流3～6V。外形尺寸：约85mm×85mm×190mm。3．影响效果在15米范围内铃声清晰。电磁铁线圈的直流电阻为10～20Ω。衔铁的触点为铜质。电路导线的走向应醒目整齐。铁铃采用Φ55mm国产自行车铃盖。底板应放置平稳。</t>
  </si>
  <si>
    <t>电磁继电器</t>
  </si>
  <si>
    <t>电磁铁额定工作电压6V，工作电流80mA
±10mA，吸合电流≤50mA，释放电流15mA～
20mA。触点最高电压16V，额定电流1A常闭电阻≤0.2Ω，常开电阻≤0.2Ω，开距≥0.3mm。动合触点闭合后应无抖动现象</t>
  </si>
  <si>
    <t>24016</t>
  </si>
  <si>
    <t>磁场对电流作用实验器</t>
  </si>
  <si>
    <t>1.由强磁铁（U形磁铁）、导电管、接线杆、支架（方座支架）组成。2.导电管为空心，薄壁黄铜管。3.导电管引线用外径≥1mm的多股塑料软线，线端接线叉并加套管，长度≥350；4接线杆2只用≥Φ8mm×200mm的绝缘材料制成；在其上方装红、黑两只644型接线柱，两端用M6×10mm镀铬螺丝固定。5.强磁铁（U形磁铁）用专用夹固定在方座支架上。</t>
  </si>
  <si>
    <t>24017</t>
  </si>
  <si>
    <t>24018</t>
  </si>
  <si>
    <t>小型电动机实验器</t>
  </si>
  <si>
    <t>卧式，由定子、转子、电刷、转子支架和底座组成。定子磁铁含一个永久磁铁和一个励磁线圈（带铁芯）；换向器与转子轴的同轴度≤0.5mm。外形尺寸：≥90*45*90mm。</t>
  </si>
  <si>
    <t>24019</t>
  </si>
  <si>
    <t>电机原理说明器</t>
  </si>
  <si>
    <t>1.演示直流电动机定子与转子并激加10V-6V电压，转速可变；2.演示直流发电机，定子加6V电压，转子转速180转/分，电机输出大于80цA；3.演示交流发电机，定子加6V电压，电机输出电流使电流计指针左右偏转满刻度。</t>
  </si>
  <si>
    <t>阴极射线管（磁效应管）</t>
  </si>
  <si>
    <t>1. 产品由磁效应管和胶木底座组成.2. 产品的主要性能应符合JY 181第1.3.1条要求。当没有外加磁场时，光束不应有明显的偏转。3. 磁效应管的基本尺寸应符合JY 181第2.2条要求。4. 其余应符合JY 181第2.7、2.8、2.9、2.10、2.11条要求。5.性能、安全、结构、外观应符合JY 0001第4、5、6、7章的有关要求。</t>
  </si>
  <si>
    <t>1、输出频率范围：20Hz～20KHz，有功率输出。2、工作环境条件：温度 0～40℃ 相对湿度 不大于85%（40℃）。3、交流 220V±22V  50Hz±2.5Hz。4、装有保护接地端子。5、绝缘电阻：不小于20MΩ。6、电压试验：1.5kV（漏电流5mA），不应出现飞弧和击穿。6、显示方式：5位、0.5寸LED。7、正弦波输出衰减范围：0dB、20dB、40dB、功率。</t>
  </si>
  <si>
    <t>电学实验盒</t>
  </si>
  <si>
    <t>产品由直流伏特表1只，0直流安培表1只，滑动变阻器1只，电池盒2个，定值电阻1个，单刀开关3个，小灯座2个，小灯泡（2）种共4只，叉片式导线10根，仪器盒1个等组成。导线颜色红、黑各5根，长度不小于200mm。仪器可完成实验：组成串联和并联电路；用安培表测电流强度；用伏特表测电压；用滑动变阻器改变电流强度及伏特表和安培表测电阻；测小灯泡的功率等，也可自行组合进行实验。</t>
  </si>
  <si>
    <t>24024</t>
  </si>
  <si>
    <t>能的转化演示器</t>
  </si>
  <si>
    <t>机械能、化学能、 电能、热能、光能 的转化由主示教板、机能示教板和光、热能示教板组成。主示教板由一只直流永磁式电机、传动机构、二节五号电池盒、转换开关、两只接线柱和底盘组成。底盘应采用优质塑料注塑成型，底面上印有线路图。机能示教板由直流电机、支架、风叶组成。光、热能示教板由发光二极管、支架组成。</t>
  </si>
  <si>
    <t>24025</t>
  </si>
  <si>
    <t>能的转化实验器</t>
  </si>
  <si>
    <t>能的转化演示器以高效率直流电机为中心，配上高性能减速器，安放在铁框内，并附有砝码，盘轮，电珠座，风扇板，音乐板，太阳能电池板，可进行机械能、电能、化学能、热能、光能、声能、风能的转化。</t>
  </si>
  <si>
    <t>24026</t>
  </si>
  <si>
    <t>磁悬浮演示器</t>
  </si>
  <si>
    <t>产品由演示座、电磁铁、地球仪模型、电源线等组成。演示座采用ABS工程塑料制作，总高度约180mm；电磁铁嵌装于演示座内，电磁铁线圈采用QZ0.11高强度漆包线绕制，匝数10000±20匝；电流不大于50mA；地球仪模型直径φ85mm，地球仪沿轴中心上端嵌有永久磁铁，磁铁磁感应强度不小于800GS；电源线长度不小于1500mm，抗电强度3000V。</t>
  </si>
  <si>
    <t>音频信号发生器</t>
  </si>
  <si>
    <t>1.信号范围：20Hz～20KHz，有功率输出。2.工作环境条件：温度 0～40℃ 3.相对湿度 不大于90%（40℃）4.使用电源：交流 220V±22V  50Hz±2.5Hz。5.安全要求：教学用信号发生器应装有保护接地端子。6. 绝缘电阻：≥20MΩ。7.技术性能应符合JY 0362第4.5条的有关要求。8.性能、安全、结构、外观应符合JY 0001第4、5、6、7章的有关要求。</t>
  </si>
  <si>
    <t>1．玻璃砖为非等腰梯形，两底角分别为60°和45°；外形尺寸：上底长≥30mm；两底角为60°和45°；高度≥345mm；厚度≥12mm。2．玻璃料的一拉质量要求应符合GB903一65《无色光学玻璃》中的要求，条纹类别为2类，条纹级别为C级，气泡类别为7类。3．玻璃砖的边缘倒角按GB1204-75《光学零件的倒角》的要求进行。4．产品应符合JY140－82《玻璃砖》的要求。</t>
  </si>
  <si>
    <t>25005</t>
  </si>
  <si>
    <t>25006</t>
  </si>
  <si>
    <t>光具组</t>
  </si>
  <si>
    <t>附件双凸透镜2块、凸透镜1块、双凹透镜1块、“1”字屏1块、白屏1块、插杆5根、毛玻璃屏（带屏架）1块、光源1套、1件；导轨与基准平面的平行度误差应不大于1.00mm。双导轨光具座的两根导轨，其轴线平等度误差应不大于0.50mm。 2.3导轨前端支架与滑块上的插孔为6+0.15mm，插孔指示标线应清晰，且指示插孔纵向中心位置。铝铸件支架带刻度；光源（6v3w）；白屏；1字屏；凸透镜直径3cm 焦距5cm；凹透镜直径3cm焦距-7.5cm；凸透镜直径4cm焦距10cm；凸透镜直径5cm焦距3</t>
  </si>
  <si>
    <t>25007</t>
  </si>
  <si>
    <t>25008</t>
  </si>
  <si>
    <t>25010</t>
  </si>
  <si>
    <t>平面镜成像实验器</t>
  </si>
  <si>
    <t>1、由平面镜、平面镜支架、直角尺、蜡烛组成；2、平面镜：（1）平面镜外形尺寸100mm×80mm。（2）玻璃平面镜符合JY0001—2003中7.1、7.2、7.4的要求。（3）表面镀层致密、均匀、与镜面有足够的结合强度，平面镜既能反射又有一定透光能力。3、支架能支持平面镜稳定可靠。4、蜡烛总高度60mm，左右完全对称，火焰为红色。5、外观及其它符合JY0001—2003中有关要求。</t>
  </si>
  <si>
    <t>25011</t>
  </si>
  <si>
    <t>光的传播、反射、折射实验器</t>
  </si>
  <si>
    <t>产品由支架、圆形角度盘、曲线透明管、平面镜、半圆水槽、激光笔、磁吸激光笔套（带扩束镜）、激光笔移动支撑等组成。支架采用厚度为1mm的冷轧板成型，高约160mm；圆形角度盘由厚度为2.5mm的白色塑料板制成，直径110mm，表面圆周印有角度线，角度盘上设有水平插槽；曲线透明管由φ5mm玻璃棒弯制成型；平面镜尺寸为94×20×1mm；半圆水槽由透明塑料制作，水槽半径55mm，内空宽12mm，壁厚不小于1.5mm。激光笔输出功率不大于2mw，配置内接电池及外接电源导线，导线采用多股铜芯绝缘导线；磁吸激光笔套由工程塑料制作，外径φ18mm，长度60mm；激光笔移动支撑由厚度不小于1mm的冷轧板制作，槽宽17.5mm。</t>
  </si>
  <si>
    <t>25012</t>
  </si>
  <si>
    <t>激光笔</t>
  </si>
  <si>
    <t>红色激光；可翻页；USB接口；无线电教笔。</t>
  </si>
  <si>
    <t>25013</t>
  </si>
  <si>
    <t>光的三原色合成实验器</t>
  </si>
  <si>
    <t>由光源、滤色片、三只红、蓝、绿开关、亮度调节旋钮、外接电源接线柱、屏幕和外壳组成；尺寸≥90×90×140mm，外壳为塑料，光源由9只高亮度发光二极管组成，外接电源为4.5V，色光开关为三只红、蓝、绿开关组成，亮度调节旋钮由0-100Ω的电位器组成</t>
  </si>
  <si>
    <t>25014</t>
  </si>
  <si>
    <t>光的传播、反射、折射演示器</t>
  </si>
  <si>
    <t>包括能显示光路的透明材料制成的半圆玻砖、角度板、2个条形玻砖、2个半导体激光光源(不加扩束镜，1个为入射光源，1个提供法线)等，表盘直径≥300mm</t>
  </si>
  <si>
    <t>25101</t>
  </si>
  <si>
    <t>1．由防紫外线罩，紫外线灯，日光灯，滤光片，荧光片，主机盒等组成使用电源AC220V±22V 50Hz.2．紫外线灯为AC220V 6W 波长265mm、254mm各一只。3、日光灯：220V， 8W一只。4、主机盒上端各功能开关，标识清楚，使用正常。5、紫外线防辐射罩由红色有机玻璃粘制而成，表面光洁，不易破损。6、 滤色片≥52×70mm厚度2mm有机玻璃黄、蓝、红、绿各一片。表面光洁，无气泡，划痕。7、荧光片在365mm紫外线灯下，荧光清晰可见；绝缘电阻≥20MΩ.8、绝缘强度：交流1500V历时1分钟。</t>
  </si>
  <si>
    <t>25102</t>
  </si>
  <si>
    <t>1．包含：红外线发现实验器、红外线性质说明器和红外线控制器，三套实验装置。2．红外线发现实验器应在屏上清晰显示经三棱镜分光后获得的可见光谱，屏上射出的光的亮度应能使红外线控制器产生响应；控制器工作电源DC6V±1V。3．符合JY0001－2003《教学仪器一般质量要求》的有关规定。</t>
  </si>
  <si>
    <t>25103</t>
  </si>
  <si>
    <t>产品由外筒、伸缩筒、分光棱镜、目镜系统、狭缝等组成。外筒、伸缩筒采用工程塑料制作，外筒外形尺寸为φ20×60mm，壁厚1.5mm；目镜系统由镜座、镜片构成，镜座尺寸φ24×13mm；狭缝宽1.4mm，宽7mm。产品外形尺寸φ20×76mm。</t>
  </si>
  <si>
    <t>25104</t>
  </si>
  <si>
    <t>克罗克斯辐射计</t>
  </si>
  <si>
    <t>1．仪器由抽真空的玻璃泡、旋转叶片轮及底座构成。2．旋转叶片轮固定于真空玻璃泡内，安置有4片黑色叶片。经太阳辐射后叶片能快速转动。3.仪器高210mm，真空玻璃泡直径为80mm。4.底座放置平稳，叶片转动现象明显。</t>
  </si>
  <si>
    <t>动平衡演示器</t>
  </si>
  <si>
    <t>5球，球体直径≥20mm,尺寸≥180*150*180mm</t>
  </si>
  <si>
    <t>自由落体</t>
  </si>
  <si>
    <t>仪器由主体（含垂直调节螺栓3只、固定螺栓8套）、自由落体插头线（含电磁铁吸球器1套、光电门2个）、接球架、钢球、重锤、备用聚光灯珠、三脚架等组成。仪器总高度：≥1.2m；实验有效高度：≥1.0m；电磁铁电源：DC6V；钢球直径：18mm；实验相对误差：≤2%</t>
  </si>
  <si>
    <t>21057</t>
  </si>
  <si>
    <t>随堂教学符合力学教育要求</t>
  </si>
  <si>
    <t>声学实验盒</t>
  </si>
  <si>
    <t>随堂教学符合声学教育要求</t>
  </si>
  <si>
    <t>光学实验盒</t>
  </si>
  <si>
    <t>随堂教学符合光学教育要求</t>
  </si>
  <si>
    <t>物理随堂实验箱</t>
  </si>
  <si>
    <t>九年级</t>
  </si>
  <si>
    <t>八年级</t>
  </si>
  <si>
    <t>31001</t>
  </si>
  <si>
    <t>轮轴模型</t>
  </si>
  <si>
    <t>由塑料轮、支杆组成。塑料轮有大小不同直径的圆组合为一体，塑料注塑成型，中心镶有轴承，直径分别为：103mm，69mm、51.5mm，34.5mm。整体组装后应转动灵活。轴为金属制品，表面电镀处理。</t>
  </si>
  <si>
    <t>31002</t>
  </si>
  <si>
    <t>轴承模型</t>
  </si>
  <si>
    <t>轴承外径≥130mm，塑料制品。模型由滑动轴承、滚动轴承组成。滑动轴承由铸铁座、铜套、钢制轴配合制成；滚动轴承由轴承钢制成，外圈对称剖为两半。3.可拆式。</t>
  </si>
  <si>
    <t>31003</t>
  </si>
  <si>
    <t>抽水机模型</t>
  </si>
  <si>
    <t>活塞式抽水机模型，吸取式,由支架、缸筒、活塞、活塞环（密封圈）、连杆、进水阀、出水阀、进水管、出水咀、缸盖、立柱、压杆、手柄和水槽组成；水槽、立柱、缸盖和支架用冷轧板或塑料制成，冷轧板厚度1mm，表面烤漆；连杆、手柄用金属材料制成，表面防锈处理；筒和压力包用透明塑料制成，壁厚≥4mm，缸筒外经≥60mm</t>
  </si>
  <si>
    <t>31004</t>
  </si>
  <si>
    <t>离心水泵模型</t>
  </si>
  <si>
    <t>由泵体、叶轮、机轴、吸水口、出水口、排水口、手轮、齿轮、手柄组成；.扬水和吸水高度均≥0.6米产品应符合JY222－87《离心水泵模型》的有关规定。外形尺寸：≥250*110*190mm。</t>
  </si>
  <si>
    <t>31005</t>
  </si>
  <si>
    <t>31006</t>
  </si>
  <si>
    <t>水轮机模型</t>
  </si>
  <si>
    <t>混流式、轴流式、冲击式三种转轮；由机壳、叶轮、轴杆、支架、底座、水槽等组成；壁厚≥2mm，水槽内空尺寸≥φ130×40mm，导水槽内空尺寸≥φ80×15mm；叶轮、传动轮采用工程塑料制作，叶轮外圆直径≥φ50mm，叶片厚度≥1.5mm，传动轮直径≥φ90mm；支脚采用直径≥φ8mm的塑料棒成型，高度≥110mm。产品组装后总高度≥200mm。</t>
  </si>
  <si>
    <t>31008</t>
  </si>
  <si>
    <t>金属或硬塑料制成，高度≥300mm。由进气管、进气阀、排气管、排气阀、气缸、活塞、连杆、曲轴、火花塞、齿轮组、主动轮、挺杆等组成。模型能直观地演示出吸气过程、压缩过程、做功过程及排气过程，在做功冲程时活塞到达上止点时，演示火花点火的灯泡应发光，点火完成后灯熄灭。</t>
  </si>
  <si>
    <t>31009</t>
  </si>
  <si>
    <t>电机模型</t>
  </si>
  <si>
    <t>1． 模型为立式，高300mm，宽215 mm，厚45 mm。2． 转子和定子截面210×135（mm）3． 工作电压：DC6～12V。4． 输入功率：2.5W。5． 演示部分外表无缺陷，表面涂镀层不应起泡、脱落，光泽明亮，面板字符清晰，标志正确，开关安装位置可靠，转动部位灵活，各部件拆装方便，电路接触良好。6． 教学演示效果明显。7． 符合JY0001－2003《教学仪器一般质量要求》的有关规定。</t>
  </si>
  <si>
    <t>电话原理模型</t>
  </si>
  <si>
    <t>1．送话器、受话器、底板和连接附件组成2．送话器由振动膜盒、碳粒、金属接线柱组成，听筒模型由永磁铁、电磁线圈、振动膜组成。整体尺寸≥400mm×300mm。3．产品性能满足中学物理实验教学的要求</t>
  </si>
  <si>
    <t>规格:10ml、高硼硅玻璃制造、铜红扩散印线，全高135±5mm,筒身壁厚&gt;1mm，最小分度值0.2ml，容量误差±0.1ml,玻璃仪器总体要求：无内应力。初中生物:10ml、高硼硅玻璃制造、铜红扩散印线，容量误差0.5ml,玻璃仪器总体要求：无内应力。初中物理:10ml、高硼硅玻璃制造、铜红扩散印线，容量误差0.5ml。</t>
  </si>
  <si>
    <t>规格:50ml、高硼硅玻璃制造、铜红扩散印线，全高195±10mm,筒身壁厚&gt;1mm，最小分度值1ml，容量误差±0.25ml,玻璃仪器总体要求：无内应力。初中物理:50ml、高硼硅玻璃制造、铜红扩散印线，容量误差0.5m。</t>
  </si>
  <si>
    <t>规格:100ml、高硼硅玻璃制造、铜红扩散印线，全高250±10mm,筒身壁厚&gt;1mm，最小分度值1ml，容量误差±0.5ml,玻璃仪器总体要求：无内应力。初中生物:100ml、高硼硅玻璃制造、铜红扩散印线，容量误差1ml,玻璃仪器总体要求：无内应力。初中物理:100ml、高硼硅玻璃制造、铜红扩散印线，容量误差1ml，玻璃仪器总体要求：无内应力。</t>
  </si>
  <si>
    <t>60012</t>
  </si>
  <si>
    <t>规格；250ml，硬质采用透明玻璃制造，耐水等级≦3，铜红扩散印线，容量误差3ml，全高200±10mm，壁厚1.2mm,玻璃仪器总体要求：无内应力，产品应符合GB/T12803-1991《实验室玻璃仪器量杯》的标准。</t>
  </si>
  <si>
    <t>61002</t>
  </si>
  <si>
    <t>Ф15mm×150mm、高硼硅料平口采用透明玻璃制造，耐水等级≦3，全长全长150±2mm,，外径15±0.75mm,壁厚1.3mm,产品应符合QB/T2561-2002《实验室玻璃仪器试管和培养管》的有关规定。</t>
  </si>
  <si>
    <t>61007</t>
  </si>
  <si>
    <t>Ф20mm×200mm、高硼硅料平口,全长200±2mm,管外径21±1mm，壁厚1.2±0.2mm，产品符合QB/T2561-2002《实验室玻璃仪器试管和培养管》的有关规定。</t>
  </si>
  <si>
    <t>61023</t>
  </si>
  <si>
    <t>1.规格：250mL。采用3.3硼硅酸盐玻璃制造。2.尺寸：杯身外径：70±1mm；杯身长：95±2mm；壁厚：≥1.2mm。3.底部不允许有结石、节瘤存在。4.产品外观要求厚薄均匀，底不外凸，允许内凹，产品在放置平面上不得摇晃，底部不得有气泡、透明砂、破皮泡，口部不得存在缺口和未烘光毛边。5.产品应符合《玻璃仪器通用技术要求》。</t>
  </si>
  <si>
    <t>61024</t>
  </si>
  <si>
    <t>1． 规格：500mL。采用3.3硼硅酸盐玻璃制造。2． 尺寸：杯身外径：88.5±1.5mm；杯身长：117±2mm；壁厚：不小于1.4mm。3． 底部不允许有结石、节瘤存在。4． 产品外观要求厚薄均匀，底不外凸，允许内凹，产品在放置平面上不得摇晃，底部不得有气泡、透明砂、破皮泡，口部不得存在缺口和未烘光毛边。5． 产品应符合《玻璃仪器通用技术要求》。</t>
  </si>
  <si>
    <t>圆底，长颈，500mL，采用高硼硅GG-17玻璃制造，全高230±5mm，瓶外径104±2mm，壁厚不少于1mm,管口应切割平正烘光，底部圆正，厚薄均匀，不得有刺手现象，底部厚度不薄于0．5ｍｍ。具支烧结部位牢靠，目测：透光性好、周正。产品应符合QB/T22362-2008《实验室玻璃仪器 烧瓶》的有关规定。</t>
  </si>
  <si>
    <t>平底，长颈，250ml采用高硼硅GG-17玻璃制造，全高112±3mm，瓶直径85±1mm，壁厚1.4-2mm,管口应卷边加厚，底部圆正，厚薄均匀，不得有刺手现象，透光性好、周正。刻有标度的仪器，刻线应精确、清晰。外形平整、薄厚均匀，无明显偏斜。不应有薄皮气泡、透明疙瘩、结石、条纹等缺陷。产品应消除内应力。在应力计下呈紫红色。产品应符合QB/T22362-2008《实验室玻璃仪器 烧瓶》的有关规定。</t>
  </si>
  <si>
    <t>1．规格：150ml。2．由灯座、灯塞、灯盖、灯芯组成。3．灯身高80mm±10mm；盖高：60mm±3mm。4．直径：灯肩82mm±2mm；灯底50mm±5mm；灯盖22mm±2mm。5．灯体壁厚大于2mm。6．色泽：无色透明。7．厚薄均匀，底部平整，磨砂细密，口应磨平。8．产品应符合《玻璃仪器通用技术要求》9．符合JY0001－2003《教学仪器设备产品一般质量要求》的有关规定。</t>
  </si>
  <si>
    <t>62032</t>
  </si>
  <si>
    <t>采用透明玻璃制造，长90±3mm，口径90±3mm,壁厚1.2-1.7mm,产品应符合GB/T 28211-2011《实验室玻璃仪器 过滤漏斗》的有关规定。</t>
  </si>
  <si>
    <t>62070</t>
  </si>
  <si>
    <t>规格：φ12mm×150mm。无内应力，产品应符合GB/T 12414-1995《药用玻璃管》。</t>
  </si>
  <si>
    <t>62071</t>
  </si>
  <si>
    <t>1． 直径Φ7～8mm，直通管长度100mm，垂直管长度50mm。2． 灯工焊接牢固，口部平整烘光。3． 产品应符合《玻璃仪器通用技术要求》。</t>
  </si>
  <si>
    <t>62096</t>
  </si>
  <si>
    <t>内径10mm×800mm，有胶塞，带刻度衬板</t>
  </si>
  <si>
    <t>64</t>
  </si>
  <si>
    <t>64005</t>
  </si>
  <si>
    <t>不锈钢制，平头，长 125 mm，钢板厚 1.2 mm ， 前部应有防滑脱锯齿</t>
  </si>
  <si>
    <t>64052</t>
  </si>
  <si>
    <t>中性料、φ7mm～φ8mm、管壁厚度大于0.8mm,长度500～600mm两端抛光。产品应符合GB/Z 12414-2021《药用玻璃管》的有关规定。</t>
  </si>
  <si>
    <t>64063</t>
  </si>
  <si>
    <t>1、产品用优质乳胶制造。2、产品内径为5～6mm，壁厚1mm。3、产品应符合国标GB1189-81《胶管外观质量》的规定。</t>
  </si>
  <si>
    <t>64088</t>
  </si>
  <si>
    <t>蒸发皿</t>
  </si>
  <si>
    <t>瓷，60mm</t>
  </si>
  <si>
    <t>80101</t>
  </si>
  <si>
    <t>鳄鱼夹、插口夹、 香蕉插头、电阻丝、 导线等</t>
  </si>
  <si>
    <t>80102</t>
  </si>
  <si>
    <t>电子元件（工业产品）</t>
  </si>
  <si>
    <t>电阻(碳膜电阻、瓷 管电阻、线绕电阻、 光敏电阻、热敏电 阻等)；电磁继电 器、电容、电感、 电位器、二极管、 发光二极管、三极 管、集成电路块等</t>
  </si>
  <si>
    <t>80103</t>
  </si>
  <si>
    <t>新材料样品</t>
  </si>
  <si>
    <t>纳米材料、超导材 料、形状记忆合金、 单晶和多晶、光导 纤维、隐形材料</t>
  </si>
  <si>
    <t>80104</t>
  </si>
  <si>
    <t>空气开关、漏电保 护器、螺丝口灯座、 卡口灯座、三孔插 座、三孔插头、插 入式保险盒、拉线 开关、按钮开关、 声控开关、光控开 关、导线等</t>
  </si>
  <si>
    <t>80105</t>
  </si>
  <si>
    <t>锌片、铜片、磁性 橡胶片、小钢球、 乒乓球、大头针、 回形针、灯泡(15W、60W)、小电池(6 号、 纽扣、太阳电池)、 保险丝、保险管(不 同规格的合金熔 丝、保险管)、焊锡、 松香、橡胶泥、胶 帽、泡沫塑料、绝 缘胶布、透明胶带、 小蜡烛、灯芯、火 柴、塑料板、木板、 玻璃板、毛巾、棉 布、橡皮筋、气球、 塑料袋、塑料薄膜、 纸板等</t>
  </si>
  <si>
    <t>80106</t>
  </si>
  <si>
    <t>仪器由红、绿、蓝三个直径不小于60mm的透光片组成。</t>
  </si>
  <si>
    <t>80107</t>
  </si>
  <si>
    <t>颜料的三原色</t>
  </si>
  <si>
    <t>红、黄、蓝颜料各1支.</t>
  </si>
  <si>
    <t>1.5V；1. 接线柱为铜质。 2. 性能、安全、结构、外观应符合JY 0001第4、5、6、7的有关要求</t>
  </si>
  <si>
    <t>每组 2 至 3 个</t>
  </si>
  <si>
    <t>电珠（小灯泡）</t>
  </si>
  <si>
    <t>2.5V 或 3.8V</t>
  </si>
  <si>
    <t>模型照相机或针孔照相机</t>
  </si>
  <si>
    <t>光学。塑料外壳，光学玻璃组成。1、产品由镜头、机身及光屏组成。2、镜头为光学玻璃、可伸缩。3、机身尺寸约：125mm×45mm×75mm。4、光屏为毛玻璃和平板玻璃组成，尺寸约：100mm×65mm.</t>
  </si>
  <si>
    <t>简易潜望镜、望远 镜、显微镜</t>
  </si>
  <si>
    <t>产品由简易潜望镜、望远镜、显微镜组成。1、简易潜望镜由硬板纸印刷制，配有平面镜2块和透明胶带1卷。2、望远镜为双筒，焦距可调节。3、显微镜为100倍，全塑料制，镜片为光学玻璃。</t>
  </si>
  <si>
    <t>显微镜</t>
  </si>
  <si>
    <t>80132/XSP-03</t>
  </si>
  <si>
    <t>群信/凤凰</t>
  </si>
  <si>
    <t>宁波凯迪科教仪器有限公司/江西凤凰光学科技有限公司</t>
  </si>
  <si>
    <t>日晷仪、七色板、 水三棱镜、水透镜</t>
  </si>
  <si>
    <t>产品由日晷仪、七色板、水三棱镜、水透镜组成。1、日晷仪由晷面、刻度板、晷针组成，全塑料制。晷面直径约90mm，面上印有时晨。刻度板最小高刻度约为5mm，长约160mm。2、七色板直径约140mm，面上印有七种颜色。3、水三棱镜为透明塑料制，边长约25mm，高约30mm。4、水透镜为玻璃制，直径约40mm。</t>
  </si>
  <si>
    <t>不倒翁、抛掷装置、小蒸汽轮机</t>
  </si>
  <si>
    <t>产品由不倒翁、抛掷装置、小蒸汽轮机构成。1.不倒翁为塑料制品，底部为半圆，上部为小鸭模型，外形尺寸不小于：55mm×55mm×80mm。2.抛掷装置由带圆环的圆盘（可挂），和三只不同颜色的抛掷箭（头部为强磁）组成，圆盘为5道彩色圆环，Φ240mm，抛掷箭为塑料制品。3.小蒸汽轮机为组装式，由底板、叶轮、带塞玻璃瓶、喷咀、立柱、蜡烛及紧定螺钉组成，底座、叶轮采用塑料制成，底座尺寸：70mm×50mm×10mm.</t>
  </si>
  <si>
    <t>小乐器：橡皮筋，吉他、鸟笛、排萧</t>
  </si>
  <si>
    <t>固定架1、吸管5、塞子5个等；可以组成橡皮筋、吉他、鸟笛、排箫模型</t>
  </si>
  <si>
    <t>机翼模型、潜艇模型</t>
  </si>
  <si>
    <t>产品由机翼模型、潜艇模型构成。1.机翼模型为组装式，由机身、尾钩、水平尾翼、主翼左、主翼右、橡筋、塑料片、定形片、螺旋桨等组成，材料选用硬纸及木材等，外形尺寸不小于200mm×200mm。2.潜水艇采用塑料注塑成型，配打气装置及连接乳胶管。潜水艇的外形尺寸不小于100mm×25mm×30mm。</t>
  </si>
  <si>
    <t>验电器、电磁铁、 简单电动机</t>
  </si>
  <si>
    <t>产品由验电器、电磁铁、简单电动机构成。1、验电器：一对装。1、产品由透明外壳、导电杆、圆球及箔片组成。2、箔片成条形，片体平整，无卷曲。3、外壳采用透明塑料注塑成型，表面光洁明亮，无划痕。2、电磁铁：螺线管3支、铁芯2根、衔铁1套、铃1套、连接片1套及实验盒等组成。1、工作电压：DC3V。2、能完成制作条形电磁铁；研究电流大小与磁性强弱关系；研究螺线匝数与磁性强弱关系；制作U型电磁铁；电磁继电器原理实验；电铃原理实验。3、塑料盒外形尺寸约：115mm*78mm*30mm。3、电动机：带座和风扇。产品由小电机、风叶、电机固定架、支架组成。1、风叶、固定架、支架采用塑料注塑成型。2、小电机：使用直流电压3V。</t>
  </si>
  <si>
    <t>二极管收音机、有线电报机与收报机</t>
  </si>
  <si>
    <t>产品为电子元件散装式。主要由三极管、二极管、可变电容、电位器、电阻、电容器、电感线圈、电池盒、开关、导线、多功能实验板、耳机组成。元件固定在泡沫板上并有标签。</t>
  </si>
  <si>
    <t>净水器</t>
  </si>
  <si>
    <t>产品由塑料外壳、内装过滤器构成。1.外壳采用塑料注塑成型，成圆柱形，外形尺寸约：Φ100mm，高约300mm，上端为有进出水口。</t>
  </si>
  <si>
    <t>滚上体，秤，陀螺</t>
  </si>
  <si>
    <t>结构、制做、使用，滚上体最大直径120mm，秤为普通杆秤。陀螺直径不小于50mm，旋转时有光亮显示。</t>
  </si>
  <si>
    <t>浮沉子，喷泉，虹 吸管，帕斯卡圆桶</t>
  </si>
  <si>
    <t>1.产品由浮沉子、喷泉、虹吸管、帕斯卡圆桶等元件组成。2.其他配件有1个塑料水槽；3个带盖玻璃瓶；乳胶管；2个玻璃尖咀；2个玻璃弯管；漏斗1套塑料瓶带盖；1个刀片。</t>
  </si>
  <si>
    <t>趣味静电实验材料</t>
  </si>
  <si>
    <t>由验电器、正负橡胶棒（附毛皮）、正负玻璃棒（附丝绸）组成</t>
  </si>
  <si>
    <t>风筝，降落伞</t>
  </si>
  <si>
    <t>1.产品由风筝和降落伞两部分组成。2.风筝主体约长500mm，宽300mm，呈V型状，高50mm。有三个均等的V型骨架，风筝布采用纤维刷胶布。3.降落伞采用纤维软体布展开，主体尺寸约：Φ500mm。</t>
  </si>
  <si>
    <t>组合面镜、哈哈 镜、简易变焦透 镜、万花筒</t>
  </si>
  <si>
    <t>产品由大小凹凸面镜各1套、凹凸透镜各1套、哈哈镜、万花筒组成。1、凹凸面镜直径约90mm，带塑料支架和底座。2、凹凸透镜直约径26mm，塑料框架及金属手柄。3、哈哈镜和万花筒外筒为塑料制，约直径38mm，长155mm和190mm。</t>
  </si>
  <si>
    <t>船闸模型、飞机、 火箭模型，潜艇模 型</t>
  </si>
  <si>
    <t>产品由船闸模型、飞机模型、火箭模型、潜水艇模型组成。1.船闸模型由透明水槽、闸门构成，水槽和闸门均采用透明塑料注塑成型，水槽尺寸约：200mm×100mm×100mm，闸门安放在水槽中部，水槽中部为滑槽。2.飞机选用直升机模型，材料为泡沫上印有彩色图案，并有剪切印，四张这一套，外形尺寸约：200mm×150mm。3.火箭材料为泡沫上印有彩色图案，并有剪切印，四张这一套，外形尺寸约：200mm×150mm。4.潜艇采用塑料注塑成型，配打气装置及连接乳胶管。潜水艇的外形尺寸不小于100mm×25mm×30mm。</t>
  </si>
  <si>
    <t>物理探究实验用。产品为六合一太阳能套件，主体材料为塑料，拼接式。可组装成太阳能风车、太阳旋转的平面、太阳能汽垫船、太阳能飞机、太阳能车、太阳能小狗。</t>
  </si>
  <si>
    <t>能演示温差发电和制冷两用，产品由致冷组件、支杆、底座、水槽、接线装置、电源导线、取冰器等组成。致冷组件由储冷板（金属槽）、陶瓷片、散热块、导热硅脂等组成。金属槽由厚度不小于1mm的板材制作，内空尺寸约：40×40mm，深约10mm。支杆采用Φ8mm的金属杆制作，支杆高度145mm，表面镀铬；底座外形尺寸约：230×110×30mm；水槽采用“372”材料制作，内空尺寸约为100×100×100mm，壁厚不小于2mm；电源导线采用多股铜芯绝缘软导线，内接导线长度约100mm，外接导线长度约300mm，外接导线两端分别为叉和插连接方式。</t>
  </si>
  <si>
    <t>物理探究实验用。产品为带孔的圆盘，圆盘可自动转动，固定片有相同孔径的圆孔，并带有遮光罩。圆秀为金属制，直径140mm（±5%），四孔直径10mm（±5%）。</t>
  </si>
  <si>
    <t>81</t>
  </si>
  <si>
    <t>81001</t>
  </si>
  <si>
    <t>笔式，氖泡式，测电极长≤10 mm，测量范围100 V～500 V，辉光应稳定不闪烁</t>
  </si>
  <si>
    <t>81002</t>
  </si>
  <si>
    <t>1、旋杆长度L:75mm，直径D:4mm 3、旋杆应经镀鉻防锈处理。</t>
  </si>
  <si>
    <t>1、旋杆长度L:75mm，直径D:4mm 3、旋杆应经镀铬防锈处理。</t>
  </si>
  <si>
    <t>81004</t>
  </si>
  <si>
    <t>尖咀钳</t>
  </si>
  <si>
    <t>1、载荷F≥550N ，中号，长度不小于150mm，优质钢材精工锻造，镀镍处理，，防滑塑料手柄。</t>
  </si>
  <si>
    <t>81005</t>
  </si>
  <si>
    <t>不小于 180mm,采用 3CR-13 硬质钢材料制造,刃部硬度大于 52HRC,采用胶质手柄,坚固耐磨，其他符合 QB/T2208 标准。</t>
  </si>
  <si>
    <t>81006</t>
  </si>
  <si>
    <t>手摇式，不小于 300mm,可装 0-7mm 钻头。其他符合 QB/T 2210-1996《手摇钻》标准。</t>
  </si>
  <si>
    <t>锉金属件长度不小于 10cm。平锉、圆锉、扁锉等。木锉在使用时都装有木柄。其他符合GB 5815-1986 《木锉》标准。</t>
  </si>
  <si>
    <t>木工锯</t>
  </si>
  <si>
    <t>材质：锰钢，长度不小于 500mm，锯路宽 4mm，其他符合 GB/T 14897.2-1994 标准。</t>
  </si>
  <si>
    <t>QB/T 1290.9-2010 钢锤木工锤，锤头长度不小于 5cm,木柄长度不小于 20cm.</t>
  </si>
  <si>
    <t>铇</t>
  </si>
  <si>
    <t>280mm,刨刀宽44mm</t>
  </si>
  <si>
    <t>斧</t>
  </si>
  <si>
    <t>0.6KG,330mm长</t>
  </si>
  <si>
    <t>钢手据</t>
  </si>
  <si>
    <t>材质：高碳钢，长度不小于170mm,压接范围：0.5、1、1.5、2.5、4平方毫米，其他符合QB/T 2207-2017 《剥线钳》标准。</t>
  </si>
  <si>
    <t>材质：45#高碳钢锻造，规格：40mm*81mm，其他符合GB6295.1-1986《钢丝钳》标准。</t>
  </si>
  <si>
    <t>0.5kg （圆柱形）、手锤的材料，用45＃优质碳素结构钢制成。手锤的表面不应有裂纹、折迭、毛刺、凹痕、气孔、砂眼、黄锈。手锤敲击面为凸圆弧形，边缘倒角应均匀。手锤把应为空心钢质，手柄应为橡胶材料。手锤把与手锤连接牢固，手锤把与橡胶接触紧密。</t>
  </si>
  <si>
    <t>平口、尖形各一个，合金钢制造 淬火、  长度不小于160mm。</t>
  </si>
  <si>
    <t>锉刀</t>
  </si>
  <si>
    <t>平面锉刀，规格为 150mm 长，单支装，沾塑手柄。</t>
  </si>
  <si>
    <t>8 寸三角钢锉，木工锯子开口专用挫刀，长度为 200mm。</t>
  </si>
  <si>
    <t>六件套什锦锉，规格：3MM*140MM，包含（半圆锉/平头扁锉/尖头扁锉/三角锉/方锉/圆锉）。</t>
  </si>
  <si>
    <t>材质：中碳钢，规格：8寸活动扳手，其他符合GB/T 4440-2022 《活扳手》的要求。</t>
  </si>
  <si>
    <t>81021</t>
  </si>
  <si>
    <t>材料：优质钢，铁皮剪刀——规格为10寸（250mm长），中间带弹簧，手柄为沾塑手柄，防滑性好。</t>
  </si>
  <si>
    <t>81022</t>
  </si>
  <si>
    <t>材料:不锈钢，规格:150MM*300MM，厚度不小于 2MM，镜面抛光处理。其他符合 GB/T 6092-2021 《直角尺》标准。</t>
  </si>
  <si>
    <t>81023</t>
  </si>
  <si>
    <t>高度游标卡尺</t>
  </si>
  <si>
    <t>0-200mm，精度0.02mm</t>
  </si>
  <si>
    <t>81024</t>
  </si>
  <si>
    <t>内热式尖头电烙铁，发热芯可拆卸维修，功率：25w，手柄坚硬，握把舒适，电源线采用国标电线。</t>
  </si>
  <si>
    <t>81025</t>
  </si>
  <si>
    <t>JB/T 54481-1999 高精度机用平口钳 ,材质：45#高碳钢锻造，规格：40mm*81mm</t>
  </si>
  <si>
    <t>81026</t>
  </si>
  <si>
    <t>功率不小于:250w 、电压:220V/50Hz，最大钻孔直径：1.5-13mm，主轴最大转速不小于3000rpm，主轴转速级数：5，工作台面尺寸不小于160mm×160mm，底座尺寸不小于170mm×280mm，总高不小于580mm。</t>
  </si>
  <si>
    <t>81027</t>
  </si>
  <si>
    <t>夹头直径不小于:13mm，输入功率不小于:320W，具有调速正反转功能，可装卸螺丝螺母，适用于线路板、金属和木材等钻孔作业。</t>
  </si>
  <si>
    <t>81028</t>
  </si>
  <si>
    <t>钻头采用优质高速工具钢,使用范围:钢板、木、塑料，内部包装规格:1.0MM-13MM（1-2-4-6-8-10-12-13） 范围内 共8件。</t>
  </si>
  <si>
    <t>81029</t>
  </si>
  <si>
    <t>100mm，材料铸铁</t>
  </si>
  <si>
    <t>输入功率不小于300W ，空载速度不小于：3000转/分，额定电压：220V，砂轮线速不小于30米/秒 砂轮尺寸不小于：200mm*20mm*32mm。</t>
  </si>
  <si>
    <t>81033</t>
  </si>
  <si>
    <t>81034</t>
  </si>
  <si>
    <t>投影片绘制工具</t>
  </si>
  <si>
    <t>一、适用范围
物理教学试验用的工具。
二、技术仪器
1、含塑料直尺、圆规、美工刀、三角板、细标记笔、擦板、彩色颜料、小毛笔各一套。
2、应符合JY0001-2003的有关规定。</t>
  </si>
  <si>
    <t>防酸碱产品需利于人体活动，具有一定牢固性和舒适感，白色。1. 产品外观无破损、斑点、污物等缺陷。2. 产品应做工精细，穿着方便书、舒适。3. 产品所用材料应能满足日常穿用和中学实验室日常使用要求，具有一定耐穿性和牢固性</t>
  </si>
  <si>
    <t>用于实验教师防强光、眩光、紫外线、激光或是机械性伤害（机加工）</t>
  </si>
  <si>
    <t>棉纱线</t>
  </si>
  <si>
    <t>1批小计</t>
  </si>
  <si>
    <t>1间合计</t>
  </si>
  <si>
    <t>高中化学教学仪器</t>
  </si>
  <si>
    <t>7.1</t>
  </si>
  <si>
    <t>函数型，滑盖式。参数：1.双行显示屏，上行显示计算式，下行显示计算结果。2.有基本算术运算、存储器计算、分数计算、百分比计算、科学函数计算、统计计算、度分秒计算等功能。3.有自动关机功能、应保留普通计算器的其他功能。4.机壳及键盘用安全可靠的材质制成，按键弹动灵活，接触良好，触摸手感舒适。5.计算器外形尺寸不小于156mm×82mm×18mm。</t>
  </si>
  <si>
    <t>1．产品由刀架、刀片、刀片定位销钉、刀片张角定位螺钉和手柄组成。2．刀架采用金属材料制成，表面作防锈处理。刀架工作端为1：4锥度圆锥体，经调节刀片张角，可修削刀口直径4mm~13mm的打孔器刀口。</t>
  </si>
  <si>
    <t>1．本产品由手柄轴、衬套筒、螺母、连接板、螺钉、螺杆、钻头、夹板、底座等组成。2．底座用铸铁制造。3．钻头4个，外径尺寸分别为：φ6mm、φ8mm、φ10mm、φ12mm。</t>
  </si>
  <si>
    <t>电动钻孔器</t>
  </si>
  <si>
    <t>工作电压：220v，频率：50Hz， 电机功率：大于等于500W，尺寸大于等于400mm*150mm*155mm</t>
  </si>
  <si>
    <t>02006</t>
  </si>
  <si>
    <t>欣欣</t>
  </si>
  <si>
    <t>浙江欣欣教育科技有限公司</t>
  </si>
  <si>
    <t>电动离心机</t>
  </si>
  <si>
    <t>1.产品为电动式，电压：220V功率：80w,0～30分任意定时，有级调速，套管容量6×10ml。2..仪器的性能、安全、结构及外观的一般要求应分别符合JY0001标准的第4、5、6、7章的有关要求。</t>
  </si>
  <si>
    <t>02070</t>
  </si>
  <si>
    <t>离心沉淀器</t>
  </si>
  <si>
    <t>1、手摇式。
2、产品由机壳、蜗轮、离心管、离心管管套、离心管管架组成。
3、机壳由铸铁制成，壳体要求薄厚均匀，表面烤漆，壳体上的蜗轮轴、蜗杆二轴孔线的垂直度不超过0.10mm。
3、蜗杆为双头蜗杆，碳钢制成。
4、蜗轮齿数为32齿，铸铁制成。蜗轮轴由碳钢制成。离心管为玻璃材料制成，管壁上有表示容积的刻线，每单位刻度表约1ml，透明度好，离心管管套由塑料制成，要求薄厚均匀，不得有明显的凹陷。
5、离心管管架由厚为不小于1mm的冷板制成。
6、产品应能稳定在10～40mm厚的支持物上，各转动处配合松紧适度，蜗轮与蜗杆啮合良好，摇动手柄仪器各部分转动灵活且无显著回响。</t>
  </si>
  <si>
    <t>磁力加热搅拌器</t>
  </si>
  <si>
    <t>1.使用电源：AC220V±22V，50Hz。
2.加热功率：150-250W。电机功率：25-40W。
4.控温范围：液体温度0～90℃。
5.加热容量：20～3000ml。
6.电机采用无级调速,配1粒搅拌籽。
7.安全要求：应符合GB4706.1的有关规定。
8.外观应符合JY0001—2003的有关规定。
9.标志、说明书、包装、运输、贮存等应符合JY0001-2003的有关规定。</t>
  </si>
  <si>
    <t>02073</t>
  </si>
  <si>
    <t>金属酒精灯</t>
  </si>
  <si>
    <t>一、组成：酒精灯壶、棉灯芯。
二、用不锈钢精致而成。
三、壶体规格：∅84㎜×41㎜
四、壶盖及灯芯：∅50㎜×13㎜，∅13㎜×80㎜。</t>
  </si>
  <si>
    <t>02074</t>
  </si>
  <si>
    <t>电加热器</t>
  </si>
  <si>
    <t>密封式。
1.额定电压AC220V±5％50Hz+5,额定功率1000W。
2.密封式，有恒温控制，炉面温度自动控制在330℃～400℃。
3.规格：220mm×220mm，不锈钢制。加热面板直径155mm。高16mm。黑色圆形
4.其他要求符合GB5488—85《日用电炉》的相关规定。
5.标志、说明书、包装、运输、贮存符合JY0001-2003的有关规定。</t>
  </si>
  <si>
    <t>蒸馏水器</t>
  </si>
  <si>
    <t>1、采用不锈钢制作精细，卫生；2、采用三线电源接地保护，安全可靠。使用电源：交流220V，50Hz。功率：3KW；3、外形尺寸：290×200×575mm；4、蒸馏水器由蒸发锅、冷凝器、电器装置三部分等组成。蒸发锅由不锈钢薄板制成，锅上有溢水口，顶盖中央有挡水帽，左侧有放水栓塞；冷凝器：由不锈钢薄板制成，结构为可拆式；加热部分：几只浸入式加热管装于蒸发锅内的底部。5、规格：出水量3升/小时。</t>
  </si>
  <si>
    <t>02081</t>
  </si>
  <si>
    <t>1、采用不锈钢制作精细，卫生；2、采用三线电源接地保护，安全可靠。使用电源：交流220V，50Hz。功率：4.5KW；3、外形尺寸：350×250×700mm；4、蒸馏水器由蒸发锅、冷凝器、电器装置三部分等组成。蒸发锅由不锈钢薄板制成，锅上有溢水口，顶盖中央有挡水帽，左侧有放水栓塞；冷凝器：由不锈钢薄板制成，结构为可拆式；加热部分：几只浸入式加热管装于蒸发锅内的底部。5、规格：出水量5升/小时。</t>
  </si>
  <si>
    <t>列管式烘干器</t>
  </si>
  <si>
    <t>1.化学实验设备，供试管瓶子干燥用，仪器外壳采用不锈钢金属材质
2.电热式。
3.额定电压：220V。
4.发热功率：240W。
5.干燥位：13个。
6.热风温度：50℃－60℃。
7.绝缘电阻：大于20MΩ。
8.干燥时间：3～5min。
9.耐压强度：AC1.5KV、50HZ正弦波，历时1分钟，无击穿、飞弧现象。
10.分别有风扇及加热两个按钮，并有指示灯提示。</t>
  </si>
  <si>
    <t>02083</t>
  </si>
  <si>
    <t>烘干箱</t>
  </si>
  <si>
    <t>1、材质：外壳采用冷轧钢板制造，表面静电喷塑；内胆为优质不锈钢材料制成；2、系统具有控温、定时和超温报警等功能；3、尺寸：内胆规格不小于300mm×300mm×340mm，外形规格不小于590mm×660mm×520mm；4、电源电压：AC220±10%（50Hz）；5、控温范围：室温～120℃；6、显示精度0.1℃(＞100℃显示精度为1℃)；7、温度波动性：≤±1℃；8.设有玻璃观察窗，便于观察，智能数显控温；</t>
  </si>
  <si>
    <t>02084</t>
  </si>
  <si>
    <t>电冰箱</t>
  </si>
  <si>
    <t>≥160L,电压220V</t>
  </si>
  <si>
    <t>BMY216WL</t>
  </si>
  <si>
    <t>上菱</t>
  </si>
  <si>
    <t>上海上菱电器制造有限公司</t>
  </si>
  <si>
    <t>冰柜</t>
  </si>
  <si>
    <t>≥120L,电压220V，最低温度可达-60°</t>
  </si>
  <si>
    <t>DW-218</t>
  </si>
  <si>
    <t>创佳</t>
  </si>
  <si>
    <t>杭州创佳低温科技有限公司</t>
  </si>
  <si>
    <t>水浴锅</t>
  </si>
  <si>
    <t>铜制，400W,恒温数显,室温0～100度,有循环装置，控温精度±0.5度,安全要求符合YY91037.</t>
  </si>
  <si>
    <t>02094</t>
  </si>
  <si>
    <t>保温漏斗</t>
  </si>
  <si>
    <t>铜制.热滤漏斗铜制，具有夹层和侧管，夹层内可盛水，漏斗上沿有一注水口，侧管处用于加热。热滤漏斗内的玻璃漏斗其大小应与热滤漏斗相匹配，且应为短颈（比热滤漏斗的底端稍长）。</t>
  </si>
  <si>
    <t>02100</t>
  </si>
  <si>
    <t>华奇</t>
  </si>
  <si>
    <t>武穴市华奇教学仪器有限公司</t>
  </si>
  <si>
    <t>规格：10ml。塑料制成。密封性好，滑动灵活。刻度标线规整、清晰。</t>
  </si>
  <si>
    <t>规格：50ml。塑料制成。密封性好，滑动灵活。刻度标线规整、清晰。</t>
  </si>
  <si>
    <t>规格：100ml。塑料制成。密封性好，滑动灵活。刻度标线规整、清晰。</t>
  </si>
  <si>
    <t>塑料洗瓶</t>
  </si>
  <si>
    <t>1.规格尺寸：直径60mm（±2mm），高150mm（±2mm）,250ml</t>
  </si>
  <si>
    <t>试剂瓶托盘</t>
  </si>
  <si>
    <t>尺寸；大于等于300mm×250mm×70mm塑料制。符合JY0001－2003《教学仪器一般质量要求》中6.27的有关规定。</t>
  </si>
  <si>
    <t>02122</t>
  </si>
  <si>
    <t>实验用品提篮</t>
  </si>
  <si>
    <t>可固定试管、试剂瓶等仪器，木质材料</t>
  </si>
  <si>
    <t>02123</t>
  </si>
  <si>
    <t>塑料水槽</t>
  </si>
  <si>
    <t>尺寸大于等于250mm×180mm×100mm</t>
  </si>
  <si>
    <t>02124</t>
  </si>
  <si>
    <t>聚光小手电筒</t>
  </si>
  <si>
    <t>LED灯珠，7号电池，可持续超明4-6小时</t>
  </si>
  <si>
    <t>万能夹</t>
  </si>
  <si>
    <t>产品由夹持柄及夹头组成，全钢制，表面电镀处理。1.上下夹口应转动自如、灵活，最大开口不小于40mm，四爪夹口部位分别配套有4个胶管。2.夹杆直径Φ8mm，长190mm。</t>
  </si>
  <si>
    <t>03005</t>
  </si>
  <si>
    <t>三脚由圆环，支撑脚构成，支撑脚由18×5滑槽和14×1.5滑片组成，可拆卸，可以升降滑槽表面有刻度，可任意调整每只脚的高度并使圆环与台面不平行误差不大干1mm。三脚高度140mm---205mm范围内任意调整高度，支撑脚表面镀镍处理。圆环内径75±1mm，外径120±1mm，厚5mm，铝合金压铸成形</t>
  </si>
  <si>
    <t>1.由黄泥棒、铁丝组成。2.黄泥棒外径10mm±0.5mm，长53mm±1mm，其中心孔能穿过1mm的铁丝。3.三支棒组成等边三角形，黄泥棒体坚硬。</t>
  </si>
  <si>
    <t>试管架</t>
  </si>
  <si>
    <t>1． 产品由顶板、底板、插杆组成，≥6孔、6插。2． 木质材料或者塑料材料</t>
  </si>
  <si>
    <t>03008</t>
  </si>
  <si>
    <t>漏斗架</t>
  </si>
  <si>
    <t>1、木质材料；尺寸大于等于300×90mm，板上布有2个孔径为φ50mm的圆孔。另有可调高度的紧固装置。3．底板尺寸大于等于300×90mm，4．立柱长度大于等于250mm，直径φ10mm。</t>
  </si>
  <si>
    <t>03009</t>
  </si>
  <si>
    <t>滴定台</t>
  </si>
  <si>
    <t>1．产品由滴定夹、底板、立杆等组成。2．滴定夹为蝶形两头夹持式，用铝合金制造，外观尺寸≥100×200mm，夹持弹簧应镀防锈层。3．底座为天然大理石制造，尺寸为：大于等于300×150×18mm，表面无划伤、裂纹，底面嵌接橡胶垫脚。4．立杆用圆钢制造。其尺寸：φ10×600mm，表面镀铬。</t>
  </si>
  <si>
    <t>03010</t>
  </si>
  <si>
    <t>滴定夹</t>
  </si>
  <si>
    <t>滴定夹是滴定台的组成部份。由铝合金制成，蝶式结构，外形尺寸大于等于200mm×110mm。两端能夹持20mm以下直径的滴定管，两管平行，当两管盛满液体后，不下滑。</t>
  </si>
  <si>
    <t>03011</t>
  </si>
  <si>
    <t>多用滴管架</t>
  </si>
  <si>
    <t>1、与塑料多用滴管配套使用。2、外形尺寸：滴管架分上下两层，每层10个插孔，孔径15mm，每层孔板的正下方有对应的穴板，穴内承接滴管的吸泡，可使滴管站直站牢。孔板、穴板和两侧的撑架都可拆卸和安装。3.外形尺寸：215mm×55mm×55mm。</t>
  </si>
  <si>
    <t>03012</t>
  </si>
  <si>
    <t>移液管架</t>
  </si>
  <si>
    <t>产品采用厚度不小于3mm的优质透明塑料板材成型，可同时搁置8支移液器。产品外形尺寸约220×110×205mm。</t>
  </si>
  <si>
    <t>比色管架</t>
  </si>
  <si>
    <t>6孔,直径17mm。塑料制,尺寸：177×40×93mm，由上下二排管架组成。</t>
  </si>
  <si>
    <t>03015</t>
  </si>
  <si>
    <t>组合式支架</t>
  </si>
  <si>
    <t>（1）产品为教学通用多功能支架，可组装成垂直、平行、吊挂、夹持、放置等多种实验支架。产品主要由下列配件组成：(1)、底座：由A字型底座。(2)、立杆：有四根采用螺纹连接，可以组成两根长度为500 mm和700 mm立杆。(3)、试管夹一件。(4)、万向夹一件：万能夹夹持直径范围为Φ6～14mm，万向夹的转动方向，调节范围不小于120°。(5)、桌夹一件:一边能牢固的夹持在厚度不大于65 mm的工作台面上，另一面能安装在直径不大于12mm的金属立杆，并能牢固的锁紧。（6）、铁环：开口角度120°大小各一个，能托住直径不小于90mm和50mm的烧杯和其他物品。（7）、圆盘直径200mm.（8）吊钩：四只。（9）绝缘杆：一件，由直径12*100mm的绝缘棒和长度12*200mm的金属棒连接而成。（10）塑料滴定夹一件可固定在支杆上用来固定滴定管的夹持装置。（11）试管架板可供放置有两种不同口径的试管。产品的部件可以相互组合，可以搭接成不同的支架，实验时候可以根据实验要求来搭接</t>
  </si>
  <si>
    <t>交流：2～16V/3A，每2V一档直流稳压：2～16V/2A，每2V一档</t>
  </si>
  <si>
    <t>交流：2～24V，每2V一档，2～6V/12A，8～12V/6A，14～24V/3A，直流稳压：1～25V分档连续可调，2～6V/6A，8～12V/4A，14～24V/2A；40A、8s自动关断</t>
  </si>
  <si>
    <t>1.最大称量100g，分度值0.1g,标尺称量0-5g。
2.底座为金属冲压件,表面喷塑。
3．横梁，支架，盘托架为金属制，表面镀铬。
4．刀子为钢制，双向调节螺母。
5.双托盘，托盘为塑胶制成，附件：四等砝码一套，塑料镊子一把，专用塑料砝码盒一个，各种砝码定位放置。</t>
  </si>
  <si>
    <t>100g，0.001g。1.称盘尺寸：圆盘ф130mm。2.电源电压：220VAC。3.采用高精度电磁平衡传达室感器，LED显示。4.具有计数、确认、清零、校准。5.防风罩一套，采用透明塑料注塑成型。6.校准砝码1个。7.主机外形尺寸：185mm×235mm×50mm。</t>
  </si>
  <si>
    <t>200g，0.001g。1.称盘尺寸：圆盘ф130mm。2.电源电压：220VAC。3.采用高精度电磁平衡传达室感器，LED显示。4.具有计数、确认、清零、校准。5.防风罩一套，采用透明塑料注塑成型。6.校准砝码1个。7.主机外形尺寸：185mm×235mm×50mm。</t>
  </si>
  <si>
    <t>200g，0.01g。1.称盘尺寸：圆盘ф130mm。2.电源电压：220VAC。3.采用高精度电磁平衡传达室感器，LED显示。4.具有计数、确认、清零、校准。5.防风罩一套，采用透明塑料注塑成型。6.校准砝码1个。7.主机外形尺寸：185mm×235mm×50mm。</t>
  </si>
  <si>
    <t>400g，0.1g。1.称盘尺寸：圆盘ф130mm。2.电源电压：220VAC。3.采用高精度电磁平衡传达室感器，LED显示。4.具有计数、确认、清零、校准。</t>
  </si>
  <si>
    <t>200g，0.0001g。1.称盘尺寸：圆盘ф130mm。2.电源电压：220VAC。3.采用高精度电磁平衡传达室感器，LED显示。4.具有计数、确认、清零、校准。5.防风罩一套，采用透明塑料注塑成型。6.校准砝码1个。7.主机外形尺寸：185mm×235mm×50mm。</t>
  </si>
  <si>
    <t>玻璃制。红液，0℃～100℃</t>
  </si>
  <si>
    <t>玻璃制。水银，0℃～200℃</t>
  </si>
  <si>
    <t>1.工作参数：220V±10%.2W。2.外形尺寸：200×175×80mm，塑料垂纹外壳，塑料仪器面板，有散热孔。3.测温范围：-55～+199℃。4.测量误差：±0.5℃。5.显示方式：4位LED红色显示。6.传感方式：直接接触式。</t>
  </si>
  <si>
    <t>由测量结构、测量路线、外壳等组成。测量机构采用磁电系仪表结构。标度盘，机械零位调节臂均固定在支架上。准确度等级：2.5级。最大误差不超过满刻度值的±2.5%；量程：-0.2到0到0.6A,-1到3A.压降：75±7.5mV,防外磁场标称范围极限值：397.89A/m,绝缘强度：经受500V正弦交流电压历时1min的实验。</t>
  </si>
  <si>
    <t>由测量结构、测量路线、外壳等组成。测量机构采用磁电系仪表结构.标度盘，机械零位调节臂均固定在支架上。准确度等级：2.5级。灵敏度：±300μA内阻：80-125Ω；2.4-3KΩ外形规格：138mm×100mm×97mm,重量：210g。</t>
  </si>
  <si>
    <t>MF-47型，内磁表头。测量范围：直流电流：0～5～50～500mA,10A；直流电压：0～0.25～0.5～10～50～250～500～1000V，交流电压：0～10～50～250～500～1000V；直流电阻：X1～X10K；温度测试：-10～150℃，电容：0.01～100000μf；电感：20～1000H；音频电平：-10～+22db。表笔1套。外型规格：165×113×52mm。重量：0.6kg。</t>
  </si>
  <si>
    <t>密度＞1g/cm3</t>
  </si>
  <si>
    <t>密度＜1g/cm3</t>
  </si>
  <si>
    <t>酸度计(pH计)</t>
  </si>
  <si>
    <t>笔式，1.测量范围：≥0～14.00pH。2.电源：3×1.5V（AG-13型钮扣电池）。3.校准方式：两点校准（PH4.01/6.86）。4.精度≤±0.01pH。</t>
  </si>
  <si>
    <t>化学</t>
  </si>
  <si>
    <t>原电池实验器</t>
  </si>
  <si>
    <t>产品主要由电解槽、电极板、极板夹、接线装置等组成。电解槽采用透明性好的塑料制作，壁厚不小于2mm，容积不小于250cm3；电极板由铜板、锌板、铁板各一块组成。极板尺寸为60×30×1mm，铜板纯度不低于99%，锌板采用电池锌板。</t>
  </si>
  <si>
    <t>贮气装置</t>
  </si>
  <si>
    <t>产品由底座、贮气室、贮水室、导气阀、进排水口、出水管等组成。底座采用ABS工程塑料制作，底径约φ175mm，高度230mm；贮气室及贮水室采用透明性好的“372”材料制作，贮气容积约3000ml，贮气室的侧面有容积刻度，便于观察装置内所贮气体容量；</t>
  </si>
  <si>
    <t>高中微型化学实验箱</t>
  </si>
  <si>
    <t>高中微型化学实验箱必备器材、规格如下：烧杯50ml,1个；小酒精灯1个；直角玻璃导管1支；钝角玻管导管1支；小漏斗1个；试管（小）长约80mm，3支；试管长约152mm，2支；试管夹长约180mm，1把；试管刷1支，量杯10ml，1支；反应板黑，白，各1块；玻璃蒸馏器，1个；玻璃冷凝管，1个；集气瓶，1只；玻璃棒长约150mm，2根；红液温度计，最大量程50℃，1支；镊子1把，钥匙2支；石棉网123mm×123mm，1个；乳胶管1根；1#橡胶塞3个；4#橡胶塞2个；滴管2支，锥形瓶1只；研钵1个；容量瓶25ml,1只；坩埚1个；坩埚钳长约235mm，1把；具支U型管1支；止水夹1个，玻璃片40mm×40mm×3.4mm，2块；燃烧匙1把，铜片，锌片，各1片；铝片，铁片，各1片；碳棒2根；铜丝，铁丝，各1包；棉花1团；分液漏斗1只；PH试纸1包；淀粉碘化钾试纸1包；红石蕊试纸1包；篮石蕊试纸1包；滤纸10张；砂纸1张。其它符合JY0001－2003《教学仪器一般质量要求》的有关规定。</t>
  </si>
  <si>
    <t>溶液导电演示器</t>
  </si>
  <si>
    <t>电表式，10mA，DC6V，串联电位器1kΩ，电阻560Ω。五组溶液同时比较，1×7开关（其中一档校准），采用不锈钢或石墨电极</t>
  </si>
  <si>
    <t>微型溶液导电实验器</t>
  </si>
  <si>
    <t>金属电极，笔式，所需溶液不超过3mL</t>
  </si>
  <si>
    <t>中和热测定仪</t>
  </si>
  <si>
    <t>教学用产品：里层为玻璃烧杯，容积为150mL，中间采用隔层，外层用ABS塑料成型，烧杯瓶口盖采用特制橡胶并开有二个小孔，其中一个孔插温度计，另一个孔插搅拌棒。</t>
  </si>
  <si>
    <t>化学实验废液处理装置</t>
  </si>
  <si>
    <t>产品由试剂瓶、反应槽、搅拌机、PH计、水阀、过滤槽、活性碳槽等组成。产品外形尺寸约375×375×550mm。产品每次处理的废水总量6L～12L；使用电源：AC220V 50HZ   DC 12V 500mA；可处理的污染物：酸、碱废液；铅、镍、银、锌、锰、铜等重金属离子（处理前各种离子浓度均小于500mg/l）；六价铬的化合物（需要做前期处理）；汞的化合物（需要做前期处理）；有机磷化合物、砷化物、BOD、COD等部分除去。反应槽尺寸：φ350×120mm；过滤槽尺寸：320×250×105mm；活性碳槽</t>
  </si>
  <si>
    <t>气体实验微型装置</t>
  </si>
  <si>
    <t>以微型玻璃为主，能完成氧气、氢气、二氧化碳、一氧化碳、氯气、氨气、二氧化硫、硫化氢、一氧化氮、二氧化氮等十几种气体的制备和性质实验，反应容器一般不超过30mL</t>
  </si>
  <si>
    <t>氢燃料电池演示器</t>
  </si>
  <si>
    <t>两个质子交换膜电极，膜电极≥33㎜×33㎜</t>
  </si>
  <si>
    <t>氢燃料电池实验器</t>
  </si>
  <si>
    <t>一个质子交换膜电极，膜电极≥15㎜×15㎜，带电流、电压表</t>
  </si>
  <si>
    <t>电解槽演示器</t>
  </si>
  <si>
    <t>产品主要由阳极（钛钌铂等贵重金属）、阴极（铂金）、离子交换膜、槽体及底座组成。槽体采用透明塑料制成。整体外形尺寸：270mm×150mm×170mm。</t>
  </si>
  <si>
    <t>离子交换柱</t>
  </si>
  <si>
    <t>产品由阳离子交换柱、阴离子交换柱等部件组成。交换柱主体由塑料制作，主体外形约φ35mm×220mm，主体内阳离子交换树脂为钠型，外观为金黄色球状颗粒；阴离子交换树脂为氯型，外观为淡黄色透明球状颗粒；主体上的进水口及出水口外径为φ8mm，长度约1.5mm，进、出水口均配有胶塞；</t>
  </si>
  <si>
    <t>电泳演示器</t>
  </si>
  <si>
    <t>本仪器有带刻度的U型管，电极，插座及开关组成，电压12V，电流1.5A，满足教学实验使用</t>
  </si>
  <si>
    <t>丁达尔现象实验器</t>
  </si>
  <si>
    <t>一、组成：黑色塑料壳体、加盖透明塑料容器、移动光源组成。
二、主要参数：
1、规格约：100㎜×50㎜×70㎜
2、塑料加盖容器：2个，尺寸约60㎜×20㎜×15㎜</t>
  </si>
  <si>
    <t>二氧化氮球</t>
  </si>
  <si>
    <t>玻璃制品。1.双球，成U型，内封NO2和N2O4。2.球体直径约28mm。</t>
  </si>
  <si>
    <t>渗析实验器</t>
  </si>
  <si>
    <t>利用本仪器可以达到分离、提纯某些物资。产品由不锈钢提把和一个由五个面构成的容器，仪器的二个面覆盖有一个圆形半透膜，以达到与溶液最大的接触效果。容器内尺寸约：50mm×50mm×50mm。圆形半透膜直径约37mm。</t>
  </si>
  <si>
    <t>放电反应装置</t>
  </si>
  <si>
    <t>通电两分钟之内即有氮气与氧气反应的现象，消耗功率不大于30W</t>
  </si>
  <si>
    <t>光化学实验演示器</t>
  </si>
  <si>
    <t>产品结构：由底座、闪光装置、安全防护罩、手控按钮、开关、指示灯、试管3支及滴管等组成。能做氢、氯混合气体闪光引爆实验，溴化银感光分解实验，甲烷氯气混合气体取代反应闪光爆鸣实验。底座外形尺寸约：175mm×95mm×140mm。</t>
  </si>
  <si>
    <t>化学演示平台</t>
  </si>
  <si>
    <t>带摄像头</t>
  </si>
  <si>
    <t>炼铁高炉模型</t>
  </si>
  <si>
    <t>1.产品为炼铁高炉缩小模型，能反映内部结构。2.它主要由炉喉、炉身、炉腹、炉缸等五个部分组成。3.有两个进口（进料口和进风口），三个出口（出铁口、出渣口和高炉煤气出口）。4.外形尺寸带底座约：175mm×175mm×600mm。</t>
  </si>
  <si>
    <t>分子结构模型</t>
  </si>
  <si>
    <t>1.为球棍式，演示用，全塑料注塑成型。2．碳原子为黑色，直径22mm；四孔50个、五孔48个。3.氢原子为白色，直径15mm，共40个。4.氧原子为红色，直径22mm；二孔4个。5.氮原子为天蓝色，直径22mm，三孔7个。6.硫原子为黄色，直径22mm，六孔1个。7.氯原子草绿，直径22mm，一孔2个，六孔13个。8.钠原子为银灰，直径22mm，六孔14个。9.中键长约27mm：灰色100根、紫色75根；长键长约43mm，灰色40根、紫色30根。</t>
  </si>
  <si>
    <t>学生分组用，可搭出各种版本新化学课本中所要求的无机分子和有机分子的模型40余种，球与棍应采用新型材料，结构元件：碳（黑色）、氧（红色）、氯（绿色）、氮（蓝色）、硫（黄色）、磷（紫色）、氢（白色）、金属（银灰色）、单键（银灰色）、单离子键（紫色）、双、三键（银灰色）、双离子键（紫色）等。防水纸盒外包装,规格：190×110×50mm，球Φ23mm，球棍组成。</t>
  </si>
  <si>
    <t>金刚石结构模型</t>
  </si>
  <si>
    <t>全塑料制，演示用。1.由Φ30mm的碳原子34个、连接键44根组成。2.碳原子为黑色，四孔；键为灰色，直径4mm，长42mm。</t>
  </si>
  <si>
    <t>石墨结构模型</t>
  </si>
  <si>
    <t>全塑料制，演示用。1.由Φ30mm的碳原子39个、中键45根、长键14根组成。2.碳原子为黑色，五孔；中键为白色、长键为灰色。中键直径4mm，长42mm。长键直径5mm，长61mm。</t>
  </si>
  <si>
    <t>碳-60结构模型</t>
  </si>
  <si>
    <t>全塑料制，演示用。1.由Φ30mm的碳原子60个、单中键60根、双中键30根组成。2.碳原子为黑色，三孔；单中键为灰色、双中键为紫色。键直径4mm，长42mm。</t>
  </si>
  <si>
    <t>氯化钠晶体结构模型</t>
  </si>
  <si>
    <t>全塑料制，演示用。1.由Φ30mm的氯原子13个、钠原子14个、长键54根组成。2.氯原子为绿色、钠原子为灰色。键直径5mm，长60mm。</t>
  </si>
  <si>
    <t>碳的同素异形体结构模型</t>
  </si>
  <si>
    <t>学生用，小型。1.可组装成金钢石、石墨、碳60三种结构模型。2.球体直径8mm，为黑色。3.连接管均为透明塑料管，管长约22mm，管孔与球体键配合适宜。</t>
  </si>
  <si>
    <t>氯化铯晶体结构模型</t>
  </si>
  <si>
    <t>产品由氯原子1个，直径约30mm（8孔）绿色球；铯原子8个直径约30mm（4孔）红色球；长键12根，长约110mm;短键8根，长约90mm；连接键由金属制成，表面电镀处理。</t>
  </si>
  <si>
    <t>二氧化碳晶体结构模型</t>
  </si>
  <si>
    <t>产品由碳原子14个（6孔6个和8孔8个）黑色球，直径约30mm；氧原子28个，蓝色球，直径约30mm；短键14根，长60mm,；中键24根，长90mm；长键12根，长130mm;连接键由金属制成，表面电镀处理。</t>
  </si>
  <si>
    <t>二氧化硅晶体结构模型</t>
  </si>
  <si>
    <t>全塑料制。产品由硅原子15个，直径约30mm，4孔红色球；氧原子16个，直径约22mm，2孔白色球；中键32根，紫色。</t>
  </si>
  <si>
    <t>金属晶体结构模型</t>
  </si>
  <si>
    <t>全塑料制。产品由面心立方堆积和面心立方晶胞构成。1.面心立方堆积由红色球20个，直径约30mm，短键18根，中键1根。2.面心立方晶胞由红色球14个，直径约30mm，中键12根，奶白，长键12根，金属电镀。</t>
  </si>
  <si>
    <t>电子云杂化轨道模型</t>
  </si>
  <si>
    <t>模型包括：S电子云及SP、SP2、SP3、Px、Py、Pz杂化轨道模型，共7件一套。模型的球体由聚乙烯塑料吸塑，连接杆由直径4mm铝棒制，底座为塑料注塑成型，直径约100mm，高约60mm。</t>
  </si>
  <si>
    <t>气体摩尔体积模型</t>
  </si>
  <si>
    <t>模型采用拆装式，由1气体摩尔体积正方体组成，1气体摩尔体积正方体规格为约282×282×282mm，厚度为2mm的透明有机玻璃构成，再用专门设计的透明塑料角联结。</t>
  </si>
  <si>
    <t>沸腾焙烧炉模型</t>
  </si>
  <si>
    <t>1、产品为沸腾焙烧炉的缩小模型，装置于底座上，外壳可局部剖开，能看清其内部结构。
2、炉体上侧有炉气出口，下部两侧分别为加料室和出渣口，炉体外侧示水箱。空气分布板位于炉内下部，板上均匀装有若干个风帽，应正确显示风帽与分布板的结构关系。底座上另置一放大的风帽，示其内部结构。空气分布室呈倒锥形，其底部侧面有空气进口.加料室内空气分布板上部有加料口，下面有空气进口。炉壁剖面示炉壳和耐火砖内衬。
3、模型高度尺寸约500mm，放大风帽高度尺寸约120mm。
4、沸腾焙烧炉模型技术条件</t>
  </si>
  <si>
    <t>硫酸接触室模型</t>
  </si>
  <si>
    <t>1、为接触法制硫酸的接触室缩小模型，外壳可局部剖开，能看清其内部结构。
2、接触室内上部和下部各有一层触媒，两触媒层之间为热交换器。触媒层显示出黄色圆柱状固体颗粒，与热交换器之间留有空隙。热交换器采用列管式，表现出其内部立体结构。气体的各进、出口的位置正确，热交换器上部的热气体出口与接触室顶部的进口之间应用导管相连。在各个适当部位用箭头标示气体的走向，箭头方向必须正确。
3、模型尺寸约φ200mm×470mm</t>
  </si>
  <si>
    <t>氨合成塔模型</t>
  </si>
  <si>
    <t>1、产品为氨合成塔缩小模型，模型外形示塔体及顶盖等。
2、外壳剖开，应能看清塔内的环状空间及塔上部的触媒室和塔下部的热交换器等结构，外壳剖面上示其厚壁。触媒室示触媒层的形态，触媒层置于多孔板上。热交换器采用列管式，表现出其内部立体结构。中心管直径不小于热交换器列管直径的两倍，中心管上端应高出触媒层。模型必须正确显示气体在塔内的流动路线，并在各个适当位置用前头标明方向，反映前后气体的流经区域，用不同颜色加以区别。模型高度尺寸约800mm，直径尺寸约120mm。
3、氨合成塔模型技术条件。</t>
  </si>
  <si>
    <t>炼钢转炉模型</t>
  </si>
  <si>
    <t>1、由烟罩、炉壳、耐火砖衬层、炉膛、炉底、控制箱及出钢口等组成。
2、炼钢转炉模型技术条件</t>
  </si>
  <si>
    <t>标本</t>
  </si>
  <si>
    <t>金属矿物、金属及合金标本</t>
  </si>
  <si>
    <t>标本包括：铜矿、铜合金、铝土矿、铝合金、磁铁矿、生铁、赤铁矿、铁合金、铅矿、铅合金、锌矿、镀锌板。盒包装。</t>
  </si>
  <si>
    <t>原油常见馏分标本</t>
  </si>
  <si>
    <t>标本包括：原油、石油气、汽油、煤油、柴油、重油、润滑油、凡士林、石蜡、沥青。纸盒包装，尺寸：195mm×130mm×25mm。</t>
  </si>
  <si>
    <t>合成有机高分子材料标本</t>
  </si>
  <si>
    <t>标本包括：塑料：（1、聚乙烯、2、聚氯烯、3、ABS）。合成纤维：（4、锦纶、5、涤纶、6、晴纶、7、氯纶）。橡胶：（8、天然橡胶）合成橡胶：（9、丁晴、10、氯丁、11、顺丁）。盒包装。</t>
  </si>
  <si>
    <t>新型无机非金属材料标本</t>
  </si>
  <si>
    <t>人造牙、氧化铝陶瓷、压电陶瓷、光导纤维均固定于底盒，并有标签。标本盒为塑料制作，上盖为透明塑料，整体外形尺寸约：205mm×125mm×30mm。</t>
  </si>
  <si>
    <t>复合材料标本</t>
  </si>
  <si>
    <t>标本包括：石棉瓦、绝缘纸、人造板、铜锌合金、防水布、粘胶带、软塑磁、人造革。纸盒包装，尺寸约：195mm×130mm×25mm。</t>
  </si>
  <si>
    <t>1.标称容量：25mL，量入式允差±0.2mL，量出式允差±0.2mL；2.最小分度：0.2mL；3.透明钠钙玻璃材质；4.底座和口部边缘应做熔光处理，口边应与量筒的轴线垂直；5.量筒放在平台上，不应摇晃，空量筒放在15°的斜面上不应跌倒；6.底座可以采用玻璃制作，也可以使用塑料或其他材料（与身部分离），底部可以是六角形也可以是其他形状；7.当从量筒向外倾倒液体时，液体呈一束细流流出，不应外溢，不应沿壁外流；8.所有分度线应位于与量筒轴线相垂直的平面内；量筒的最低分度线应从标称容量的10%起向上分度；9.量筒的外表面和内表面不应有破皮气泡和薄皮气泡、密集小气泡和积水条纹存在。</t>
  </si>
  <si>
    <t>1.标称容量：500mL，量入式允差±2.5mL，量出式允差±5.0mL；2.最小分度：5mL；3.透明钠钙玻璃材质；4.底座和口部边缘应做熔光处理，口边应与量筒的轴线垂直；5.量筒放在平台上，不应摇晃，空量筒放在15°的斜面上不应跌倒；6.底座可以采用玻璃制作，也可以使用塑料或其他材料（与身部分离），底部可以是六角形也可以是其他形状；7.当从量筒向外倾倒液体时，液体呈一束细流流出，不应外溢，不应沿壁外流；8.所有分度线应位于与量筒轴线相垂直的平面内；量筒的最低分度线应从标称容量的10%起向上分度；9.量筒的外表面和内表面不应有破皮气泡和薄皮气泡、密集小气泡和积水条纹存在。</t>
  </si>
  <si>
    <t>1.标称容量：1000mL，量入式允差±5mL，量出式允差±5.0mL；2.最小分度：5mL；3.透明钠钙玻璃材质；4.底座和口部边缘应做熔光处理，口边应与量筒的轴线垂直；5.量筒放在平台上，不应摇晃，空量筒放在15°的斜面上不应跌倒；6.底座可以采用玻璃制作，也可以使用塑料或其他材料（与身部分离），底部可以是六角形也可以是其他形状；7.当从量筒向外倾倒液体时，液体呈一束细流流出，不应外溢，不应沿壁外流；8.所有分度线应位于与量筒轴线相垂直的平面内；量筒的最低分度线应从标称容量的10%起向上分度；9.量筒的外表面和内表面不应有破皮气泡和薄皮气泡、密集小气泡和积水条纹存在。</t>
  </si>
  <si>
    <t>1.标称容量：250mL；2.最小分度：25mL；3.最高标线到内底最小距离：110mm；4.量入式允差±3.0mL，量出式允差±3.0mL；5.透明钠钙玻璃材质；6.底座和口部边缘应做熔光处理，口边应与量筒的轴线垂直；7.量杯放在平台上，不应摇晃，空量杯放在15°的斜面上不应跌倒；8.底座可以采用玻璃制作；9.当从量杯向外倾倒液体时，液体呈一束细流流出，不应外溢，不应沿壁外流；10.外表面和内表面不应有破皮气泡和薄皮气泡、密集小气泡和积水条纹存在。可有不影响计量读数和强度的轻微缺陷存在。</t>
  </si>
  <si>
    <t>容量瓶</t>
  </si>
  <si>
    <t>1.高硼硅玻璃材质，由瓶体和瓶塞组成；2.规格：50mL。壁厚＞0.8mm，内应力消除：在偏光仪下呈紫色；3.刻度线清晰耐久，粗细均匀，宽度＜0.4mm，平行于瓶底平面；4、瓶口与瓶塞密合性好。</t>
  </si>
  <si>
    <t>1.高硼硅玻璃材质，由瓶体和瓶塞组成；2.规格：100mL。壁厚＞0.8mm，内应力消除：在偏光仪下呈紫色；3.刻度线清晰耐久，粗细均匀，宽度＜0.4mm，平行于瓶底平面；4.瓶口与瓶塞密合性好。</t>
  </si>
  <si>
    <t>1.高硼硅玻璃材质，由瓶体和瓶塞组成；2.规格：250mL。壁厚＞0.8mm，内应力消除：在偏光仪下呈紫色；3.刻度线清晰耐久，粗细均匀，宽度＜0.4mm，平行于瓶底平面；4.瓶口与瓶塞密合性好。</t>
  </si>
  <si>
    <t>1.高硼硅玻璃材质，由瓶体和瓶塞组成；2.规格：500mL。壁厚＞0.8mm，内应力消除：在偏光仪下呈紫色；3.刻度线清晰耐久，粗细均匀，宽度＜0.4mm，平行于瓶底平面；4.瓶口与瓶塞密合性好。</t>
  </si>
  <si>
    <t>1.高硼硅玻璃材质，由瓶体和瓶塞组成；2.规格：1000mL。壁厚＞0.8mm，内应力消除：在偏光仪下呈紫色；3.刻度线清晰耐久，粗细均匀，宽度＜0.4mm，平行于瓶底平面；4.瓶口与瓶塞密合性好。</t>
  </si>
  <si>
    <t>滴定管</t>
  </si>
  <si>
    <t>1.高硼硅玻璃材质；2.酸式，25mL，最小分度值0.1mL，内应力消除：在偏光仪下呈紫色；壁厚1.3±0.3mm；3.刻度标示清晰、均匀；4.管与活塞密合性好。</t>
  </si>
  <si>
    <t>酸式，50mL</t>
  </si>
  <si>
    <t>1.高硼硅玻璃材质；2.碱式，25mL，内应力消除：在偏光仪下呈紫色；壁厚1.3±0.3mm；3.刻度标示清晰、均匀；4.管与活塞密合性好。</t>
  </si>
  <si>
    <t>碱式，50mL</t>
  </si>
  <si>
    <t>四氟乙烯活塞，50mL</t>
  </si>
  <si>
    <t>移液管</t>
  </si>
  <si>
    <t>1mL</t>
  </si>
  <si>
    <t>2mL</t>
  </si>
  <si>
    <t>5mL</t>
  </si>
  <si>
    <t>25mL</t>
  </si>
  <si>
    <t>1.高硼硅玻璃材质。厚薄均匀，不得有刺手现象；2.规格：试管外径Φ12mm，试管高70mm，壁厚0.8mm，急冷温差＞200℃；3.内应力双折射的光程差≤180nm/cm；4.试管应无影响其性能的缺陷。截面应为适度的圆形；5.试管口部是熔光的平口。管口应平整、光滑，不得有裂口、裂纹存在；6.试管的底部应基本为半球形，半球形的最大直径应不超过外径的18%，底厚至少为平均壁厚的66.7%，但不得超过166.7%。</t>
  </si>
  <si>
    <t>1.高硼硅玻璃材质。厚薄均匀，不得有刺手现象；2.规格：试管外径Φ15mm，试管高150mm，壁厚1mm，急冷温差＞200℃；3.内应力双折射的光程差≤180nm/cm；4.试管应无影响其性能的缺陷。截面应为适度的圆形；5.试管口部是熔光的平口。管口应平整、光滑，不得有裂口、裂纹存在；6.试管的底部应基本为半球形，半球形的最大直径应不超过外径的18%，底厚至少为平均壁厚的66.7%，但不得超过166.7%。</t>
  </si>
  <si>
    <t>1.高硼硅玻璃材质。厚薄均匀，不得有刺手现象；2.规格：试管外径Φ18mm，试管高180mm，壁厚1.2mm，急冷温差＞200℃；3.内应力双折射的光程差≤180nm/cm；4.试管应无影响其性能的缺陷。截面应为适度的圆形；5.试管口部是熔光的平口。管口应平整、光滑，不得有裂口、裂纹存在；6.试管的底部应基本为半球形，半球形的最大直径应不超过外径的18%，底厚至少为平均壁厚的66.7%，但不得超过166.7%。</t>
  </si>
  <si>
    <t>1.高硼硅玻璃材质。厚薄均匀，不得有刺手现象；2.规格：试管外径Φ20mm，试管高200mm，壁厚1.5mm，急冷温差＞200℃；3.内应力双折射的光程差≤180nm/cm；4.试管应无影响其性能的缺陷。截面应为适度的圆形；5.试管口部是熔光的平口。管口应平整、光滑，不得有裂口、裂纹存在；6.试管的底部应基本为半球形，半球形的最大直径应不超过外径的18%，底厚至少为平均壁厚的66.7%，但不得超过166.7%。</t>
  </si>
  <si>
    <t>1.高硼硅玻璃材质。厚薄均匀，不得有刺手现象；2.规格：试管外径Φ30mm，试管高200mm，壁厚1.5mm，急冷温差＞200℃；3.内应力双折射的光程差≤180nm/cm；4.试管应无影响其性能的缺陷。截面应为适度的圆形；5.试管口部是熔光的平口。管口应平整、光滑，不得有裂口、裂纹存在；6.试管的底部应基本为半球形，半球形的最大直径应不超过外径的18%，底厚至少为平均壁厚的66.7%，但不得超过166.7%。</t>
  </si>
  <si>
    <t>1.高硼硅玻璃材质。厚薄均匀，不得有刺手现象；2.规格：试管外径Φ40mm；试管高200mm；壁厚1.2mm，急冷温差＞200℃；3.内应力双折射的光程差≤180nm/cm；试管应无影响其性能的缺陷。截面应为适度的圆形；试管口部是熔光的平口；4.管口应平整、光滑，不得有裂口、裂纹存在；试管的底部应基本为半球形，半球形的最大直径应不超过外径的18%，底厚至少为平均壁厚的66.7%，但不得超过166.7%。</t>
  </si>
  <si>
    <t>具支试管</t>
  </si>
  <si>
    <t>1.高硼硅玻璃材质。管口应切平正烘光，底部圆正，厚薄均匀，不得有刺手现象；2.规格：试管外径Φ18mm，试管高180mm，壁厚1.2mm，支管外径7mm，急冷温差＞200℃；3.支管与试管连接处牢固、平滑；4.产品应符合《玻璃仪器通用技术要求》。</t>
  </si>
  <si>
    <t>1.高硼硅玻璃材质。管口应切平正烘光，底部圆正，厚薄均匀，不得有刺手现象；2.规格：试管外径Φ20mm，试管高200mm，壁厚1.2mm，支管距口高30mm，支管长35mm，支管外径7mm，急冷温差＞200℃；3.支管与试管连接处牢固、平滑；4.产品应符合《玻璃仪器通用技术要求》。</t>
  </si>
  <si>
    <t>硬质玻璃管</t>
  </si>
  <si>
    <t>1.高硼硅玻璃材质，硬质；2.规格：外径Φ15mm，长150mm；3.产品应符合《玻璃仪器通用技术要求》。</t>
  </si>
  <si>
    <t>1.高硼硅玻璃材质，硬质；2.规格：外径Φ20mm，长250mm；3.产品应符合《玻璃仪器通用技术要求》。</t>
  </si>
  <si>
    <t>燃烧管</t>
  </si>
  <si>
    <t>φ25mm×300mm</t>
  </si>
  <si>
    <t>Y形试管</t>
  </si>
  <si>
    <t>φ20mm</t>
  </si>
  <si>
    <t>1.高硼硅玻璃材质；2.规格：5mL；3.满容量应超过标称容量的10%，满容量和标称容量两液面间距≥10mm；4.烧杯上标志应清晰、耐久，包括标称容量、刻度线、生产商名称或商标，应有一块宜用铅笔作标记的记号面积；5.造型规范.薄厚均匀.无明显偏斜，底部不允许有结石.节瘤存在；6.应力消除：在偏光仪下呈紫色；7.放在平台上不应旋转或摇晃；8.当向外倾倒液体时，液体呈一束细流流出，不应外溢，不应沿壁外流。</t>
  </si>
  <si>
    <t>61020-1</t>
  </si>
  <si>
    <t>1.高硼硅玻璃材质；2.规格：10mL。壁厚≥0.7mm，急冷温差不小于200℃；3.满容量应超过标称容量的10%，满容量和标称容量两液面间距≥10mm；4.烧杯上标志应清晰、耐久，包括标称容量、刻度线、生产商名称或商标，应有一块宜用铅笔作标记的记号面积；5.造型规范.薄厚均匀.无明显偏斜，底部不允许有结石.节瘤存在；6.应力消除：在偏光仪下呈紫色；7.放在平台上不应旋转或摇晃；8.当向外倾倒液体时，液体呈一束细流流出，不应外溢，不应沿壁外流。</t>
  </si>
  <si>
    <t>61021-2</t>
  </si>
  <si>
    <t>1.高硼硅玻璃材质；2.规格：25mL。壁厚≥0.7mm，急冷温差不小于200℃；3.满容量应超过标称容量的10%，满容量和标称容量两液面间距≥10mm；4.烧杯上标志应清晰、耐久，包括标称容量、刻度线、生产商名称或商标，应有一块宜用铅笔作标记的记号面积；5.造型规范.薄厚均匀.无明显偏斜，底部不允许有结石.节瘤存在；6.应力消除：在偏光仪下呈紫色；7.放在平台上不应旋转或摇晃；8.当向外倾倒液体时，液体呈一束细流流出，不应外溢，不应沿壁外流。</t>
  </si>
  <si>
    <t>61020</t>
  </si>
  <si>
    <t>1.高硼硅玻璃材质；2.规格：50mL。壁厚≥0.8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</si>
  <si>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t>1.高硼硅玻璃材质；2.规格：100mL。壁厚≥0.9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</si>
  <si>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t>1.高硼硅玻璃材质；2.规格：250mL。壁厚≥1.1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</si>
  <si>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t>1.高硼硅玻璃材质；2.规格：500mL。壁厚≥1.2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</si>
  <si>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t>1.高硼硅玻璃材质；2.规格：1000mL。壁厚≥1.3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</si>
  <si>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t>1.高硼硅玻璃材质；2.规格：圆底，250mL；3.薄皮气泡.破气泡不允许存在；4.制造烧瓶的玻璃应无色透明，允许带有玻璃本身的浅黄绿色；5.内应力双折射的光程差数值不应超过180nm/cm；6.烧瓶颈应上下粗细一致，不应有明显的弯曲，颈与壁部过渡半径约等于颈的半径，瓶口可以翻边或圆口；瓶口边缘应熔光，瓶口玻滴高小于等于1.5mm；7.不允许有严重的条纹存在，不允许有明显的能目测的铁锈.铁屑存在。</t>
  </si>
  <si>
    <t>1.高硼硅玻璃材质；2.规格：圆底，500mL；3.薄皮气泡.破气泡不允许存在；4.制造烧瓶的玻璃应无色透明，允许带有玻璃本身的浅黄绿色；5.内应力双折射的光程差数值不应超过180nm/cm；6.烧瓶颈应上下粗细一致，不应有明显的弯曲，颈与壁部过渡半径约等于颈的半径，瓶口可以翻边或圆口；瓶口边缘应熔光，瓶口玻滴高小于等于1.5mm；7.不允许有严重的条纹存在，不允许有明显的能目测的铁锈.铁屑存在。</t>
  </si>
  <si>
    <t>1.高硼硅玻璃材质；2.规格：平底，250mL；细口球形平底烧瓶底的外径是壁部最大外径的50%；细口球形平底烧瓶颈与壁部的过渡半径等于颈外径的5%；3.底部不允许存在结石；薄皮气泡.破气泡不允许存在；4.制造烧瓶的玻璃应无色透明，允许带有玻璃本身的浅黄绿色；5.内应力双折射的光程差数值不应超过180nm/cm；6.细口球形平底烧瓶放在平台上不应旋转或摇晃；7.烧瓶颈应上下粗细一致，不应有明显的弯曲，颈与壁部过渡半径约等于颈的半径，瓶口可以翻边或圆口；瓶口边缘应熔光；8.不允许有严重的条纹存在，不允许有明显的能目测的铁锈.铁屑存在。</t>
  </si>
  <si>
    <t>锥形瓶</t>
  </si>
  <si>
    <t>1.高硼硅玻璃材质；2.规格：锥形，100mL；壁厚：不小于1mm；3.底部不允许有结石.节瘤存在；4.产品应符合《玻璃仪器通用技术要求》。</t>
  </si>
  <si>
    <t>1.高硼硅玻璃材质；2.规格：锥形，250mL；壁厚：不小于1.2mm；3.底部不允许有结石.节瘤存在；4.产品应符合《玻璃仪器通用技术要求》。</t>
  </si>
  <si>
    <t>蒸馏烧瓶</t>
  </si>
  <si>
    <t>1.高硼硅玻璃材质；2.是一个具支管的圆底球体形烧瓶，支管与瓶颈的角度为75°，便于与冷凝管和牛角管等组成蒸馏装置；3.规格：250mL；壁厚：不小于0.9mm；4.产品应符合《玻璃仪器通用技术要求》。</t>
  </si>
  <si>
    <t>三口烧瓶</t>
  </si>
  <si>
    <t>250mL</t>
  </si>
  <si>
    <t>150mL，单头</t>
  </si>
  <si>
    <t>250mL，单头</t>
  </si>
  <si>
    <t>250mL，双头</t>
  </si>
  <si>
    <t>干燥塔</t>
  </si>
  <si>
    <t>气体洗瓶</t>
  </si>
  <si>
    <t>抽滤瓶</t>
  </si>
  <si>
    <t>500mL</t>
  </si>
  <si>
    <t>抽气管</t>
  </si>
  <si>
    <t>1、500ml，壁厚1.3mm。
2、满容量可超过标称容量的10%，内应力消除：在偏光仪下呈紫红色。
3、优质玻璃制品，成型良好、壁厚薄均匀、光滑，刻度线和字迹清晰、量值准确。</t>
  </si>
  <si>
    <t>干燥器</t>
  </si>
  <si>
    <t>160mm</t>
  </si>
  <si>
    <t>气体发生器</t>
  </si>
  <si>
    <t>冷凝器</t>
  </si>
  <si>
    <t>直形，300mm</t>
  </si>
  <si>
    <t>球形，300mm</t>
  </si>
  <si>
    <t>牛角管</t>
  </si>
  <si>
    <t>弯形，φ18mm×150mm</t>
  </si>
  <si>
    <t>60mm</t>
  </si>
  <si>
    <t>安全漏斗</t>
  </si>
  <si>
    <t>直形</t>
  </si>
  <si>
    <t>双球</t>
  </si>
  <si>
    <t>锥（梨）形，100mL</t>
  </si>
  <si>
    <t>球形，50mL</t>
  </si>
  <si>
    <t>布氏漏斗</t>
  </si>
  <si>
    <t>瓷，80mm</t>
  </si>
  <si>
    <t>φ7mm～8mm</t>
  </si>
  <si>
    <t>Y形管</t>
  </si>
  <si>
    <t>离心管</t>
  </si>
  <si>
    <t>10mL</t>
  </si>
  <si>
    <t>干燥管</t>
  </si>
  <si>
    <t>单球，150mm</t>
  </si>
  <si>
    <t>U型，φ15mm×150mm</t>
  </si>
  <si>
    <t>U型，φ20mm×200mm</t>
  </si>
  <si>
    <t>U型，具支，φ15mm×150mm</t>
  </si>
  <si>
    <t>比色管</t>
  </si>
  <si>
    <t>活塞</t>
  </si>
  <si>
    <t>T形</t>
  </si>
  <si>
    <t>圆水槽</t>
  </si>
  <si>
    <t>玻璃￠240mm×100mm</t>
  </si>
  <si>
    <t>玻璃￠270mm×140mm</t>
  </si>
  <si>
    <t>玻璃钟罩</t>
  </si>
  <si>
    <t>φ150mm×280mm</t>
  </si>
  <si>
    <t>钴玻璃片</t>
  </si>
  <si>
    <t>玻璃制品蓝色钴玻璃是一种特殊的观火玻璃，主要用于化学实验室钾的焰色反应观火</t>
  </si>
  <si>
    <t>容器</t>
  </si>
  <si>
    <t>集气瓶</t>
  </si>
  <si>
    <t>125mL，附毛玻璃片</t>
  </si>
  <si>
    <t>250mL，附毛玻璃片</t>
  </si>
  <si>
    <t>500mL，附毛玻璃片</t>
  </si>
  <si>
    <t>液封除毒气集气瓶</t>
  </si>
  <si>
    <t>广口瓶</t>
  </si>
  <si>
    <t>1.透明钠钙玻璃材质；2.规格：60mL；3.产品应符合《玻璃仪器通用技术要求》。</t>
  </si>
  <si>
    <t>1.透明钠钙玻璃材质；2.规格：125mL；3.产品应符合《玻璃仪器通用技术要求》。</t>
  </si>
  <si>
    <t>1.透明钠钙玻璃材质；2.规格：250mL；3.产品应符合《玻璃仪器通用技术要求》。</t>
  </si>
  <si>
    <t>1.透明钠钙玻璃材质；2.规格：500mL；3.产品应符合《玻璃仪器通用技术要求》。</t>
  </si>
  <si>
    <t>1.透明钠钙玻璃材质；2.棕色，60mL；3.产品应符合《玻璃仪器通用技术要求》。</t>
  </si>
  <si>
    <t>1.透明钠钙玻璃材质；2.棕色，125mL；3.产品应符合《玻璃仪器通用技术要求》。</t>
  </si>
  <si>
    <t>1.透明钠钙玻璃材质；2.棕色，250mL；3.产品应符合《玻璃仪器通用技术要求》。</t>
  </si>
  <si>
    <t>细口瓶</t>
  </si>
  <si>
    <t>1.透明钠钙玻璃材质；2.规格：白色，60mL；3.产品应符合《玻璃仪器通用技术要求》。</t>
  </si>
  <si>
    <t>63021</t>
  </si>
  <si>
    <t>63022</t>
  </si>
  <si>
    <t>1.透明钠钙玻璃材质；2.规格250mL；3.产品应符合《玻璃仪器通用技术要求》。</t>
  </si>
  <si>
    <t>63023</t>
  </si>
  <si>
    <t>63024</t>
  </si>
  <si>
    <t>1.透明钠钙玻璃材质；2.规格：1000mL；3.产品应符合《玻璃仪器通用技术要求》。</t>
  </si>
  <si>
    <t>63025</t>
  </si>
  <si>
    <t>1.透明钠钙玻璃材质；2.规格：3000mL；3.产品应符合《玻璃仪器通用技术要求》。</t>
  </si>
  <si>
    <t>63026</t>
  </si>
  <si>
    <t>63027</t>
  </si>
  <si>
    <t>63028</t>
  </si>
  <si>
    <t>63029</t>
  </si>
  <si>
    <t>1.透明钠钙玻璃材质；2.棕色，500mL；3.产品应符合《玻璃仪器通用技术要求》。</t>
  </si>
  <si>
    <t>63030</t>
  </si>
  <si>
    <t>1.透明钠钙玻璃材质；2.棕色，1000mL；3.产品应符合《玻璃仪器通用技术要求》。</t>
  </si>
  <si>
    <t>63031</t>
  </si>
  <si>
    <t>1.透明钠钙玻璃材质；2.棕色，3000mL；3.产品应符合《玻璃仪器通用技术要求》。</t>
  </si>
  <si>
    <t>下口瓶</t>
  </si>
  <si>
    <t>5000mL</t>
  </si>
  <si>
    <t>滴瓶</t>
  </si>
  <si>
    <t>1.透明钠钙玻璃材质；2.规格：30mL。3.瓶塞上口应配合橡皮头下管正直；产品应符合《玻璃仪器通用技术要求》。</t>
  </si>
  <si>
    <t>1.透明钠钙玻璃材质；2.规格：规格：60mL；3.瓶塞上口应配合橡皮头下管正直；产品应符合《玻璃仪器通用技术要求》。</t>
  </si>
  <si>
    <t>1.透明钠钙玻璃材质；2.规格：棕色，30mL；3.瓶塞上口应配合橡皮头下管正直；产品应符合《玻璃仪器通用技术要求》。</t>
  </si>
  <si>
    <t>1.透明钠钙玻璃材质；2.棕色，60mL；3.瓶塞上口应配合橡皮头下管正直；产品应符合《玻璃仪器通用技术要求》。</t>
  </si>
  <si>
    <t>称量瓶</t>
  </si>
  <si>
    <t>φ25mm×40mm</t>
  </si>
  <si>
    <t>坩埚</t>
  </si>
  <si>
    <t>瓷，30mL</t>
  </si>
  <si>
    <t>坩埚钳</t>
  </si>
  <si>
    <t>200mm</t>
  </si>
  <si>
    <t>烧杯夹</t>
  </si>
  <si>
    <t>1.具备可靠的强度和夹持能力，便于与实验装置配合、组装。2.夹杆直径为10mm±2mm，夹头内侧有软质垫衬。</t>
  </si>
  <si>
    <t>1.夹持端为尖嘴形，两夹片弹性适宜，夹持物品方便可靠。2.长度为100±5mm。</t>
  </si>
  <si>
    <t>试管夹</t>
  </si>
  <si>
    <t>1.产品为竹质材料制成。夹长≥100mm，手柄长度≥80mm。2.夹口张、合松劲强度适宜，便于试管夹持和拿取。</t>
  </si>
  <si>
    <t>水止皮管夹</t>
  </si>
  <si>
    <t>1.水止皮管夹用钢丝拧制而成，弹性良好，夹持牢靠，表面作镀铬处理。2.成型规整，表面无锈蚀。</t>
  </si>
  <si>
    <t>螺旋皮管夹</t>
  </si>
  <si>
    <t>1.螺旋皮管夹用于调整夹持强度的螺旋应转动顺畅，并能有效调节不同的夹持强度。2.成型规整，表面无锈蚀。</t>
  </si>
  <si>
    <t>隔热网</t>
  </si>
  <si>
    <t>功能与石棉网相同，隔热材料不是石棉，是环保型的</t>
  </si>
  <si>
    <t>二连球</t>
  </si>
  <si>
    <t>由橡皮手捏充气球和橡皮贮气球及橡胶导气管相连接而成。</t>
  </si>
  <si>
    <t>燃烧匙</t>
  </si>
  <si>
    <t>1、半圆面为铜材制造，直径为25mm左右。要求光滑无毛刺、圆润。2、金属丝用直径3mm的钢丝制造，长度为250mm左右。3、应符合JY 0001-2003《教学仪器产品一般质量要求》的有关规定。</t>
  </si>
  <si>
    <t>药匙</t>
  </si>
  <si>
    <t>1、药匙采用硬质塑料制成。药匙三个为一套，其宽度分别为：6mm、10mm、12mm，长度为125±5mm。2、产品应符合JY 0001-2003《教学仪器产品一般质量要求》的有关规定。</t>
  </si>
  <si>
    <t>φ5mm～φ6mm</t>
  </si>
  <si>
    <t>φ7mm～φ8mm</t>
  </si>
  <si>
    <t>玻璃棒</t>
  </si>
  <si>
    <t>φ3mm～φ4mm</t>
  </si>
  <si>
    <t>软胶塞</t>
  </si>
  <si>
    <t>0号～12号</t>
  </si>
  <si>
    <t>橡胶管</t>
  </si>
  <si>
    <t>1、产品用优质天然橡胶制造。2、产品内径为7～8mm，壁厚1mm。3、产品每整根之重量应不少于1kg。4、应符合JY 0001-2003《教学仪器产品一般质量要求》的有关规定。</t>
  </si>
  <si>
    <t>洗耳球</t>
  </si>
  <si>
    <t>60mL，橡胶材质</t>
  </si>
  <si>
    <t>试管刷</t>
  </si>
  <si>
    <t>1、产品由金属丝和绞合在其上的鬃毛制成。2、金属丝用直径2.5mm左右的镀锌丝2根绞合，总长度≥250mm。3、制成的试管刷直径≥30mm，长度≥100mm。4、应符合JY 0001-2003《教学仪器产品一般质量要求》的有关规定。</t>
  </si>
  <si>
    <t>烧瓶刷</t>
  </si>
  <si>
    <t>1、产品由金属丝和绞合在其上的鬃毛制成。2、应符合JY 0001-2003《教学仪器产品一般质量要求》的有关规定。</t>
  </si>
  <si>
    <t>滴定管刷</t>
  </si>
  <si>
    <t>1、产品由金属丝和绞合在其上的猪鬃毛制成。2、应符合JY 0001-2003《教学仪器产品一般质量要求》的有关规定。</t>
  </si>
  <si>
    <t>结晶皿</t>
  </si>
  <si>
    <t>80mm</t>
  </si>
  <si>
    <t>表面皿</t>
  </si>
  <si>
    <t>100mm</t>
  </si>
  <si>
    <t>研钵</t>
  </si>
  <si>
    <t>瓷，90mm</t>
  </si>
  <si>
    <t>瓷，100mm</t>
  </si>
  <si>
    <t>反应板</t>
  </si>
  <si>
    <t>至少6穴</t>
  </si>
  <si>
    <t>井穴板</t>
  </si>
  <si>
    <t>9孔，0.7mL×9</t>
  </si>
  <si>
    <t>6孔，5mL×6，附带双导气管的井穴塞</t>
  </si>
  <si>
    <t>塑料多用滴管</t>
  </si>
  <si>
    <t>4mL</t>
  </si>
  <si>
    <t>白金丝</t>
  </si>
  <si>
    <t>φ0.5mm×50mm；具金属柄；可拆卸</t>
  </si>
  <si>
    <t>高中化学实验材料</t>
  </si>
  <si>
    <t>份</t>
  </si>
  <si>
    <t>小刀、棉花、木炭、火柴、蜡烛、剪刀、焊锡、炭棒、导线、电灯泡、木板、电池、电珠、砂纸等</t>
  </si>
  <si>
    <t>电极材料</t>
  </si>
  <si>
    <t>石墨、铜、锌、镁、铁、锡等电极</t>
  </si>
  <si>
    <t>采用45号高碳钢精工铸造,表面抛光处理，敲击面热处理，硬度45-48HRC，羊角锤头0.25KG，纤维手柄</t>
  </si>
  <si>
    <t>250mm带柄</t>
  </si>
  <si>
    <t>剪刀</t>
  </si>
  <si>
    <t>1、产品表面处理分电镀剪，发蓝剪。剪刀刃口硬度HRC52，两片刃口对应点硬度差HRC4。2、剪刀性能手感轻松、均匀、剪口锋利、不咬口、崩口、变形。3、剪刀前端要尖口，经钝化处理</t>
  </si>
  <si>
    <t>玻璃瓶盖开启器</t>
  </si>
  <si>
    <t>开启瓶盖用，1mm厚钢板成型,塑料包边。</t>
  </si>
  <si>
    <t>玻璃管切割器</t>
  </si>
  <si>
    <t>适应于细小玻璃管（玻璃管直径可以割到2cm左右）的切割，环形刀片，手镊操作使用简便。</t>
  </si>
  <si>
    <t>防酸碱.物理、化学、生物实验教学用。制作用料为棉织品。服装规格以中号为主，身长120cm，颜色为白色。</t>
  </si>
  <si>
    <t>侧面完全遮挡</t>
  </si>
  <si>
    <t>防护面罩</t>
  </si>
  <si>
    <t>可提供颈部和头部保护</t>
  </si>
  <si>
    <t>防毒口罩</t>
  </si>
  <si>
    <t>1．直接式防毒口罩。2．由主体、滤毒盒、滤毒材料、吸气阀和系带组成。3．口罩能完全罩住口、鼻不漏气。4．系带可调节松紧。5．防毒时间不小于45分钟。
6．有关口罩的数据：口罩重量：≤300g；呼气阻力：≤49Pa；吸气阻力：≤20Pa；泄漏率：≤2%；下方视野：&gt;35º。</t>
  </si>
  <si>
    <t>一护</t>
  </si>
  <si>
    <t>山东国业防护科技有限公司</t>
  </si>
  <si>
    <t>1．产品为橡胶制品，长袖口带五指套。袖长不短于30cm.。2．耐酸碱</t>
  </si>
  <si>
    <t>护邦</t>
  </si>
  <si>
    <t>邯郸市护邦手套制造有限公司</t>
  </si>
  <si>
    <t>一次性乳胶手套</t>
  </si>
  <si>
    <t>星宇</t>
  </si>
  <si>
    <t>星宇医疗科技股份有限公司</t>
  </si>
  <si>
    <t>洗眼器</t>
  </si>
  <si>
    <t>主体：高密PP材质制造。阀门可自动关闭，密封可靠。喷头：洗眼盆头，出水经缓压处理呈泡沫状水柱，防止冲伤眼睛，设有防尘盖，使用时可自动被水冲开。功能：设有流量调节控制阀，可根据供水压力调整到眼睛最适宜的流量（使用压力：0.2MPa-0.6MPa）开关：水流开启，水流锁定功能一次完成，方便使用。软管：供水软管长度采用1.5米，PP软管，最大耐水压7巴。</t>
  </si>
  <si>
    <t>简易急救箱</t>
  </si>
  <si>
    <t>铝合金急救箱内应配备以下药品及器材：绿药膏1瓶；烧伤药膏1瓶；苏打粉100g；硼酸100g；创可贴10条；灭菌结晶磺胺50g；紫药水50ml；红药水50ml；碘酒50ml；3％双氧水100ml；胶布1卷；绷带1卷；药棉1包；手术剪1把；镊子1把；一次性注射器1支</t>
  </si>
  <si>
    <t>实验防护屏</t>
  </si>
  <si>
    <t>1．产品为三片折叠式结构，由透明度好的有机玻璃制造。2．外形尺寸≥650mm×360mm，厚度≥5mm。</t>
  </si>
  <si>
    <t>2批合计</t>
  </si>
  <si>
    <t>初中化学教学仪器</t>
  </si>
  <si>
    <t>1． 产品由刀架、刀片、刀片定位销钉、刀片张角定位螺钉和手柄组成。2． 刀架采用金属材料制成，表面作防锈处理。3．刀片应采用工具钢片，具有足够刚性和硬度。4．刀口张角可调。</t>
  </si>
  <si>
    <t xml:space="preserve">总长度不小于 30cm。
台式电动钻孔器，由手柄轴、电机、固定夹、衬套筒、螺母、连接板、螺钉、螺杆、钻 头、夹板、底座等组成。 
1.底座用铸铁制造，表面要求平整，无缩孔、裂缺现象。表面烤漆。
2. 手柄轴用钢材制成。手柄轴与手柄应连接牢固。
3．衬套筒用钢材制成。
4．连接板一块，用 304 不锈钢材制成。上有丝孔。
5．螺杆一根，用 45＃钢材制成，螺杆上螺纹与连接板上丝孔配合。转动时灵活，无阻滞。钻孔过程中应无偏心现象。
6.钻头 4 个，外径尺寸分别为：φ 6mm、φ 8mm、φ 10mm、φ 12mm。钻头另一端有与螺杆连接的螺纹，与螺杆结合牢固。刃口平整、锋利。
7. 电机转速最高不低于 1000 转／分钟。
8．夹板所夹持的胶塞在钻孔时应稳固不动。
9．所有构件均应作防锈处理。
</t>
  </si>
  <si>
    <t>1． 规格：600mm×400mm×800mm。
2． 仪器车应分为2层，层间距不小于300mm。
3． 车架用直径不小于Φ19mm、壁厚不小于1mm的不锈钢管制成，架高不低于800mm。
4． 车架脚安装有不小于Φ50mm、厚15mm转动灵活的万向轮。
5． 车隔板为不薄于1mm的不锈钢制成，四周安装有30mm的挡板。
6． 整车安装好后应载重50Kg，应运行平稳，不得变形、摇晃、松动。</t>
  </si>
  <si>
    <t>产品由箱体（外壳）、电机、定时开关、调速开关、电源开关、离心管等组成。1.外壳采用金属制，外尺寸：230×270×190(mm)，表面烤漆处理。2.箱体的四脚应采用橡胶吸盘、固定牢固可靠。3.调速：0r/min～4000 r/min  4.容量：20mL×6。5.定时时间：0-60min。6.使用电压：AC220V。</t>
  </si>
  <si>
    <t>02071</t>
  </si>
  <si>
    <t>1.产品为组合式，主要由齿轮变速箱1套，转台1套，试管4个组成。2.齿轮变速箱：（1）变速箱用优质工程塑料ABS制作，外形尺寸不小于130×85×25mm.变速齿轮比例不小于1:2.下部有固定装置，上不有转轴，正面有手摇装置。（2）组装后的齿轮箱应固定方便、转动灵活。3.转台用金属制作，螺钉固定，4等分均匀分布试管环，试管环应能360°转动，表面镀锌防锈处理。4.规格尺寸不小于Φ16×100mm。</t>
  </si>
  <si>
    <t>02077</t>
  </si>
  <si>
    <t>1. 密封式,功率1000W；2.适用电源：220V，50HZ；3.外形尺寸≥190*190*60mm</t>
  </si>
  <si>
    <t>I不锈蚀钢，功率：4.5KW，出水量：不小于3L/h.外形尺寸：312mmX 252mmX667mm</t>
  </si>
  <si>
    <t>1、主要由上盖、下底、列管、加热器、风扇、电源线组成。2、整机用金属制作，表面镀铬防锈处理，外形尺寸不小于Φ250×300mm.3、列管尺寸不小于Φ11×170mm,下端为M10螺纹，上端四周不少于8个、Φ3mm的出风孔，顶端用塑料帽封盖。4、列管式烘干器必须有良好接地装置。5、性能指标：（1）工作电压：AC220V.50Hz（2）电机（风扇）：30W（3）加热器：240W（4）干燥气流温度50℃～60℃（5）绝缘电阻大于20MΩ。6、工作环境：（1）工作温度：-20℃～40℃（2）相对温度：≤80%</t>
  </si>
  <si>
    <t>规格：10ml。塑料制成。密封性好，滑动灵活。刻度标线规整、清晰。符合GB 15810-2019《一次性使用无菌注射器》的有关规定。</t>
  </si>
  <si>
    <t>02121</t>
  </si>
  <si>
    <t>1. 瓶体用无毒塑料制成，容积250ml。2. 喷管直径φ7mm，插入洗瓶底部位置，喷头部位弯制成60°角，喷嘴拉制成尖形，喷嘴直径φ1mm。3. 产品外观结构应满足JY0001标准第6、7章的有关规定。</t>
  </si>
  <si>
    <t>外形尺寸≥450mm×300mm×150mm，壁厚≥2mm，ABS工程塑料注塑成形</t>
  </si>
  <si>
    <t>实验用品提蓝</t>
  </si>
  <si>
    <t xml:space="preserve">1、产品尺寸不小于250mm×180mm×100mm。
2、水槽由ABS工程塑料注塑一体成型。
</t>
  </si>
  <si>
    <t>1. 由玻璃密封管体和手柄组成，管的高度≥45mm，直径≥30mm，两端内凹面深度为4±1mm。管内密封碘的质量≥0.1克。2. 结构及外观的一般要求应分别符合JY 0001第4、5、6、7章的有关要求。</t>
  </si>
  <si>
    <t>1、产品由顶板、底板、插杆组成，≥6孔6柱。2、试管架高度≥120mm.</t>
  </si>
  <si>
    <t>全木制。1、漏斗架由漏斗板、支杆及底座三部分组成；2、漏斗板表面上有二个锥形孔，孔径约28mm；中部有一个台柱及孔，可以套在支杆上并用M6锁紧螺杆固定，板尺寸约195mm×60mm×13mm。3、支杆为Φ13×300mm。4、底座为长方形：约200mm×80mm×13mm，中部有一个台柱，台柱中间有一个不通的孔，孔与支杆配合适当。</t>
  </si>
  <si>
    <t>技术要求： 1. 产品由滴定夹、底座和立杆组成。 2.滴定夹为蝶形两头夹持式，用铝合金制造，外观尺寸不小于100×200mm。夹持弹簧应镀防锈层。   3.底座为天然大理石制造，尺寸为：400×90×18mm，表面无划伤、裂纹，底嵌接橡胶垫脚。4.立杆用圆钢制造，其尺寸：Φ10×600mm，表面镀铬。 5.产品组装后，应放置平稳不晃动，立杆垂直度3mm，滴定夹的高度应能方便调整且紧固可靠。6.符合JY 0001-2003《教学仪器产品一般质量要求》的有关规定。</t>
  </si>
  <si>
    <t>1．左右可夹持直长度为不小于800mm，容量为不小于50ml的滴定管两支，最大夹持直径不小于20mm，夹持竖质量不小于1kg；2.夹体、夹脚由铝合金铸制而成，表现防腐处理，两对夹脚均应套乳胶管；扭力弹簧表面镀锌。</t>
  </si>
  <si>
    <t>产品选用聚丙烯全新塑料注塑而成，无毒、环保、性能好。1、多用滴管架由支架2个，横杆3根组成；2、支架为塑料制作，有效尺寸为56×57±1mm；3、横杆为塑料制作，有效尺寸为不小于210×25mm；4、支架与横杆插装后应摆放平稳；5、多用滴管架可放滴管数不少于20个。6、组装后的外形尺寸：220mm×60mm×60mm。</t>
  </si>
  <si>
    <t>04005</t>
  </si>
  <si>
    <t>11011</t>
  </si>
  <si>
    <t>13007</t>
  </si>
  <si>
    <t>数字测温计</t>
  </si>
  <si>
    <t>MF47，准确度等级：DC电流、电压电阻2.5级，AC电压5级。灵敏度：DC:5KΩ/V，AC:2.5KΩ/V。测量范围： 直流电流0～1mA～10mA～100mA，直流电压   2.5v～10v～50v～250v～500v ，交流电压2.5v～10v～50v～250v～500v，电阻R×1、R×10、R×100、R×1K中心电阻15Ω、150Ω、1.5KΩ、15KΩ。外形尺寸：166×113×49mm；外磁式。</t>
  </si>
  <si>
    <t>1.计量范围：密度1.000—2.000。2.最小分度值：0.001。3、产品符合GB/T17764-2008《密度计》的技术要求。</t>
  </si>
  <si>
    <t>1.计量范围：密度0.7000—1.000。2.刻度：0.001。3.产品符GB/T17764-2008《密度计》的技术要求。</t>
  </si>
  <si>
    <t>16003</t>
  </si>
  <si>
    <t>26</t>
  </si>
  <si>
    <t>26001</t>
  </si>
  <si>
    <t>水电解演示器</t>
  </si>
  <si>
    <t>1． 产品由支架、底座、H形电解管、胶塞、铂合金电极、导线、连接胶管等组成。2． H形电解管由95#玻璃制成，按25ml分度，最小分度单位为0.5ml。刻度线清晰，造型应规范，两管平行，粗细均匀，无结瘤、裂痕等缺陷。3． 工作电压：直流6~12V。4． 电解过程中，H2与O2的体积（刻度）比应为2：1，无明显差异。5． 应符合Q/JBY 12-1999《水电解实验器》的有关规定。6． 符合JY0001－2003《教学仪器设备产品一般质量要求》的有关规定。</t>
  </si>
  <si>
    <t>26002</t>
  </si>
  <si>
    <t>水电解实验器</t>
  </si>
  <si>
    <t>1．产品由支架、底座、H形电解管、胶塞、铂合金电极、导线、连接胶管等组成。2． H形电解管由95#玻璃制成，按25ml分度，最小分度单位为0.5ml。刻度线清晰，造型应规范，两管平行，粗细均匀，无结瘤、裂痕等缺陷。3． 工作电压：直流6~12V。4． 电解过程中，H2与O2的体积（刻度）比应为2：1，无明显差异。5． 应符合Q/JBY 12-1999《水电解实验器》的有关规定。6． 符合JY0001－2003《教学仪器设备产品一般质量要求》的有关规定。</t>
  </si>
  <si>
    <t>26003</t>
  </si>
  <si>
    <t>26004</t>
  </si>
  <si>
    <t>玻璃仪器刷洗器</t>
  </si>
  <si>
    <t>机械式。产品由主机、旋转轴、水管等组成，1.主机外壳为金属制，表面烤漆处理，外形尺寸：230mm×130mm×90mm。2.工作电压：220V 50Hz，功率：30W，转速：2500y/min。</t>
  </si>
  <si>
    <t>26005</t>
  </si>
  <si>
    <t>初中微型化学实验箱</t>
  </si>
  <si>
    <t>产品为微型器件，由泡沫塑料定位包装。器材包括：烧杯250ml1个、试管2支、小酒精灯1个、玻璃尖管1根、玻璃弯管120度2个、直角弯管带塞1个、直角玻管3个、具支玻管2个、小漏斗1个、玻棒1根、蒸发皿1个、表面皿1个、玻璃瓶4个、药匙1个、水槽1个、多用滴管5个、井穴板2个、乳胶管1根、橡胶塞3个。</t>
  </si>
  <si>
    <t>26009</t>
  </si>
  <si>
    <t>分子间隔实验器</t>
  </si>
  <si>
    <t>产品由盛液显示柱、油酸、注射器5ml、底座组成。显示柱带底座为透明塑料注塑成型，容量不小于20mL，高度不小于100mm。底盘直径45mm。</t>
  </si>
  <si>
    <t>26010</t>
  </si>
  <si>
    <t>26011</t>
  </si>
  <si>
    <t>26015</t>
  </si>
  <si>
    <t>化学实验装置磁性教具</t>
  </si>
  <si>
    <t>产品由示教板、磁块、化学装置示意平面图组成。示教板共38块，采用厚度为2mm的白色塑料板制作，尺寸为80×45mm，示教板背面嵌装塑料磁铁，38种化学装置示意平面图印制于示教板上，并分别编有“1～38”序号，所有示意图印制正确、清晰、醒目。外盒为塑料制，并有提手。</t>
  </si>
  <si>
    <t>26017</t>
  </si>
  <si>
    <t>化学实验废水处理装置</t>
  </si>
  <si>
    <t>实验教学和废水处理兼用。工作电源：220V  50Hz；处理能力：每次处理的废水总量为6L；产品尺寸：≥375mm×375mm×550mm。包括：试剂瓶（酸、碱、凝聚剂、助凝剂）、反应槽、搅拌机、PH计、水阀、过滤槽、活性炭槽。</t>
  </si>
  <si>
    <t>26018</t>
  </si>
  <si>
    <t>元素学习卡</t>
  </si>
  <si>
    <t>学习元素名称、符号用。由白板纸彩色印刷制作，共109张。卡尺寸尺寸：80mm×60mm。</t>
  </si>
  <si>
    <t>32</t>
  </si>
  <si>
    <t>初中分子结构模型</t>
  </si>
  <si>
    <t>1.为球球式，演示用，全塑料注塑成型。2．碳原子为黑色，直径22mm；四面6个、三在14个、二面2个。3.氢原子为橙色，带键脚，直径15mm，共20个。4.氧原子为天蓝色，直径22mm；二面3个，一面2个。5.氮原子为深蓝色，直径22mm，四面1个、三面1个、二面1个、一面2个。6.硫原子为淡黄，直径22mm，二面1个。7.氯原子草绿，直径22mm，一面2个。8.金属为银灰，直径22mm，六面1个。9.塑料单键20个，塑料双键10个。</t>
  </si>
  <si>
    <t>32004</t>
  </si>
  <si>
    <t>全塑料制，演示用。1.由Φ22mm的碳原子34个、键44根组成。2.碳原子为黑色，四孔；键为灰色，直径4mm，长17mm。</t>
  </si>
  <si>
    <t>32005</t>
  </si>
  <si>
    <t>全塑料制，演示用。1.由Φ22mm的碳原子39个、中键45根、长键14根组成。2.碳原子为黑色，五孔；中键为白色、长键为灰色。中键直径4mm，长15mm。长键直径3mm，长29mm。</t>
  </si>
  <si>
    <t>32006</t>
  </si>
  <si>
    <t>全塑料制，演示用。1.由Φ22mm的碳原子60个、单中键60根、双中键30根组成。2.碳原子为黑色，三孔；单中键为灰色、双中键为紫色。键直径4mm，长15mm。</t>
  </si>
  <si>
    <t>32007</t>
  </si>
  <si>
    <t>全塑料制，演示用。1.由Φ22mm的氯原子13个、钠原子14个、长键54根组成。2.氯原子为绿色、钠原子为灰色。键直径3mm，长30mm。</t>
  </si>
  <si>
    <t>32008</t>
  </si>
  <si>
    <t>1.可组装成金钢石、石墨、碳60三种结构模型。2.球体直径8mm，为黑色。3.连接管均为透明塑料管，管长约22mm，管孔与球体键配合适宜。</t>
  </si>
  <si>
    <t>42</t>
  </si>
  <si>
    <t>42001</t>
  </si>
  <si>
    <t>1盒装，三类物质分类固定，各类≥5种，标记字迹清晰；2.金属矿物标本由方铅矿、闪锌矿、黄铜矿、磁铁矿、铝土矿等组成，其矿物外形要求、包装要求应符合ＪＹ0005-90《矿物岩石标本》中的相关规定；3.金属标本由铁、铅、锌、铜、铝等组成；4.合金标本由钢、黄铜、不锈钢、铍铜、磷青铜等组成。</t>
  </si>
  <si>
    <t>42002</t>
  </si>
  <si>
    <t>1盒装，各类物质分类固定，≥8种，标记字迹清晰；2.标本为石油分馏结构示意图，有各过程中的原油示样；分：原油、汽油、柴油、轻柴油、重油、重柴油、轻润滑油、重润滑油、渣油；3.装油瓶应透明、且无油溢出、密封良好、固定美观、牢固；4.包装盒上盖面应透明；包装盒应牢固。</t>
  </si>
  <si>
    <t>42003</t>
  </si>
  <si>
    <t>不低于以下要求：              1.外观尺寸：不小于21*15*2.2cm；
2.盒内包含不少于10种的合成有机高分子材料，如聚乙烯，聚丙烯，顺丁橡胶，聚硫橡胶，聚乙烯，聚氯乙烯，聚苯乙烯，聚甲基丙烯酸甲酯，丁腈橡胶，硅橡胶，聚已丙酰胺，聚丙烯，酚醛塑料，异戊橡胶，丁苯橡胶等；             3.材料新颖，标识清楚，固定结实，不易脱落，盒内有标本标签对照表，塑盒含
透明盒盖，非密封，可开启。</t>
  </si>
  <si>
    <t>氧化铝陶瓷、氮化硅陶瓷、光导纤维等</t>
  </si>
  <si>
    <t>规格:500ml、高硼硅玻璃制造、铜红扩散印线，全高350±10mm,筒身壁厚&gt;1.2mm，最小分度值5ml，容量误差±2.5ml,玻璃仪器总体要求：无内应力。小学科学:500ml、高硼硅玻璃制造、铜红扩散印线，容量误差3ml,玻璃仪器总体要求：无内应力。初中生物:500ml、高硼硅玻璃制造、铜红扩散印线，容量误差3ml,玻璃仪器总体要求：无内应力。</t>
  </si>
  <si>
    <t>规格，250ml，硬质采用透明玻璃制造，耐水等级≦3，铜红扩散印线，容量误差3ml，全高200±10mm，壁厚1.2mm,玻璃仪器总体要求：无内应力，产品应符合GB/T12803-1991《实验室玻璃仪器量杯》的标准。</t>
  </si>
  <si>
    <t>60023</t>
  </si>
  <si>
    <t>1、采用硼硅玻璃制造2、实验用计量玻璃仪器----250ml；全高：220±10；瓶颈长：50±1；瓶体外径：80；瓶底直径：55；瓶颈最小壁厚：1.2；瓶体最小壁厚：0.8， 3、理化性能：钠钙或硼硅玻璃制成，耐水等级≤3级，4、内应力，a、瓶身：双折射的光程差数值不得超过100nm/cm，b、瓶塞：双折射的光程差数值不得超过120nm/cm，5、容量允差：±0.3，6、色泽：无色透明。7、产品厚薄均匀，底部平整，放置平稳，口部圆整，颈不，斜歪，瓶口不得缺损。目测：透光性好、周正，刻度线清晰，磨口均匀，倒量30s不渗水、有厂标。产品应符合GB/T 12806-2011　《实验室玻璃仪器单标线容量瓶》的标准。</t>
  </si>
  <si>
    <t>60024</t>
  </si>
  <si>
    <t>1、采用硼硅玻璃制造.2、实验用计量玻璃仪器。500ml；全高：270±10；瓶颈长：55±1；瓶体外径：100；瓶底直径：70；瓶颈最小壁厚：1.2；瓶体最小壁厚：0.83、理化性能：钠钙或硼硅玻璃制成，耐水等级≤3级4、内应力，a、瓶身：双折射的光程差数值不得超过100nm/cm，b、瓶塞：双折射的光程差数值不得超过120nm/cm，5、容量允差：±0.5，6、色泽：无色透明。，7、产品厚薄均匀，底部平整，放置平稳，口部圆整，颈不斜歪，瓶口不得缺损。磨口均匀，倒量30s不渗水、有厂标，目测：透光性好、周正、无气泡。产品应符合GB/T 12806-2011　《实验室玻璃仪器单标线容量瓶》的标准。</t>
  </si>
  <si>
    <t>60041</t>
  </si>
  <si>
    <t>酸式，25ml 采用透明玻璃制造，耐水等级≦3，铜红扩散印线，容量误差±0.1ml，全高570mm，壁厚1.3±0.3mm.活塞2#,玻璃制,250ml，符合GB 21749-2008《教学仪器设备安全要求 玻璃仪器及连接部件》和GB/T 12805-2011　《实验室玻璃仪器 滴定管》规定。</t>
  </si>
  <si>
    <t>60043</t>
  </si>
  <si>
    <t>碱式，25ml 采用透明玻璃制造，耐水等级≦3，铜红扩散印线，容量误差±0.1ml，全高570mm，壁厚1.3±0.3mm.橡胶管,玻璃珠,250ml，符合GB 21749-2008《教学仪器设备安全要求 玻璃仪器及连接部件》和GB/T 12805-2011　《实验室玻璃仪器 滴定管》和规定。</t>
  </si>
  <si>
    <t>Ф12mm×70mm、采用透明玻璃制造，耐水等级≦3，全长70±2mm，外径12±0.5mm,壁厚1.2mm,产品应符合QB/T2561-2002《实验室玻璃仪器试管和培养管》的有关规定。</t>
  </si>
  <si>
    <t>Ф18mm×180mm、高硼硅料平口 采用透明玻璃制造，耐水等级≦3，全长180±2mm、外径18±0.75mm,壁厚1.25mm,产品应符合QB/T2561-2002《实验室玻璃仪器试管和培养管》的有关规定。</t>
  </si>
  <si>
    <t>61005</t>
  </si>
  <si>
    <t>Ф32mm×200mm、硬质采用透明玻璃制造，耐水等级≦3，全长200±2mm，外径30±1.25mm,壁厚2±0.2mm,产品应符合QB/T2561-2002《实验室玻璃仪器试管和培养管》的有关规定。</t>
  </si>
  <si>
    <t>61008</t>
  </si>
  <si>
    <t>采用高硼硅制造，耐水等级≦3，全长200±2mm，外径20±1mm,壁厚1.6±0.15mm.卷口，底部圆正，厚薄均匀，不得有刺手现象，底部厚度不薄于1ｍｍ。具支直径6mm,长度25±5mm.烧结部位牢靠，目测：透光性好、周正。产品应符合QB/T21298-2007《实验室玻璃仪器试管》的有关规定。</t>
  </si>
  <si>
    <t>61009</t>
  </si>
  <si>
    <t>Ф15 mm×150mm、高硼硅料卷口 硬质料、卷口Ф15±0.5mm长度150±3mm,壁厚1.2±0.3mm, 产品应符合QB/T2561-2002《实验室玻璃仪器试管和培养管》的有关规定。</t>
  </si>
  <si>
    <t>61010</t>
  </si>
  <si>
    <t>采用高硼硅玻璃制造,硬质料、卷口Ф20mm×250mm.壁厚1.2±0.3mm.管口应卷囗加厚.厚薄均匀，不得有刺手现象，目测：透光性好、周正。产品应符合QB/T2561-2002《实验室玻璃仪器试管和培养管》的有关规定。</t>
  </si>
  <si>
    <t>25mL，采用高硼硅GG-17玻璃制造，壁厚＞1mm,管口应卷边加厚，底部圆正，厚薄均匀，不得有刺手现象目测：透光性好、周正。产品应符合GB/T15724-2008《实验室玻璃仪器烧杯》的有关规定。</t>
  </si>
  <si>
    <t>61021</t>
  </si>
  <si>
    <t>1.规格：50mL。采用3.3硼硅酸盐玻璃制造。2.尺寸：杯身外径：46±1mm；杯身长：56±2mm；壁厚：≥1mm。3.底部不允许有结石、节瘤存在。4.产品外观要求厚薄均匀，底不外凸，允许内凹，产品在放置平面上不得摇晃，底部不得有气泡、透明砂、破皮泡，口部不得存在缺口和未烘光毛边。5.产品应符合《玻璃仪器通用技术要求》。</t>
  </si>
  <si>
    <t>61022</t>
  </si>
  <si>
    <t>1.规格：100mL。2.尺寸：杯身外径：52±1mm；杯身长：70±2mm；壁厚：≥1mm。3.底部不允许有结石、节瘤存在。4.产品外观要求厚薄均匀，底不外凸，允许内凹，产品在放置平面上不得摇晃，底部不得有气泡、透明砂、破皮泡，口部不得存在缺口和未烘光毛边。5． 产品应符合《玻璃仪器通用技术要求》。</t>
  </si>
  <si>
    <t>61025</t>
  </si>
  <si>
    <t>1.规格：1000mL。采用3.3硼硅酸盐玻璃制造。2.尺寸：杯身外径：112±2mm；杯身长：152±4mm；壁厚：不小于1.6mm。3.底部不允许有结石、节瘤存在。4.产品外观要求厚薄均匀，底不外凸，允许内凹，产品在放置平面上不得摇晃，底部不得有气泡、透明砂、破皮泡，口部不得存在缺口和未烘光毛边。5.产品应符合《玻璃仪器通用技术要求》。</t>
  </si>
  <si>
    <t>61033</t>
  </si>
  <si>
    <t>圆底，长颈，250mL，采用高硼硅GG-17玻璃制造，全高140±3mm，瓶外径85±2mm，壁厚不少于1.5mm,管口应卷边加厚，底部圆正，厚薄均匀，不得有刺手现象，透光性好、周正。刻有标度的仪器，刻线应精确、清晰。外形平整、薄厚均匀，无明显偏斜。不应有薄皮气泡、透明疙瘩、结石、条纹等缺陷。产品应消除内应力。在应力计下呈紫红色。产品应符合QB/T22362-2008《实验室玻璃仪器 烧瓶》的有关规定。</t>
  </si>
  <si>
    <t>平底，长颈，250mL，采用高硼硅GG-17玻璃制造，全高140±3mm，瓶外径85±2mm，壁厚不少于1.5mm,管口应卷边加厚，底部圆正，厚薄均匀，不得有刺手现象，透光性好、周正。刻有标度的仪器，刻线应精确、清晰。外形平整、薄厚均匀，无明显偏斜。不应有薄皮气泡、透明疙瘩、结石、条纹等缺陷。产品应消除内应力。在应力计下呈紫红色。产品应符合QB/T22362-2008《实验室玻璃仪器 烧瓶》的有关规定。</t>
  </si>
  <si>
    <t>61041</t>
  </si>
  <si>
    <t>规格：100mL。采用GG-17硼硅酸盐玻璃制造。2． 尺寸：瓶底直径：60±1mm；瓶全高：103±3mm；瓶身高79±2mm；小底径：42±1mm；瓶颈内径：22±1mm；颈高：24±2mm；壁厚：不小于1mm。3． 底部不允许有结石、节瘤存在。4． 产品应符合《玻璃仪器通用技术要求》。</t>
  </si>
  <si>
    <t>61042</t>
  </si>
  <si>
    <t>250mL,采用高硼硅GG-17玻璃制造，全高112±3mm，瓶直径85±1mm，壁厚1.4-2mm。产品应符合GB/T 11414-2007　《实验室玻璃仪器瓶》的有关规定。</t>
  </si>
  <si>
    <t>61051</t>
  </si>
  <si>
    <t>250mL，采用高硼硅GG-17玻璃制造，瓶全高：200±4ｍｍ。颈长：88±3ｍｍ。支管长：约120ｍｍ。瓶身外径：88±2ｍｍ。瓶颈外径：34±2ｍｍ。壁厚：1．5～1．6ｍｍ。产品厚薄均匀，口部圆整，瓶颈不得歪斜，支管焊接牢固。与胶塞相配、倒量不漏水。产品应符合QB/T22362-2008《实验室玻璃仪器 烧瓶》的有关规定。</t>
  </si>
  <si>
    <t>62004</t>
  </si>
  <si>
    <t>规格：500ml。玻璃制造,瓶全高200±8mm、瓶身高160±5mm、瓶颈高40±3mm、瓶底径115±3mm、瓶颈外径40±3mm、支管外径10±2mm、支管长55±15mm、壁厚不小于2mm、底厚不小于4mm。</t>
  </si>
  <si>
    <t>1、中学理、化、生试验用。2、灯口焊接牢固,喷水管在球内中心位置,喷口对准下管孔，两孔间距不大于2.5ｍｍ。3、喷口切割磨平,不得歪斜。4、其他应符合JY00001—2003的有关规定，有规格、厂标。</t>
  </si>
  <si>
    <t>62006</t>
  </si>
  <si>
    <t>160mm、采用透明玻璃制造，全高215±5mm，器身内径160mm，壁厚5mm,产品应符合GB/T 15723-1995《实验室玻璃仪器 干燥器》的有关规定。</t>
  </si>
  <si>
    <t>62007</t>
  </si>
  <si>
    <t>160mm、采用透明玻璃制造，全高215±5mm，器身内径160mm，壁厚5mm。</t>
  </si>
  <si>
    <t>62021</t>
  </si>
  <si>
    <t>直形，300mm，外套管长：300±10ｍｍ。外套管外径32±1．5ｍｍ。 外套管厚：1．2ｍｍ。上管长：80±10ｍｍ。上管外径：23±1ｍｍ。下管长：100±10ｍｍ。下管厚：1．5ｍｍ。下管外径：12±0．5ｍｍ。进出水管高：35ｍｍ。进出水管胖大外径：8～9ｍｍ。进出水管胖大内径：4±1ｍｍ。内芯管外径：11±0．5ｍ.产品应符合QB/T28212-2011《实验室玻璃仪器-冷凝器》的有关规定。</t>
  </si>
  <si>
    <t>62023</t>
  </si>
  <si>
    <t>弯形，φ18mm×150mm，实验用玻璃仪器。弯形，Φ18×150ｍｍ,上管外径：18±1ｍｍ。上管长：　80±10ｍｍ。上管厚：1．3ｍｍ。3、下管外径：9±1ｍｍ。下管长：70±10ｍｍ。产品应符合《玻璃仪器通用技术要求》。</t>
  </si>
  <si>
    <t>62031</t>
  </si>
  <si>
    <t>采用透明玻璃制造，斗外径60±2mm，斗茎外径7-8mm，壁厚1-1.5mm，斗径长60±5mm，滤碗壁厚1-2.5mm,符合GB/T 28211-2011《实验室玻璃仪器过滤漏斗》的有关规定。</t>
  </si>
  <si>
    <t>62033</t>
  </si>
  <si>
    <t>直形，采用透明玻璃制造，长不小于300mm，口径不小于30mm，壁厚不小于1mm。</t>
  </si>
  <si>
    <t>62034</t>
  </si>
  <si>
    <t>双球 采用透明玻璃制造，长352±15mm，口径40±2mm,壁厚1-1.3mm。</t>
  </si>
  <si>
    <t>62035</t>
  </si>
  <si>
    <t>锥形100ml、采用透明玻璃制造，球外径51±2mm，漏斗球高135±10mm，漏斗球厚＞1.0mm，产品符合QB/T2110-95《实验室玻璃仪器 分液漏斗和滴液漏斗》的有关规定。</t>
  </si>
  <si>
    <t>62036</t>
  </si>
  <si>
    <t>球形，50mL，高硼硅玻璃制造 漏斗球外径：51±1mm。漏斗球高：80±5mm。下管外径：6－7ｍｍ。下管长：120±2ｍｍ。下管厚：1．2～1．4ｍｍ。球厚：1～1．2ｍｍ。活塞芯孔径：2±0．5ｍｍ。瓶塞、瓶口要磨砂、有排气孔。灯工焊接牢固，上口圆整。磨砂的密合性，经过涂油在1／4真空气压下。分液漏斗上口与玻塞打孔互通，方便关闭及通气。产品符合QB/T2110-95《实验室玻璃仪器 分液漏斗和滴液漏斗》的有关规定。</t>
  </si>
  <si>
    <t>62039</t>
  </si>
  <si>
    <t>瓷，漏斗外径80±5mm，全高115±5mm，漏斗壁厚5mm，产品应符合DIN 12905-1980《硬瓷制实验仪器.吸滤器.过滤漏斗》的有关规定。</t>
  </si>
  <si>
    <t>1. 产品选用钠钙玻璃制成T形，用于导管分流。</t>
  </si>
  <si>
    <t>62072</t>
  </si>
  <si>
    <t>1. 产品选用钠钙玻璃制成Y形，用于导管分流。2. ≥管外径5mm，全长100mm，支管长50mm。3．熔解部位平滑、均匀、无气泡。4. 内应力消除：在偏光仪下呈紫红色。5．符合GB/T15724.1玻璃仪器总体要求。6、标志、说明书、包装、运输、贮存应符合JY0001-2003的有关规定。</t>
  </si>
  <si>
    <t>62073</t>
  </si>
  <si>
    <t>滴管</t>
  </si>
  <si>
    <t>1. 产品为90mm的直形滴管，上部套有吸液用的橡皮头。2. 玻管长90±10mm，管径Φ8±0.5mm，喇叭口翻边外径Φ10.5mm，拉细管口外径为Φ3.5±0.5mm。</t>
  </si>
  <si>
    <t>62074</t>
  </si>
  <si>
    <t>采用透明玻璃制造，全长110±5mm，容量误差±0.2ml，外径17±0.5mm,,壁厚1mm，产品应符合GB/Z 12414-2021《药用玻璃管》的标准。</t>
  </si>
  <si>
    <t>62075</t>
  </si>
  <si>
    <t>单球  150mm  采用透明玻璃制造，管外径15±1mm,球外径30MM±3mm，支管长25±3mm，壁厚1.2mm，产品应符合GB/Z 12414-2021《药用玻璃管》的标准。</t>
  </si>
  <si>
    <t>62076</t>
  </si>
  <si>
    <t>U型 Ф15mm×150mm 采用透明玻璃制造，管外径15±1mm，全高150±5mm，壁厚1±0.2mm，产品应符合GB/Z 12414-2021《药用玻璃管》的标准。</t>
  </si>
  <si>
    <t>62079</t>
  </si>
  <si>
    <t>采用高硼硅玻璃制造 。直形、硬质料、2号活塞。  两支管直径8±0.5mm 长100±5mm 。活塞经涂油在1／4真空气压下，3分钟不漏气。耐酸性能：1级  ；耐碱性能：1级热稳定性：耐热温差不低於200℃。管口应切割平正烘光，底部圆正，厚薄均匀，不得有刺手现象，产品应符合《玻璃仪器通用技术要求》.</t>
  </si>
  <si>
    <t>62091</t>
  </si>
  <si>
    <t>玻璃制品，透明度好，φ200mm×100mm，壁厚不小于3mm、沿高10±2mm</t>
  </si>
  <si>
    <t>62092</t>
  </si>
  <si>
    <t>玻璃制品，透明度好，φ270mm×140mm，全高125±5mm，壁厚≥3mm，沿径280±10mm</t>
  </si>
  <si>
    <t>62093</t>
  </si>
  <si>
    <t>φ150mm×280mm、中性玻璃、Ф150mm±3mm高280mm±10mm。</t>
  </si>
  <si>
    <t>1． 由磨口瓶和玻片组成。2． 规格：60ml。3． 磨砂密合性：盖板与瓶口充分湿润密合后，倒提瓶体，盖板附瓶口上应保持30秒不掉。4． 瓶身光洁圆整，不得有扁瘪现象，瓶底平稳，不允许有旋转缩径和磨光的小缺口。5． 产品应符合《玻璃仪器通用技术要求》6． 符合JY0001－2003《教学仪器设备产品一般质量要求》的有关规定。</t>
  </si>
  <si>
    <t>1．由磨口瓶和玻片组成，由钠钙玻璃制造。2．规格：125ml。瓶全高110±4mm，瓶身直径54±2mm，瓶身壁厚≥1.2mm，瓶底厚≥1.8mm，玻片边长65±5mm。3．磨砂密合性：盖板与瓶口充分湿润密合后，倒提瓶体，盖板附瓶口上应保持30秒不掉。4．瓶身光洁圆整，不得有扁瘪现象，瓶底平稳，不允许有旋转缩径和磨光的小缺口。5．产品应符合《玻璃仪器通用技术要求》6．符合JY0001－2003《教学仪器设备产品一般质量要求》的有关规定。</t>
  </si>
  <si>
    <t>1． 由磨口瓶和玻片组成。2． 规格：250ml。3． 磨砂密合性：盖板与瓶口充分湿润密合后，倒提瓶体，盖板附瓶口上应保持30秒不掉。4． 瓶身光洁圆整，不得有扁瘪现象，瓶底平稳，不允许有旋转缩径和磨光的小缺口。5． 产品应符合《玻璃仪器通用技术要求》6． 符合JY0001－2003《教学仪器设备产品一般质量要求》的有关规定。</t>
  </si>
  <si>
    <t>63005</t>
  </si>
  <si>
    <t>250ml、高硼硅全玻璃制造、φ70mm，符合GB 21749-2008《教学仪器设备安全要求 玻璃仪器及连接部件》规定。</t>
  </si>
  <si>
    <t>63011</t>
  </si>
  <si>
    <t>60ml，中性料,Ф43±1高81±4装满2/3容积的水倒置3分钟不得渗水产品应符合GB/T 11414-2007　《实验室玻璃仪器瓶》的有关规定。</t>
  </si>
  <si>
    <t>63012</t>
  </si>
  <si>
    <t>125ml，中性料,Ф55±1高103±4装满2/3容积的水倒置3分钟不得渗水，产品应符合GB/T11414-2007《实验室玻璃仪器瓶》的有关规定。</t>
  </si>
  <si>
    <t>63013</t>
  </si>
  <si>
    <t>250ml，中性料,瓶全高135±6mm，瓶身直径67±1mm,瓶颈直径43±4mm.产品应符合GB/T 11414-2007　《实验室玻璃仪器瓶》的有关规定。</t>
  </si>
  <si>
    <t>63014</t>
  </si>
  <si>
    <t>500ml，中性料,Ф67±1高172±5装满2/3容积的水倒置3分钟不得渗水。产品应符合GB/T 11414-2007　《实验室玻璃仪器瓶》的有关规定。</t>
  </si>
  <si>
    <t>63015</t>
  </si>
  <si>
    <t>60ml，中性料、茶色,Ф43±1高81±4装满2/3容积的水倒置3分钟不得渗水，产品应符合GB/T 11414-2007　《实验室玻璃仪器瓶》的有关规定。</t>
  </si>
  <si>
    <t>63016</t>
  </si>
  <si>
    <t>125ml，中性料、茶色,Ф55±1高103±4装满2/3容积的水倒置3分钟不得渗水，产品应符合GB/T 11414-2007　《实验室玻璃仪器瓶》的有关规定。</t>
  </si>
  <si>
    <t>63017</t>
  </si>
  <si>
    <t>250ml，茶色,瓶全高135±6mm，瓶身直径67±1mm,瓶颈直径43±4mm.产品应符合GB/T 11414-2007　《实验室玻璃仪器瓶》的有关规定。</t>
  </si>
  <si>
    <t>60ml，Ф43±1高81±4装满2/3容积的水倒置3分钟不得渗水。产品应符合GB/T 11414-2007　《实验室玻璃仪器瓶》的有关规定。</t>
  </si>
  <si>
    <t>125ml，Ф55±1高103±4装满2/3容积的水倒置3分钟不得渗水。产品应符合GB/T 11414-2007　《实验室玻璃仪器瓶》的有关规定。</t>
  </si>
  <si>
    <t>250ml，瓶全高135±6mm，瓶身直径67±1mm,产品应符合GB/T 11414-2007　《实验室玻璃仪器瓶》的有关规定。</t>
  </si>
  <si>
    <t>500ml，Ф67±1高172±5装满2/3容积的水倒置3分钟不得渗水，产品应符合GB/T 11414-2007　《实验室玻璃仪器瓶》的有关规定。</t>
  </si>
  <si>
    <t>1000ml，Ф105±2高190±6装满2/3容积的水倒置3分钟不得渗水，产品应符合GB/T 11414-2007　《实验室玻璃仪器瓶》的有关规定。</t>
  </si>
  <si>
    <t>3000ml，Ф140±2高270±8装满2/3容积的水倒置3分钟不得渗水，产品应符合GB/T 11414-2007　《实验室玻璃仪器瓶》的有关规定。</t>
  </si>
  <si>
    <t>60ml，茶色,Ф43±1高81±4装满2/3容积的水倒置3分钟不得渗水，产品应符合GB/T 11414-2007　《实验室玻璃仪器瓶》的有关规定。</t>
  </si>
  <si>
    <t>125ml，茶色，Ф55±1高103±4装满2/3容积的水倒置3分钟不得渗水。产品应符合GB/T 11414-2007　《实验室玻璃仪器瓶》的有关规定。</t>
  </si>
  <si>
    <t>细瓶口</t>
  </si>
  <si>
    <t>250ml，茶色,瓶全高135±6mm，瓶身直径67±1mm,产品应符合GB/T 11414-2007　《实验室玻璃仪器瓶》的有关规定。</t>
  </si>
  <si>
    <t>500ml，茶色,Ф67±1高172±5装满2/3容积的水倒置3分钟不得渗水，产品应符合GB/T 11414-2007　《实验室玻璃仪器瓶》的有关规定。</t>
  </si>
  <si>
    <t>1000ml，茶色,Ф105±2高190±6装满2/3容积的水倒置3分钟不得渗水，产品应符合GB/T 11414-2007　《实验室玻璃仪器瓶》的有关规定。</t>
  </si>
  <si>
    <t>1.规格：30mL。2.滴瓶全高：66±5mm；滴瓶身高：51±5mm；滴瓶外径：35±1.5mm；滴瓶瓶口高：12±2mm；滴瓶瓶口径：17±2mm；滴瓶身厚：1.5mm。3.滴管全长：80±5mm；滴管上部高：10±2mm；滴管外径：3.5±0.5mm；滴管厚：1mm；滴管翻口外径：8mm；滴管距底距离：2～5mm；4.瓶塞上口应配合橡皮头下管正直。5.产品应符合《玻璃仪器通用技术要求》。</t>
  </si>
  <si>
    <t>63042</t>
  </si>
  <si>
    <t>1.规格：60mL。2.滴瓶全高：80±5mm；滴瓶身高：63±5mm；滴瓶外径：42±1.5mm；滴瓶瓶口高：15±2mm；滴瓶瓶口径：18±2mm；滴瓶身厚：2mm。3.滴管全长：91±5mm；滴管上部高：12±2mm；滴管外径：3.5±0.5mm；滴管厚：1mm；滴管翻口外径：8mm；滴管距底距离：2～5mm；4.瓶塞上口应配合橡皮头下管正直。5.产品应符合《玻璃仪器通用技术要求》。</t>
  </si>
  <si>
    <t>63043</t>
  </si>
  <si>
    <t>1.规格：茶色，30ml。2.滴瓶全高：66±5mm；滴瓶身高：51±5mm；滴瓶外径：35±1.5mm；滴瓶瓶口高：12±2mm；滴瓶瓶口径：17±2mm；滴瓶身厚：1.5mm。3.滴管全长：80±5mm；滴管上部高：10±2mm；滴管外径：3.5±0.5mm；滴管厚：1mm；滴管翻口外径：8mm；滴管距底距离：2～5mm；4.瓶塞上口应配合橡皮头下管正直。5.产品应符合《玻璃仪器通用技术要求》。</t>
  </si>
  <si>
    <t>63044</t>
  </si>
  <si>
    <t>1.规格：茶色，60ml。2.滴瓶全高：80±5mm；滴瓶身高：63±5mm；滴瓶外径：42±1.5mm；滴瓶瓶口高：15±2mm；滴瓶瓶口径：18±2mm；滴瓶身厚：2mm。3.滴管全长：91±5mm；滴管上部高：12±2mm；滴管外径：3.5±0.5mm；滴管厚：1mm；滴管翻口外径：8mm；滴管距底距离：2～5mm；4.瓶塞上口应配合橡皮头下管正直。5.产品应符合《玻璃仪器通用技术要求》。</t>
  </si>
  <si>
    <t>64001</t>
  </si>
  <si>
    <t>采用理化瓷制造，全高30±3mm，口外径60±3mm,壁厚1-1.5mm.带盖.</t>
  </si>
  <si>
    <t>64002</t>
  </si>
  <si>
    <t>1. 坩埚钳张、合自如，夹持牢靠。2. 钳长200mm。3. 表面涂镀层均匀，无起泡、龟裂、脱落和磨损。</t>
  </si>
  <si>
    <t>64003</t>
  </si>
  <si>
    <t>1． 镊子用不锈钢板材制成。镊子的宽度不小于9㎜，镊子的长度为160±5㎜。
2． 镊子制作应光滑、平整、无缺陷。
3． 镊子的夹持端应有齿纹，便于夹住物体，吻合一致，弹性好。</t>
  </si>
  <si>
    <t>64006</t>
  </si>
  <si>
    <t>1． 产品为木制件。
2． 所用木材要求脱脂干燥处理，无裂纹，光滑，锯端面无毛刺，无刺手感。
3． 长度不小于200mm，宽度20mm，厚度20mm。
4． 试管夹闭口缝不大于1mm，开口距不小于25mm。闭口时两块夹片相合无明显不齐。
5． 试管夹所附毡块应粘接牢固，不得脱落。
6． 试管夹弹簧应有足够弹性，并作防锈处理。</t>
  </si>
  <si>
    <t>64007</t>
  </si>
  <si>
    <t>止水皮管夹</t>
  </si>
  <si>
    <t>1． 产品用直径Φ3㎜的钢丝制成。应作防锈处理。
2． 产品制作应光滑、平整、无缺陷。
3． 产品的夹持角度不小于60º。夹子的夹持应可靠，吻合好，弹性好。</t>
  </si>
  <si>
    <t>64008</t>
  </si>
  <si>
    <t>1． 产品用钢材制成，应作防锈处理。
2． 产品制作应光滑、平整、无缺陷。
3． 产品的夹持范围最大应不小于20㎜，夹子的夹持应可靠，吻合好。
4． 螺母与螺杆螺纹应吻合好，旋动轻便，不应有卡死现象。</t>
  </si>
  <si>
    <t>1． 产品由半圆面和金属丝结合制成。
2． 半圆面为铜材制造，直径Φ为25㎜左右。要求光滑无毛剌、圆润。
3． 金属丝用Φ3㎜的钢丝制造，长度为250㎜左右。
4． 半圆面与金属丝结合应牢固可靠，耐高温。</t>
  </si>
  <si>
    <t>64042</t>
  </si>
  <si>
    <t>1． 药匙采用牛角制成。药匙的宽度为12㎜，长度为125±5㎜。
2． 产品制作应光滑、平整、无毛剌、无缺陷。</t>
  </si>
  <si>
    <t>64051</t>
  </si>
  <si>
    <t>中性料、φ5mm～φ6mm、管壁厚度大于0.8mm,长度500～600mm。两端抛光,无内应力，产品应符合GB/Z 12414-2021《药用玻璃管》的标准。</t>
  </si>
  <si>
    <t>64053</t>
  </si>
  <si>
    <t>中性料、φ3mm～φ4mm、两端抛光。产品应符合GB/Z 12414-2021《药用玻璃管》的有关规定。</t>
  </si>
  <si>
    <t>64054</t>
  </si>
  <si>
    <t>中性料、φ5mm～φ6mm、长度300±30mm,两端抛光,无内应力，产品应符合GB/Z 12414-2021《药用玻璃管》的标准。</t>
  </si>
  <si>
    <t>64061</t>
  </si>
  <si>
    <t>1． 产品用天然橡胶制造，白色。
2． 每包软胶塞由0~10号的胶塞组成，要求搭配合理。
3． 产品每包重量应不少于1㎏。</t>
  </si>
  <si>
    <t>64062</t>
  </si>
  <si>
    <t>1． 产品用优质天然橡胶制造。
2． 产品内径为7~8㎜，壁厚1㎜。
3． 产品每整根之重量应不少于1㎏。</t>
  </si>
  <si>
    <t>1． 产品用优质乳胶制造。
2． 产品内径为5~6㎜，壁厚1㎜。
3． 产品每根之长度应不少于10米。</t>
  </si>
  <si>
    <t>64071</t>
  </si>
  <si>
    <t>1． 产品由金属丝和绞合在其上的猪鬃毛制成，大、中、小各一个。
2． 金属丝用Φ3㎜左右的镀锌铁丝2根绞合，总长度不小于250㎜。
3． 制成的试管刷要求不散、不脱毛。
4． 整体应平整、美观，猪鬃毛长度均匀。</t>
  </si>
  <si>
    <t>64072</t>
  </si>
  <si>
    <t>1． 产品由金属丝和绞合在其上的猪鬃毛制成。
2． 金属丝用Φ3㎜左右的镀锌铁丝2根绞合，总长度不小于250㎜。
3． 制成的烧瓶刷呈鼓形，最大直径不小于Φ60㎜，长度不小于100㎜，要求不散、脱毛。
4． 整体应平整、美观。</t>
  </si>
  <si>
    <t>采用透明玻璃制造，全高45±1mm，外径80±1mm,壁厚1.2-2mm。</t>
  </si>
  <si>
    <t>64081</t>
  </si>
  <si>
    <t>60mm采用透明玻璃制造。</t>
  </si>
  <si>
    <t>100mm采用透明玻璃制造。</t>
  </si>
  <si>
    <t>64086</t>
  </si>
  <si>
    <t>采用理化瓷制造，全高44±3mm，口外径60±3mm,壁厚4±2mm，带研柱。</t>
  </si>
  <si>
    <t>64087</t>
  </si>
  <si>
    <t>采用理化瓷制造，全高65±5mm，口外径90±5mm,壁厚8±2mm.带研柱。</t>
  </si>
  <si>
    <t>瓷，60mm，白色无杂色。全高30±3mm，口外径60±3mm,壁厚1-1.5mm。皿内外釉面光洁底平无釉，置平稳。产品可参考并符合QB／T 1992《蒸发皿》的有关规定。</t>
  </si>
  <si>
    <t>瓷，100mm，白色无杂色。全高45±3mm，口外径100±3mm,壁厚1-1.5mm。皿内外釉面光洁底平无釉，置平稳。产品可参考并符合QB／T 1992《蒸发皿》的有关规定。</t>
  </si>
  <si>
    <t>64091</t>
  </si>
  <si>
    <t>理化瓷、白色6穴。</t>
  </si>
  <si>
    <t>64092</t>
  </si>
  <si>
    <t>64093</t>
  </si>
  <si>
    <t>64094</t>
  </si>
  <si>
    <t>4ml 塑料制。</t>
  </si>
  <si>
    <t>初中化学实验材料</t>
  </si>
  <si>
    <t>黄铜片、火柴、蜡烛、 剪刀、焊锡、炭棒、 导线、电灯泡、木板、 电池、电珠、砂纸等</t>
  </si>
  <si>
    <t>81003</t>
  </si>
  <si>
    <t>81014</t>
  </si>
  <si>
    <t>81015</t>
  </si>
  <si>
    <t>81017</t>
  </si>
  <si>
    <t>平面锉刀，规格为150mm长，单支装，沾塑手柄。</t>
  </si>
  <si>
    <t>81032</t>
  </si>
  <si>
    <t>产品表面处理为电镀剪。剪刀刃口硬度不低于HRC52，两片刃口对应点硬度差不大于HRC4。全长不小于150mm。剪刀性能应手感轻松、均匀、剪布锋利、不咬口、崩口、变形。其它应符合《QB/T 1966-1994 民用剪刀》</t>
  </si>
  <si>
    <t>81051</t>
  </si>
  <si>
    <t>1、金属质地 包括手柄和扳头，扳头上开有孔。
2、表面明亮，无明显的刺手或不平现象。                                                                                   3、其余要求应符合JY 0001—2003的有关规定。</t>
  </si>
  <si>
    <t>适应于细小玻璃管（玻璃管直径可以割到2cm左右）的切割，环形刀片，手镊操作使用简便</t>
  </si>
  <si>
    <t>82</t>
  </si>
  <si>
    <t>成人用1.具有遮挡、过滤各类强光及射线辐射的功能，并具有较好的耐腐蚀性能。2.眼镜四周有防护罩。3.侧面能够完全遮挡。</t>
  </si>
  <si>
    <t>1． 产品由透明有机玻璃和帽架组成。
2． 面罩应清洁透明，应无波纹、无划伤、裂纹。
3． 帽架应采用韧性好的材料制作，不易拆断、变形。
4． 面罩与帽架的连接应牢固可靠。帽架系带应宜于调整松紧。</t>
  </si>
  <si>
    <t>1．直接式防毒口罩。2．由主体、滤毒盒、滤毒材料、吸气阀和系带组成。3．口罩能完全罩住口、鼻不漏气。4．系带可调节松紧。5．防毒时间不小于45分钟。
6．有关口罩的数据： 口罩重量：≤300g；呼气阻力：≤49Pa；吸气阻力：≤20Pa；泄漏率：≤2%；下方视野：&gt;35º。</t>
  </si>
  <si>
    <t>82007</t>
  </si>
  <si>
    <t>耐酸手套</t>
  </si>
  <si>
    <t xml:space="preserve">1. 产品为外覆 PVC 材料，内为棉质材料制成。
2. 表面应具有较好的耐酸、耐碱及其他化学试剂腐蚀的性能。
3. 柔韧性好，穿戴后便于进行各类实验操作。
4. 产品规格以长度 25cm 的中号为主，大、小号规格的数量为 20%左右。
</t>
  </si>
  <si>
    <t>82009</t>
  </si>
  <si>
    <t>主体：高密PP材质制造。阀门可自动关闭，密封可靠。喷头：洗眼盆头，出水经缓压处理呈泡沫状水柱，防止冲伤眼睛，设有防尘盖，使用时可自动被水冲开。功能：设有流量调节控制阀，可根据供水压力调整到眼睛最适宜的流量（使用压 力：0.2MPa-0.6MPa）开关：水流开启，水流锁定功能一次完成，方便使用。软管：供水软管长度采用1.5米，PP软管，最大耐水压7巴。</t>
  </si>
  <si>
    <t>82010</t>
  </si>
  <si>
    <t>初验防护屏</t>
  </si>
  <si>
    <t>1． 产品为三片折叠式结构，由透明度好的有机玻璃制造。2． 外形尺寸≥650mm×360mm，厚度≥5mm。</t>
  </si>
  <si>
    <t>中号</t>
  </si>
  <si>
    <t>自备材料</t>
  </si>
  <si>
    <t>木炭、植物油、 面粉、味精、食 醋、洗洁精、铁 钉、棉花、牛奶、 鸡蛋等</t>
  </si>
  <si>
    <t>木炭、植物油、面粉、味精、食醋、洗洁精、铁钉、棉花、牛奶、鸡蛋等</t>
  </si>
  <si>
    <t>pH广范围试纸</t>
  </si>
  <si>
    <t>本</t>
  </si>
  <si>
    <t>1～14</t>
  </si>
  <si>
    <t>长里百灵</t>
  </si>
  <si>
    <t>靖江市长里百灵纸制品厂</t>
  </si>
  <si>
    <t>蓝石蕊试纸</t>
  </si>
  <si>
    <t>试纸，特性：遇酸性溶液变红色。</t>
  </si>
  <si>
    <t>红石蕊试纸</t>
  </si>
  <si>
    <t>试纸，特性：遇碱性溶液变蓝色。</t>
  </si>
  <si>
    <t>定性滤纸</t>
  </si>
  <si>
    <t>试纸，检验氧化性物质用，主要是气体物质，按行业标准</t>
  </si>
  <si>
    <t>(三)</t>
  </si>
  <si>
    <t>初高中生物实验室</t>
  </si>
  <si>
    <r>
      <rPr>
        <b/>
        <sz val="10"/>
        <rFont val="宋体"/>
        <charset val="134"/>
      </rPr>
      <t>（3间吊装实验室1间微生物实验室）</t>
    </r>
    <r>
      <rPr>
        <b/>
        <sz val="10"/>
        <color theme="0"/>
        <rFont val="宋体"/>
        <charset val="134"/>
      </rPr>
      <t>56座</t>
    </r>
  </si>
  <si>
    <t>1</t>
  </si>
  <si>
    <t>微生物专用实验室</t>
  </si>
  <si>
    <t>共1间,每一间实验室的配置清单如下</t>
  </si>
  <si>
    <t>1.1</t>
  </si>
  <si>
    <t>总体要求</t>
  </si>
  <si>
    <t>座</t>
  </si>
  <si>
    <t>1.4</t>
  </si>
  <si>
    <t>教学基础设施</t>
  </si>
  <si>
    <t>初高中生物实验设备</t>
  </si>
  <si>
    <t>共3间,每一间实验室的配置清单如下</t>
  </si>
  <si>
    <t>2.1</t>
  </si>
  <si>
    <t>2.4</t>
  </si>
  <si>
    <t>3间合计</t>
  </si>
  <si>
    <t>生物仪器室设备</t>
  </si>
  <si>
    <t>共2间,每一间仪器室的配置清单如下</t>
  </si>
  <si>
    <t>生物标本室设备</t>
  </si>
  <si>
    <t>高中生物教学仪器</t>
  </si>
  <si>
    <t>书写白板</t>
  </si>
  <si>
    <t>大于等于900mm×1800mm，双面，带支架</t>
  </si>
  <si>
    <t>02009</t>
  </si>
  <si>
    <t>1．由凸透镜、透镜框及手柄组成。2．凸透镜直径≥φ30mm,放大倍率：5×。</t>
  </si>
  <si>
    <t>高速离心机，转速3000r/min～16000r/min1.5mL×12+0.5mL×12，带电锁</t>
  </si>
  <si>
    <t>02080</t>
  </si>
  <si>
    <t>高压灭菌器</t>
  </si>
  <si>
    <t>手提式全不锈钢高压灭菌器。1、锅体和消毒桶皆采用不锈钢，锅体壁厚0.5cm，容积约4升整体净重12公斤。2、加热方式：电热管加热。3、由放汽阀、锅盖、放气软管、压力表、安全阀、紧固螺栓、消毒桶、锅体、电热管等部分组成。4、装有工作压力为0.14MPa的安全阀和能承受0.165MPa的放汽阀。</t>
  </si>
  <si>
    <t>久兴</t>
  </si>
  <si>
    <t>宁波久兴医疗器械有限公司</t>
  </si>
  <si>
    <t>高压灭菌锅</t>
  </si>
  <si>
    <t>大型手提式全不锈钢高压灭菌器。1、锅体和消毒桶皆采用不锈钢，锅体壁厚0.9cm，整体净重14公斤。2、锅体内径约为30cm，深30cm，容积约18L。3、加热方式：电热管加热或者火焰加热。4、由放汽阀、锅盖、放气软管、压力表、安全阀、紧固螺栓、消毒桶、锅体、电热管等部分组成。5、装有工作压力为0.14MPa的安全阀和能承受0.165MPa的放汽阀。</t>
  </si>
  <si>
    <t>恒温水浴锅</t>
  </si>
  <si>
    <t>双孔式恒温水浴锅，
1.工作水箱采用不锈钢，水箱盖采用铝金属制品，形状呈四个同心圆环，
2.外直径分别为：Φ123mm，Φ102mm，Φ80mm，Φ58mm温控精确并带有数字显示，自动控温。
3.技术指标：孔数：2孔，加热功率：800W,熔丝管：8A。
4.温控范围：室温—100摄氏度。温控精度：≤±0.5摄氏度。
5.由室温升至沸点≤70分钟，搅拌速度：0-1000转/分钟。
6.工作电压：AC220V50HZ，使用环境：环境温度：5℃-40℃，相对湿度≤80%。
7.整体规格：382mm×166mm×154mm（长×宽×高）。</t>
  </si>
  <si>
    <t>02082</t>
  </si>
  <si>
    <t>≥160L</t>
  </si>
  <si>
    <t>恒温培养箱</t>
  </si>
  <si>
    <t>1、自然对流式通风结构，和电子控温仪控制温度。2、控温范围20~60℃。3、内室尺寸≥200×200×280mm，额定功率：400W，工作电源：220V、50Hz。4、其它应符合中华人民共和国国家标准《电热恒温培养箱》的规定。</t>
  </si>
  <si>
    <t>02087</t>
  </si>
  <si>
    <t>光照培养箱</t>
  </si>
  <si>
    <t>1、容积：≥250L；2、光照强度：≥0lx～12000lx，≥3级分级可调挡位；3、控温范围：≥10℃～50℃(有光照)；4、温度波动性：≤±1℃；5、温度均匀度：≤±2℃。</t>
  </si>
  <si>
    <t>02088</t>
  </si>
  <si>
    <t>超净工作台</t>
  </si>
  <si>
    <t>双人单面，垂直送风，100级，送风风速：O.3m/s～0.6m/s，不锈钢台面，带紫外线灯安全防护装置</t>
  </si>
  <si>
    <t>其他</t>
  </si>
  <si>
    <t>02089</t>
  </si>
  <si>
    <t>规格：5ml。塑料制成。密封性好，滑动灵活。刻度标线规整、清晰。</t>
  </si>
  <si>
    <t>02102-1</t>
  </si>
  <si>
    <t>整理箱</t>
  </si>
  <si>
    <t>矮型，储存及分发药品及材料用</t>
  </si>
  <si>
    <t>02119</t>
  </si>
  <si>
    <t>1、挤压型，由塑料细口瓶和瓶口装置出水管组成。2、250mL。3.塑料瓶直径60mm，高100mm，喷咀孔径约1mm。</t>
  </si>
  <si>
    <t>≥6孔,6柱，与φ15mm×150mm试管匹配木质或塑料</t>
  </si>
  <si>
    <t>32孔,铝合金，与φ15mm×150mm试管匹配</t>
  </si>
  <si>
    <t>分析天平</t>
  </si>
  <si>
    <t>200g，0.0001g</t>
  </si>
  <si>
    <t>血球计数板</t>
  </si>
  <si>
    <t>片</t>
  </si>
  <si>
    <t>1、血球计数板是一块特制的厚型载玻片，载玻片上有4条槽而构成3个平台。
2、中间的平台较宽，其中间又被一短横槽分隔成两半，每个半边上面各有一个计数区，计数区被分成9个大方格。中间的大方格为计数室。
3、计数室分为16个中方格，而每个中方格又分成25个小方格；或计数室分成25个中方格，而每个中方格又分成16个小方格。大方格每边长度误差为±1%。</t>
  </si>
  <si>
    <t>计数器</t>
  </si>
  <si>
    <t>手持式，可悬挂。1.塑料外壳，直径45mm。2.可显数位：4位。3.金属按键，并有回零装置。</t>
  </si>
  <si>
    <t>生物</t>
  </si>
  <si>
    <t>解剖盘</t>
  </si>
  <si>
    <t>蜡盘，盘面尺寸≥250*180mm。</t>
  </si>
  <si>
    <t>接种环</t>
  </si>
  <si>
    <t>微生物实验教室器材。手柄长约80mm，采用塑料材质制成，上接长约100mm的铜制连接杆，附带螺旋式锁针孔锁住一带柄直径10mm的银白色金属环。</t>
  </si>
  <si>
    <t>研磨过滤器</t>
  </si>
  <si>
    <t>塑料制、供生物实验用。产品由研磨杆、过滤网、研磨头、顶盖和外套筒组成。1、研磨杆带手柄，手柄上为顶盖，杆的头部为为过滤网。2、研磨头为条形通孔。3、外筒带底座，外形尺寸约：56mm×56mm×80mm。4、纸盒包装。</t>
  </si>
  <si>
    <t>光照培养架</t>
  </si>
  <si>
    <t>实用多层，安装方便，插孔暗式布线，独立开关，光照强度3000lx-5000Lx-7000lux三档可调</t>
  </si>
  <si>
    <t>普通手术剪</t>
  </si>
  <si>
    <t>直尖头，140mm</t>
  </si>
  <si>
    <t>眼用手术剪</t>
  </si>
  <si>
    <t>直尖头，100mm</t>
  </si>
  <si>
    <t>手术刀柄</t>
  </si>
  <si>
    <t>不锈钢材料，长约125mm</t>
  </si>
  <si>
    <t>手术刀片</t>
  </si>
  <si>
    <t>包</t>
  </si>
  <si>
    <t>配合刀柄使用</t>
  </si>
  <si>
    <t>锐角</t>
  </si>
  <si>
    <t>昆山市千灯镇玉林刀片厂</t>
  </si>
  <si>
    <t>解剖镊</t>
  </si>
  <si>
    <t>尖头，125mm</t>
  </si>
  <si>
    <t>阔头，125mm</t>
  </si>
  <si>
    <t>牙用镊</t>
  </si>
  <si>
    <t>单弯，160mm</t>
  </si>
  <si>
    <t>眼用镊</t>
  </si>
  <si>
    <t>直唇头齿,100mm</t>
  </si>
  <si>
    <t>电泳仪</t>
  </si>
  <si>
    <t>外形尺寸约：360*246*80mm。1.本仪器采用微电脑处理器作为控制核心，输出单元采用开关电源构成，2.输出信息采用液晶显示，可同时显示电压、电流、功率、定时时间、工作状态、保护等功能，3.具有定时报警功能，储存记忆工作参数功能，4.具有4组并联的输出端子，可进行多槽并用，5.具有空载、超限、过载等多种保护功能，6.供电电源：交流220v±10%、50HZ±2%,7.定时时间：1分/步-99小时，8.纹波系数＜2%</t>
  </si>
  <si>
    <t>恒温振荡器</t>
  </si>
  <si>
    <t>室温﹢5℃～60℃±1℃；容量：100m锥形瓶25个或以上</t>
  </si>
  <si>
    <t>水平电泳槽</t>
  </si>
  <si>
    <t>1.外形尺寸约：197*96*64mm，主要由电泳槽主体1个，电泳槽上盖1个，1.5mm6齿/8齿试样格1个，1.0mm/1.5mm11齿试样格1个，凝胶托盘：2个，电泳导线：1副，2.凝胶规格为60*60mm，3.电泳槽采用耐腐蚀的绝缘材料制成，4.最大输入电压：100V</t>
  </si>
  <si>
    <t>垂直电泳槽</t>
  </si>
  <si>
    <t>微量进样器</t>
  </si>
  <si>
    <t>50µL</t>
  </si>
  <si>
    <t>凝胶色谱柱</t>
  </si>
  <si>
    <t>16mm×500mm，凝胶色谱柱以刚性的球型硅胶为基质，在其表面通过共价鍵合亲水基团而成。专用于GFC分离蛋白质和多肽。</t>
  </si>
  <si>
    <t>微量移液器</t>
  </si>
  <si>
    <t>1～10µL</t>
  </si>
  <si>
    <t>20～200µL</t>
  </si>
  <si>
    <t>100～1000µL</t>
  </si>
  <si>
    <t>500～5000µL</t>
  </si>
  <si>
    <t>移液器架</t>
  </si>
  <si>
    <t>可放置5支移液器</t>
  </si>
  <si>
    <t>DNA电泳图谱观察仪</t>
  </si>
  <si>
    <t>非紫外光源，观察凝胶面积＞100mm×100mm</t>
  </si>
  <si>
    <t>精油提取器</t>
  </si>
  <si>
    <t>功率500W，功率可调，具有缺水断电功能，最大容积5L。</t>
  </si>
  <si>
    <t>PCR仪</t>
  </si>
  <si>
    <t>本仪器主要由CPV控制系统，温控系统，输入和输出系统等组成，温度控制时间可设定，采用金属模块，控制范围0-99°，控温节数6节，</t>
  </si>
  <si>
    <t>组织捣碎匀浆机</t>
  </si>
  <si>
    <t>0r/min～1200r/min，无级调速；最大容量：1L</t>
  </si>
  <si>
    <t>DNA快速杂交仪</t>
  </si>
  <si>
    <t>温度显示分辨率：0.1℃；反应室工作温度：25℃~75℃可任意设定；反应室温度控制精度：±1.0℃；工作升温速度：5.0±1℃/mim。</t>
  </si>
  <si>
    <t>果酒果醋发酵装置</t>
  </si>
  <si>
    <t>透明，最大容积1L，具水封及气泡限速装置，可进行气泡观察计数</t>
  </si>
  <si>
    <t>纯水机</t>
  </si>
  <si>
    <t>产水量：10L/h，水质符合 GB/T 6682-2008《分析实验室用水规格和试验方法》三级</t>
  </si>
  <si>
    <t>碧澜</t>
  </si>
  <si>
    <t>深圳畅饮净水科技有限公司</t>
  </si>
  <si>
    <t>玻璃三角刮刀(涂布器)</t>
  </si>
  <si>
    <t>玻璃制，形状为7字型。玻璃棒直径为5mm，柄长100mm，7字头长25mm。</t>
  </si>
  <si>
    <t>始祖鸟化石及复原模型</t>
  </si>
  <si>
    <t>1、 产品由始祖鸟化石模型和复原模型组成，分别置于底座下，模型采用硬塑料或复合材料制作，不采用软塑料。2、始祖鸟化石模型根据柏林博物馆保存的始祖鸟化石的复制品而制作。外形尺寸大于等于390mm×490mm。</t>
  </si>
  <si>
    <t>细胞亚显微结构模型</t>
  </si>
  <si>
    <t>本模型主要包含有细胞壁、叶绿体、溶酶体、细胞膜、液泡、中心体、内质网（粗面）、细胞核、核糖体、过氧化酶体、线粒体、内质网（滑面）、高尔基体、分泌泡、座托等组成。</t>
  </si>
  <si>
    <t>细胞膜结构模型</t>
  </si>
  <si>
    <t>1、产品根据“磷脂液态镶嵌模型”原理制作而成，长约260mm，宽
约180mm，高约110mm。2、脂质分子由呈球状的头和呈丝状的尾组成，头部为亲水端，朝向膜内、外两侧，尾为疏水端、朝向膜中央，从而形成三片层结构。3、蛋白质呈不规格的球状，按其功能不同，部分镶嵌于类脂双分子层表面，部分横穿类脂双分子层，其中一个蛋白质分子可活动。4、模型支架为活动性支架，可作不同平面翻转。</t>
  </si>
  <si>
    <t>细胞膜流动镶嵌模型组件</t>
  </si>
  <si>
    <t>1.产品采用硬塑料或复合材料，不应采用软塑料。长不小于300mm，宽不小于160mm，厚不小于110mm，置于底座上。2.模型示组成细胞膜中磷脂分子和蛋白质分子的排列和相互位置。3.每一个磷脂分子由球形的亲水极和两条曲折的疏水极组成，亲水极球的直径25mm，疏水极长80mm，直径2mm。磷脂分子的亲水极分别朝向模型的上下面，并互相并行排列。曲折的疏水极相对排列在模型中间。4.蛋白质分子以不规则团块表示，表层蛋白质分子1～2个，长30mm、宽70mm，贯穿内外两层磷脂分子的嵌入蛋白质5～6个，长65mm、宽60mm，蛋白质分子有的作与膜面垂直的纵切，有的完整的表示，分布应均匀。</t>
  </si>
  <si>
    <t>减数分裂中染色体变化模型组件</t>
  </si>
  <si>
    <t>染色单体（磁性）8条（其中红色染色单体4条，代表来自母方，
黄色染色体4条，代表来自父方），长方形操作板（磁性）1块</t>
  </si>
  <si>
    <t>DNA结构模型</t>
  </si>
  <si>
    <t>模型为放大一亿倍（中学用）、二亿倍（大学用）的B型DNA分子结构教学示意模型。1、DNA分子是两条核甘酸链以右手螺旋围绕同一根轴旋成的。住链是交替排列的磷酸根（P）和脱氧核糖（D）。两条多核甘酸链是反向平行的。两条链上的碱基通过氧键形成碱基对，碱基配对的互补关系是A-T,G-C,A-T之间为三对氢键。模型上红色套管表示氢键。
双螺旋的表面有两处较明显的两凹下去的槽，一个大且深，一个小且浅。分别称为大沟和小沟。</t>
  </si>
  <si>
    <t>DNA双螺旋结构模型组件</t>
  </si>
  <si>
    <t>分组用，模型由脱氧核糖、碱基、磷酸等主要组块构成，包括连接棒A(细)40根，连接棒B(粗)20根；脱氧核糖20个；磷酸20个；碱基A5个，碱基B5个，碱基C5个，碱基D5个。优质塑料盒装，盒体外形规格约：150mm×80mm×20mm。</t>
  </si>
  <si>
    <t>验证基因分离规律玉米标本</t>
  </si>
  <si>
    <t xml:space="preserve">1．玉米穗；
2．标本选用父代穗、母代穗、子一代穗、子二代穗及子二代测交穗5穗玉米穗组成，各有不同的基因型；
3．标本盒为木质材料制作，内分5格；标本盒尺寸为25×20×5cm。
</t>
  </si>
  <si>
    <t>验证基因自由组合规律玉米标本</t>
  </si>
  <si>
    <t>验证基因连锁与互换规律玉米标本</t>
  </si>
  <si>
    <t>玻片标本</t>
  </si>
  <si>
    <t>植物玻片标本</t>
  </si>
  <si>
    <t>蚕豆叶下表皮装片</t>
  </si>
  <si>
    <t>76.2*25.4mm,厚度1-1.18mm标本应能在学生显微镜下观察清晰。所要显示的组织机构应选自标准、典型的生物材料和正确的取材部位。玻片应边角完整，无斑点、纹络、磨伤、霉斑等缺陷。符合JY67-82《生物玻片标本通用技术条件》</t>
  </si>
  <si>
    <t>皖南</t>
  </si>
  <si>
    <t>芜湖市皖南科教仪器厂</t>
  </si>
  <si>
    <t>植物细胞有丝分裂</t>
  </si>
  <si>
    <t>胞间连丝切片</t>
  </si>
  <si>
    <t>黑藻叶装片</t>
  </si>
  <si>
    <t>藻类霉菌类生物玻片</t>
  </si>
  <si>
    <t>酵母菌装片</t>
  </si>
  <si>
    <t>水绵装片</t>
  </si>
  <si>
    <t>大肠杆菌涂片</t>
  </si>
  <si>
    <t xml:space="preserve">芜湖市皖南科教仪器厂 </t>
  </si>
  <si>
    <t>动物玻片标本</t>
  </si>
  <si>
    <t>动物细胞有丝分裂(马蛔虫受精卵切片)</t>
  </si>
  <si>
    <t>草履虫分裂生殖装片</t>
  </si>
  <si>
    <t>蝗虫精巢减数分裂切片</t>
  </si>
  <si>
    <t>蛙血涂片</t>
  </si>
  <si>
    <t>表皮细胞装片</t>
  </si>
  <si>
    <t>组织与生理玻片标本</t>
  </si>
  <si>
    <t>骨骼肌纵横切</t>
  </si>
  <si>
    <t>1、标本取材于哺乳动物的膈肌。2、纵横切片的厚度均在8μm以内，每张玻片放纵、横切各一片。3、应符合JY67-82《生物玻片标本通用技术条件（试行）</t>
  </si>
  <si>
    <t>平滑肌分离装片</t>
  </si>
  <si>
    <t>1、标本取材于两栖动物或哺乳动物消化管的肌层，去掉粘膜及粘膜下层后作分离整理。2、应符合JY67-82《生物玻片标本通用技术条件（试行）》的规定。</t>
  </si>
  <si>
    <t>心肌切片</t>
  </si>
  <si>
    <t>1、标本取材于哺乳动物的心脏。2、切片厚度在8μm以内，材料面积≥4×4mm。3、应符合JY67-82《生物玻片标本通用技术条件（试行）》的规定。</t>
  </si>
  <si>
    <t>运动神经元装片</t>
  </si>
  <si>
    <t>1、标本取材于脊髓灰质前角中的运动神经原，作涂片或分离装片。2、应符合JY67-82《生物玻片标本通用技术条件（试行）》的规定。</t>
  </si>
  <si>
    <t>胰腺切片（示胰岛）</t>
  </si>
  <si>
    <t>其它玻片标本</t>
  </si>
  <si>
    <t>正常人染色体装片</t>
  </si>
  <si>
    <t>1、在200X和400X生物显微镜下观察正常人染色体形态结构。2、应符合JY67-82中的试行规定。</t>
  </si>
  <si>
    <t>DNA和RAN在细胞中的分布</t>
  </si>
  <si>
    <t>线粒体切片</t>
  </si>
  <si>
    <t>1.标称容量：10mL；2.透明钠钙玻璃材质；3.底座和口部边缘应做熔光处理，口边应与量筒的轴线垂直；4.量筒放在平台上，不应摇晃，空量筒放在15°的斜面上不应跌倒；5.底座可以采用玻璃制作，也可以使用塑料或其他材料（与身部分离），底部可以是六角形也可以是其他形状；6.当从量筒向外倾倒液体时，液体呈一束细流流出，不应外溢，不应沿壁外流；7.所有分度线应位于与量筒轴线相垂直的平面内；量筒的最低分度线应从标称容量的10%起向上分度；8.量筒的外表面和内表面不应有破皮气泡和薄皮气泡、密集小气泡和积水条纹存在。</t>
  </si>
  <si>
    <t>1.标称容量：25mL；2.透明钠钙玻璃材质；3.底座和口部边缘应做熔光处理，口边应与量筒的轴线垂直；4.量筒放在平台上，不应摇晃，空量筒放在15°的斜面上不应跌倒；5.底座可以采用玻璃制作，也可以使用塑料或其他材料（与身部分离），底部可以是六角形也可以是其他形状；6.当从量筒向外倾倒液体时，液体呈一束细流流出，不应外溢，不应沿壁外流；7.所有分度线应位于与量筒轴线相垂直的平面内；量筒的最低分度线应从标称容量的10%起向上分度；8.量筒的外表面和内表面不应有破皮气泡和薄皮气泡、密集小气泡和积水条纹存在。</t>
  </si>
  <si>
    <t>1.标称容量：50mL；2.透明钠钙玻璃材质；3.底座和口部边缘应做熔光处理，口边应与量筒的轴线垂直；4.量筒放在平台上，不应摇晃，空量筒放在15°的斜面上不应跌倒；5.底座可以采用玻璃制作，也可以使用塑料或其他材料（与身部分离），底部可以是六角形也可以是其他形状；6.当从量筒向外倾倒液体时，液体呈一束细流流出，不应外溢，不应沿壁外流；7.所有分度线应位于与量筒轴线相垂直的平面内；量筒的最低分度线应从标称容量的10%起向上分度；8.量筒的外表面和内表面不应有破皮气泡和薄皮气泡、密集小气泡和积水条纹存在。</t>
  </si>
  <si>
    <t>1.标称容量：100mL；2.透明钠钙玻璃材质；3.底座和口部边缘应做熔光处理，口边应与量筒的轴线垂直；4.量筒放在平台上，不应摇晃，空量筒放在15°的斜面上不应跌倒；5.底座可以采用玻璃制作，也可以使用塑料或其他材料（与身部分离），底部可以是六角形也可以是其他形状；6.当从量筒向外倾倒液体时，液体呈一束细流流出，不应外溢，不应沿壁外流；7.所有分度线应位于与量筒轴线相垂直的平面内；量筒的最低分度线应从标称容量的10%起向上分度；8.量筒的外表面和内表面不应有破皮气泡和薄皮气泡、密集小气泡和积水条纹存在。</t>
  </si>
  <si>
    <t>1.标称容量：500mL；2.透明钠钙玻璃材质；3.底座和口部边缘应做熔光处理，口边应与量筒的轴线垂直；4.量筒放在平台上，不应摇晃，空量筒放在15°的斜面上不应跌倒；5.底座可以采用玻璃制作，也可以使用塑料或其他材料（与身部分离），底部可以是六角形也可以是其他形状；6.当从量筒向外倾倒液体时，液体呈一束细流流出，不应外溢，不应沿壁外流；7.所有分度线应位于与量筒轴线相垂直的平面内；量筒的最低分度线应从标称容量的10%起向上分度；8.量筒的外表面和内表面不应有破皮气泡和薄皮气泡、密集小气泡和积水条纹存在。</t>
  </si>
  <si>
    <t>1.标称容量：1000mL；2.透明钠钙玻璃材质；3.底座和口部边缘应做熔光处理，口边应与量筒的轴线垂直；4.量筒放在平台上，不应摇晃，空量筒放在15°的斜面上不应跌倒；5.底座可以采用玻璃制作，也可以使用塑料或其他材料（与身部分离），底部可以是六角形也可以是其他形状；6.当从量筒向外倾倒液体时，液体呈一束细流流出，不应外溢，不应沿壁外流；7.所有分度线应位于与量筒轴线相垂直的平面内；量筒的最低分度线应从标称容量的10%起向上分度；8.量筒的外表面和内表面不应有破皮气泡和薄皮气泡、密集小气泡和积水条纹存在。</t>
  </si>
  <si>
    <t>1000mL</t>
  </si>
  <si>
    <t>1.高硼硅玻璃材质。厚薄均匀，不得有刺手现象；2.规格：试管外径Φ15mm，试管高150mm；3.内应力双折射的光程差≤180nm/cm；4.试管应无影响其性能的缺陷。截面应为适度的圆形；5.试管口部是熔光的平口。管口应平整、光滑，不得有裂口、裂纹存在；6.试管的底部应基本为半球形。</t>
  </si>
  <si>
    <t>1.高硼硅玻璃材质；2.规格：50mL。壁厚≥0.8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</si>
  <si>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t>1.高硼硅玻璃材质；2.规格：100mL。壁厚≥0.9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</si>
  <si>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t>1.高硼硅玻璃材质；2.规格：250mL。壁厚≥1.1mm，急冷温差不小于200℃；3.满容量应超过标称容量的10%，满容量和标称容量两液面间距≥10mm；4.烧杯上标志应清晰、耐久，包括标称容量、刻度线.</t>
  </si>
  <si>
    <t>1.高硼硅玻璃材质；2.规格：500mL。壁厚≥1.2mm，急冷温差不小于200℃；3.满容量应超过标称容量的10%，满容量和标称容量两液面间距≥10mm；4.烧杯上标志应清晰、耐久。</t>
  </si>
  <si>
    <t>1.高硼硅玻璃材质；2.规格：1000mL。壁厚≥1.3mm，急冷温差不小于200℃；3.满容量应超过标称容量的10%，满容量和标称容量两液面间距≥10mm；4.烧杯上标志应清晰、耐久。</t>
  </si>
  <si>
    <t>50mL</t>
  </si>
  <si>
    <t>100mL</t>
  </si>
  <si>
    <t>1.高硼硅玻璃材质；2.规格：锥形，500mL；壁厚：不小于1mm；3.底部不允许有结石、节瘤存在；4.产品符合《玻璃仪器通用技术要求》。</t>
  </si>
  <si>
    <t>150mL带灯芯</t>
  </si>
  <si>
    <t>直固，300mm</t>
  </si>
  <si>
    <t>1.规格：60mm；2.口边光滑平整，无毛边、快口及崩缺，角度正确，口边不得呈椭圆形及不规则多边形，斗柄应垂直，下口应磨成45º角，并将斜口边倒角不呈缺口；3.壁厚均匀，内壁光滑，斗柄接头处不允许严重折皱，斗柄垂直偏正不超过3~5mm。</t>
  </si>
  <si>
    <t>1.规格：90mm；2.口边光滑平整，无毛边、快口及崩缺，角度正确，口边不得呈椭圆形及不规则多边形，斗柄应垂直，下口应磨成45º角，并将斜口边倒角不呈缺口；3.壁厚均匀，内壁光滑，斗柄接头处不允许严重折皱，斗柄垂直偏正不超过3~5mm。</t>
  </si>
  <si>
    <t>1.由玻璃滴管和胶头组成；2.规格：150mm；管身Φ7mm～8mm；3.球距上管口长：20mm±5mm；4.滴管喇叭口圆正、其圆度误差应小于3％，滴管球应厚薄均匀；5.产品应符合《玻璃仪器通用技术要求》。</t>
  </si>
  <si>
    <t>30mL</t>
  </si>
  <si>
    <t>60mL</t>
  </si>
  <si>
    <t>棕色，30mL</t>
  </si>
  <si>
    <t>棕色，60mL</t>
  </si>
  <si>
    <t>1.产品为竹质材料制成。夹长≥100mm，手柄长度≥80mm。2.夹口张、合松劲强度适宜，便于试管夹持和拿取</t>
  </si>
  <si>
    <t>φ5mm～6mm</t>
  </si>
  <si>
    <t>培养皿</t>
  </si>
  <si>
    <t>φ60mm</t>
  </si>
  <si>
    <t>φ120mm</t>
  </si>
  <si>
    <t>瓷,φ60mm</t>
  </si>
  <si>
    <t>0.5kg（圆柱形）、手锤的材料，用45＃优质碳素结构钢制成。手锤的表面不应有裂纹、折迭、毛刺、凹痕、气孔、砂眼、黄锈。手锤敲击面为凸圆弧形，边缘倒角应均匀。手锤把应为空心钢质，手柄应为橡胶材料。手锤把与手锤连接牢固，手锤把与橡胶接触紧密。</t>
  </si>
  <si>
    <t>6"，150mm，采用45号高碳钢精工铸造，整体精抛光、热处理，钳口高频淬火，硬度45-48HRC，PVC全新料环保手柄，其它技术要求按GB6290的规定。</t>
  </si>
  <si>
    <t>6"，150mm,采用45号高碳钢精工锻造，扳口精密加工，开口灵活，加簧蜗杆保持扳口稳定。</t>
  </si>
  <si>
    <t>眼睛侧面可完全遮挡，平光镜，透光率不小于90%，防化学药品溅伤及机械性损伤</t>
  </si>
  <si>
    <t>乳胶手套</t>
  </si>
  <si>
    <t>付</t>
  </si>
  <si>
    <t>1．产品为橡胶制品，长袖口带五指套。袖长不短于30cm.。2．应耐强酸、强碱及氧化剂、还原剂等化学药品试剂的腐蚀，并结实耐用。3．冬季不得发硬，夏季不得粘连。4．各部位应完整严密，无开裂和小孔。</t>
  </si>
  <si>
    <t>贵岭</t>
  </si>
  <si>
    <t>泗水丰手劳保用品厂</t>
  </si>
  <si>
    <t>急救包</t>
  </si>
  <si>
    <t>镊子，剪刀，创口贴8片，汞溴红溶液，甲紫溶液，林可霉素，灭菌结晶磺胺，棉花，纱布，碘酒，橡皮膏等</t>
  </si>
  <si>
    <t>初中生物教学仪器</t>
  </si>
  <si>
    <t>共1套,每一套教学仪器的配置清单如下</t>
  </si>
  <si>
    <t>6.2</t>
  </si>
  <si>
    <t>交付要求</t>
  </si>
  <si>
    <t>6.3</t>
  </si>
  <si>
    <t>施工要求</t>
  </si>
  <si>
    <t>手持式，有效通光孔径不小于30mm，5倍</t>
  </si>
  <si>
    <t>1、机座材料为铸铁，配有橡胶脚，平放、立放均平稳可靠。2、主动轮直径为φ240mm，从动轮直径为φ40mm。3、主动轮和从动轮的中心距可在332~348mm范围内调节。4、从动轮轴插孔上段为φ10±0.1mm的圆柱孔，长6mm，侧面配有M4顶丝。下段为锥孔，锥度为1：20，大端直径φ10±0.1mm，锥孔长不小于40mm。5、节流阀安装孔位于主动轮和从动轮两轴线连接上，距从动轮轴线140±1mm处。6、各部件均作防锈处理。7、手摇式，总体高度≥300mm。</t>
  </si>
  <si>
    <t>02076</t>
  </si>
  <si>
    <t>电炉</t>
  </si>
  <si>
    <t>1、恒温密封式：发热体全封闭在绝缘耐热材料中，外壳烤漆能有效防止加热液体和电热丝受震动而跳出造成损坏。2、额定电压：220V，50HZ。3、额定动率：1000W。4、外形尺寸≥220×160×210mm。5、其他：符合教育部标准JY0001-2003《教学仪器设备一般质量要求》的有关要求。</t>
  </si>
  <si>
    <t>1、采用不锈钢制作精细，卫生；2、采用三线电源接地保护，安全可靠。使用电源：交流220V，50Hz。功率：2KW；3、外形尺寸：310×230×600mm；4、蒸馏水器由蒸发锅、冷凝器、加热部分等组成。蒸发锅由不锈钢薄板制成，锅上有溢水口，顶盖中央有挡水帽，左侧有放水栓塞；冷凝器：由不锈钢薄板制成，结构为可拆式；加热部分：几只浸入式加热管装于蒸发锅内的底部。5、规格：出水量2升/小时。</t>
  </si>
  <si>
    <t>恒温水谷锅</t>
  </si>
  <si>
    <t>不锈钢，单孔，直径≥150mm，深度≥70mm，加热功率：400W，工作电压：220V，50Hz。</t>
  </si>
  <si>
    <t>02086</t>
  </si>
  <si>
    <t>产品类别：箱门结构：三门；
面板类型：PCM；制冷方式：直冷；
国家能效等级：2级以上；变频：非变频；控温方式：机械控温
除霜模式：手动；总容积≥213L 额定耗电：达到二级能耗以上冷藏室容：不小于116L；不小于42L保鲜冷冻； 分区冷冻室容：不小于55L</t>
  </si>
  <si>
    <t>BCD-217WGHC3E9S9</t>
  </si>
  <si>
    <t>海尔</t>
  </si>
  <si>
    <t>贵州海尔电器有限公司</t>
  </si>
  <si>
    <t>1、自然对流式通风结构，和电子控温仪控制温度。2、控温范围20~60℃。3、内室尺寸≥200×200×280mm，额定功率：400W，工作电源：220V、50Hz。4、其它应符合中华人民共和国国家标准《电热恒温培养箱》GB4998-85的规定。</t>
  </si>
  <si>
    <t>双人单面，垂直送风，100级，平均风速：O.25m/s～0.45m/s，不锈钢台面，带紫外线灯安全防护装置，外形尺寸≥1200×550×1500mm，工作电源：220V、50Hz。</t>
  </si>
  <si>
    <t>02090</t>
  </si>
  <si>
    <t>移液器</t>
  </si>
  <si>
    <t>产品由活塞、调节杆、推杆及吸头等组成。在0.5～5mL内快速可调。</t>
  </si>
  <si>
    <t>矮型，储存及分发药品用，外形尺寸≥250×240×150mm，环保塑料材质。</t>
  </si>
  <si>
    <t>02120</t>
  </si>
  <si>
    <t>保温桶</t>
  </si>
  <si>
    <t>容积：1～2L，材质：不锈钢，层数不少于2层。</t>
  </si>
  <si>
    <t>温馨</t>
  </si>
  <si>
    <t>汕头市澄海区温馨塑胶制品有限公司</t>
  </si>
  <si>
    <t>02126</t>
  </si>
  <si>
    <t>水族箱</t>
  </si>
  <si>
    <t>1、材质：有机玻璃，或优于有机玻璃的材料。容量25L；灯功率：18W，带过滤泵。
2、陪水族箱架，及指定的附件、备件、专用工具、消耗品或其它补充件。3、外观应符合JY0001-2003《教学仪器设备产品一般质量要求》要求</t>
  </si>
  <si>
    <t>佳宝</t>
  </si>
  <si>
    <t>广东振华电器有限公司</t>
  </si>
  <si>
    <t>1、试管架由底座及可拆卸圆形盖板组成；
2、底座：八边形底座边对边长度23cm（±5mm），直径9mm（±2mm）立柱18根呈圆形分布；中间配有直径10mm（±2mm）立柱4根呈正方形分布，用于支撑盖板或放置试管使用；立柱与底座由ABS工程塑料注塑成型为一体；底座一圈设有积水凹槽。
3、可拆卸圆形盖板：ABS工程塑料材质，与试管架底座配套使用；盖板直径15cm（±2cm），盖板上具有直径14mm（±2mm）、17mm（±2mm）、20mm（±2mm）、22mm（±2mm）圆孔各不少于4个，直径40mm（±2mm）圆孔不少于1个，可满足不同大小试管的使用，且盖板圆孔对应试管架底座处具有对应的圆形凹槽，并起到对试管的固定作用。
4、 塑件表面平整清洁、不应有划痕、溶迹、缩迹、不应有气泡、烧粉和夹生，边缘不应有毛刺、变形、破边和凹凸不平，不应有明显的浇口飞边.</t>
  </si>
  <si>
    <t>软尺</t>
  </si>
  <si>
    <t>1、软尺全长1500mm 2、最小刻度值为1mm，每厘米处的刻线是毫米刻线长的2倍，并标有相应数字。刻线均匀、清晰3、尺带为优质软皮制成。</t>
  </si>
  <si>
    <t>测微尺</t>
  </si>
  <si>
    <t>显微镜用，台式，由台尺和目尺组成；台尺、目尺均由厚度不大于1.5mm的透明硅酸盐玻璃制作，中心位置有精确的等分刻度线；台尺尺寸为76×26±0.5mm，台尺等分刻度线是将1mm分为100格，每格长10um；目尺尺寸为φ20±0.5mm，等分刻度线是将5mm分为50等分。</t>
  </si>
  <si>
    <t>最小分度值：0.001g；线性误差≤±0.002g；重复性误差≤0.001g；校准方式：外校（配砝码）；数据输出：RS232；称盘尺寸：圆盘Φ85mm；电源电压：220VAC；采用高精度电磁平衡传达室感器，LED显示，具有8种称量单位转换，计数功能。</t>
  </si>
  <si>
    <t>12</t>
  </si>
  <si>
    <t>0.1s，双道记时，塑壳；秒表计时可选择简易计时，分段计时，两段时间显示；符合国标GB6050第一章要求。</t>
  </si>
  <si>
    <t>1、感温液体的有机红液的棒式温度计供中小学实验用。2、温度测量范围0℃~100℃，分度值为0.2。3、感温泡、中间泡、安全泡等要求应符合JJG130-2004《工作用玻璃液体温度计》标准的有关要求。</t>
  </si>
  <si>
    <t>1、感温液体为水银的棒式温度计，供中学生物实验用。2、温度测量范围0℃~200℃，分度值0.2。3、感温泡、中间泡、安全泡等要求应符合JJG130-2004《工作用玻璃液体温度计》标准的有关要求。</t>
  </si>
  <si>
    <t>干温球温度计</t>
  </si>
  <si>
    <t>本产品供室内观测天气及空气温度用。
1.由两支液体温度计组成，一只红液头由纱布连接在盛水槽内。
2.两支并排固定在刻度面板上，外壳为塑制。
3.显示温度值：-36℃～46℃，背面有干湿差度对照表。</t>
  </si>
  <si>
    <t>16015</t>
  </si>
  <si>
    <t>血压计</t>
  </si>
  <si>
    <t xml:space="preserve">1、医用汞柱型血压计 2、量程0—40kpa 3、示值精度±0.27kpa，4、本品由打气球、橡皮袖带、橡胶管，玻璃管、水银壶等组成                                           </t>
  </si>
  <si>
    <t>健陵</t>
  </si>
  <si>
    <t>丹阳市健陵医疗器械有限公司</t>
  </si>
  <si>
    <t>16016</t>
  </si>
  <si>
    <t>肺活量计</t>
  </si>
  <si>
    <t>1、配套供应一次性吹嘴50个。2、由金属薄板制成的内外筒和塑料一次性吹嘴组成。3、外筒直径≥150mm，高度≥400mm，内筒容积≥4000mL。4、采用医用级</t>
  </si>
  <si>
    <t>16041</t>
  </si>
  <si>
    <t>解剖器</t>
  </si>
  <si>
    <t>1、产品均为不锈钢制品。 2、七件为一套，含解剖剪、剪毛剪、直镊子、弯镊子、圆刃解剖刀、直刃解剖刀、解剖针各一件。3、其余应符合JY0001-2003中6.1～6.12的规定。</t>
  </si>
  <si>
    <t>1、产品均为不锈钢制品。 2、四件为一套，含解剖剪、镊子、解剖刀、解剖针各一件。 3、其余应符合JY0001-2003中6.1～6.12的规定</t>
  </si>
  <si>
    <t>骨剪</t>
  </si>
  <si>
    <t>1、产品用不锈钢或碳钢制成后表面镀铬。2、尖部两叶头交叉吻合、平齐。3、镊子弹性适中。4、其他要求应符合JY0001-2003中6.1～6.12的规定。5、总长度为130mm。</t>
  </si>
  <si>
    <t>接种箱</t>
  </si>
  <si>
    <t>一、用途：一种带有杀菌灯管、日光灯管的密闭箱式装置、适用于学校、科研单位在无菌环境下的微生物接种，以减少杀菌灯对人体健康的影响。二、结构：本产品由箱体、杀菌灯管、日光灯管、镇流器、开关等组成。三、主要技术参数：1.电源：～220V50Hz；2.杀菌灯管：8W；3.日光灯管：8W。四、金属外壳，外形尺寸约：460mm×340mm×390mm。</t>
  </si>
  <si>
    <t>手柄长应≥75mm，采用耐高温塑料材质制成，上接长≥115mm的铜制连接杆，附带螺旋式锁针孔锁住一根长≥95mm的银白色金属丝。</t>
  </si>
  <si>
    <t>植物光合作用、呼吸作用、蒸腾作用演示器</t>
  </si>
  <si>
    <t>1、由透明容器，集气盖，试管，漏斗，盖板和试管架等组成。2、透明容器是用透明塑料注塑而成，长约220mm，宽约10mm，高约290mm。3、集气盖是聚苯乙烯模压制品，形成四棱锥的倒置漏斗。4、盖板和试管架也是有机玻璃和聚苯塑料制件，试管和漏斗是玻璃或塑料件。</t>
  </si>
  <si>
    <t>徒手切片器</t>
  </si>
  <si>
    <t>1、规格及主要指标：分度值0.02mm，升降范围0mm～10mm，精度0.01mm～0.10mm，外形尺寸应不小于73mm～80mm。
2、夹持部分可靠，推进机构灵活、稳定，无跳动现象，刻度应准确。
2、平台应平整、光滑，无明显机械缺陷。
4、金属件应作镀铬处理，无漏底及镀层剥落现象。
5、产品应符合JY0001-2003中6.1～6.12各项要求。</t>
  </si>
  <si>
    <t>27010</t>
  </si>
  <si>
    <t>孵化器</t>
  </si>
  <si>
    <t xml:space="preserve">1、电源电压：220V±10%  50Hz
2、消耗功率：＜20W
3、工作温度：10~35℃
4、环境湿度：10~70%RH
5、控温范围：26.0~42.0℃
6、恒温精度：±0.5℃
7、定时时间：0-60天
8、单次孵化数量：6只（以鸡蛋为例）
</t>
  </si>
  <si>
    <t>27011</t>
  </si>
  <si>
    <t>27012</t>
  </si>
  <si>
    <t>330</t>
  </si>
  <si>
    <t>植物模型</t>
  </si>
  <si>
    <t>植物细胞模型</t>
  </si>
  <si>
    <t>1． 产品为洋葱表皮细胞显微结构的立体模型，长约33cm，宽为18~20cm，厚约5cm。2． 示一个细胞的完整形态及其毗邻关系。3． 细胞的结构示细胞壁、细胞膜、细胞质、细胞核、核仁和液泡。4． 各部结构从不同角度观察应正确、自然，着色应协调。5． 细胞核应呈扁球体，直径5~7cm，厚2~3cm，位于细胞中部的一侧，应示核膜、核质和核仁。6． 液泡1~2个，应呈不规则的囊状。7． 缝口、内部元件的粘合应牢固，不得有错缝和明显的痕迹。8． 产品符合JY190—85《植物细胞模型技术条件》的规定。9． 符合</t>
  </si>
  <si>
    <t>33002</t>
  </si>
  <si>
    <t>根纵剖模型</t>
  </si>
  <si>
    <t>1． 产品为根尖纵、横剖面模型，放于支架上，可水平移动。2． 根尖中部做不同方向的纵剖面，突出维管柱，示根冠、分生区（生长点）、伸长区、成熟区（根毛区）和原形成层等。3． 成熟区做不同层次的横剖，示表皮、皮层和维管柱。4． 模型以单子叶植物玉米的根尖为主要参考材料。5． 各种类型的细胞特点应明显、正确。各区颜色的过度应自然。6． 根冠高7~10cm，分生区高10~11cm，伸长区高18~20cm。7． 根毛与表皮的粘接应自然、牢固。8． 符合JY191—85《根纵剖模型技术条件》的规定。</t>
  </si>
  <si>
    <t>33003</t>
  </si>
  <si>
    <t>导管、筛管结构模型</t>
  </si>
  <si>
    <t>1． 产品为显微结构的立体放大模型。包括环纹导管、螺纹导管、网纹导管、孔纹导管及筛管。各种导管及筛管的外直径依次不小于40mm、40mm、50mm、60mm、40mm。长度不小于250mm，两端开口。2． 环、螺、网纹导管模型须显示至少一个分子间界，筛管及孔纹导管至少显示一个分子，筛管一侧还应示伴胞。3． 各种导管及筛管的形态结构应正确、自然。4． 各部位粘接应牢固，且内部纹路应相互吻合。5． 符合JY296—87《导管、筛管结构模型技术条件》的规定。符合JY0001－2003《教学仪器设备产品一般质量要</t>
  </si>
  <si>
    <t>33004</t>
  </si>
  <si>
    <t>单子叶植物茎模型</t>
  </si>
  <si>
    <t>1． 产品是单子叶植物茎纵、横切面的模型，为横切面的1/10（去掉中央部分），高不小于12cm，长约40cm，跨径约40cm。2． 通过节间做横剖，示表皮、机械组织及散生在基本组织中的维管束。在纵剖面上示上述组织的纵剖结构。3． 维管束横剖面上，示气道、导管、筛管、筛板和筛孔。在一侧的纵剖面上，示环纹导管、螺纹导管、孔纹导管、筛管和筛板等结构。4． 模型以玉米茎为参考材料。5． 各部细胞的形态结构、比例应正确，在模型上应示细胞的表面观和不同剖面。6． 各部结构的颜色应有区别。纵、横剖面上的细胞应对应准确。</t>
  </si>
  <si>
    <t>33005</t>
  </si>
  <si>
    <t>双子叶草本植物茎模型</t>
  </si>
  <si>
    <t>1． 产品是双子叶草本植物茎的纵、横切面的模型，为横切面约为茎的2/3，高15~18cm，直径32~35cm。2． 横剖面上示表皮、皮层、维管束（初生韧皮部、束中形成层、初生木质部）髓和髓射线。3． 纵剖面的一侧通过髓射线，另一侧通过维管束的中部做径向纵切。并于纵切面的一侧将角质层、表皮和厚角组织分层剥掉，示表皮、厚角、薄壁等细胞的表面观。4． 维管束的横断面上，应示导管、筛管、筛板和筛孔。在纵断面上示环纹导管、螺纹导管、孔纹导管、筛管和筛板等结构。5． 模型以向日葵茎为参考材料。</t>
  </si>
  <si>
    <t>33006</t>
  </si>
  <si>
    <t>叶构造模型</t>
  </si>
  <si>
    <t>1． 产品为双子叶植物叶构造模型。长约45cm，宽约15cm，叶主脉处高18~20cm。2． 通过主脉做部分叶片的横切，在模型的一边示主脉、细脉、上下表皮、栅栏组织和海绵组织。3． 在模型的另一边，通过各种剖面，示主脉与侧脉的连接关系以及主、侧脉的纵切和细脉的横剖面。4． 模型以蚕豆叶为参考材料。5． 各部细胞的形态结构、位置应正确。6． 各部结构的颜色应有区别。纵、横剖面的细胞应对应准确。7． 各缝处应修饰自然、正确、牢固。8． 符合JY194—85《叶构造模型技术条件》的规定。9． 符合JY0001－</t>
  </si>
  <si>
    <t>33007</t>
  </si>
  <si>
    <t>桃花模型</t>
  </si>
  <si>
    <t>1． 产品为放大的桃花模型，直径约35cm，示盛开形态。2． 花瓣、子房可拆装，子房纵剖示胚珠。3． 桃花的结构示：花柄、花托、花萼（萼片5个）、花冠（花瓣5个）、雄蕊（25~30个）和雌蕊。4． 各部的形态结构和颜色应正确自然，富有真实感。5． 各部的接插件应安装牢固，松紧适度，便于拆装。6． 符合JY195—85《桃花模型技术条件》的规定。7． 符合JY0001－2003《教学仪器设备产品一般质量要求》的有关规定。</t>
  </si>
  <si>
    <t>小麦花模型</t>
  </si>
  <si>
    <t>1． 产品为放大的小麦花模型，高约30cm，附以小穗为单位（至少8个）的复穗状花序模型，放于支架上。2． 大部分小穗可拆下，个别小穗去掉频片和外稃。3． 小穗示两片频片和3~5朵小花。4． 放大小麦花的结构示；外稃、内稃、雄蕊（3个）、雌蕊（1个）和两个浆片。5． 各部的形态结构和颜色应正确自然，富有真实感。6． 各部的接插件应安装牢固，松紧适度，便于拆装。7． 符合JY196—85《小麦花模型技术条件》的规定。8． 符合JY0001－2003《教学仪器设备产品一般质量要求》的有关规定。</t>
  </si>
  <si>
    <t>331</t>
  </si>
  <si>
    <t>动物模型</t>
  </si>
  <si>
    <t>33101</t>
  </si>
  <si>
    <t>蝗虫解剖模型</t>
  </si>
  <si>
    <t>1、产品为无毒硬质塑料制作，以飞蝗、棉蝗为主要参考资料；2、产品应示右侧外形的头、脑、腹结构及内部结构的消化系统、循环系统、呼吸系统、排泄系统、神经系统、生殖系统和体壁上的肌肉；3、产品符合JY198-85中2.3～2.20各条的要求JY0001-2003中9.1～9.4的要求；4、材料：环保硬质塑料；5、外形尺寸≥550*200*200mm。</t>
  </si>
  <si>
    <t>33102</t>
  </si>
  <si>
    <t>蛙胚胎发育模型</t>
  </si>
  <si>
    <t>产品为八个放大之蛙胚胎发育模型组成，前六个的直径不小于10cm，后两个按比例延长，每个模型均置于支架上。符合JY199—85《蛙胚胎发育模型技术条件》的规定，符合JY0001－2003《教学仪器设备产品一般质量要求》的有关规定。</t>
  </si>
  <si>
    <t>草履虫模型</t>
  </si>
  <si>
    <t>1． 产品为草履虫纵剖面模型。长约370mm，中宽约80mm，用支架固定于底版上。2． 示表膜表面六角形小区及纤毛。3． 纵剖面上显示：表膜、口沟、胞口、胞咽、波动膜、食物泡、肛点；两个伸缩泡及其收集管；大核、小核；外质及其中的刺丝泡，颗粒状的内质。4． 各部的形态结构和颜色应正确自然，富有真实感。5． 符合JY291—87《草履虫模型技术条件》的规定。6． 符合JY0001－2003《教学仪器设备产品一般质量要求》的有关规定。</t>
  </si>
  <si>
    <t>蚯蚓解剖模型</t>
  </si>
  <si>
    <t>1、产品采用无毒硬质塑料或复合材料制作，为环毛蚯蚓前34节的解剖放大模型；2、模型置于底座上，消化道可拆卸，纵、横断面上的体壁结构应互相对应；3、模型示蚯蚓的外形和内部结构，显示部位及其要求应符合JY0314-91中4.4～4.10的要求；4、材料：环保硬质塑料；5、外形尺寸≥550*150mm。</t>
  </si>
  <si>
    <t>血吸虫模型</t>
  </si>
  <si>
    <t>1． 模型为一对合抱的雄虫和雌虫，可拆装。2． 雄虫的前端和雌虫的后端分别作部分纵剖。3． 雄虫粗短、乳白色。示口吸盘、腹吸盘、抱雌沟、精巢、贮精囊、食管和肠支等结构。4． 雌虫细长，暗黑色。主要显示：口吸盘、腹吸盘、子宫、卵膜、卵巢、输卵管、卵黄管、卵黄腺和肠管等结构。5． 模型采用硬塑料或复合材料制成，长度不小于500mm。6． 模型上各部位或器官均应名签或号签。7． 各部的形态结构和颜色应正确自然，富有真实感。8． 符合JY0001－2003《教学仪器设备产品一般质量要求》的有关规定。</t>
  </si>
  <si>
    <t>332</t>
  </si>
  <si>
    <t>人体及生理模型</t>
  </si>
  <si>
    <t>33201</t>
  </si>
  <si>
    <t>头、颈、躯干模型</t>
  </si>
  <si>
    <t>1． 产品为高约85cm的男性成年头、颈、躯干解剖模型。2． 产品采用硬质塑料制作，不得采用软塑料。3． 显示人体内脏器官的正常位置，形态结构及其相互关系。重点显示呼吸、消化和泌尿三个系统。4． 内脏各器官应形态正确，比例适当、纹理清晰，连接准确和切面平整。5． 各部位着色应准确、鲜明，颜色不得溢出外界。6． 金属零件或镶嵌件，都应按使用要求做表面处理。镶嵌件定位必须准确牢固，拆装方便，松紧适度，无松动脱落或呆滞现象。7． 符合JY158—84《人体头、颈、躯干模型技术条件》的规定。</t>
  </si>
  <si>
    <t>33204</t>
  </si>
  <si>
    <t>人体骨骼模型</t>
  </si>
  <si>
    <t>1、颅骨与身体的比例应为1：7，颅的各骨的比例，大小应合适；2、软骨与骨在质感上，应有明显的区别；3、骨的形态特征，应正确清晰；4、骨、软骨，应有色别，在同一模型上，同一种颜色的零件，不得有目视的色差；5、为了防止变形或脆裂，模型应采用环保硬质塑料或混合树脂制作，不得采用软塑料；6、产品还应符合JY26-79《教学仪器产品一般质量要求（试行）》第五章及其他有关规定；7、外形尺寸：高≥850mm。</t>
  </si>
  <si>
    <t>33205</t>
  </si>
  <si>
    <t>眼球解剖模型</t>
  </si>
  <si>
    <t>1． 产品为放大六倍的成人眼球模型，装置于支架上。
2． 通过眼球前后极做正中水平切面，示眼球壁三层被膜，眼球内晶状体、玻璃体和虹膜（均可拆下）。由外向内三层被膜部分做成梯形切面，并示全部结构。
3． 眼球壁外部显示：眼球、角膜、巩膜、虹膜、瞳孔、六块眼肌的断端、视神经、涡静脉、睫状后长动脉（虹膜动脉）、睫状后短动脉（脉络膜动脉）。
4． 眼球壁剖面及内部主要显示：外膜（前部1/6的角膜及后部5/6的巩膜）、中膜（虹膜、睫状体和脉络膜）、内膜（视网膜及其后部的视神经盘、黄斑及视网膜血管、晶状体及玻璃体）。</t>
  </si>
  <si>
    <t>33206</t>
  </si>
  <si>
    <t>眼球仪</t>
  </si>
  <si>
    <t>产品由成人眼球、光源、校正镜片、活动成像显示屏及底座组成
通过眼球前后极在正中与水平成75°切面，示眼球壁三层被膜，眼球内晶状体（可改变曲率），玻璃体和虹膜。由外向内三层被膜做成梯形切面，并示其各部结构。
在眼球后部装一垂直眼球轴的剖面，以示视网膜成像。晶状体系有机玻璃制成，二张拉紧的透明橡胶薄膜，里面充满液体。
其曲率通过改变波纹管的容积来改变薄膜的曲率。</t>
  </si>
  <si>
    <t>33207</t>
  </si>
  <si>
    <t>心脏解剖模型</t>
  </si>
  <si>
    <t>1、心脏血管的粗细、比例、位置、走向以及分支和脂肪的关系，应正确自然，动静脉断面的管壁应有明显的区别，右房壁比左房壁稍厚，左室壁厚约为右室壁厚的三倍；2、为了防止变形或脆裂，模型应采用环保硬质塑料或混合树脂制作，不得采用软塑料；3、产品还应符合JY26-79《教学仪器产品一般质量要求（试行）》第五章及其他有关规定；4、三倍自然大，高≥300mm。</t>
  </si>
  <si>
    <t>33208</t>
  </si>
  <si>
    <t>1、心脏血管的粗细、比例、位置、走向以及分支和脂肪的关系，应正确自然，动静脉断面的管壁应有明显的区别，右房壁比左房壁稍厚，左室壁厚约为右室壁厚的三倍；2、为了防止变形或脆裂，模型应采用环保硬质塑料或混合树脂制作，不得采用软塑料；3、产品还应符合JY26-79《教学仪器产品一般质量要求（试行）》第五章及其他有关规定；4、自然大。</t>
  </si>
  <si>
    <t>喉解剖模型</t>
  </si>
  <si>
    <t>1、各部的形态位置、比例、颜色等均应正确清晰；2、为了防止变形或脆裂，模型应采用环保硬质塑料或混合树脂制作，不得采用软塑料。3、产品还应符合JY26-79《教学仪器产品一般质量要求（试行）》第五章及其他有关规定。4、外形尺寸≥100*250mm。</t>
  </si>
  <si>
    <t>肺泡模型</t>
  </si>
  <si>
    <t>1、应正确显示各部的结构特征，立体感强，轮廓清楚，血管由粗及细描绘自然；2、肺泡管是呼吸性细支气管的分支，也是几个肺泡囊的共同通道，应正确显示其肺泡隔边缘部形成膨大的结构特点；3、为了防止变形或脆裂，模型应采用环保硬质塑料或混合树脂制作，不得采用软塑料；4、产品还应符合JY26-79《教学仪器一般质量要求（试行）》第五章及其他有关规定。5、外形尺寸≥200*200mm。</t>
  </si>
  <si>
    <t>脑解剖模型</t>
  </si>
  <si>
    <t>1、要严格参照正常人脑标本，将各部的形态、位置、比例、毗邻做正确，内部的主要结构要轮廓清楚；2、为了防止变形或脆裂，模型应采用环保硬质塑料或混合树脂制作，不得采用软塑料；3、产品还应符合JY26-79《教学仪器产品一般质量要求（试行）》第五章及其他有关规定；4、外形尺寸≥150*150mm。</t>
  </si>
  <si>
    <t>耳解剖模型</t>
  </si>
  <si>
    <t>1、各部分的形态、位置、比例和颜色等均应正确自然；2、外耳道应呈S形弯曲，长约10~12.5cm，外1/3为软骨部，内2/3为骨部；3、鼓膜固定，应为半透明灰白色膜；4、为了防止变形或脆裂，应采用环保硬质塑料或混合树脂制作，不得采用软塑料；5、产品还应符合JY26-79《教学仪器产品一般质量要求（试行）》第五章及其他有关规定。</t>
  </si>
  <si>
    <t>男性泌尿生殖系统模型</t>
  </si>
  <si>
    <t>1、各部的形态、位置、比例应正确；2、肾的剖面上，肾皮质厚度约为4~5mm，约占肾实质的1/3,髓质的肾锥体应不少于八个；3、输尿管上连肾盂下接膀胱的部位应正确，长约250~300mm，应示三个狭；4、膀胱的剖面应示两输尿管的开口及尿道内口，后下方附精囊腺、输精管壶腹、射精管及前列腺；5、尿道长约150~200mm，管径约5~7mm，其中尿道前列腺部长约30mm，膜部长约10~15mm，海绵体部纵贯尿道海绵体，长约110~140mm，应示一侧尿道球腺；6、一侧睾丸示外形，另一侧睾丸的矢状切面上应示睾丸小叶、睾丸网和附睾管，各部结构均应显示正确；7、精囊腺应位于输精管壶腹的外侧，其剖面上的排泄管与输精管壶腹末端会合成射精管；8、输精管是附睾管的延续，（在模型上不得少于170mm），射精管长约20mm，穿过前列腺开口于尿道的前列腺部，应显示清楚；9、产品还应符合JY26-79《教学仪器产品一般质量要求（试行）》第五章及其他有关规定。</t>
  </si>
  <si>
    <t>女性泌尿生殖系统模型</t>
  </si>
  <si>
    <t>1、各部的形态、位置、比例应正确；2、肾的剖面上，皮质厚约4~5mm，约占肾实质的1/3，髓质的肾锥体应不少于八个；3、输尿管上连肾盂，下接膀胱的部位应正确，长约250~300mm，应示三个狭窄；4、膀胱的剖面上，应示两输尿管的开口及尿道内口；5、输卵管长约100~120mm。输卵管峡、输卵管壶腹、输卵管漏斗及输卵管伞的显示应正确；6、子宫长约80mm，宽约40mm，厚约20mm，其剖面上，子宫底、体、颈三部分的形态比例应显示正确；7、子宫阔韧带、子宫圆韧带、卵巢固有韧带及卵巢系膜等固定结构，均应显示清楚正确；8、产品还应符合JY26-79《教学仪器产品一般质量要求（试行）》第五章及其他有关规定。</t>
  </si>
  <si>
    <t>皮肤结构模型</t>
  </si>
  <si>
    <t>1、人体皮肤结构模型外形≥180mm×100mm×330mm，置于底座上。模型应采用硬塑料或复合材料制作，不应采用软塑料；2、模型从五个不同的面显示皮肤的模式结构，正面做纵切面，背面做浮雕面；3、示皮肤的表皮、真皮、皮下组织和皮肤的附属器；4、产品的整体性能执行JY 0001第4.1～4.6、4.8、4.10和4.11等条的规定；5、产品的结构执行JY 0001第5.1、5.3、5.4、5.7、5.21和8.1～8.5等条的规定；6、产品外观执行JY 0001第6章的规定；7、产品应能在距地面1m高处自由下落，不得破裂和变形。</t>
  </si>
  <si>
    <t>肝、十二指肠、胰脏模型</t>
  </si>
  <si>
    <t>这是一款经济型的模型，用于学习肝、脾、血管和胰腺的基本结构，可显示外部结构和胰腺上的胰腺管，也可显示腹腔动脉和大静脉。自然大，分成3件，用PVC制成。尺寸约：23×12.5×26.5cm。</t>
  </si>
  <si>
    <t>肾单位、肾小体模型</t>
  </si>
  <si>
    <t>1.产品由放大的肾、肾单位及肾小体组成。产品应采用硬塑料或复合材料制作，不应采用软塑料制作。分别置于支架或底座上。2.肾模型作额状剖面，≥210mm×100mm。示肾门、肾动脉、肾静脉、肾皮质、肾髂质、肾乳头、肾小盏、肾大盏、肾盂。 3.肾单位模型≥400mm×240mm。4.肾小体模型，直径≥100mm。5.产品的整体性能执行JY 0001第4.1～4.6、4.8、4.10和4.11等条的规定。6. 产品的结构执行JY 0001第5.1、5.3、5.4、5.7、5.21和8.1～8.5等条的规定。 7.产品外观执行JY 0001第6章的规定。8.产品应能在距地面1m高处自由下落，不得破裂和变形。</t>
  </si>
  <si>
    <t>心搏与血液循环模型</t>
  </si>
  <si>
    <t>示心动周期及大小循环，心壁可收缩及瓣膜可启闭。</t>
  </si>
  <si>
    <t>33219</t>
  </si>
  <si>
    <t>人体肌肉模型</t>
  </si>
  <si>
    <t>850mm，全身，示浅层肌及部分深层肌。</t>
  </si>
  <si>
    <t>33220</t>
  </si>
  <si>
    <t>肘关节活动模型</t>
  </si>
  <si>
    <t>本模型骨胳及右手用PVC制成，模型装置于底座上。自然大小。模型演示骨骼肌运动中的协作关系。肱二头肌和肱三头肌屈伸收缩的相互关系。</t>
  </si>
  <si>
    <t>33221</t>
  </si>
  <si>
    <t>牙列及磨牙解剖模型</t>
  </si>
  <si>
    <t>供初中生物教学演示用；中学生物教学讲解成年人牙齿结构及排列用。</t>
  </si>
  <si>
    <t>33222</t>
  </si>
  <si>
    <t>胃解剖模型</t>
  </si>
  <si>
    <t>本模型展示胃在中等度膨胀时的形状，区分为前壁、后壁、胃小弯和胃大弯。食管入胃处为贲门，胃移行于十二指肠处为幽门，胃中部为胃体以及胃从贲门向左上方的膨隆-胃底等的形态。</t>
  </si>
  <si>
    <t>33223</t>
  </si>
  <si>
    <t>尿的形成动态模型</t>
  </si>
  <si>
    <t>本模型适用于中学及大专院校讲解人体血液循环课程时做直观教具，解决教学时的重点和难点，帮助学生了解心搏周期和备注循环的途径。血液及尿液定向流动采用发光管置，其中血液用红色发光管显示。尿液用黄色发光管置显示。</t>
  </si>
  <si>
    <t>33224</t>
  </si>
  <si>
    <t>人体呼吸运动模型</t>
  </si>
  <si>
    <t>本模型适用于大、中医学院校及中等校讲解人体呼吸运动时作直观教具，模型能形象演示表达人体呼吸运动过程中所体现的生理机制。   模型根据解剖学原理制作，由透明的塑料人体胸廊外部形态和PVC塑料的肋骨、胸骨、膈肌等内部结构构成。
模型是由力学机械和同步电子电路组合组成的，能动态模拟人体呼吸运动。</t>
  </si>
  <si>
    <t>33225</t>
  </si>
  <si>
    <t>膈肌运动模拟器</t>
  </si>
  <si>
    <t>透明塑料材质，电动模拟人体呼吸运动时膈肌的运动。产品由木质框架、气管、胸骨等组成:结构简单、布局合理、原理正确，使用方便。</t>
  </si>
  <si>
    <t>33226</t>
  </si>
  <si>
    <t>护理人模型</t>
  </si>
  <si>
    <t>模型PVC材质。女性模型全长约1700mm，能操作洗脸和床上擦浴，口腔护理，气管切开护理，氧气吸入疗法（鼻塞法、鼻导管法），鼻饲法，洗胃法，心内注射法，胸外心脏复苏急救法，气胸，胸腔穿刺，肝脏穿刺，肾脏穿刺，腹腔穿刺，骨髓穿刺，腰椎穿刺，三角肌注射，三角肌下缘皮下注射，静脉注射，静脉穿刺，静脉输液，静脉输血，女性导尿，臀部肌注射，乳房护理，会阴护理。</t>
  </si>
  <si>
    <t>向阳花</t>
  </si>
  <si>
    <t>浙江向阳花教学器材有限公司</t>
  </si>
  <si>
    <t>333</t>
  </si>
  <si>
    <t>生物其他模型</t>
  </si>
  <si>
    <t>33301</t>
  </si>
  <si>
    <t>生物模型，始祖鸟复原模型的身体大小和姿态根据化石模型的比例来确定，体长不小于450mm，展示头、颈、躯干、尾、翼、足。头部布满鳞片，体被羽毛，尾羽对称排列；头顶平，嘴无喙具齿，鼻孔位于上颌前端；上三指彼此分离，指分节指端具爪；趾分节，三趾向前一趾向后，部与趾均具鳞片；齿着白色，眼、爪、体、底座颜色应有区别。模型材质采为PVC材料，无毒且环保耐用。</t>
  </si>
  <si>
    <t>430</t>
  </si>
  <si>
    <t>生物浸制标本</t>
  </si>
  <si>
    <t>43001</t>
  </si>
  <si>
    <t>鱼解剖浸制标本</t>
  </si>
  <si>
    <t>1、肝、胰脏和肠稍移位，以显示胆囊与肠和鳔管与食管的相互关系。2、除静脉窦、心房、心室、动脉球、腹大动脉和入鳃动脉应注蓝色外，其余血管的注色要求应符合JY143-82的规定。3、应符合JY143-82《动物浸制标本通用技术条件（试行）》的规定。</t>
  </si>
  <si>
    <t>43002</t>
  </si>
  <si>
    <t>蛙解剖浸制标本</t>
  </si>
  <si>
    <t>1． 标本大形青蛙或蟾蜍制作（应注明）。2． 标本应完整显示动物的消化系、呼吸系、循环系、排泄系、生殖系等。3． 符合JY145—82《蛙解剖浸制标本技术条件》的规定。8． 符合JY143—82《动物浸制标本通用技术条件》的规定</t>
  </si>
  <si>
    <t>43003</t>
  </si>
  <si>
    <t>蜥蜴解剖浸制标本</t>
  </si>
  <si>
    <t xml:space="preserve">1、供初中动植物课堂演示；用于观察蜥蜴内部各系统形态的教学与实验。
</t>
  </si>
  <si>
    <t>43004</t>
  </si>
  <si>
    <t>鸽解剖浸制标本</t>
  </si>
  <si>
    <t>1、小肠自腹腔中移出，去掉肠系膜，展开于衬板的右侧，以显示肠之各部形态，十二指肠应保持"U"开头。砂囊移向右侧，以显示泄殖器官。2、食管和气管应分别移向两则，以显示颈总动脉。3、输精管和输尿管一般应互相分开。4、左心房应呈红色或红褐色，左心室应隐现红色或原色，右心房应呈蓝色或暗褐色，右心室应隐现蓝色或原色。5、肝应呈蓝色或暗褐色，肺应隐现红、蓝色，或原色。6、嗉囊应保持椭圆形，如储有较多食物时应取出。7、可显示一侧的泄殖器官。8、标本具下列一项时为二级品：a.左心房呈暗褐色；b.消化管和嗉囊上无色剂显示；c.嗉囊有较明显破损或变形；d.输精管发育不明显；e.有明显配接痕迹，但不超过二处。9、应符合JY143-82《动物浸制标本通用技术条件（试行）》的规定。</t>
  </si>
  <si>
    <t>43005</t>
  </si>
  <si>
    <t>兔解剖浸制标本</t>
  </si>
  <si>
    <t>1、肠之大部分自腹腔中移出，去掉部分肠系膜展于标本的右侧，以显示十二指肠袢及其中央的胰、盲肠与大小肠之关系和腹腔的有关器官。食道移于气管之一侧。2、盲肠内粪便应去净，注入透明的填充物，以保持其原形，并可隐见螺旋瓣，术口应隐蔽。3、皮毛应无脱毛现象，并保持整洁。4、应符合JY143-82《动物浸制标本通用技术条件（试行）》的规定。</t>
  </si>
  <si>
    <t>43006</t>
  </si>
  <si>
    <t>蛙发育顺序标本</t>
  </si>
  <si>
    <t>1、①~②期中的每一个标本应具透明、清晰和膨胀的卵胶膜。2、①~③期的标本应各≥五个。3、③期的标本应能目见≥一对外鳃。4、④期的标本一个腹面向下，一个腹面向上，互相平行。5、⑥期与⑦期的尾长应有明显区别。6、⑦期与⑧期所显示的色泽和斑纹应基本相似。7、应符合JY143-82《动物浸制标本通用技术条件（试行）》的规定。</t>
  </si>
  <si>
    <t>43008</t>
  </si>
  <si>
    <t>蛔虫标本</t>
  </si>
  <si>
    <t>1、产品应完整无缺、并保持自然色。2、整体浸制在密封包装的标本瓶内。3、必有雌、雄蛔虫各一条。4、产品应符合JY143-82《动物浸制标本通用技术条件》的规定。5、产品应符合JY0001-2003《教学仪器产品一般质量要求》的有关规定。</t>
  </si>
  <si>
    <t>43009</t>
  </si>
  <si>
    <t>花序类型保色浸制标本</t>
  </si>
  <si>
    <t>适用于中学生物教学使用。 产品特征 1、标本由7种花序组成，2、标本通过保色处理，分别进行浸制，3、浸制标本容器、保护液符合JY0001-2003中10.2～10.5的规定。4.标本保护液基本注满容器，封口严密牢固</t>
  </si>
  <si>
    <t>43010</t>
  </si>
  <si>
    <t>花冠类型保色浸制标本</t>
  </si>
  <si>
    <t>适用于中学生物教学使用。 产品特征 1、标本由7种花冠组成，2、标本通过保色处理，分别进行浸制，3、浸制标本容器、保护液符合JY0001-2003中10.2～10.5的规定。4.标本保护液基本注满容器，封口严密牢固</t>
  </si>
  <si>
    <t>43011</t>
  </si>
  <si>
    <t>褐藻类植物保色浸制标本</t>
  </si>
  <si>
    <t>适用于中学生物教学使用。 产品特征 1、标本由4种褐藻组成，2、标本通过保色处理，分别进行浸制，3、浸制标本容器、保护液符合JY0001-2003中10.2～10.5的规定。4.标本保护液基本注满容器，封口严密牢固</t>
  </si>
  <si>
    <t>43012</t>
  </si>
  <si>
    <t>红藻类植物保色浸制标本</t>
  </si>
  <si>
    <t>适用于中学生物教学使用。 产品特征 1、标本由4种红藻组成，2、标本通过保色处理，分别进行浸制，3、浸制标本容器、保护液符合JY0001-2003中10.2～10.5的规定。4.标本保护液基本注满容器，封口严密牢固</t>
  </si>
  <si>
    <t>43013</t>
  </si>
  <si>
    <t>海葵标本</t>
  </si>
  <si>
    <t>1. 整体浸制。  2. 标本以体筒的任一面向衬板或以基盘固着于瓶底，口向上，示口、口盘、触手、体筒和基盘。 3. 应符合JY143—82《动物浸制标本通用技术条件（试行）》的规定。</t>
  </si>
  <si>
    <t>43014</t>
  </si>
  <si>
    <t>海蛰标本</t>
  </si>
  <si>
    <t>1. 结构及外观的一般要求应分别符合JY 0001的相关要求。 2. 产品性能满足初中生物实验教学的要求。</t>
  </si>
  <si>
    <t>43015</t>
  </si>
  <si>
    <t xml:space="preserve">寄居蟹标本 </t>
  </si>
  <si>
    <t>1. 用生活在螺壳中的寄居蟹制作，螺壳的最大直径≥20mm。 2. 整体浸制。3. 应符合JY143—82《动物浸制标本通用技术条件（试行）》的规定。</t>
  </si>
  <si>
    <t>43016</t>
  </si>
  <si>
    <t>寄居蟹与其他生物共生标本</t>
  </si>
  <si>
    <t>1. 标本由寄居蟹（包括其所寄居的壳）与海葵、海绵、滕壶或其它生物共栖的材料制作，螺壳的最大直径≥20mm。  2. 整体浸制。   3. 应符合JY143—82《动物浸制标本通用技术条件（试行）》的规定。</t>
  </si>
  <si>
    <t>43017</t>
  </si>
  <si>
    <t>寄生绦虫囊尾蚴猪肉浸制标本</t>
  </si>
  <si>
    <t>1、标本用发育正常的猪肉绦虫囊尾蚴，形态完整。2、整体浸制在密封包装的标本瓶内。</t>
  </si>
  <si>
    <t>43021</t>
  </si>
  <si>
    <t>珍贵植物保色浸制标本</t>
  </si>
  <si>
    <t>1. 产品为压制植物标本。 2. 标本由银杏、水杉和银杉（或珙桐或鹅掌揪或金钱松或台湾杉）的枝叶组成，分别装订在台纸上，并加护盖物，合装。</t>
  </si>
  <si>
    <t>43022</t>
  </si>
  <si>
    <t>葫芦藓生活史标本</t>
  </si>
  <si>
    <t>1. 产品用葫芦藓制作，示藓类植物的不同世代。 2. 标本由（1）原丝体；（2）成长中的配子体；（3）具幼嫩孢蒴的配子体；（4）具成熟孢蒴的配子体（5）孢子体组成，按生活史顺序排列。3. 标本的浸制执行JY 143第3章的规定。 4. 整体性能执行JY 0001第4章的规定。  5. 产品的结构执行JY 0001第5.1，5.4，5.23，5.26等条的规定。 6. 产品外观执行JY 0001第6章和第8章的规定</t>
  </si>
  <si>
    <t>43023</t>
  </si>
  <si>
    <t>蕨生活史标本</t>
  </si>
  <si>
    <t>1. 产品用铁线制作，示蕨类植物的不同世代。2. 标本由（1）带有孢子囊群的小羽片、（2）孢子、（3）原叶体（即配子体）、（4）原叶体幼孢子体、（5）孢子体组成，按生活史顺序排列。3. 标本的浸制执行JY 0001第4章的规定.4. 保管和运输的环境温度0～40℃，并避免光直射。   5. 整体性能执行JY 0001第4章的规定。  6. 产品的结构执行JY 0001第5.1、5.4、5.23、5.26等条的规定。7. 产品外观执行JY 0001第6、8章的规定。</t>
  </si>
  <si>
    <t>431</t>
  </si>
  <si>
    <t>生物干制标本</t>
  </si>
  <si>
    <t>43101</t>
  </si>
  <si>
    <t>蝗虫生活史标本</t>
  </si>
  <si>
    <t>1、产品用东亚飞蝗或亚州飞蝗或棉蝗制作（在产品标签中括注昆虫名称）示昆虫的不完全变态。
2、标本由卵、一至五令的跳蛹、雄性成虫、雌性成虫和被害物组成。卵和虫体浸制，分装于小容器内，虫体以腹面向下定位。 
3、卵不少于四粒并排列成行。 
4、 各期虫姿应一致，雌性成虫应大于雄性成虫。 
5、雌性成虫左侧的前、后翅在翅基处剪掉，留翅迹，显示腹部的听器、气孔、产卵器和尾须。 
6、群居型和散居型不得混装。 
7、一至五令跳蝻应显示出翅芽、前胸背板和触角在生长过程中的形态特征。 
8、标本具下列一项时为二级品： a 跗节折断或成虫的触角缺损不超过1/2，总共不超过三处； b 有较明显的褪色或轻度变形； c 翅有明显破损。
9、技术要求符合JY150-1982的相关规定。</t>
  </si>
  <si>
    <t>43102</t>
  </si>
  <si>
    <t>蜜蜂生活史标本</t>
  </si>
  <si>
    <t>1、卵呈乳白色，香蕉状。2、幼虫呈"C"形，白色。3、蛹应呈白色。4、蜂后应是成虫中的最大者，腹部最长，并保持丰满，雄蜂腹部应粗壮，腹末圆；工蜂应是成虫中的最小者，可显示其口器的端部。各成虫的姿态应一致。5、巢础和蜂巢应≥30mm×50mm。6、应符合JY149-82《昆虫标本通用技术条件（试行）》的规定。</t>
  </si>
  <si>
    <t>竹节虫拟态标本</t>
  </si>
  <si>
    <t>1、标本以选用竹节虫目中除叶科以外的种类制作，示保护色和拟竹枝状、虫体应不小于70mm。
2、标本由一个竹节虫和一植株组成，虫体腹面向下，定位于枝株上。</t>
  </si>
  <si>
    <t>43104</t>
  </si>
  <si>
    <t>家蚕生活史标本</t>
  </si>
  <si>
    <t>1、家蚕生活史标本由卵、幼虫（四龄）、蛹、雌雄成虫及茧组成，附蚕丝、丝织品和桑叶。按生活史顺序排列。2、家蚕（Bombyxmori）生长发育标本由卵、蚁蚕、一龄、二龄、三龄、四龄、五龄幼虫、蛹、雌雄成虫及茧组成，附蚕丝、丝织品和桑叶。按生长发育顺序排列。3、产品的整体性能执行JY001第4章的规定。4、产品的结构执行JY0001第5.1、5.4、5.23、5.26等条的规定。5、产品的外观执行JY0001第6、8章的规定。</t>
  </si>
  <si>
    <t>43105</t>
  </si>
  <si>
    <t>菜粉蝶生活史标本</t>
  </si>
  <si>
    <t>1、产品用粉蝶制作，示完全变态。2、标本由卵、幼虫、蛹、雌、雄成虫和被害物组成。按生活史顺序排列。3、标本的封装执行JY149中2.1、2.5条的规定4、产品的整体性能执行JY0001第4.1~4.5、4.8、4.10和4.11等条中的规定。5、产品的结构执行JY0001第5.1、5.4、5.23、5.26和8.6、8.7、8.12等条的规定。6、产品外观执行JY0001第6章的规定。</t>
  </si>
  <si>
    <t>43106</t>
  </si>
  <si>
    <t>兔骨骼标本</t>
  </si>
  <si>
    <t>1、指和趾骨上的角质爪应去掉。2、舌器骨应串连于原来位置上，锁骨串连于原位或粘在前肢骨之间的底板上。3、应保留颌骨上的全部牙齿、鼻腔内的鼻中隔和鼻甲骨、第二颈椎至荐椎的椎间盘、股骨上的种子骨、第六胸骨上的剑突软骨。4、各肋骨远端应具肋软骨，前七对肋软骨应直接与胸骨相连，第八、九两对肋骨的远端应相继连在前面的肋软骨上，最后三或四对肋骨远端游离。5.、应符合JY153-82《脊椎动物骨骼标本通用技术条件（试行）》的规定。</t>
  </si>
  <si>
    <t>43107</t>
  </si>
  <si>
    <t>鱼骨骼标本</t>
  </si>
  <si>
    <t>1、左侧的鳃盖骨和下鳃盖骨保持自然连接，内侧面向下，上缘向上，另附尾椎以右侧面向下，髓棘向上，各附在与自然位相对应的台板上。2、下眶骨及位其内侧的颌弓、方骨和翼骨等各部轮廓应清楚。鲫鱼的下眶骨应为六块，鲤鱼为五块。3、应符合JY153-82《脊椎动物骨骼标本通用技术条件（试行）》的规定。</t>
  </si>
  <si>
    <t>43108</t>
  </si>
  <si>
    <t>蛙骨骼标本</t>
  </si>
  <si>
    <t>1、标本应选用体长不小于80mm的蟾蜍或不小于70mm的青蛙制作（在产品标签中括注所用动物的名称）。
2、标本显示中轴骨骼的头骨、舌器骨、脊柱、附肢骨骼的肩带、肱骨、尺骨、腕骨、掌骨、指骨、腰带、股骨、胫骨、腓骨、跗骨、趾骨、距骨等。
3、标本各部位均按原位组装，在头骨后两侧应保留耳柱骨一对。
4、标本以自然蹲伏姿态固定在底座上。
5、标本应符合JY153-82和JY280-87的各项要求。</t>
  </si>
  <si>
    <t>43109</t>
  </si>
  <si>
    <t>鸽骨骼标本</t>
  </si>
  <si>
    <t>1、标本应选用成熟家鸽制作。
2、标本以自然站立姿态固定在底座上，多附颈椎骨一块。
3、标本应显示中轴骨骼的头骨、舌器骨、13—14块颈椎骨、5—6块胸椎骨、愈合荐椎、6块尾椎骨、尾综骨、5对胸椎的肋骨、胸骨和龙骨突起。
4、标本还应显示附肢骨骼的肩带肱骨、桡骨、尺骨、腕骨、掌骨、三个指骨、腰带、股骨、膝盖骨、胫跗骨、腓骨、跗蟅骨、一块第一蟅骨和四个趾骨。
5、标本应符合JY153-82和JY281-87的各项要求。</t>
  </si>
  <si>
    <t>玉米穗</t>
  </si>
  <si>
    <t>43113</t>
  </si>
  <si>
    <t>褐藻类植物原色覆膜标本</t>
  </si>
  <si>
    <t>（一）适用范围：适用于初中生物学课堂演示。（二）技术要求：1.标本选用不少于四种的褐藻类植物，成一组标本。标本全部展开。2.标本选用典型的扁平的叶状体。3.标本选用海带、裙带菜、羊栖菜、海蒿子或其他褐藻类植物。4.符合JY0001-2003中10.11的规定。</t>
  </si>
  <si>
    <t>43114</t>
  </si>
  <si>
    <t>红藻类植物原色覆膜标本</t>
  </si>
  <si>
    <t>（一）适用范围：适用于初中生物学课堂演示。（二）技术要求：1.标本选用不少于四种的红藻类植物，成一组标本。标本应全部展开，。 2.标本选用典型的，正常生长的红藻，保持完整无损。3 标本选用紫菜、石花菜、发丝菜、蜈蚣菜或其他红藻类植物，展示红藻类植物的典型特征。4.符合JY0001-2003中10.11的规定。</t>
  </si>
  <si>
    <t>珊瑚标本</t>
  </si>
  <si>
    <t>1、标本选用下列材料之一制作：a 红珊瑚或其它珊瑚的具骨轴、共肉和虫体的标本，其长、宽不小于70×40mm。b 鹿角珊瑚或其它珊瑚的骨骼，长、宽不少于70×60mm。
2、采用a项材料的标本浸制，采用b 项材料的标本干制，并在产品标签中注明为骨骼。
3、标本以较平坦的一面向衬板或盒底，示珊瑚的共肉和虫体，或骨骼的形态结构和骨杯。
4、具共肉的标本应保持一定程度生活时的基本色。
5、似鹿角珊瑚的骨骼应有不少于三个完整的主要分枝，其它形式的骨骼其结构应基本完整，骨骼洁白，骨杯清晰。
6、浸制标本可以拼接，但不得超过二处，虫体部分不少于50%。
7、在整体中截取的标本应注意形态匀称和完整性。
8、标本具下列一项时为二级品：a．骨骼不白或大部分骨杯不清晰；b．主要分枝上有较明显的断裂不超过两处；c．具共有肉的标本上有较明显破损不超过两处；拼接不超过四处。
9、技术要求符合JY284-1987的相关规定。</t>
  </si>
  <si>
    <t>化石标本</t>
  </si>
  <si>
    <t>1、产品由三叶虫或鱼和植物两种化石组成，合装。
2、三叶虫化石应显示中轴叶、左肋叶、右肋叶三叶和头、胸、尾三叶。
3、鱼化石应显示外部形态或骨骼的结构。
4、植物化石应显示叶的形态结构。
5、化石的形态结构应基本清晰、完整。
6、有风化、疏松、剥落等迹象的标本应经加固处理。
7、羽状复叶的化石标本上应不少于一片小羽状叶，三叶虫化石的长度应不小于10mm
8．技术要求符合JY156-1982的相关规定。</t>
  </si>
  <si>
    <t>43118</t>
  </si>
  <si>
    <t>节肢动物标本</t>
  </si>
  <si>
    <t>1、产品选用节肢动物门昆虫纲东亚飞蝗（体长≥40mm），甲壳纲梭子蟹（壳体左右长度≥80mm），蛛形纲中圆蛛（肢体直径不小10mm）制作。2、应符合JY143-82《昆虫标本通用技术条件（试行）》规定。3、产品的性能应符合JY0001-2003第4章的相关规定。4、产品的结构应符合JY0001-2003第6章中的相关规定。5、产品的外观应符合JY0001-2003第7章中的相关规定。</t>
  </si>
  <si>
    <t>43119</t>
  </si>
  <si>
    <t>昆虫标本</t>
  </si>
  <si>
    <t>主要技术指标：一适用范围、规格：1. 适用于初中生物学习观察用。2. 规格：六种以上。（二）技术要求：1. 产品包括六种以上的常见昆虫的标本，固定，成套，装盒。2. 标本应固定牢固，不易脱落，不应有虫蛀。3. 盒应便于观察，不易破损，接合紧密并有防虫措施。</t>
  </si>
  <si>
    <t>产品尺寸规格：164×78×20mm（误差±2mm）。 包埋材料重金属及有害化学物质含量按照国家有关玩具安全标准，表面打磨抛光平整透明，边角平滑美观。无影响观察的气泡、割痕、伤痕。晶体应无色透明，无影响观察标本的各种缺陷。</t>
  </si>
  <si>
    <t>产品尺寸规格：140×64×18mm（误差±2mm）。 包埋材料重金属及有害化学物质含量按照国家有关玩具安全标准，表面打磨抛光平整透明，边角平滑美观。无影响观察的气泡、割痕、伤痕。晶体应无色透明，无影响观察标本的各种缺陷。</t>
  </si>
  <si>
    <t>产品尺寸规格：190×90×30mm（误差±5mm）。 包埋材料重金属及有害化学物质含量按照国家有关玩具安全标准，表面打磨抛光平整透明，边角平滑美观。无影响观察的气泡、割痕、伤痕。晶体应无色透明，无影响观察标本的各种缺陷。</t>
  </si>
  <si>
    <t>产品尺寸规格：140×96×32mm（误差±2mm）。 包埋材料重金属及有害化学物质含量按照国家有关玩具安全标准，表面打磨抛光平整透明，边角平滑美观。无影响观察的气泡、割痕、伤痕。晶体应无色透明，无影响观察标本的各种缺陷。</t>
  </si>
  <si>
    <t>产品尺寸规格：180×130×65mm（误差±5mm）。包埋材料重金属及有害化学物质含量按照国家有关玩具安全标准，表面打磨抛光平整透明，边角平滑美观。无影响观察的气泡、割痕、伤痕。晶体应无色透明，无影响观察标本的各种缺陷。</t>
  </si>
  <si>
    <t>由海带、裙带菜、鹿角菜和海蒿等组成。经保色处理，干制。</t>
  </si>
  <si>
    <t>由紫菜、石花菜、海索面、海萝卜等组成。经保色处理。</t>
  </si>
  <si>
    <t>产品尺寸规格：88×58×24mm（误差±2mm）。 包埋材料重金属及有害化学物质含量按照国家有关玩具安全标准，表面打磨抛光平整透明，边角平滑美观。无影响观察的气泡、割痕、伤痕。晶体应无色透明，无影响观察标本的各种缺陷。</t>
  </si>
  <si>
    <t>古生物学标本，用于讲授生物进化的教学与实验。</t>
  </si>
  <si>
    <t>43117</t>
  </si>
  <si>
    <t>蝴蝶标本</t>
  </si>
  <si>
    <t>产品尺寸规格：75×75×15mm（误差±2mm）。 包埋材料重金属及有害化学物质含量按照国家有关玩具安全标准，表面打磨抛光平整透明，边角平滑美观。无影响观察的气泡、割痕、伤痕。晶体应无色透明，无影响观察标本的各种缺陷。</t>
  </si>
  <si>
    <t>43120</t>
  </si>
  <si>
    <t>蛾标本</t>
  </si>
  <si>
    <t>产品尺寸规格：73×41×24mm（误差±2mm）。 包埋材料重金属及有害化学物质含量按照国家有关玩具安全标准，表面打磨抛光平整透明，边角平滑美观。无影响观察的气泡、割痕、伤痕。晶体应无色透明，无影响观察标本的各种缺陷。</t>
  </si>
  <si>
    <t>43121</t>
  </si>
  <si>
    <t>大豆发育成长标本</t>
  </si>
  <si>
    <t>43122</t>
  </si>
  <si>
    <t>水稻发育成长标本</t>
  </si>
  <si>
    <t>43123</t>
  </si>
  <si>
    <t>小麦发育成长标本</t>
  </si>
  <si>
    <t>43124</t>
  </si>
  <si>
    <t>玉米发育成长标本</t>
  </si>
  <si>
    <t>432</t>
  </si>
  <si>
    <t>43201</t>
  </si>
  <si>
    <t>植物根尖纵切</t>
  </si>
  <si>
    <t>1、标本在80x和200x学生显微镜下观察根尖的结构。
2、能看清根冠、分生区、伸长区、根毛区和原形成层等。
3、根毛与表皮细胞无间隔，可不要求看到根毛内的胞核。
4、标本取于人工培养的玉米根，取材部位为根冠至根毛区。
5、标本的纵切面应与原形成层平行，并过原形成层。原形成层顶端至分生区顶端的距离应在基本分生组织厚度的1／3以内。如无完整根毛时，则至少应有一处表皮细胞能显示形成根毛之特征。
6、切片厚度在8μm以内，每张玻片垂放材料1～2片。
7、胞核着色明显，可见核仁，胞质着色均匀。
8、技术要求符合JY68-1982的相关规定。</t>
  </si>
  <si>
    <t>43202</t>
  </si>
  <si>
    <t>顶芽纵切</t>
  </si>
  <si>
    <t>1、标本在100x和400X生物显微镜下观察顶芽纵断面的结构。
2、能看清生长锥、叶原基、幼叶、腋芽原基和芽轴等。
3、生长锥最外层为排列整齐的原套细胞。
4、原套内为排列不整齐细胞体较大的原体细胞。
5、标本取材为黑藻顶芽。
6、做芽的中部纵切,切片厚度在8μm 以内,每张玻片垂直放材料一片。
7、应使幼叶完全包在生长锥上，原套细胞形态正常。
8．生长锥及幼叶处细胞无“质壁分离”现象。
9．技术要求符合JY70-1982的相关规定。</t>
  </si>
  <si>
    <t>43203</t>
  </si>
  <si>
    <t>南瓜茎纵切</t>
  </si>
  <si>
    <t>1、基本在80x和200x学生显微镜下观察南瓜茎纵横断面的结构。 
2、在演断面上能看清皮层、机械组织、薄壁组织、双韧维管束和髓腔，在表皮上可见表皮毛，在纵断面上应能看清上述组织的纵断结构。 
3、在双韧维管柬的横断面上能看清导管、形成层、筛管和筛板，筛板上有筛孔。 
在纵断面上能看清网纹导管或环纹导管或螺纹导管中的两种和筛管、筛板等的结构。 
4、标本取材于田间种植的南瓜茎，注意老幼适中。 
5、纵横切片的厚度为15～25um。 
6、横切应与纵轴垂直，各部细胞不得有倾斜现象。纵切材料应两端整齐，长度不小于5mm，表皮细胞完整，木质导管基本连续。 
7、标本用蕾红、固绿染色，机械组织、木质部导管红色，其他组织绿色，筛板可呈红或绿色。 
8、标本具下列一项时为二级品： a 木质部导管、机械组织与其他组织分色不清晰； b 材料磁裂现象不超过表皮的1/4； c 薄壁细胞的收缩不超过10%； d 标本四周有轻微余色。
9、技术要求符合JY71-1982的相关规定。</t>
  </si>
  <si>
    <t>单子叶植物茎横切</t>
  </si>
  <si>
    <t>1、标本在80x和200x学生显微镜下观察单子叶植物茎横断面的结构。 
2、能看清表皮、散生维管束、薄壁组织。 
3、表皮为一层排列整齐的细胞，表皮下有一圈机械组织。 
4、标本取材于人工培养的玉米茎，取节间部位。 
5、切片厚度在25um以内。 
6、切面应与纵轴垂直，表皮、机械组织、薄壁组织、维管束等处细胞倾斜不超过茎的1／4。 
7、标本用蕃红、固绿染色，木质导管、机械组织呈红色，其他组织绿色。 
8、标本具下列一项时为二级品： a 表皮、机械组织、薄壁组织、维管束等处细胞倾斜，不超过茎的1／3； b 除木质导营和机械组织呈红色外，其他组织分色不清晰； c 局部薄壁组织细胞收缩或破碎，但不超过茎的1／3； d 其他组织破损不超过两处。
9、技术要求符合JY72-1982的相关规定。</t>
  </si>
  <si>
    <t>双子叶植物茎横切</t>
  </si>
  <si>
    <t>符合双子叶植物茎横切技术条件</t>
  </si>
  <si>
    <t>43206</t>
  </si>
  <si>
    <t>木本双子叶植物茎横切</t>
  </si>
  <si>
    <t>1、标本在80x和200x学生显微镜下观察木本植物茎横断面的结构。 
2、能看清表皮（有脱落现象，有时可见皮孔）、木栓层、厚角组织、皮层、韧皮部、形成层、本质部、髓部、髓射线等。 
3、在木质部能看清年轮。 
4、在皮层、韧皮部和髓部的细胞中有时可见草酸钙结晶。 
5、标本应于秋未取材，选用根木三年生枝。 
6、切片厚度在15um以内。 
7、标本用蕾红、固绿染色，木质仰和韧皮纤维呈红色，其他组织呈绿色（髓射线在木质部可呈红色）。 
8、各部组织无破裂，表皮脱落应不超过1／4。 
9、标本具下列一项时为二级品： a 木质部和韧皮部分色不清晰。 b 皮层与韧皮部或韧皮部与木质邻间有裂隙，但不超过1／3； c 表皮脱落超过1/4，但小于3／4； d 标本上有轻微污物不超过三处。
10、技术要求符合JY73-1982的相关规定。</t>
  </si>
  <si>
    <t>43208</t>
  </si>
  <si>
    <t>1、标本在80x和200x学生显微镜下观察叶下表皮形态和气孔结构。 
2、能看清不规则形的下表皮细胞，及其胞核和分散在下表皮细胞间的气孔。 
3、能看清正常开放的气孔形态和新月形的保卫细胞、胞核和叶绿体。 
4、标本取材于新鲜的、气孔开放的蚕豆叶。 
5、标本为平铺装片，每片材料不小于2x2mm，四周剪切整齐。 
6、材料整洁，不附带叶肉等其他组织，保卫细胞不收缩。 
7、闭合气孔不得超过2／3。 
8、胞质着色均匀，胞核明显，细胞界限清晰。 
9、材料上附带叶肉等其他组织或轻微污物时为二级品。
10、技术要求符合JY75－82的相关规定。</t>
  </si>
  <si>
    <t>1、标本取材于人工培养的细胞分裂旺盛时期的洋葱根尖，根的上端应切齐。2、标本在400X生物显微镜下观察植物细胞有丝分裂期间的细胞和分裂过程中的前期、中期、后期、末期的分裂形态。</t>
  </si>
  <si>
    <t>松叶横切</t>
  </si>
  <si>
    <t>1、标本在80×和200×学生显微镜下，观察松叶横断面的结构。
2、能看清表皮、厚壁组织、内陷的气孔、树脂道、内皮层、维管束、薄壁组织和叶肉组织等。
3、表皮细胞壁厚，有角质层。叶肉细胞的壁向内形成突起，伸入细胞腔内，细胞内有叶绿体。在叶的中心部分有两束维管组织。
4、内陷气孔的断面可看出副卫细胞、保卫细胞和孔下室等结构。
5、标本取材于松属双维管亚属中的马尾松、黄山松或赤松的针叶。
6、切片厚度在25μm以内，每张玻片放材料不少于二片。
7、标本用番红、固绿染色，表皮、导管、胞核等呈红色，其它组织绿色。
8、标本应完整、无污染物，各组织间无裂隙。
9、表皮、树脂道、维管束等处细胞倾斜部分不超过叶横截面的1/4。
10、标本具下列一项时为二级品：a．细胞倾斜部分不超过叶横断面的1/3；b．标本分色不清晰；c．组织间有裂隙一处，其长度不超过叶周长的1/3；
d．薄壁组织、叶肉组织等处细胞有破碎或收缩，但不超过叶横断面的1/3。
11、技术要求符合JY234-1987的相关规定。</t>
  </si>
  <si>
    <t>1、标本在400×生物显微镜下观察植物细胞的胞间连丝形态。
2、能看清胚乳的多边形厚壁贮藏细胞，认出细胞壁、胞间层和细胞腔。
3、能看清许多细小的胞间连丝将两个相邻细胞的原生质体连在一起。
4、标本取材于秋、冬季节的柿或黑枣的种子。
5、切片厚芳在20μm。材料面积不小于1.5mm2，细胞不倾斜。
6、标本用能显示胞间连丝的方法染色。胞间连丝着色应明显，细胞界限清楚，胞质色淡。
7、有50%以上细胞能显示胞间连丝。
8、材料四周剪切整齐，无染液的沉淀物。
9、标本具下列一项时为二级品：a．染色欠佳，但胞间连丝能显示清楚；b．能看清胞间连丝的细胞不少于30%；c．有染液等沉淀物或少许破裂，但不影响以胞间连丝的观察。d．倾斜细胞的总面积，不超过材料面积的1/3。
10、技术要求符合JY235-1987的相关规定。</t>
  </si>
  <si>
    <t>地衣切片</t>
  </si>
  <si>
    <t>1、产品取材于地衣门（Lichenes）叶状地衣（goliose-lichen）中的一种，示异层地衣结构。
2、应示由紧密交织的菌丝组成的上皮层和下皮层，有疏松菌丝及藻类细胞组成的髓层、藻胸层。
3、在上皮层或下皮层处中有各种附属物的结构。
4、标本为双重染色，藻菌类染色有鲜明对比，分色适当，色泽协调。
5、标本为地衣体的纵切片，切片厚度不超过10m，材料长度不短于3mm，每张玻片横放材料一至二片。
6、材料的刀痕或破损不超过二处。
7、技术要求符合JY0338-1993的相关规定。</t>
  </si>
  <si>
    <t>蕨叶切片</t>
  </si>
  <si>
    <t>符合蕨叶切片技术条件</t>
  </si>
  <si>
    <t>蕨原叶体装片</t>
  </si>
  <si>
    <t>符合蕨原叶体装片技术条件</t>
  </si>
  <si>
    <t>蕨原叶体幼孢子体装片</t>
  </si>
  <si>
    <t>符合蕨原叶体幼孢子体装片技术条件</t>
  </si>
  <si>
    <t>花粉萌发装片</t>
  </si>
  <si>
    <t>1、标本采用已萌发的花粉，在显微镜下能观察到花粉管及花粉管中的精核和营养核。
2、苏木精及曙红染色。
3、技术要求符合JY67-82的相关规定。能满足教材规定的相关实验要求。</t>
  </si>
  <si>
    <t>百合子房切片</t>
  </si>
  <si>
    <t>1、在显微镜下能观察到百合子房是一个三心皮组成的复雌蕊，为中轴胎座，有三室，每室有2个胚珠。
2、技术要求符合JY67-1982的相关规定。能满足教材规定的相关实验要求。</t>
  </si>
  <si>
    <t>百合花药切片</t>
  </si>
  <si>
    <t>1、标本采用成熟时期的百合花药。
2、在显微镜下可观察到百合花药是由四分体形成4个分散的单核花粉粒组成，成熟的花粉粒圆形，有内外两层壁，内层薄，外壁厚。由于外壁不均匀增厚形成了萌发孔，同时也使花粉表面形成特有的花纹。花粉囊壁的绒毡层和中层完全解体，只留表皮和纤维层，花药在二药室之间裂开，花粉散出。
3、技术要求符合JY67-1982的相关规定。能满足教材规定的相关实验要求。</t>
  </si>
  <si>
    <t>荠菜幼胚切片</t>
  </si>
  <si>
    <t>1、标本选用幼胚时期的荠菜胚。
2、在显微镜下可观察到胚胎——通过胚柄着生于胚囊的珠孔端，胚柄为一列细胞，最下部固着的基细胞明显的大，细胞中有大的液泡，胚柄顶部有胚体，此时胚体是多细胞的球状体，因此称球形胚。胚乳——处于游离核的状态。许多圆球形的核大部分分布于胚囊的四周，还有一些核集中分布在胚的周围。胚囊外面为珠被，合点端有一团残存的珠心细胞。
3、技术要求符合JY67-1982的相关规定，能满足教材规定的相关实验要求。</t>
  </si>
  <si>
    <t>荠菜老胚切片</t>
  </si>
  <si>
    <t>1、标本选用成熟期的荠菜胚。
2、在显微镜下可观察到胚体部分已很大，二张子叶同时向一侧弯曲。胚体几乎占满了胚囊的整个空间，胚柄已退化，变得很短，但基细胞仍存在。胚乳已大部分被胚吸收，有时在胚体基部胚柄周围还有些残存。
3、技术要求符合JY67-1982的相关规定。能满足教材规定的相关实验要求。</t>
  </si>
  <si>
    <t>43221</t>
  </si>
  <si>
    <t>迎春叶横切</t>
  </si>
  <si>
    <t>1、标本在80×和200×学生显微镜下，观察迎春叶横断面。
2、能看清上下表皮，气孔的断面、栅状组织、海绵组织、叶脉等。
3、在栅栏组织和海绵组织的细胞中能看清胞核和叶绿体。
4、在主脉的横切断面上看清木质部韧皮部形成层和机械组织。
5、在主脉两侧可见到侧脉的横或纵断面，也应看清木质部和韧皮部，有时可见木质部导管的纵切面。
6、标本取材为迎春叶。
7、作过主脉的横切片厚度为8微米，每张玻片横放材料一片。
8、技术要求符合JY67-1982的相关规定。能满足教材规定的相关实验要求。</t>
  </si>
  <si>
    <t>玉米种子纵切</t>
  </si>
  <si>
    <t>1、标本在50×和200×显微镜下观察玉米种子纵切面的结构，取成熟的玉米种子。
2、能看清果皮、种皮、糊粉层、胚和胚乳，能看清胚内的胚芽（包括幼叶和生长锥）、胚芽鞘、胚根、胚根鞘、胚轴及一侧的一片子叶，并可见维管束。
3、做玉米种子的纵切，每张玻片放材料一片，果皮与种皮不得脱离，胚内的各种结构应完整。
4、技术要求符合JY67－1982的相关规定。</t>
  </si>
  <si>
    <t>43223</t>
  </si>
  <si>
    <t>洋葱鳞片叶表皮装片</t>
  </si>
  <si>
    <t>符合洋葱鳞片叶表皮装片技术条件</t>
  </si>
  <si>
    <t>433</t>
  </si>
  <si>
    <t>43301</t>
  </si>
  <si>
    <t>青霉装片</t>
  </si>
  <si>
    <t>1、标本在200x学生显微镜下观察青霉的形态。
2、在400X镜下能看清帚状枝的梗基和小梗及小梗上呈链状的分生孢子。
3、标本取材为人工培养的典型青霉。
4、视菌株培养清况可做装片或切氏切片方向应平行于分生孢子梗，厚度根据菌株培养情况决定。
5、标本单一染色，菌丝、分生孢子梗、分生孢子应着色明显、对比协调。
6、分生孢子梗不应断裂，散落的抱子不得影响对特征的观察。
7、菌丝、孢子梗、孢子应无收缩现象。
8、应能看到不少于五个模式的帚状枝。
9、无杂菌、无污物，培养基和包埋剂无色。
10、技术要求符合JY76-82的相关规定。</t>
  </si>
  <si>
    <t>衣藻装片</t>
  </si>
  <si>
    <t>1、产品取材于绿藻门（Chlorophyta）衣藻属（Chlamydomonas）中个体较大者，示衣藻细胞的结构。
2、应显示衣藻为单细胞，球形或卵形。
3、应显示细胞壁，杯状叶绿体，蛋白核（造粉核、淀粉核）细胞核，鞭毛。
4、标本染色清晰，分色适当，色泽协调。
5、材料纯净，不密集成团，细胞不皱缩。
6、在100×镜下的任一视野内，衣藻数不少于20个，其中有鞭毛的衣藻不少于总数的1/5。
7、技术要求符合JY0337-1993的相关规定。</t>
  </si>
  <si>
    <t>43304</t>
  </si>
  <si>
    <t>细菌三型涂片</t>
  </si>
  <si>
    <t>1、在500x生物显微镜下观察细菌的三种基本形态。
2、清晰地看出球菌、杆菌、螺旋菌的形态，不要求显示鞭毛。
3、标本一般应取材于人工培养的球菌、杆菌、螺旋菌。球菌可用单球菌、双球菌成葡萄球菌，杆菌可用枯草杆菌、大肠杆菌或炭疽杆菌，螺旋菌可用具有一个穹以上的任一种螺旋菌。
4、在自然界的污水中可采到三种形态的细菌混合物，其中无原生动物时也可应用。
5、作三种细菌的混合涂片，所用载玻片应经洗液清洗。
6、选用能清晰显示菌体的染色方法，并不得有任何沉淀物。
7、技术要求符合JY78-1982的相关规定。</t>
  </si>
  <si>
    <t>1、标本在100x和400x生物显微镜下观察酵母菌的形态。 
2、酵母菌为单细胞卵圆形。 
3、在不同的染色情况下，能看清细胞壁、细胞质、细胞核和液泡等。 
4、在菌体上可看清出芽生殖，分别具一、二或多个芽。 
5、标本取材于人工培养的体大的酵母菌。 
6、材料应纯净，无杂菌、污物，不密集成团。 
7、标本具下列一项时为二级品： a 只在个别菌体上看到出菌生殖； b 染色欠、佳，胞核等不明显。
8、技术要求符合JY79-1982的相关规定。</t>
  </si>
  <si>
    <t>水绵接合生殖装片</t>
  </si>
  <si>
    <t>1、标本在80×和200×学生显微镜下观察水绵的结构和接合生繁过程。
2、能看清圆柱形的营养细胞，位于中央的胞核，呈星芒状的原生质，平直的细胞横壁，作螺旋盘绕的叶绿体呈带状，以及纵列于叶绿体上的蛋白核等。
3、能看清接合生殖（梯形接合）过程：两条平行靠近的丝状体，相对生出突起形成接合管，细胞内原生质收缩，通过接合管向相对的细胞中移动，形成合子。
4、标本取用具梯形接合的、细胞壁为平滑型的任一种水绵。
5、标本包括有营养细胞和接合生殖各期的藻丝，细胞不收缩，藻丝不堆集或缠绕。
6、标本为铁苏木精染色，可复染固绿。核、叶绿体等明显，胞质均匀，接合子内的胞核、叶绿体也应区别清楚。
7、除少数接合管外，标本应清洁无污物，不混有其它藻类。
8、标本具下列一项时为二级品：a．藻丝有轻微收缩或污物，但不影响观察其形态；b．染色过深，对比不协调。
9、技术要求符合JY236-1987的相关规定。</t>
  </si>
  <si>
    <t>1、标本在80×和200×学生显微镜下观察水绵营养时期的结构。
2、能看清丝状体内圆柱形的营养细胞，位于中央的胞核，呈星芒状的原生质、平立的细胞横壁，作螺旋盘绕的叶绿体呈带状，以及纵列于叶绿体上的蛋白核等。
3、应取材于营养时期的水绵材料，细胞不收缩，藻丝不严重堆集或缠绕（不影响观察）。
4、标本为铁苏木精与固绿双重染色，标本应清洁无污物，不混有其他藻类。
5、技术要求符合JY67－1982的相关规定。</t>
  </si>
  <si>
    <t>团藻装片</t>
  </si>
  <si>
    <t>1、标本在50×和100×生物显微镜下，观察团藻具子群体的形态。
2、能看清由大量细胞构成的一个空心球体和球体内不同发育期的若干子群体。
3、能认出形成球体的细胞只有一层，并且形态相同，从表面上观察细胞为多边形，中间有核。
4、标本取材应具子群体期，具有性生殖期的材料更好。
5、标本为洋红或苏木精与固绿的双重染色，分色适当，细胞界限及核清楚，子群体能显示。
6、作团藻的整体装片，每张玻片内团藻数量不应少于五个，并应具有不同时期的子群体。
7、团藻应基本呈球形，无明显收缩，压碎等情况。
8、团藻为厚装片标本，封盖剂应充分干燥，材料不得在盖玻下移动。
9、标本具下列一项时为二级品：a．染色过深或过淡，但其结构能辩认，子群体亦能看清；b．材料形态不正常或收缩在20%以内；c．破碎材料不超过10%。
10、技术要求符合JY251-1987的相关规定。</t>
  </si>
  <si>
    <t>曲霉装片</t>
  </si>
  <si>
    <t>1、标本在100×和400×生物显微镜下，观察曲霉的形态。
2、能看清营养菌丝，及其上的分生孢子梗、顶囊和顶端的分生孢子。
3、能认出分生孢子穗的小梗和成串的分生孢子。
4、标本取材于人工培养的曲霉属任一种。
5、视菌株培养的情况，可做装片或切片，切片方向应平行于分生孢子梗，切片厚度根据茵株培养情况决定。
6、标本为单一染色，不复染。菌丝，分生孢子梗，分生孢子应着色明显。
7、分生孢子玻不应断裂，散落的老孢子不得影响对特征的观察。
8、菌丝、孢子玻和孢子应无收短现象。
9、应能看到不少于五个模式的分生孢子穗。
10、无杂菌，无污物，培养基或包埋剂无色。
11、钉标本具下列一项时为二级品：a．只有3～4个模式的分生孢子穗；b．分生孢子梗断裂，但不超过材料数量的1/3；c．标本着色过深，对比不协调。
12、技术要求符合JY252－1987的相关规定。</t>
  </si>
  <si>
    <t>伞蕈切片</t>
  </si>
  <si>
    <t>1、标本在100×和400×生物显微镜下，观察伞蕈菌盖的部分结构。
2、能看清帽状菌盖的横切面，中间有菌柄横切面和菌褶的纵切面，两侧有担子。
3、能认出菌褶（子实层）的结构，认出担子，担子小柄和担孢子。
4、能认出担子顶端的有二或四个担子小柄及小柄顶有一个担孢子的典型结构。
5、标本选用同担子菌亚纲（Homobasidiomycetidae）伞菌目（Agaricales）中任一种伞菌。
6、标本取材不宜过老，菌盖尚未张开，呈帽形状时为佳。
7、标本为帽状菌盖的横切片，其厚度在8μm以内。铁苏木精染色，每张玻片放材料一片。
8、菌柄居中，菌褶、担了和担孢子不收缩。
9、菌褶两侧的担子，除达到1.4条要求外，近半数担子顶端也应看到孢子。
10、担孢子散落不应过多，材料无破损现象。
11、标本具下列一项时为二级品：a．染色过深或过淡，但能看清担子及担孢子的形态；b．菌柄，菌褶有轻度收缩；c．担孢子散落过多，但尚能满足4条和9条的要求；d．菌褶有轻度破损。
12、技术要求符合JY253-1987的相关规定。</t>
  </si>
  <si>
    <t>黑根霉装片</t>
  </si>
  <si>
    <t>1、在显微镜下能观察到：黑根霉匍匐生长的菌丝（无隔）、垂直向上的孢子囊梗、孢子囊（内有黑色孢子）和向下生长的假根。
2、技术要求符合JY67－1982的相关规定。</t>
  </si>
  <si>
    <t>水螅纵切</t>
  </si>
  <si>
    <t>1、标本在80x和200x学生显微镜下观察水媳纵断面的结构。 
2、能看清外胚层、内胚层、中胚层和消化循环腔，有时可看到部分触手的纵断面. 
3、外胚层看到内皮肌细胞,内胚层看到内骨细胞,在400X镜下可见间细胞和刺细胞 
4、基盘部细胞排列整齐，垂唇部细胞较为致密。 
5、标本取材为淡水水螅，经固定后仍应保持其伸展状态。 
6、做水媳整体中部纵切,切片厚度为5-7um,每张玻片垂直放材料一片。 
7、标本为基盘部至口端部的纵断面,基盘必须完整,可以不过口和触手。 
8、内、外胚层间应无裂隙，体外不得有附着物。 
9、标本具下列一项时为二级品： a 内、外腔层间有裂隙一处，但不超过一侧体壁的1／2； b 在内皮肌细胞的顶端有不多于两处的自溶现象； c 基盘下或体壁四周有少许附着物； d 染色对比不协调。
10、技术要求符合JY81-1982的相关规定。</t>
  </si>
  <si>
    <t>蚯蚓横切</t>
  </si>
  <si>
    <t>1、标本在80x和200x学生显微镜下观察蚯蚓横断面的结构。 
2、能看清表皮、肌层（环肌、纵肌）、体腔、背血管、腹血管、腹神经索、神经下血管、肠、盲道、不完整的肾管、肠及背血管周围的黄色细胞等。 
3、表皮为多种细胞组成，表皮外可见一层角质膜。有时可见到刚毛的纵断切面。 
4、环肌层较薄，肌细胞呈纵断面，成柬状的纵肌层较厚，肌细胞呈横断面，纵肌内侧可见体腔膜。 
5、标本取材为环毛蚓(异唇蚓等也可使用)。 
6、切片厚度为10um以内。 
7、标本的切面应与蝗蚓的纵轴垂直,呈圆或椭圆形.背血管\腹血管、腹神经索、神经下血管应基本位于同一垂直线上。 
8、纵肌和肠上皮细胞可有轻微收缩现象和裂隙。 
9、表皮无皱褶、无污物。 
10、产品具下列一项时为二级品: a 标本的横断面不与纵轴垂直,但切斜的皮肌囊不超过体壁的 1/5； 
b 背、腹血管或腹神经索等有移位现象,但尚能显示横断面的完整形态； c 黄色细胞和肠壁间有轻微裂隙； 
d 标本染色过深,对比不协调。
11、技术要求符合JY67－1982的相关规定。</t>
  </si>
  <si>
    <t>43403</t>
  </si>
  <si>
    <t>1、标本得材于马蛔虫子宫，作子宫的纵切片，材料长度≥10mm，每张玻片横放材料一片；也可作子宫的横切片，每张玻片放不同部位的横切片2~4片，以保证观察到细胞分裂的各个时期。2、切片厚度为6~8μm。3、应符合JY67-82《生物玻片标本通用技术条件（试行）》的规定。</t>
  </si>
  <si>
    <t>草履虫接合生殖装片</t>
  </si>
  <si>
    <t>1、标本在50×和100×生物显微镜下，观察草履虫接合生殖的形态。
2、能看清两个草履虫纵向平行紧贴在一起。
3、有时隐约可见虫体是以口沟部位相紧贴的，能认出被染成深色的大核，在个别标本上可见纤毛。
4、标本取材为人工培养的处于接合生殖时期的大草履虫（Paramecium Caudatum）。
5、标本为整体装片，每张玻片放材料应不少于三对，并可在50×镜下的同一视野内观察到。
6、标本用洋红或苏木精染色，分色适当，大核明显。
7、草履虫体形正常，无收缩，膨胀及压裂现象。
8、标本具下列一项时为二级品：a．染色对比欠佳，大核基本上能看清；b．有个别虫体体形不正常或有压碎现象不超过一对。
9、技术要求符合JY254-1997的相关规定。</t>
  </si>
  <si>
    <t>技术要求符合JY255-1987的相关规定。</t>
  </si>
  <si>
    <t>囊虫装片</t>
  </si>
  <si>
    <t>1、标本在50×和100×生物显微镜下，观察囊虫的形态。
2、能看清头节上的四个吸盘和顶突部分的小钩。
3、能认出一部分颈节和囊。
4、标本取材为寄生于猪的链状带绦虫（Taenia Solium）的囊尾蚴。
5、取材应为成熟的囊尾蚴，囊不应过大，头节自囊内翻出。应达到1.2条和1.3条的要求。
6、标本为洋红或苏木精染色。分色适中，颈节、头节、吸盘和囊等分辩清楚。 
7、囊体不破裂，可有小皱褶，头、颈无收缩现象。
8、每张玻片放囊虫一个，头节向上。装片时如达不到JY67—82通用技术条件2.5条的要求时，可在头节两侧垫与囊等厚的小玻璃块。
9、标本为特厚装片，封盖后的封盖剂必须干固，标本不能有移动现象。
10、标本具下列一项时为二级品：a．标本染色过深或过淡，但尚能满足1.2条和1.3条的要求；
b．囊体有轻度破损，不超过一处；c．头节部有轻度收缩，但尚能辩认其结构。
11、技术要求符合JY260－1987的相关规定。</t>
  </si>
  <si>
    <t>血吸虫雌雄合抱装片</t>
  </si>
  <si>
    <t>1、标本在50×和100×生物显微镜下，观察血吸虫雌雄合抱的形态和结构。
2、 应分别认出雌、雄虫的各部主要结构：口吸盘、腹吸盘、精巢和卵巢等。
3、重点观察雌虫在雄虫抱雌沟内的形态。
4、标本选用经人工感染哺乳物后的日本血吸虫（Schistosoma Japonicum）雌雄虫合抱期的材料。
5、标本为洋红或苏木精染色。分色适当，各部结构显示清晰。 
6、雌雄虫体形正常，雌体可有部分离开雌沟的现象，体外及口吸盘部位可有轻度污物，虫体可有轻度扭曲现象。
7、每张玻片放雌雄合抱期的虫体一条，口吸盘部向前，体侧面向上。
8、标本具下列一项时为二级品：a．虫体有轻度收缩，但能辩认其结构；b．雌虫在抱雌沟内不足1/2；
c．染色过深或过淡，但尚能辨认各部结构；d. 虫体外有较多污物。
9、技术要求符合JY261－1987的相关规定。</t>
  </si>
  <si>
    <t>血吸虫雄虫装片</t>
  </si>
  <si>
    <t>1、标本在50×和100×生物显微镜下，观察血吸虫雄虫的形态结构。
2、能看清雄虫体较短粗，一般向腹面弯曲，呈新月形或C形。
3、能看清自吸盘以后虫体侧壁向腹面围拢形成的抱雄沟。
4、认出口吸盘、腹吸盘、精巢（一般为七个）。在腹吸盘附近，消化道分成左右两肠支。
5、标本选用经人工感染哺乳动物后的日本血吸虫（Schistosma Japonicum）雄性成虫。
6、标本用苏木精或洋红染色。精巢应着色明显易于辩认，其它结构为淡兰色或粉红色。
7、虫体形态正常，不扭曲，应呈新月形或C形，精巢可有6～9个。吸盘部允许有少许粘液附着。
8、每张玻片放雄虫一条，口吸盘向前，侧面向上。
9、标本具下列一项时为二级品：a．虫体有轻度收缩，但尚能辩认其结构；b．虫体尾部可有轻度扭曲现象。c．形态不自然，但基本呈新月形或C形；d．染色欠佳，精巢着色淡，但尚能辩认其数目。
10、技术要求符合JY263-1987的相关规定。</t>
  </si>
  <si>
    <t>血吸虫雌虫装片</t>
  </si>
  <si>
    <t>1、标本在50×和100×生物显微镜下，观察血吸虫雌虫的形态和结构。
2、能看清雌虫体细长，后半部较粗。
3、应认出口吸盘、腹吸盘、子宫、卵巢、卵巢腺和卵等。
4、在虫体后部的肠管内，可有黑褐色的色素。
5、标本选用经人工感染哺乳动物后的日本血吸虫（Schistosma Japonicum）雌性成虫。
6、标本为洋红或苏木精染色，分色适当，各部位结构均显示正常。
7、虫体形态正常，略直，不扭曲，口吸盘处可有少数粘液，体外允许有轻微微物，虫卵透明。
8、每张玻片放雌虫一条，口吸盘向前，侧面向上。
9、标本具下列一项时为二级品：a．虫体有轻度收缩，但尚能辩认其结构；b．虫体下部有轻度扭曲现象。
c．染色欠佳，过深或过淡，但尚能认清结构。
10、技术要求符合JY264-1987的相关规定。</t>
  </si>
  <si>
    <t>家蚊（雌）口器装片</t>
  </si>
  <si>
    <t>1、标本在50×显微镜下观察家蚊（雌）口器的形态结构。
2、能看清家蚊口器的上唇、下唇、下颚须，可见上下颚及舌包在下唇之鞘内。
3、取材于家蚊（雌）的头部，至少上唇从下唇鞘中分出，一对下颚须分列两侧，上下颚及舌从下唇鞘中挑出则更好，口器各部不得有破损现象。
4、标本为装片，每张玻片放材料一片。
5、技术要求符合JY67－1982的相关规定。</t>
  </si>
  <si>
    <t>43411</t>
  </si>
  <si>
    <t>水螅带芽整体装片</t>
  </si>
  <si>
    <t>1、标本在100×显微镜下观察。
2、取材为形体完整并带芽体的水螅，水螅体壁不皱缩、不破损、芽体无脱开现象，能看清芽体空腔与消化循环腔相通。
3、封盖后水螅体无挤压现象。
4、技术要求符合JY67－1982的相关规定。</t>
  </si>
  <si>
    <t>水螅过精巢横切</t>
  </si>
  <si>
    <t>1、标本在100×和400×生物显微镜下，观察水螅过精巢横切的结构。
2、能看清精巢、外胚层、内胚层、中胶层和消化循环腔。
3、能认出精巢中的精细胞和精子，外胚层中的外皮肌细胞，内胚层中的内皮肌细胞。还应看到间细胞和刺细胞。
4、标本取材于经固定后仍保持其自然状态的水螅。
5、标本为过精巢中部的切片，至少看到一个呈乳头状的精巢断面，精巢和胚层之间无裂隙，切片厚度在7μm以内，每张玻片放材料1～2片。
6、标本用苏木精单一染色，分色适当。
7、横断面完整，内、外胚层间应无裂隙，体内不得有附着物。
8、标本具下列一项时为二级品：a．内皮肌细胞顶端有不多于两处的自溶现象。b．体内有少许附着物，在达到6条要求时胚层间可有裂隙，但不超过材料周长的1/5。c．染色对比不协调。
9、技术要求符合JY256-1987的相关规定。</t>
  </si>
  <si>
    <t>水螅过卵巢横切</t>
  </si>
  <si>
    <t>符合水螅过卵巢横切技术条件</t>
  </si>
  <si>
    <t>435</t>
  </si>
  <si>
    <t>43501</t>
  </si>
  <si>
    <t>单层扁平上皮装片</t>
  </si>
  <si>
    <t>1、标本在80x和200x学生显微镜下观察单层扁平上皮的结构。 
2、能看清由一些边缘不规则而呈锯齿状的扁平细胞组成的单层上皮，胞核在细胞中央，呈扁圆形。 
3、标本得材于动物的肠系膜等。 
4、平铺袋片，材料面积不小于2X2mm，四周剪切整齐。 
5、标本为硝酸银法处理，要求细胞界限清晰，胞核隐约可见，并允许有两层细胞。 
6、标本上不应有硝酸银的沉淀物。细胞界限也不应有断续现象。 
7、标本具下列一项时为二级品： a 标本上有微小的银沉淀物或其他污物，但不影响对细胞界限的观察； b 细胞界限有断续现象不超过材料面积的1/4；c 标本上看不到胞核。
8、技术要求符合JY89-82的相关规定。</t>
  </si>
  <si>
    <t>复层扁平上皮装片</t>
  </si>
  <si>
    <t>1、标本在400x生物显微镜下观察复层扁平上皮的结构。
2、能看清复层扁平上皮细胞耷近表层呈扁平形，胞核较扁，有脱落现象，表层以下的细胞逐渐增厚，呈不规则的多边形，胞核圆形，紧贴基膜的深部细胞有呈方形成矩形的。
3、胞核、胞质着色对比应明显，上皮细胞界限度清晰，表层细胞不应脱落较多。
4、技术要求符合JY67－1982的相关规定。</t>
  </si>
  <si>
    <t>人皮过毛囊切片</t>
  </si>
  <si>
    <t>1、标本在80x和200x学生显微镜下观察皮肤过毛囊的结构。 
2、能看清表皮、真皮和皮下组织。 
3、表皮为复层扁平上皮，近表面的浅层细胞有角化脱落在象。 
4、在真皮和皮下组织中，分别看清皮脂腺、立毛肌、毛干、毛根，毛囊、毛球和毛乳头等，在毛发皮质近根处的细胞中含有色素颗粒。 
5、标本应在死亡不久的尸体上取材，以成人头皮为最好，婴儿头皮也可使用。 
6、标本以毛发的纵断方向切片，切片厚度在15um以内，每张玻片横放材料一片。 
7、标本上应有一根从毛于经毛根至毛乳头的毛发纵断面，或至少有一根自毛乳头向上至皮脂腺开口处的毛发纵断面。毛干和毛根不得移位。 
8、组织无病变，毛球和毛乳头处不收缩。 
9、如为火棉胶切片则火棉胶应无色、无污物。 
10、非主要观察部位可有刀痕一处，或表皮、真皮间有小裂隙，但不得超过材料长度的1／3。 
11、标本具下列一项时为二级品： a 达不到7条要求，但在同一材料上分别有一条不少于毛发下段1／3（自毛囊向上）和一条不少于毛发上段1／3（自表皮向下）的纵断切面； b 纵断毛于和毛根移位，但不影响对4条要求的观察； c 在符合7条要求时，非主要观察部位的真皮和皮下脂肪处破损，但不得超过材料的1／2，或有刀痕不超过两处； d 染色对比不协调。
12、技术要求符合JY91-1982的相关规定。</t>
  </si>
  <si>
    <t>人皮过汗腺切片</t>
  </si>
  <si>
    <t>1、标本在80x和200x学生显微镜下观察皮肤过汗腺的结构。 
2、能看清表皮、真皮和皮下组织。 
3、在表皮部分应看清角质层、透明层、颗粒层、棘细胞层和基底层以及穿过各层的汗腺导管。 
4、在真皮部分除看清真皮乳头、结缔组织纤维、汗腺导管的断面外，在真皮下部和皮下组织中还应看清汗腺分泌部的断面结构。 
5、标本应在死亡不久的尸体上取材，以成年人为好，取材部位为手掌或足部。 
6、平行于皮嵴切片，切片厚度在20um以内，每张玻片横放材料一片。 
7、材料上最少应有一条与汗腺分泌或汗腺开口连接的汗腺导管，其显示长度不少于汗腺分泌部至表皮的1／3。 
8、染色对比协调，棘细胞层、基底层和汗腺导管细胞的胞质着深并微呈蓝色，如为火棉胶切片，则火棉胶应无色、无污物。 
9、组织无病变，非主要观察部位的刀痕或破损、裂隙不超过一处，且裂隙不得超过材料长度的1／3。 
10、标本具下列一项时为二级品： a 达不到4条要求，但能看到汗腺导管的断续切面； b 在符合4条要求时，非主要观察部位的破损不超过材料的1／2，或刀痕不超过两处，或小皱褶不超过一处； c 染色对比不协调。
11、技术要求符合JY92-1982的相关规定。</t>
  </si>
  <si>
    <t>43505</t>
  </si>
  <si>
    <t>纤维结缔组织切片(腱纵切)</t>
  </si>
  <si>
    <t>1、标本在400×生物显微镜下观察腱纵断面的结构。
2、能看清平行排列的胶原纤维束和呈不规则四边形的腱细胞，但在标本上由于腱细胞的切面方向不同，也可呈长条形。腱细胞核呈球形，偏于细胞一端，和邻近的细胞核并列在一起，但在标本上由于腱细胞的切面方向不同，也可呈长圆或扁圆形。
3、技术要求符合JY93-1982的相关规定。</t>
  </si>
  <si>
    <t>43506</t>
  </si>
  <si>
    <t>疏松结缔组织装片</t>
  </si>
  <si>
    <t>1、标本在80x和200x学生显微镜下观察疏松结缔组织的结构。
2、能看清纵横交错的胶原纤维和弹力纤维以及大量的成纤维细胞，胞核较大呈卵圆形。
3、疏松结缔组织内的其他细胞不要求显示。
4、标本取材于哺乳动物的皮下结缔组织，均匀平铺于载玻片正中。
5、平铺的结缔组织中不得混人动物的毛。
6、标本用显示弹力纤维的方法染色，再复染胶原纤维等。
7、弹力纤维应明显，胶原纤维均匀、形态正常，不得有溶解现象；成纤维细胞的胞核不收缩，并可见胞质。
8、技术要求符合Y94-1982的相关规定。</t>
  </si>
  <si>
    <t>43507</t>
  </si>
  <si>
    <t>人血涂片</t>
  </si>
  <si>
    <t>1、标本在400x生物显微镜下观察血液中血胞的形态。
2、能看清红血细胞和白血细胞，有时可见血小板。
3、标本取材于人的新鲜血液，血细胞变形者，不宜使用。
4、血膜应涂布均匀、无污物，血细胞不重叠、无变形和自溶现象。
5、用苏木精、曙红双重染色。
6、染色要均匀，白血细胞的胞核和血小板呈兰紫色，白血细胞的胞质和红血细胞呈粉红色，血浆不着色。
7、技术要求符合Y95-1982的相关规定。</t>
  </si>
  <si>
    <t>43508</t>
  </si>
  <si>
    <t>1、标本在80X和200X学生显微镜下观察骨骼肌纵横切破片标志
2、在纵断面上能起看清肌外膜和成束的股双维,股纤维上有显暗相间的横纹,即明带和暗带。在肌膜下可见圆形或长形的胞核。
3、在横断面上能起看清肌外膜、肌束膜、肌纤维及其胞核和小血管等。
4、标本取材于哺乳动物的隔肌
5、纵横切片的厚度均在8μm以丸每张玻片放纵、横切各一片。
6、明暗带及胞核等应着色清晰,对比协调。
7、纵切材料的肌纤维应伸直,成纵断面的肌纤维不得不于90%,肌膜无裂隙; 横切材料肌纤维囊应不收缩、无裂隙;纵横切材料的肌模,肌外膜均应完整无皱褶。
8、技术要求符合JY96-1982的相关规定。</t>
  </si>
  <si>
    <t>43509</t>
  </si>
  <si>
    <t>1、标本在80x和200x学生显微镜下观察平滑肌细胞的形态。
2、能看请大部分被分离成单个的长棱形平滑肌细胞，在细胞中部有被染成深色杆状或椭圆状的细胞核。
3、标本取材于两栖动物或哺乳动物消华管的肌层，去掉粘膜及粘膜下层后作分离理。
4、细胞应分离适中、形态正常。材料内不得有污物。
5、技术要求符合JY97-82的相关规定。</t>
  </si>
  <si>
    <t>43510</t>
  </si>
  <si>
    <t>1、标本在80x和200x学生显微镜下观察心肌的结构。
2、在心肌的断面上能看清柱状并具有分枝的肌纤维（肌细胞），胞核呈圆形或椭圆形，位于肌纤维的中央。
3、在肌纤维彼此衔接的地方能看清心肌的特有结构—“闰盘”。
4、在肌纤维的横断面上能看清肌原纤维和圆形核的横断面结构。
5、在400x镜下能看清肌原纤维上有纤细的横纹。
6、标本取材于哺乳动物的心脏。
7、切片厚度在8μm以内，材料面积不小于4x4mm。
8、用能显示闰盘和横纹的方法染色！要求闰盘、胞核着色明显，横纹清晰，胞质不着色或色淡。
9、呈纵断面的肌纤维应不少于材料面积的2／5。
10、应保持细胞结构正常。
11、技术要求符合JY98-82的相关规定。</t>
  </si>
  <si>
    <t>1、标本在80x和200x学生显微镜下观察运动神经原的形态。
2、能看清运动神经原的细胞体和突起、细胞体内的胞核、少量的神经纤维和神经胶质细胞的胞核。
3、不要求显示尼氏体。
4、标本取材于脊髓灰质前角中的运动神经原，作涂片或分离装片。
5、用能显示细胞结构和不易褪色的方法染色。
6、神经原应分布均轧形态正执无破碎现象。在80x镜下盖玻片中间部分的任一视野内应不少于五个运动神经原。
7、技术要求符合JY99-1982的相关规定。</t>
  </si>
  <si>
    <t>脊髓横切</t>
  </si>
  <si>
    <t>1、标本在80x和200x学生显微镜下观察脊髓横断面的结构。 
2、在完整的脊髓横断面上能看清被膜、灰质和白质。 
3、在灰质中能看清中央管、神经胶质细胞的胞核、交错的神经纤维断面、前角处的运动神经原等。 
4、能看清前正中裂、后正中沟和前、后根的痕迹以及白质中神经纤维的轴索和髓鞘的横断结构。
5、标本取材于哺乳动物的脊髓，取材部位为颈膨大或腰膨大处。 
6、切片厚度在8um以内，被膜应完整。 
7、脊髓外形应正常，灰、白质中不得有空腔等病变现象。 
8、运动神经原和灰质问可有轻微裂隙。 
9、标本具下列一项时为二级品： a 染色对比不协调，但尚能显示各部结构； b 被膜破损或皱榴不超过2／5； c 有刀痕一处； d 运动神经原有明显收缩，但尚能辨认其结构。
10、技术要求符合JY100-1982的相关规定。</t>
  </si>
  <si>
    <t>胃壁切片</t>
  </si>
  <si>
    <t>符合胃壁切片技术条件</t>
  </si>
  <si>
    <t>肾脏纵切</t>
  </si>
  <si>
    <t>符合肾脏纵切技术条件</t>
  </si>
  <si>
    <t>动静脉血管横切</t>
  </si>
  <si>
    <t>1、标本在400×生物显微镜下观察动脉及静脉的结构。
2、动脉能看清内膜的内皮和内弹性膜、中膜的肌纤维、外膜的外弹性膜。
3、静脉能看清内膜的内皮和富于纤维的外膜，中膜不明显。
4、在动静脉外围的结缔组织中，有时可见小血管、神经、淋巴管和淋巴结等断面结构。
5、标本取材于哺乳动物的腹主动脉和下腔静脉。取材时不应过多的保留血管外围的其它组织。
6、标本应轮廓完整，不应切穿分枝处，厚度在9μm以内。
7、标本用苏木精、曙红双重染色。
8、内皮应90%以上完整，无皱褶、刀痕和破裂等现象。
9、动静脉外围所附带的其它组织，不得影响对主要结构的观察。
10、技术要求符合JY237-87的相关规定。</t>
  </si>
  <si>
    <t>小肠切片</t>
  </si>
  <si>
    <t>1、标本在400×生物显微镜下观察小肠壁的结构。
2、能看清粘膜，包括绒毛、粘膜肌层和肠腺，粘膜下层、肌层和浆膜等。
3、绒毛表面为单层柱状上皮，其间杂有杯状细胞。
4、在粘膜至粘膜下层间，有时可见淋巴小结的切面。
5、肌层为内环、外纵，标本上环行肌呈纵断面，纵行肌呈横断面。
6、标本取材于哺乳动物的空肠或回肠
7、作完整的小肠横断切片或小肠的部分横切片（长度不小于5mm），厚度在8μm以内，绒毛较直，切穿绒毛基部呈纵断形态者不少于三条。
8、绒外不应附着粘液，上皮细胞不应有自溶现象，其它组织无炎症或病变。
9、染色对比协调，着色均匀，粘膜肌层与粘膜下层不脱离，肌层无破裂。
10、技术要求符合JY238-1987的相关规定。</t>
  </si>
  <si>
    <t>肺血管注射切片</t>
  </si>
  <si>
    <t>1、标本在50×和100×生物显微镜下，观察肺血管分布形态。
2、能看清由肺动脉形成的包绕肺泡外的毛细血管网。
3、可辩认出肺动脉，支气管动脉和各级支气管的断面结构，但不作重点观察。
4、标本取材于小哺乳动物的肺。
5、标本用洋红胶液作血管注射，胶液色泽鲜艳，无颜色沉淀，不浸染其它组织。
6、色胶注射适中，肺泡外毛细血管不可注射过于饱满，血管形态正常，无收缩现象，80%以上的血管应注射充分。
7、作肺叶一部分的断面切片，材料二边应具浆膜，切片厚度视注射情况在20～80μm。每张玻片放材料一片。
8、标本用苏木精复染细胞核。
9、标本具下列一项时为二级品：a．色胶中有颜色沉淀，但不影响观察血管形态；b．在达到2条的要求时，有30%的血管（按材料面积）色胶注射不足或有轻度收缩；c．材料破损不超过一处；d．色胶粉红（色淡），但能辩认血管形态。
10、技术要求符合JY244-1987的相关规定。</t>
  </si>
  <si>
    <t>肾血管注射切片</t>
  </si>
  <si>
    <t>1、标本在50×和100×生物显微镜下，观察肾血管分布形态。
2、能看清皮质中血管的分布，肾小体的毛细血管网和髓质中并行的血管。
3、应认出有个别的输入和输出小动脉伸入肾小体的状态。
4、标本取材于家兔、猫或小狗的肾脏。
5、标本用洋红胶液作血管注射，胶液色泽鲜艳，无颜色沉淀，不浸染其它组织。
6、作肾的横切片，其厚度为50～100μm，每张玻片放材料一片，材料可为肾横切片的一半，但应沿肾乳头纵行切开。
7、色胶注射适中，80%以上血管注射充分，肾小体内血管不可注射过满，血管形态正常，无收缩现象。
8、最少有一个肾小体达到1.3条的要求。
9、标本不复染其它颜色。
10、标本具下列一项时为二级品：a．色胶中有颜色沉淀，但不影响观察形态；b．30%的血管内（按材料面积）色胶注射不足或血管呈断续状态；c．材料破损不超过一处；d．胶液粉红（色淡），但能辩认血管形态。e．达不到3条的要求。
11、技术要求符合JY245-1987的相关规定。</t>
  </si>
  <si>
    <t>精巢切片</t>
  </si>
  <si>
    <t>符合精巢切片技术条件</t>
  </si>
  <si>
    <t>卵巢切片</t>
  </si>
  <si>
    <t>符合卵巢切片技术条件</t>
  </si>
  <si>
    <t>精虫涂片</t>
  </si>
  <si>
    <t>符合精虫涂片技术条件</t>
  </si>
  <si>
    <t>口腔上皮细胞装片</t>
  </si>
  <si>
    <t>1、标本在100×和400×生物显微镜下，观察口腔上皮装片结构。应能认出细胞膜、细胞质、细胞核的结构。
2、标本取材于人口腔内两侧粘膜上皮，为平铺在玻片上的扁平细胞，细胞形态正常，近圆形或椭圆形。
3、苏木精与曙红双重染色，对比协调。
4、技术要求符合JY67－1982的相关规定。</t>
  </si>
  <si>
    <t>蛔虫卵装片</t>
  </si>
  <si>
    <t>1、标本在100x和400x生物显微镜下观察动物细胞有丝分裂的各期形态。
2、能看清细胞分裂过程中的三个时期：前期、中期和后期或中期、后期和末期。
3、能看清分裂前的细胞核和分裂各期的中心体（中期和后期显著）、染色体以及卵壳、为宫壁等，纺锤体隐约可见。
4、标本得材于马蛔虫子宫，作子宫的纵切片，材料长度不小于10mm，每张玻片板放材料一片；也可作子宫的横切片，每张玻片放不同部位的横切片2片～4片，以保证观察到细胞分裂的各个时期。
5、切片厚度为6um～8um。
6、卵和卵壳基本呈圆形，子宫内卵应饱满，卵不得脱出卵壳外，胞核、染色体、中心体着色明显，子官壁完整。
7、技术要求符合JY67－1982的相关规定。</t>
  </si>
  <si>
    <t>436</t>
  </si>
  <si>
    <t>43601</t>
  </si>
  <si>
    <t>字母“e”装片</t>
  </si>
  <si>
    <t>1、标本在80×学生显微镜下能观察整体字母“e”。
2、标本字母“e”字迹清晰，无污物，字母应不能脱落，放置不能歪斜。
3、技术要求符合JY67－1982的相关规定。</t>
  </si>
  <si>
    <t>43603</t>
  </si>
  <si>
    <t>1、标本在1000×生物显微镜下，观察46条人染色体; 每组两片，男、女性各一片。
2、应能认出每条染色体含有两条染色单体，借着一个着丝粒彼此连接。
3、能认出着丝粒向两端伸展的染色体臂以及区别长臂与短臂并在此基础上认出中央着丝粒，空中央着丝粒，近端着丝粒染色体。
4、标本取材于人工培养的正常淋巴系统。
5、吉姆萨（Giemsa）染液或醋酸红染色。
6、技术要求符合JY67－82《生物玻片标本通用技术条件（试行）》的相关规定。</t>
  </si>
  <si>
    <t>60</t>
  </si>
  <si>
    <t>规格10ml、高硼硅玻璃制造、铜红扩散印线，全高135±5mm,筒身壁厚&gt;1mm，最小分度值0.2ml，容量误差±0.1ml,玻璃仪器总体要求：无内应力。初中生物:10ml、高硼硅玻璃制造、铜红扩散印线，容量误差0.5ml,玻璃仪器总体要求：无内应力。初中物理:10ml、高硼硅玻璃制造、铜红扩散印线，容量误差0.5ml。</t>
  </si>
  <si>
    <t>60003</t>
  </si>
  <si>
    <t>60004</t>
  </si>
  <si>
    <t>61</t>
  </si>
  <si>
    <t>61001</t>
  </si>
  <si>
    <t>1规格：锥形，100mL。采用3.3硼硅酸盐玻璃GG-17制造。2． 尺寸：瓶底直径：60±1mm；瓶全高：103±3mm；瓶身高79±2mm；小底径：42±1mm；瓶颈内径：22±1mm；颈高：24±2mm；壁厚：不小于1mm。3． 底部不允许有结石、节瘤存在。4． 产品应符合《玻璃仪器通用技术要求》。</t>
  </si>
  <si>
    <t>1规格：锥形，250mL采用高硼硅GG-17玻璃制造，全高112±3mm，瓶直径85±1mm，壁厚1.4-2mm。产品应符合GB/T 11414-2007　《实验室玻璃仪器瓶》的有关规定。</t>
  </si>
  <si>
    <t>62</t>
  </si>
  <si>
    <t>采用透明玻璃制造，斗外径60±2mm，斗茎外径7-8mm，壁厚1-1.5mm，斗径长60±5mm，滤碗壁厚1-2.5mm,符合QB/T2560-2002《实验室玻璃仪器过滤漏斗》的有关规定。初中：采用透明玻璃制造，长60±3mm，口径60±2mm,壁厚1.2-1.7mm,产品应符合GB/T 28211-2011《实验室玻璃仪器过滤漏斗》的有关规定。</t>
  </si>
  <si>
    <t>1. 产品选用钠钙玻璃制成Y形，用于导管分流。2. ≥管外径5mm，全长100mm，支管长50mm。3．熔解部位平滑、均匀、无气泡。4. 内应力消除：在偏光仪下呈紫红色。5．符合GB/T15724.1玻璃仪器总体要求。</t>
  </si>
  <si>
    <t>产品为90mm的直形滴管，上部套有吸液用的橡皮头。</t>
  </si>
  <si>
    <t>玻璃弯管</t>
  </si>
  <si>
    <t>角度60°、75°、90°、105°、120°，产品应符合GB/T12414-1997《药用玻璃管》的标准。</t>
  </si>
  <si>
    <t>62098</t>
  </si>
  <si>
    <t>U形管</t>
  </si>
  <si>
    <t>玻璃仪器总体要求：无内应力，产品应符合GB/T12414-1997《药用玻璃管》的标准。</t>
  </si>
  <si>
    <t>63041</t>
  </si>
  <si>
    <t>1. 由竹质材料制成。夹长≥100mm，手柄长度≥80mm。2. 长度．试管夹试管夹弹簧应有足够弹性，并作防锈处理。3.符合JY0001-2003的有关规定。</t>
  </si>
  <si>
    <t>1. 水止皮管夹用钢丝拧制而成，弹性良好。2. 成型规整，表面无锈蚀。</t>
  </si>
  <si>
    <t>1、产品用天然橡胶制造，白色。2、0-10#应符JY 0001-2003《教学仪器产品一般质量要求》的有关规定。</t>
  </si>
  <si>
    <t>优质天然橡胶制造、内径为7～8mm，壁厚1mm。</t>
  </si>
  <si>
    <t>64084</t>
  </si>
  <si>
    <t>60ml。由一个底和一个盖组成，为圆形玻璃容器，圆口直径60mm，产品应符合GB/T11414-2007《实验室玻璃仪器瓶》的有关规定。</t>
  </si>
  <si>
    <t>64085</t>
  </si>
  <si>
    <t>100ml.由一个底和一个盖组成，为圆形玻璃容器，钠钙或硼硅玻璃盖内径103±1.5mm，底外径100±1mm，盖高18±2mm，底高20±1.5mm，壁厚1.5±0.5mm。</t>
  </si>
  <si>
    <t>瓷，60mm.采用理化瓷制造，全高44±3mm，口外径60±3mm,壁厚4±2mm，带研柱。</t>
  </si>
  <si>
    <t>64095</t>
  </si>
  <si>
    <t>棉纱缸</t>
  </si>
  <si>
    <t>直径≥φ80mm，高度容积≥80mm，不锈钢材质</t>
  </si>
  <si>
    <t>64096</t>
  </si>
  <si>
    <t>记数载玻片(计数板)</t>
  </si>
  <si>
    <t>1、计数池深度：容积≥0.1mm，计数池划格：容积≥1mm2 。
2、白血球计数大方格：1/16 mm2, 红血球计数大方格：1/25 mm2,白血球小方格：1/400mm2外型74mm×33mm×5mm。大方格每边长度允许误差为±1%。
3、计数池平面两端磨有斜坡，使血液吸入容量大而畅通。
4、计数池的背面有凹窝，可保护背面。</t>
  </si>
  <si>
    <t>（7）</t>
  </si>
  <si>
    <t>药品</t>
  </si>
  <si>
    <t>生物实验材料</t>
  </si>
  <si>
    <t>双面刀片、消毒棉 签、牙签、纱布、 脱脂棉、镜头纸、 吸水纸、凡士林、 透明胶带、干酵母粉、彩色玻璃纸、 坐标纸、碘酒、洋红等</t>
  </si>
  <si>
    <t>80302</t>
  </si>
  <si>
    <t>载玻片</t>
  </si>
  <si>
    <t>1、在实验时用来放置实验材料的玻璃片，呈长方形，较厚，有较好的透光性。
2、45°角，抛光边载玻片；规格(mm)：25.4x76.2（1＂x 3＂)；厚度(mm)：0.8-1；包装：50片/盒，化学性能稳定，</t>
  </si>
  <si>
    <t>80303</t>
  </si>
  <si>
    <t>盖玻片</t>
  </si>
  <si>
    <t>规格：100片/盒。1. 产品为钠钙玻璃制品。2. 产品尺寸应为18×18mm或20×20mm，厚度应为0.13～0.17mm。3．符合GB6273要求。三、标志、说明书、包装、运输、贮存应符合JY0001-2003的有关规定</t>
  </si>
  <si>
    <t>80304</t>
  </si>
  <si>
    <t>标记笔</t>
  </si>
  <si>
    <t>1、标准型，环保产品。
2、可在纸上、塑胶、玻璃、白板、金属等大部分固体上书写，可永久附著，不脱色，有标准的12色，墨水属油性，无毒。
3、在塑胶、玻璃、白板、金属上书写时，可以用酒精等有机溶剂擦去笔迹。</t>
  </si>
  <si>
    <t>闻亿</t>
  </si>
  <si>
    <t>慈溪市闻亿制笔厂</t>
  </si>
  <si>
    <t>生理盐水</t>
  </si>
  <si>
    <t>1、在医学、细胞生物学、分子生物学和生物化学实验中使用。
2、0.9%的氯化钠水溶液,500ml/瓶。
3、密封包装，无渗漏，在有效使用期内。</t>
  </si>
  <si>
    <t>砾石</t>
  </si>
  <si>
    <t xml:space="preserve">1、风化岩石经水流长期搬运而成的粒径为2～60mm的无棱角的天然粒料。
2、平均粒径大于1毫米的岩石或矿物碎屑物。按平均粒径大小，又可把砾石细分为巨砾、粗砾和细砾三种：平均粒径1—10毫米的，称细砾；10—100毫米的，称粗砾；大于100毫米的，称巨砾。砾石经胶结成岩后，称砾岩或角砾岩。    </t>
  </si>
  <si>
    <t>珍珠岩</t>
  </si>
  <si>
    <t>2-4mm</t>
  </si>
  <si>
    <t>ABO血型实验盒</t>
  </si>
  <si>
    <t>质量符合JY0001－2003《教学仪器一般质量要求》、JY0002－2007《教学仪器产品的检验规则》的要求</t>
  </si>
  <si>
    <t>组织培养基试剂盒</t>
  </si>
  <si>
    <t>1、规格：100ml，试剂盒配盖，盖上盒盖后，密闭性好。
2、塑料材质，无毒无害。
3、外观符合JY0001-2003的相关规定。</t>
  </si>
  <si>
    <t>昆虫针</t>
  </si>
  <si>
    <t>1、不锈钢丝制作，针头锋利、针球牢固。                                        
2、外观符合JY0001-2003的相关规定。</t>
  </si>
  <si>
    <t>昆虫盒</t>
  </si>
  <si>
    <t>带放大镜，放大倍数≥3倍；材质：有机玻璃制。</t>
  </si>
  <si>
    <t>81012</t>
  </si>
  <si>
    <t>1、由钢锯弓、钢锯条组成。金属锯身，锯弓尺寸可以调节，锯条长度约300mm 。
2、手柄握捏部位应光滑舒适。采用钢材。
3、锯架表面不应有裂纹，锈渍、毛刺、剥落等缺陷，表面处理色泽一致。
4、锯条不少于10条。
5、锯条和锯弓配合良好。
6、钢锯条技术要求符合GB/T14764-2008的相关规定；钢锯架技术要求符合QB/T1108-1991的相关规定。</t>
  </si>
  <si>
    <t>81013</t>
  </si>
  <si>
    <t>81020</t>
  </si>
  <si>
    <t>81030</t>
  </si>
  <si>
    <t>砂轮片</t>
  </si>
  <si>
    <t>断玻璃管用,直径80MM</t>
  </si>
  <si>
    <t>饲养笼</t>
  </si>
  <si>
    <t>1、用于教学中所使用的动物饲养槽2、饲养槽约长500mm，宽300mm，高200mm，四周用铝合金镶边3、饲养槽中间框架用木材制成，油漆层平整、光洁、无毛刺4、饲养槽盖用铁丝网制成，以通风透气；槽底用竹席作底垫5、饲养槽正面框架处挖有圆孔，上面上塑料盖片6、栏栅结构，由金属制成，饲养笼尺寸约440mm×300mm×320mm，总高约370mm，门宽约170mm，高约180mm，笼门开启方便7、配有接水盘，尺寸约420mm×320mm</t>
  </si>
  <si>
    <t>鱼缸</t>
  </si>
  <si>
    <t>大号。透明塑料制成。内容尺寸约：240mm×138mm×132mm。壁厚6mm。</t>
  </si>
  <si>
    <t>小号。透明塑料制成。内容尺寸约：195mm×120mm×105mm。壁厚1mm。</t>
  </si>
  <si>
    <t>花盆</t>
  </si>
  <si>
    <t>1、用环保材料制；2、高不得小于120mm，上口直径≥190mm，底部直径≥110mm。</t>
  </si>
  <si>
    <t>展翅板</t>
  </si>
  <si>
    <t>单开活动，木质双层，约290X90X30MM</t>
  </si>
  <si>
    <t>81111</t>
  </si>
  <si>
    <t>昆虫网(捕虫网)</t>
  </si>
  <si>
    <t>1、网圈用4±0.5mm直径的镀锌铁丝卷制成，直径300±5mm。2、网为尼龙纱，网中习高≥450mm。</t>
  </si>
  <si>
    <t>81112</t>
  </si>
  <si>
    <t>枝剪</t>
  </si>
  <si>
    <t>1、总长度≥200㎜。2、材质为炭钢45﹟以上3、应符合JY0001-2003中6.1～6.12的规定。</t>
  </si>
  <si>
    <t>81113</t>
  </si>
  <si>
    <t>水网</t>
  </si>
  <si>
    <t>1、网袋用尼龙网眼纱缝制，开口圆形，底部平整。袋口直径约300㎜，袋深约200㎜，底部直径约200㎜。3、应符合JY0001-2003中6.1～6.12的规定。</t>
  </si>
  <si>
    <t>81117</t>
  </si>
  <si>
    <t>橡皮锤</t>
  </si>
  <si>
    <t>长20cm，1. 产品由橡皮头和塑料手柄组成。2. 橡皮头为直径≥20mm的半球形物体。3. 手柄长≥160mm，表面应平整清洁，不应有划痕、溶迹、缩迹，边缘不应有毛刺、变形、破边和凹凸不平。4. 手柄和橡皮头应接合紧凑，不应松动。</t>
  </si>
  <si>
    <t>82001</t>
  </si>
  <si>
    <t>82003</t>
  </si>
  <si>
    <t>82008</t>
  </si>
  <si>
    <t>1.天然乳胶材料；2.具有良好的拉力强度和伸长率； 3.两手通用，卷边腕口；4.无皮肤刺激、过敏现象。</t>
  </si>
  <si>
    <t>82014</t>
  </si>
  <si>
    <t>72085</t>
  </si>
  <si>
    <t>尿糖试纸</t>
  </si>
  <si>
    <t>医用</t>
  </si>
  <si>
    <t>高尔宝</t>
  </si>
  <si>
    <t>广州市花都高尔宝生物技术有限公司</t>
  </si>
  <si>
    <t>滤纸，特性：过滤速度为中速。</t>
  </si>
  <si>
    <t>1套合计</t>
  </si>
  <si>
    <t>(四)</t>
  </si>
  <si>
    <t>初高中地理实验室</t>
  </si>
  <si>
    <r>
      <rPr>
        <b/>
        <sz val="10"/>
        <color theme="0"/>
        <rFont val="宋体"/>
        <charset val="134"/>
      </rPr>
      <t>5</t>
    </r>
    <r>
      <rPr>
        <sz val="10"/>
        <color theme="0"/>
        <rFont val="宋体"/>
        <charset val="134"/>
      </rPr>
      <t>4座</t>
    </r>
  </si>
  <si>
    <t>54座高中地理实验设备</t>
  </si>
  <si>
    <t>地理教学专用设备</t>
  </si>
  <si>
    <t>1.20</t>
  </si>
  <si>
    <t>模型与标本</t>
  </si>
  <si>
    <t>1.43</t>
  </si>
  <si>
    <t>教学挂图灯箱及挂帘</t>
  </si>
  <si>
    <t>1.50</t>
  </si>
  <si>
    <t>基础设备与施工</t>
  </si>
  <si>
    <t>1.56</t>
  </si>
  <si>
    <t>初中地理实验仪器</t>
  </si>
  <si>
    <t>地理准备室设备</t>
  </si>
  <si>
    <t>共1间,每一间准备室的配置清单如下</t>
  </si>
  <si>
    <t>2.6</t>
  </si>
  <si>
    <t>（五）</t>
  </si>
  <si>
    <t>初高中物理数字化实验设备</t>
  </si>
  <si>
    <t>老师端探究设备</t>
  </si>
  <si>
    <t>少</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</si>
</sst>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409]#,##0.00_ ;\-[$$-409]#,##0.00\ "/>
    <numFmt numFmtId="181" formatCode="[DBNum2][$RMB]General;[Red][DBNum2][$RMB]General"/>
    <numFmt numFmtId="182" formatCode="0_ "/>
    <numFmt numFmtId="183" formatCode="0.00_ "/>
    <numFmt numFmtId="184" formatCode="0.00_);[Red]\(0.00\)"/>
  </numFmts>
  <fonts count="43">
    <font>
      <sz val="12"/>
      <name val="宋体"/>
      <charset val="134"/>
    </font>
    <font>
      <b/>
      <sz val="10"/>
      <name val="宋体"/>
      <charset val="134"/>
    </font>
    <font>
      <b/>
      <sz val="10"/>
      <color theme="1"/>
      <name val="宋体"/>
      <charset val="134"/>
      <scheme val="minor"/>
    </font>
    <font>
      <sz val="10"/>
      <color theme="1"/>
      <name val="宋体"/>
      <charset val="134"/>
      <scheme val="minor"/>
    </font>
    <font>
      <b/>
      <sz val="11"/>
      <color theme="1"/>
      <name val="宋体"/>
      <charset val="134"/>
      <scheme val="minor"/>
    </font>
    <font>
      <sz val="10"/>
      <color rgb="FFFF0000"/>
      <name val="宋体"/>
      <charset val="134"/>
      <scheme val="minor"/>
    </font>
    <font>
      <b/>
      <sz val="10"/>
      <color rgb="FFFF0000"/>
      <name val="宋体"/>
      <charset val="134"/>
    </font>
    <font>
      <b/>
      <sz val="11"/>
      <name val="宋体"/>
      <charset val="134"/>
    </font>
    <font>
      <sz val="10"/>
      <name val="宋体"/>
      <charset val="134"/>
    </font>
    <font>
      <sz val="11"/>
      <name val="宋体"/>
      <charset val="134"/>
    </font>
    <font>
      <b/>
      <sz val="10"/>
      <color rgb="FFFF0000"/>
      <name val="宋体"/>
      <charset val="134"/>
      <scheme val="minor"/>
    </font>
    <font>
      <b/>
      <sz val="10"/>
      <color theme="0"/>
      <name val="宋体"/>
      <charset val="134"/>
    </font>
    <font>
      <sz val="10"/>
      <color indexed="8"/>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sz val="12"/>
      <color theme="1"/>
      <name val="宋体"/>
      <charset val="134"/>
      <scheme val="minor"/>
    </font>
    <font>
      <sz val="11"/>
      <color indexed="8"/>
      <name val="宋体"/>
      <charset val="134"/>
    </font>
    <font>
      <u/>
      <sz val="11"/>
      <color theme="10"/>
      <name val="宋体"/>
      <charset val="134"/>
      <scheme val="minor"/>
    </font>
    <font>
      <sz val="10"/>
      <name val="Helv"/>
      <charset val="134"/>
    </font>
    <font>
      <sz val="10"/>
      <name val="Arial"/>
      <charset val="134"/>
    </font>
    <font>
      <sz val="9"/>
      <name val="宋体"/>
      <charset val="134"/>
    </font>
    <font>
      <sz val="11"/>
      <color rgb="FF9C0006"/>
      <name val="宋体"/>
      <charset val="134"/>
      <scheme val="minor"/>
    </font>
    <font>
      <sz val="12"/>
      <name val="Times New Roman"/>
      <charset val="0"/>
    </font>
    <font>
      <sz val="10"/>
      <color theme="0"/>
      <name val="宋体"/>
      <charset val="134"/>
    </font>
  </fonts>
  <fills count="37">
    <fill>
      <patternFill patternType="none"/>
    </fill>
    <fill>
      <patternFill patternType="gray125"/>
    </fill>
    <fill>
      <patternFill patternType="solid">
        <fgColor rgb="FFFFFF00"/>
        <bgColor indexed="64"/>
      </patternFill>
    </fill>
    <fill>
      <patternFill patternType="solid">
        <fgColor theme="7"/>
        <bgColor indexed="64"/>
      </patternFill>
    </fill>
    <fill>
      <patternFill patternType="solid">
        <fgColor rgb="FF00B0F0"/>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27"/>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52">
    <xf numFmtId="0" fontId="0" fillId="0" borderId="0" applyBorder="0">
      <alignment vertical="center"/>
    </xf>
    <xf numFmtId="176" fontId="13" fillId="0" borderId="0" applyFont="0" applyFill="0" applyBorder="0" applyAlignment="0" applyProtection="0">
      <alignment vertical="center"/>
    </xf>
    <xf numFmtId="177" fontId="13" fillId="0" borderId="0" applyFont="0" applyFill="0" applyBorder="0" applyAlignment="0" applyProtection="0">
      <alignment vertical="center"/>
    </xf>
    <xf numFmtId="9" fontId="13" fillId="0" borderId="0" applyFont="0" applyFill="0" applyBorder="0" applyAlignment="0" applyProtection="0">
      <alignment vertical="center"/>
    </xf>
    <xf numFmtId="178" fontId="13" fillId="0" borderId="0" applyFont="0" applyFill="0" applyBorder="0" applyAlignment="0" applyProtection="0">
      <alignment vertical="center"/>
    </xf>
    <xf numFmtId="179" fontId="13"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6" borderId="5"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6" applyNumberFormat="0" applyFill="0" applyAlignment="0" applyProtection="0">
      <alignment vertical="center"/>
    </xf>
    <xf numFmtId="0" fontId="20" fillId="0" borderId="6" applyNumberFormat="0" applyFill="0" applyAlignment="0" applyProtection="0">
      <alignment vertical="center"/>
    </xf>
    <xf numFmtId="0" fontId="21" fillId="0" borderId="7" applyNumberFormat="0" applyFill="0" applyAlignment="0" applyProtection="0">
      <alignment vertical="center"/>
    </xf>
    <xf numFmtId="0" fontId="21" fillId="0" borderId="0" applyNumberFormat="0" applyFill="0" applyBorder="0" applyAlignment="0" applyProtection="0">
      <alignment vertical="center"/>
    </xf>
    <xf numFmtId="0" fontId="22" fillId="7" borderId="8" applyNumberFormat="0" applyAlignment="0" applyProtection="0">
      <alignment vertical="center"/>
    </xf>
    <xf numFmtId="0" fontId="23" fillId="8" borderId="9" applyNumberFormat="0" applyAlignment="0" applyProtection="0">
      <alignment vertical="center"/>
    </xf>
    <xf numFmtId="0" fontId="24" fillId="8" borderId="8" applyNumberFormat="0" applyAlignment="0" applyProtection="0">
      <alignment vertical="center"/>
    </xf>
    <xf numFmtId="0" fontId="25" fillId="9" borderId="10" applyNumberFormat="0" applyAlignment="0" applyProtection="0">
      <alignment vertical="center"/>
    </xf>
    <xf numFmtId="0" fontId="26" fillId="0" borderId="11" applyNumberFormat="0" applyFill="0" applyAlignment="0" applyProtection="0">
      <alignment vertical="center"/>
    </xf>
    <xf numFmtId="0" fontId="27" fillId="0" borderId="12" applyNumberFormat="0" applyFill="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1" fillId="24" borderId="0" applyNumberFormat="0" applyBorder="0" applyAlignment="0" applyProtection="0">
      <alignment vertical="center"/>
    </xf>
    <xf numFmtId="0" fontId="31" fillId="3"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1" fillId="35" borderId="0" applyNumberFormat="0" applyBorder="0" applyAlignment="0" applyProtection="0">
      <alignment vertical="center"/>
    </xf>
    <xf numFmtId="0" fontId="0" fillId="0" borderId="0" applyBorder="0"/>
    <xf numFmtId="0" fontId="13" fillId="0" borderId="0" applyBorder="0"/>
    <xf numFmtId="0" fontId="13" fillId="0" borderId="0" applyBorder="0">
      <alignment vertical="center"/>
    </xf>
    <xf numFmtId="0" fontId="13" fillId="0" borderId="0" applyBorder="0"/>
    <xf numFmtId="0" fontId="13" fillId="0" borderId="0">
      <alignment vertical="center"/>
    </xf>
    <xf numFmtId="0" fontId="13" fillId="0" borderId="0" applyBorder="0">
      <alignment vertical="center"/>
    </xf>
    <xf numFmtId="0" fontId="13" fillId="0" borderId="0" applyBorder="0">
      <alignment vertical="center"/>
    </xf>
    <xf numFmtId="0" fontId="33" fillId="0" borderId="0" applyBorder="0"/>
    <xf numFmtId="0" fontId="13" fillId="0" borderId="0" applyBorder="0">
      <alignment vertical="center"/>
    </xf>
    <xf numFmtId="0" fontId="13" fillId="0" borderId="0" applyBorder="0"/>
    <xf numFmtId="0" fontId="34" fillId="0" borderId="0" applyBorder="0">
      <alignment vertical="center"/>
    </xf>
    <xf numFmtId="0" fontId="13" fillId="0" borderId="0" applyBorder="0"/>
    <xf numFmtId="0" fontId="0" fillId="0" borderId="0" applyBorder="0"/>
    <xf numFmtId="0" fontId="13" fillId="0" borderId="0" applyBorder="0">
      <alignment vertical="center"/>
    </xf>
    <xf numFmtId="0" fontId="0" fillId="0" borderId="0" applyBorder="0">
      <alignment vertical="center"/>
    </xf>
    <xf numFmtId="0" fontId="0" fillId="0" borderId="0" applyBorder="0">
      <alignment vertical="center"/>
    </xf>
    <xf numFmtId="0" fontId="13" fillId="0" borderId="0" applyBorder="0">
      <alignment vertical="center"/>
    </xf>
    <xf numFmtId="0" fontId="35" fillId="0" borderId="0">
      <alignment vertical="center"/>
    </xf>
    <xf numFmtId="0" fontId="0" fillId="0" borderId="0" applyBorder="0"/>
    <xf numFmtId="0" fontId="0" fillId="0" borderId="0">
      <alignment vertical="center"/>
    </xf>
    <xf numFmtId="176" fontId="13" fillId="0" borderId="0" applyFont="0" applyFill="0" applyBorder="0" applyAlignment="0" applyProtection="0">
      <alignment vertical="center"/>
    </xf>
    <xf numFmtId="0" fontId="13" fillId="0" borderId="0" applyBorder="0">
      <alignment vertical="center"/>
    </xf>
    <xf numFmtId="0" fontId="35" fillId="0" borderId="0" applyBorder="0">
      <alignment vertical="center"/>
    </xf>
    <xf numFmtId="0" fontId="0" fillId="0" borderId="0" applyBorder="0"/>
    <xf numFmtId="0" fontId="13" fillId="0" borderId="0" applyBorder="0">
      <alignment vertical="center"/>
    </xf>
    <xf numFmtId="0" fontId="0" fillId="0" borderId="0" applyBorder="0">
      <alignment vertical="center"/>
    </xf>
    <xf numFmtId="0" fontId="0" fillId="0" borderId="0">
      <alignment vertical="center"/>
    </xf>
    <xf numFmtId="0" fontId="13" fillId="0" borderId="0" applyBorder="0">
      <alignment vertical="center"/>
    </xf>
    <xf numFmtId="0" fontId="0" fillId="0" borderId="0" applyBorder="0"/>
    <xf numFmtId="0" fontId="36" fillId="0" borderId="0" applyNumberFormat="0" applyFill="0" applyBorder="0" applyAlignment="0" applyProtection="0">
      <alignment vertical="center"/>
    </xf>
    <xf numFmtId="0" fontId="0" fillId="0" borderId="0" applyBorder="0"/>
    <xf numFmtId="0" fontId="0" fillId="0" borderId="0" applyBorder="0">
      <alignment vertical="center"/>
    </xf>
    <xf numFmtId="0" fontId="13" fillId="0" borderId="0" applyBorder="0">
      <alignment vertical="center"/>
    </xf>
    <xf numFmtId="0" fontId="0" fillId="0" borderId="0" applyBorder="0"/>
    <xf numFmtId="0" fontId="13" fillId="0" borderId="0" applyBorder="0">
      <alignment vertical="center"/>
    </xf>
    <xf numFmtId="0" fontId="35" fillId="0" borderId="0">
      <alignment vertical="center"/>
    </xf>
    <xf numFmtId="0" fontId="0" fillId="0" borderId="0">
      <alignment vertical="center"/>
    </xf>
    <xf numFmtId="0" fontId="0" fillId="0" borderId="0">
      <alignment vertical="center"/>
    </xf>
    <xf numFmtId="0" fontId="33" fillId="0" borderId="0"/>
    <xf numFmtId="0" fontId="13"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13" fillId="0" borderId="0">
      <alignment vertical="center"/>
    </xf>
    <xf numFmtId="0" fontId="0" fillId="0" borderId="0"/>
    <xf numFmtId="0" fontId="13" fillId="0" borderId="0">
      <alignment vertical="center"/>
    </xf>
    <xf numFmtId="0" fontId="0" fillId="0" borderId="0">
      <alignment vertical="center"/>
    </xf>
    <xf numFmtId="0" fontId="0" fillId="0" borderId="0"/>
    <xf numFmtId="0" fontId="0" fillId="0" borderId="0"/>
    <xf numFmtId="0" fontId="37" fillId="0" borderId="0"/>
    <xf numFmtId="0" fontId="37" fillId="0" borderId="0"/>
    <xf numFmtId="0" fontId="0" fillId="0" borderId="0">
      <alignment vertical="center"/>
    </xf>
    <xf numFmtId="0" fontId="0" fillId="0" borderId="0">
      <alignment vertical="center"/>
    </xf>
    <xf numFmtId="0" fontId="0" fillId="0" borderId="0"/>
    <xf numFmtId="0" fontId="33" fillId="0" borderId="0"/>
    <xf numFmtId="0" fontId="0" fillId="0" borderId="0"/>
    <xf numFmtId="0" fontId="13" fillId="0" borderId="0">
      <alignment vertical="center"/>
    </xf>
    <xf numFmtId="0" fontId="0" fillId="0" borderId="0">
      <alignment vertical="center"/>
    </xf>
    <xf numFmtId="0" fontId="0" fillId="0" borderId="0">
      <alignment vertical="center"/>
    </xf>
    <xf numFmtId="0" fontId="37" fillId="0" borderId="0"/>
    <xf numFmtId="0" fontId="0" fillId="0" borderId="0"/>
    <xf numFmtId="0" fontId="37" fillId="0" borderId="0"/>
    <xf numFmtId="180" fontId="13" fillId="0" borderId="0">
      <alignment vertical="center"/>
    </xf>
    <xf numFmtId="180" fontId="13" fillId="0" borderId="0">
      <alignment vertical="center"/>
    </xf>
    <xf numFmtId="180" fontId="35" fillId="0" borderId="0">
      <alignment vertical="center"/>
    </xf>
    <xf numFmtId="180" fontId="38" fillId="0" borderId="0" applyNumberFormat="0">
      <alignment vertical="center"/>
    </xf>
    <xf numFmtId="180" fontId="35" fillId="0" borderId="0">
      <alignment vertical="center"/>
    </xf>
    <xf numFmtId="180" fontId="13" fillId="0" borderId="0" applyBorder="0"/>
    <xf numFmtId="180" fontId="13" fillId="0" borderId="0" applyBorder="0">
      <alignment vertical="center"/>
    </xf>
    <xf numFmtId="180" fontId="33" fillId="0" borderId="0">
      <alignment vertical="center"/>
    </xf>
    <xf numFmtId="180" fontId="0" fillId="0" borderId="0"/>
    <xf numFmtId="180" fontId="13" fillId="0" borderId="0"/>
    <xf numFmtId="180" fontId="13" fillId="0" borderId="0">
      <alignment vertical="center"/>
    </xf>
    <xf numFmtId="180" fontId="13" fillId="0" borderId="0">
      <alignment vertical="center"/>
    </xf>
    <xf numFmtId="180" fontId="13" fillId="0" borderId="0">
      <alignment vertical="center"/>
    </xf>
    <xf numFmtId="0" fontId="39" fillId="0" borderId="0">
      <alignment vertical="center"/>
    </xf>
    <xf numFmtId="0" fontId="0" fillId="0" borderId="0"/>
    <xf numFmtId="0" fontId="39" fillId="0" borderId="0">
      <alignment vertical="center"/>
    </xf>
    <xf numFmtId="180" fontId="13" fillId="0" borderId="0">
      <alignment vertical="center"/>
    </xf>
    <xf numFmtId="180" fontId="0" fillId="0" borderId="0">
      <alignment vertical="center"/>
    </xf>
    <xf numFmtId="180" fontId="13" fillId="0" borderId="0">
      <alignment vertical="center"/>
    </xf>
    <xf numFmtId="180" fontId="13" fillId="0" borderId="0">
      <alignment vertical="center"/>
    </xf>
    <xf numFmtId="180" fontId="13" fillId="0" borderId="0">
      <alignment vertical="center"/>
    </xf>
    <xf numFmtId="180" fontId="40" fillId="11" borderId="0" applyNumberFormat="0" applyBorder="0" applyAlignment="0" applyProtection="0">
      <alignment vertical="center"/>
    </xf>
    <xf numFmtId="180" fontId="0" fillId="0" borderId="0">
      <alignment vertical="center"/>
    </xf>
    <xf numFmtId="0" fontId="41" fillId="0" borderId="0">
      <alignment vertical="center"/>
    </xf>
    <xf numFmtId="181" fontId="35" fillId="36" borderId="0" applyBorder="0" applyAlignment="0" applyProtection="0">
      <alignment vertical="center"/>
    </xf>
    <xf numFmtId="0" fontId="13" fillId="0" borderId="0">
      <alignment vertical="center"/>
    </xf>
    <xf numFmtId="180" fontId="13" fillId="0" borderId="0">
      <alignment vertical="center"/>
    </xf>
    <xf numFmtId="180" fontId="13" fillId="0" borderId="0"/>
    <xf numFmtId="0" fontId="0" fillId="0" borderId="0">
      <alignment vertical="center"/>
    </xf>
    <xf numFmtId="0" fontId="0" fillId="0" borderId="0"/>
    <xf numFmtId="0" fontId="35" fillId="0" borderId="0">
      <alignment vertical="center"/>
    </xf>
    <xf numFmtId="0" fontId="35" fillId="0" borderId="0">
      <alignment vertical="center"/>
    </xf>
  </cellStyleXfs>
  <cellXfs count="244">
    <xf numFmtId="0" fontId="0" fillId="0" borderId="0" xfId="0">
      <alignment vertical="center"/>
    </xf>
    <xf numFmtId="0" fontId="1" fillId="0" borderId="1" xfId="66" applyNumberFormat="1" applyFont="1" applyFill="1" applyBorder="1" applyAlignment="1">
      <alignment horizontal="center" vertical="center"/>
    </xf>
    <xf numFmtId="180" fontId="1" fillId="0" borderId="1" xfId="66" applyNumberFormat="1" applyFont="1" applyFill="1" applyBorder="1" applyAlignment="1">
      <alignment horizontal="center" vertical="center" wrapText="1"/>
    </xf>
    <xf numFmtId="0" fontId="1" fillId="0" borderId="1" xfId="121" applyNumberFormat="1" applyFont="1" applyFill="1" applyBorder="1" applyAlignment="1">
      <alignment horizontal="center" vertical="center"/>
    </xf>
    <xf numFmtId="180" fontId="1" fillId="0" borderId="1" xfId="121" applyFont="1" applyFill="1" applyBorder="1" applyAlignment="1">
      <alignment horizontal="center" vertical="center"/>
    </xf>
    <xf numFmtId="180" fontId="1" fillId="0" borderId="1" xfId="120" applyFont="1" applyFill="1" applyBorder="1" applyAlignment="1">
      <alignment horizontal="left" vertical="center" wrapText="1"/>
    </xf>
    <xf numFmtId="0" fontId="1" fillId="0" borderId="1" xfId="66" applyNumberFormat="1" applyFont="1" applyFill="1" applyBorder="1" applyAlignment="1">
      <alignment horizontal="center" vertical="center" wrapText="1"/>
    </xf>
    <xf numFmtId="0" fontId="2" fillId="0" borderId="1" xfId="0" applyFont="1" applyFill="1" applyBorder="1" applyAlignment="1">
      <alignment vertical="center"/>
    </xf>
    <xf numFmtId="180" fontId="1" fillId="0" borderId="1" xfId="66" applyNumberFormat="1" applyFont="1" applyFill="1" applyBorder="1" applyAlignment="1">
      <alignment horizontal="center" vertical="center"/>
    </xf>
    <xf numFmtId="0" fontId="1" fillId="0" borderId="1" xfId="122" applyNumberFormat="1" applyFont="1" applyFill="1" applyBorder="1" applyAlignment="1">
      <alignment horizontal="center" vertical="center" wrapText="1"/>
    </xf>
    <xf numFmtId="180" fontId="1" fillId="0" borderId="1" xfId="122" applyFont="1" applyFill="1" applyBorder="1" applyAlignment="1">
      <alignment horizontal="center" vertical="center"/>
    </xf>
    <xf numFmtId="180" fontId="1" fillId="0" borderId="0" xfId="66" applyNumberFormat="1" applyFont="1" applyFill="1" applyBorder="1" applyAlignment="1"/>
    <xf numFmtId="0" fontId="3" fillId="2" borderId="0" xfId="0" applyFont="1" applyFill="1" applyBorder="1" applyAlignment="1">
      <alignment vertical="center"/>
    </xf>
    <xf numFmtId="0" fontId="4" fillId="0" borderId="0" xfId="0" applyFont="1" applyFill="1" applyBorder="1" applyAlignment="1">
      <alignment vertical="center"/>
    </xf>
    <xf numFmtId="0" fontId="3" fillId="0" borderId="0" xfId="0" applyFont="1" applyFill="1" applyBorder="1" applyAlignment="1">
      <alignment vertical="center"/>
    </xf>
    <xf numFmtId="0" fontId="3" fillId="0" borderId="0" xfId="0" applyFont="1" applyFill="1" applyBorder="1" applyAlignment="1">
      <alignment horizontal="center" vertical="center"/>
    </xf>
    <xf numFmtId="182" fontId="3" fillId="0" borderId="0" xfId="0" applyNumberFormat="1" applyFont="1" applyFill="1" applyBorder="1" applyAlignment="1">
      <alignment vertical="center"/>
    </xf>
    <xf numFmtId="0" fontId="3" fillId="0" borderId="0" xfId="0" applyFont="1" applyFill="1" applyBorder="1" applyAlignment="1">
      <alignment horizontal="left" vertical="center"/>
    </xf>
    <xf numFmtId="0" fontId="5" fillId="0" borderId="0" xfId="0" applyFont="1" applyFill="1" applyBorder="1" applyAlignment="1">
      <alignment vertical="center"/>
    </xf>
    <xf numFmtId="0" fontId="3" fillId="0" borderId="0" xfId="0" applyFont="1" applyFill="1" applyBorder="1" applyAlignment="1">
      <alignment vertical="center" wrapText="1"/>
    </xf>
    <xf numFmtId="183" fontId="5" fillId="0" borderId="0" xfId="0" applyNumberFormat="1" applyFont="1" applyFill="1" applyBorder="1" applyAlignment="1">
      <alignment vertical="center"/>
    </xf>
    <xf numFmtId="0" fontId="1" fillId="0" borderId="1" xfId="59" applyNumberFormat="1" applyFont="1" applyFill="1" applyBorder="1" applyAlignment="1">
      <alignment horizontal="center" vertical="center" wrapText="1"/>
    </xf>
    <xf numFmtId="180" fontId="1" fillId="0" borderId="1" xfId="59" applyNumberFormat="1" applyFont="1" applyFill="1" applyBorder="1" applyAlignment="1">
      <alignment horizontal="center" vertical="center" wrapText="1"/>
    </xf>
    <xf numFmtId="182" fontId="1" fillId="0" borderId="1" xfId="59" applyNumberFormat="1" applyFont="1" applyFill="1" applyBorder="1" applyAlignment="1">
      <alignment horizontal="center" vertical="center" wrapText="1"/>
    </xf>
    <xf numFmtId="180" fontId="1" fillId="0" borderId="1" xfId="66" applyNumberFormat="1" applyFont="1" applyFill="1" applyBorder="1" applyAlignment="1">
      <alignment wrapText="1"/>
    </xf>
    <xf numFmtId="180" fontId="6" fillId="0" borderId="1" xfId="66" applyNumberFormat="1" applyFont="1" applyFill="1" applyBorder="1" applyAlignment="1">
      <alignment horizontal="center" vertical="center" wrapText="1"/>
    </xf>
    <xf numFmtId="49" fontId="7" fillId="0" borderId="1" xfId="59" applyNumberFormat="1" applyFont="1" applyFill="1" applyBorder="1" applyAlignment="1">
      <alignment horizontal="center" vertical="center" wrapText="1"/>
    </xf>
    <xf numFmtId="180" fontId="7" fillId="0" borderId="1" xfId="59" applyNumberFormat="1" applyFont="1" applyFill="1" applyBorder="1" applyAlignment="1">
      <alignment horizontal="center" vertical="center" wrapText="1"/>
    </xf>
    <xf numFmtId="183" fontId="1" fillId="0" borderId="1" xfId="66" applyNumberFormat="1" applyFont="1" applyFill="1" applyBorder="1" applyAlignment="1">
      <alignment horizontal="center" vertical="center" wrapText="1"/>
    </xf>
    <xf numFmtId="0" fontId="1" fillId="2" borderId="1" xfId="66" applyNumberFormat="1" applyFont="1" applyFill="1" applyBorder="1" applyAlignment="1">
      <alignment horizontal="center" vertical="center"/>
    </xf>
    <xf numFmtId="180" fontId="1" fillId="2" borderId="1" xfId="66" applyNumberFormat="1" applyFont="1" applyFill="1" applyBorder="1" applyAlignment="1">
      <alignment horizontal="center" vertical="center" wrapText="1"/>
    </xf>
    <xf numFmtId="0" fontId="1" fillId="2" borderId="1" xfId="121" applyNumberFormat="1" applyFont="1" applyFill="1" applyBorder="1" applyAlignment="1">
      <alignment horizontal="center" vertical="center"/>
    </xf>
    <xf numFmtId="180" fontId="1" fillId="2" borderId="1" xfId="121" applyFont="1" applyFill="1" applyBorder="1" applyAlignment="1">
      <alignment horizontal="center" vertical="center"/>
    </xf>
    <xf numFmtId="182" fontId="1" fillId="2" borderId="2" xfId="121" applyNumberFormat="1" applyFont="1" applyFill="1" applyBorder="1" applyAlignment="1">
      <alignment horizontal="center" vertical="center"/>
    </xf>
    <xf numFmtId="180" fontId="1" fillId="2" borderId="2" xfId="120" applyFont="1" applyFill="1" applyBorder="1" applyAlignment="1">
      <alignment horizontal="left" vertical="center" wrapText="1"/>
    </xf>
    <xf numFmtId="0" fontId="3"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vertical="center"/>
    </xf>
    <xf numFmtId="0" fontId="3" fillId="2" borderId="1" xfId="0" applyFont="1" applyFill="1" applyBorder="1" applyAlignment="1">
      <alignment vertical="center" wrapText="1"/>
    </xf>
    <xf numFmtId="183" fontId="5" fillId="2" borderId="1" xfId="0" applyNumberFormat="1" applyFont="1" applyFill="1" applyBorder="1" applyAlignment="1">
      <alignment horizontal="center" vertical="center"/>
    </xf>
    <xf numFmtId="0" fontId="8" fillId="0" borderId="1" xfId="120" applyNumberFormat="1" applyFont="1" applyFill="1" applyBorder="1" applyAlignment="1">
      <alignment horizontal="center" vertical="center" wrapText="1"/>
    </xf>
    <xf numFmtId="180" fontId="8" fillId="0" borderId="1" xfId="120" applyNumberFormat="1" applyFont="1" applyFill="1" applyBorder="1" applyAlignment="1">
      <alignment horizontal="center" vertical="center" wrapText="1"/>
    </xf>
    <xf numFmtId="0" fontId="8" fillId="0" borderId="1" xfId="66" applyNumberFormat="1" applyFont="1" applyFill="1" applyBorder="1" applyAlignment="1">
      <alignment horizontal="center" vertical="center" wrapText="1"/>
    </xf>
    <xf numFmtId="182" fontId="8" fillId="0" borderId="2" xfId="120" applyNumberFormat="1" applyFont="1" applyFill="1" applyBorder="1" applyAlignment="1">
      <alignment horizontal="center" vertical="center" wrapText="1"/>
    </xf>
    <xf numFmtId="180" fontId="8" fillId="0" borderId="2" xfId="121" applyFont="1" applyFill="1" applyBorder="1" applyAlignment="1" applyProtection="1">
      <alignment horizontal="left" vertical="center" wrapText="1"/>
      <protection locked="0"/>
    </xf>
    <xf numFmtId="0" fontId="3" fillId="0" borderId="1" xfId="0" applyFont="1" applyFill="1" applyBorder="1" applyAlignment="1">
      <alignment horizontal="center" vertical="center"/>
    </xf>
    <xf numFmtId="0" fontId="5"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49" fontId="9" fillId="0" borderId="1" xfId="121" applyNumberFormat="1" applyFont="1" applyFill="1" applyBorder="1" applyAlignment="1" applyProtection="1">
      <alignment horizontal="center" vertical="center" wrapText="1"/>
      <protection locked="0"/>
    </xf>
    <xf numFmtId="180" fontId="9" fillId="0" borderId="1" xfId="121" applyFont="1" applyFill="1" applyBorder="1" applyAlignment="1" applyProtection="1">
      <alignment horizontal="center" vertical="center" wrapText="1"/>
      <protection locked="0"/>
    </xf>
    <xf numFmtId="183" fontId="5" fillId="0" borderId="1" xfId="0" applyNumberFormat="1" applyFont="1" applyFill="1" applyBorder="1" applyAlignment="1">
      <alignment horizontal="center" vertical="center"/>
    </xf>
    <xf numFmtId="180" fontId="1" fillId="3" borderId="2" xfId="120" applyFont="1" applyFill="1" applyBorder="1" applyAlignment="1">
      <alignment horizontal="center" vertical="center" wrapText="1"/>
    </xf>
    <xf numFmtId="180" fontId="1" fillId="3" borderId="3" xfId="120" applyFont="1" applyFill="1" applyBorder="1" applyAlignment="1">
      <alignment horizontal="center" vertical="center" wrapText="1"/>
    </xf>
    <xf numFmtId="182" fontId="1" fillId="3" borderId="3" xfId="120" applyNumberFormat="1" applyFont="1" applyFill="1" applyBorder="1" applyAlignment="1">
      <alignment horizontal="center" vertical="center" wrapText="1"/>
    </xf>
    <xf numFmtId="180" fontId="1" fillId="3" borderId="4" xfId="120" applyFont="1" applyFill="1" applyBorder="1" applyAlignment="1">
      <alignment horizontal="left" vertical="center" wrapText="1"/>
    </xf>
    <xf numFmtId="0" fontId="2" fillId="3" borderId="2" xfId="0" applyFont="1" applyFill="1" applyBorder="1" applyAlignment="1">
      <alignment vertical="center"/>
    </xf>
    <xf numFmtId="0" fontId="10" fillId="3" borderId="2" xfId="0" applyFont="1" applyFill="1" applyBorder="1" applyAlignment="1">
      <alignment vertical="center"/>
    </xf>
    <xf numFmtId="0" fontId="4" fillId="0" borderId="1" xfId="0" applyFont="1" applyFill="1" applyBorder="1" applyAlignment="1">
      <alignment vertical="center"/>
    </xf>
    <xf numFmtId="0" fontId="4" fillId="0" borderId="1" xfId="0" applyFont="1" applyFill="1" applyBorder="1" applyAlignment="1">
      <alignment vertical="center" wrapText="1"/>
    </xf>
    <xf numFmtId="183" fontId="10" fillId="3" borderId="2" xfId="0" applyNumberFormat="1" applyFont="1" applyFill="1" applyBorder="1" applyAlignment="1">
      <alignment vertical="center"/>
    </xf>
    <xf numFmtId="180" fontId="1" fillId="4" borderId="2" xfId="120" applyFont="1" applyFill="1" applyBorder="1" applyAlignment="1">
      <alignment horizontal="center" vertical="center" wrapText="1"/>
    </xf>
    <xf numFmtId="180" fontId="1" fillId="4" borderId="3" xfId="120" applyFont="1" applyFill="1" applyBorder="1" applyAlignment="1">
      <alignment horizontal="center" vertical="center" wrapText="1"/>
    </xf>
    <xf numFmtId="182" fontId="1" fillId="4" borderId="3" xfId="120" applyNumberFormat="1" applyFont="1" applyFill="1" applyBorder="1" applyAlignment="1">
      <alignment horizontal="center" vertical="center" wrapText="1"/>
    </xf>
    <xf numFmtId="180" fontId="1" fillId="4" borderId="4" xfId="120" applyFont="1" applyFill="1" applyBorder="1" applyAlignment="1">
      <alignment horizontal="left" vertical="center" wrapText="1"/>
    </xf>
    <xf numFmtId="0" fontId="2" fillId="4" borderId="2" xfId="0" applyFont="1" applyFill="1" applyBorder="1" applyAlignment="1">
      <alignment vertical="center"/>
    </xf>
    <xf numFmtId="0" fontId="10" fillId="4" borderId="2" xfId="0" applyFont="1" applyFill="1" applyBorder="1" applyAlignment="1">
      <alignment vertical="center"/>
    </xf>
    <xf numFmtId="183" fontId="10" fillId="4" borderId="2" xfId="0" applyNumberFormat="1" applyFont="1" applyFill="1" applyBorder="1" applyAlignment="1">
      <alignment vertical="center"/>
    </xf>
    <xf numFmtId="0" fontId="1" fillId="2" borderId="1" xfId="66" applyNumberFormat="1" applyFont="1" applyFill="1" applyBorder="1" applyAlignment="1">
      <alignment horizontal="center" vertical="center" wrapText="1"/>
    </xf>
    <xf numFmtId="182" fontId="1" fillId="2" borderId="2" xfId="66" applyNumberFormat="1" applyFont="1" applyFill="1" applyBorder="1" applyAlignment="1">
      <alignment horizontal="center" vertical="center" wrapText="1"/>
    </xf>
    <xf numFmtId="0" fontId="2" fillId="2" borderId="2" xfId="0" applyFont="1" applyFill="1" applyBorder="1" applyAlignment="1">
      <alignment horizontal="left" vertical="center"/>
    </xf>
    <xf numFmtId="180" fontId="8" fillId="0" borderId="1" xfId="120" applyFont="1" applyFill="1" applyBorder="1" applyAlignment="1">
      <alignment horizontal="center" vertical="center" wrapText="1"/>
    </xf>
    <xf numFmtId="180" fontId="1" fillId="0" borderId="2" xfId="120" applyFont="1" applyFill="1" applyBorder="1" applyAlignment="1">
      <alignment horizontal="left" vertical="center" wrapText="1"/>
    </xf>
    <xf numFmtId="0" fontId="3" fillId="0" borderId="1" xfId="0" applyFont="1" applyFill="1" applyBorder="1" applyAlignment="1">
      <alignment vertical="center"/>
    </xf>
    <xf numFmtId="0" fontId="3" fillId="0" borderId="1" xfId="0" applyFont="1" applyFill="1" applyBorder="1" applyAlignment="1">
      <alignment vertical="center" wrapText="1"/>
    </xf>
    <xf numFmtId="49" fontId="11" fillId="0" borderId="1" xfId="66" applyNumberFormat="1" applyFont="1" applyFill="1" applyBorder="1" applyAlignment="1">
      <alignment horizontal="center" vertical="center" wrapText="1"/>
    </xf>
    <xf numFmtId="182" fontId="1" fillId="0" borderId="2" xfId="66" applyNumberFormat="1" applyFont="1" applyFill="1" applyBorder="1" applyAlignment="1">
      <alignment horizontal="center" vertical="center" wrapText="1"/>
    </xf>
    <xf numFmtId="180" fontId="1" fillId="0" borderId="2" xfId="66" applyNumberFormat="1" applyFont="1" applyFill="1" applyBorder="1" applyAlignment="1">
      <alignment horizontal="left" vertical="center" wrapText="1"/>
    </xf>
    <xf numFmtId="180" fontId="8" fillId="0" borderId="1" xfId="66" applyNumberFormat="1" applyFont="1" applyFill="1" applyBorder="1" applyAlignment="1">
      <alignment horizontal="center" vertical="center" wrapText="1"/>
    </xf>
    <xf numFmtId="180" fontId="8" fillId="0" borderId="2" xfId="125" applyNumberFormat="1" applyFont="1" applyFill="1" applyBorder="1" applyAlignment="1">
      <alignment horizontal="left" vertical="center" wrapText="1"/>
    </xf>
    <xf numFmtId="49" fontId="9" fillId="0" borderId="1" xfId="125" applyNumberFormat="1" applyFont="1" applyFill="1" applyBorder="1" applyAlignment="1">
      <alignment horizontal="center" vertical="center" wrapText="1"/>
    </xf>
    <xf numFmtId="180" fontId="9" fillId="0" borderId="1" xfId="125" applyNumberFormat="1" applyFont="1" applyFill="1" applyBorder="1" applyAlignment="1">
      <alignment horizontal="center" vertical="center" wrapText="1"/>
    </xf>
    <xf numFmtId="180" fontId="8" fillId="0" borderId="2" xfId="0" applyNumberFormat="1" applyFont="1" applyFill="1" applyBorder="1" applyAlignment="1">
      <alignment horizontal="left" vertical="center" wrapText="1"/>
    </xf>
    <xf numFmtId="49" fontId="9" fillId="0" borderId="1" xfId="0" applyNumberFormat="1" applyFont="1" applyFill="1" applyBorder="1" applyAlignment="1">
      <alignment horizontal="center" vertical="center" wrapText="1"/>
    </xf>
    <xf numFmtId="180" fontId="9" fillId="0" borderId="1" xfId="0" applyNumberFormat="1" applyFont="1" applyFill="1" applyBorder="1" applyAlignment="1">
      <alignment horizontal="center" vertical="center" wrapText="1"/>
    </xf>
    <xf numFmtId="180" fontId="8" fillId="0" borderId="2" xfId="66" applyNumberFormat="1" applyFont="1" applyFill="1" applyBorder="1" applyAlignment="1">
      <alignment horizontal="left" vertical="center" wrapText="1"/>
    </xf>
    <xf numFmtId="49" fontId="9" fillId="0" borderId="1" xfId="66" applyNumberFormat="1" applyFont="1" applyFill="1" applyBorder="1" applyAlignment="1">
      <alignment horizontal="center" vertical="center" wrapText="1"/>
    </xf>
    <xf numFmtId="180" fontId="9" fillId="0" borderId="1" xfId="66" applyNumberFormat="1" applyFont="1" applyFill="1" applyBorder="1" applyAlignment="1">
      <alignment horizontal="center" vertical="center" wrapText="1"/>
    </xf>
    <xf numFmtId="180" fontId="8" fillId="0" borderId="2" xfId="83" applyNumberFormat="1" applyFont="1" applyFill="1" applyBorder="1" applyAlignment="1">
      <alignment horizontal="left" vertical="center" wrapText="1"/>
    </xf>
    <xf numFmtId="49" fontId="9" fillId="0" borderId="1" xfId="83" applyNumberFormat="1" applyFont="1" applyFill="1" applyBorder="1" applyAlignment="1">
      <alignment horizontal="center" vertical="center" wrapText="1"/>
    </xf>
    <xf numFmtId="180" fontId="9" fillId="0" borderId="1" xfId="83" applyNumberFormat="1" applyFont="1" applyFill="1" applyBorder="1" applyAlignment="1">
      <alignment horizontal="center" vertical="center" wrapText="1"/>
    </xf>
    <xf numFmtId="180" fontId="8" fillId="0" borderId="2" xfId="124" applyFont="1" applyFill="1" applyBorder="1" applyAlignment="1">
      <alignment horizontal="left" vertical="center" wrapText="1"/>
    </xf>
    <xf numFmtId="49" fontId="9" fillId="0" borderId="1" xfId="124" applyNumberFormat="1" applyFont="1" applyFill="1" applyBorder="1" applyAlignment="1">
      <alignment horizontal="center" vertical="center" wrapText="1"/>
    </xf>
    <xf numFmtId="180" fontId="9" fillId="0" borderId="1" xfId="124" applyFont="1" applyFill="1" applyBorder="1" applyAlignment="1">
      <alignment horizontal="center" vertical="center" wrapText="1"/>
    </xf>
    <xf numFmtId="49" fontId="7" fillId="0" borderId="1" xfId="66" applyNumberFormat="1" applyFont="1" applyFill="1" applyBorder="1" applyAlignment="1">
      <alignment horizontal="center" vertical="center" wrapText="1"/>
    </xf>
    <xf numFmtId="180" fontId="7" fillId="0" borderId="1" xfId="66" applyNumberFormat="1" applyFont="1" applyFill="1" applyBorder="1" applyAlignment="1">
      <alignment horizontal="center" vertical="center" wrapText="1"/>
    </xf>
    <xf numFmtId="180" fontId="8" fillId="0" borderId="2" xfId="105" applyNumberFormat="1" applyFont="1" applyFill="1" applyBorder="1" applyAlignment="1">
      <alignment horizontal="left" vertical="center" wrapText="1"/>
    </xf>
    <xf numFmtId="49" fontId="9" fillId="0" borderId="1" xfId="105" applyNumberFormat="1" applyFont="1" applyFill="1" applyBorder="1" applyAlignment="1">
      <alignment horizontal="center" vertical="center" wrapText="1"/>
    </xf>
    <xf numFmtId="180" fontId="9" fillId="0" borderId="1" xfId="105" applyNumberFormat="1" applyFont="1" applyFill="1" applyBorder="1" applyAlignment="1">
      <alignment horizontal="center" vertical="center" wrapText="1"/>
    </xf>
    <xf numFmtId="180" fontId="8" fillId="0" borderId="2" xfId="0" applyNumberFormat="1" applyFont="1" applyFill="1" applyBorder="1" applyAlignment="1">
      <alignment horizontal="left" wrapText="1"/>
    </xf>
    <xf numFmtId="49" fontId="9" fillId="0" borderId="1" xfId="0" applyNumberFormat="1" applyFont="1" applyFill="1" applyBorder="1" applyAlignment="1">
      <alignment horizontal="center" wrapText="1"/>
    </xf>
    <xf numFmtId="180" fontId="9" fillId="0" borderId="1" xfId="0" applyNumberFormat="1" applyFont="1" applyFill="1" applyBorder="1" applyAlignment="1">
      <alignment horizontal="center" wrapText="1"/>
    </xf>
    <xf numFmtId="0" fontId="8" fillId="0" borderId="2" xfId="0" applyNumberFormat="1" applyFont="1" applyFill="1" applyBorder="1" applyAlignment="1">
      <alignment horizontal="left" vertical="center" wrapText="1"/>
    </xf>
    <xf numFmtId="0" fontId="9" fillId="0" borderId="1" xfId="0" applyNumberFormat="1" applyFont="1" applyFill="1" applyBorder="1" applyAlignment="1">
      <alignment horizontal="center" vertical="center" wrapText="1"/>
    </xf>
    <xf numFmtId="180" fontId="8" fillId="0" borderId="2" xfId="124" applyFont="1" applyBorder="1" applyAlignment="1">
      <alignment horizontal="left" vertical="center" wrapText="1"/>
    </xf>
    <xf numFmtId="49" fontId="9" fillId="0" borderId="1" xfId="124" applyNumberFormat="1" applyFont="1" applyBorder="1" applyAlignment="1">
      <alignment horizontal="center" vertical="center" wrapText="1"/>
    </xf>
    <xf numFmtId="180" fontId="9" fillId="0" borderId="1" xfId="124" applyFont="1" applyBorder="1" applyAlignment="1">
      <alignment horizontal="center" vertical="center" wrapText="1"/>
    </xf>
    <xf numFmtId="0" fontId="8" fillId="0" borderId="1" xfId="122" applyNumberFormat="1" applyFont="1" applyFill="1" applyBorder="1" applyAlignment="1">
      <alignment horizontal="center" vertical="center" wrapText="1"/>
    </xf>
    <xf numFmtId="49" fontId="11" fillId="0" borderId="1" xfId="122" applyNumberFormat="1" applyFont="1" applyFill="1" applyBorder="1" applyAlignment="1">
      <alignment horizontal="center" vertical="center"/>
    </xf>
    <xf numFmtId="180" fontId="8" fillId="0" borderId="2" xfId="60" applyNumberFormat="1" applyFont="1" applyFill="1" applyBorder="1" applyAlignment="1">
      <alignment horizontal="left" vertical="center" wrapText="1"/>
    </xf>
    <xf numFmtId="49" fontId="9" fillId="0" borderId="1" xfId="60" applyNumberFormat="1" applyFont="1" applyFill="1" applyBorder="1" applyAlignment="1">
      <alignment horizontal="center" vertical="center" wrapText="1"/>
    </xf>
    <xf numFmtId="180" fontId="9" fillId="0" borderId="1" xfId="60" applyNumberFormat="1" applyFont="1" applyFill="1" applyBorder="1" applyAlignment="1">
      <alignment horizontal="center" vertical="center" wrapText="1"/>
    </xf>
    <xf numFmtId="0" fontId="8" fillId="0" borderId="2" xfId="0" applyFont="1" applyFill="1" applyBorder="1" applyAlignment="1">
      <alignment horizontal="left" vertical="center" wrapText="1"/>
    </xf>
    <xf numFmtId="0" fontId="9" fillId="0" borderId="1" xfId="0" applyFont="1" applyFill="1" applyBorder="1" applyAlignment="1">
      <alignment horizontal="center" vertical="center" wrapText="1"/>
    </xf>
    <xf numFmtId="184" fontId="12" fillId="0" borderId="1" xfId="0" applyNumberFormat="1" applyFont="1" applyFill="1" applyBorder="1" applyAlignment="1">
      <alignment horizontal="center" vertical="center" shrinkToFit="1"/>
    </xf>
    <xf numFmtId="49" fontId="8" fillId="0" borderId="2" xfId="66" applyNumberFormat="1" applyFont="1" applyFill="1" applyBorder="1" applyAlignment="1">
      <alignment horizontal="left" vertical="center" wrapText="1"/>
    </xf>
    <xf numFmtId="49" fontId="12" fillId="0" borderId="1" xfId="0" applyNumberFormat="1" applyFont="1" applyFill="1" applyBorder="1" applyAlignment="1">
      <alignment horizontal="center" vertical="center" wrapText="1"/>
    </xf>
    <xf numFmtId="180" fontId="8" fillId="0" borderId="2" xfId="66" applyNumberFormat="1" applyFont="1" applyFill="1" applyBorder="1" applyAlignment="1">
      <alignment horizontal="left" vertical="top" wrapText="1"/>
    </xf>
    <xf numFmtId="49" fontId="9" fillId="0" borderId="1" xfId="66" applyNumberFormat="1" applyFont="1" applyFill="1" applyBorder="1" applyAlignment="1">
      <alignment horizontal="center" vertical="top" wrapText="1"/>
    </xf>
    <xf numFmtId="180" fontId="9" fillId="0" borderId="1" xfId="66" applyNumberFormat="1" applyFont="1" applyFill="1" applyBorder="1" applyAlignment="1">
      <alignment horizontal="center" vertical="top" wrapText="1"/>
    </xf>
    <xf numFmtId="180" fontId="8" fillId="0" borderId="2" xfId="0" applyNumberFormat="1" applyFont="1" applyFill="1" applyBorder="1" applyAlignment="1">
      <alignment horizontal="left" vertical="top" wrapText="1"/>
    </xf>
    <xf numFmtId="49" fontId="9" fillId="0" borderId="1" xfId="0" applyNumberFormat="1" applyFont="1" applyFill="1" applyBorder="1" applyAlignment="1">
      <alignment horizontal="center" vertical="top" wrapText="1"/>
    </xf>
    <xf numFmtId="180" fontId="9" fillId="0" borderId="1" xfId="0" applyNumberFormat="1" applyFont="1" applyFill="1" applyBorder="1" applyAlignment="1">
      <alignment horizontal="center" vertical="top" wrapText="1"/>
    </xf>
    <xf numFmtId="180" fontId="8" fillId="0" borderId="2" xfId="126" applyFont="1" applyFill="1" applyBorder="1" applyAlignment="1">
      <alignment horizontal="left" vertical="center" wrapText="1"/>
    </xf>
    <xf numFmtId="49" fontId="9" fillId="0" borderId="1" xfId="126" applyNumberFormat="1" applyFont="1" applyFill="1" applyBorder="1" applyAlignment="1">
      <alignment horizontal="center" vertical="center" wrapText="1"/>
    </xf>
    <xf numFmtId="180" fontId="9" fillId="0" borderId="1" xfId="126" applyFont="1" applyFill="1" applyBorder="1" applyAlignment="1">
      <alignment horizontal="center" vertical="center" wrapText="1"/>
    </xf>
    <xf numFmtId="180" fontId="8" fillId="0" borderId="1" xfId="125" applyNumberFormat="1" applyFont="1" applyFill="1" applyBorder="1" applyAlignment="1">
      <alignment horizontal="center" vertical="center" wrapText="1"/>
    </xf>
    <xf numFmtId="180" fontId="1" fillId="2" borderId="1" xfId="66" applyNumberFormat="1" applyFont="1" applyFill="1" applyBorder="1" applyAlignment="1">
      <alignment horizontal="center" vertical="center"/>
    </xf>
    <xf numFmtId="182" fontId="1" fillId="2" borderId="2" xfId="66" applyNumberFormat="1" applyFont="1" applyFill="1" applyBorder="1" applyAlignment="1">
      <alignment horizontal="center" vertical="center"/>
    </xf>
    <xf numFmtId="180" fontId="8" fillId="0" borderId="1" xfId="122" applyFont="1" applyFill="1" applyBorder="1" applyAlignment="1">
      <alignment horizontal="center" vertical="center" wrapText="1"/>
    </xf>
    <xf numFmtId="182" fontId="8" fillId="0" borderId="2" xfId="122" applyNumberFormat="1" applyFont="1" applyFill="1" applyBorder="1" applyAlignment="1">
      <alignment horizontal="center" vertical="center" wrapText="1"/>
    </xf>
    <xf numFmtId="180" fontId="8" fillId="0" borderId="2" xfId="122" applyFont="1" applyFill="1" applyBorder="1" applyAlignment="1">
      <alignment horizontal="left" vertical="center" wrapText="1"/>
    </xf>
    <xf numFmtId="49" fontId="9" fillId="0" borderId="1" xfId="122" applyNumberFormat="1" applyFont="1" applyFill="1" applyBorder="1" applyAlignment="1">
      <alignment horizontal="center" vertical="center" wrapText="1"/>
    </xf>
    <xf numFmtId="180" fontId="9" fillId="0" borderId="1" xfId="122" applyFont="1" applyFill="1" applyBorder="1" applyAlignment="1">
      <alignment horizontal="center" vertical="center" wrapText="1"/>
    </xf>
    <xf numFmtId="0" fontId="8" fillId="0" borderId="1" xfId="124" applyNumberFormat="1" applyFont="1" applyFill="1" applyBorder="1" applyAlignment="1">
      <alignment horizontal="center" vertical="center" wrapText="1"/>
    </xf>
    <xf numFmtId="180" fontId="8" fillId="0" borderId="1" xfId="124" applyFont="1" applyFill="1" applyBorder="1" applyAlignment="1">
      <alignment horizontal="center" vertical="center" wrapText="1"/>
    </xf>
    <xf numFmtId="180" fontId="8" fillId="0" borderId="1" xfId="124" applyFont="1" applyFill="1" applyBorder="1" applyAlignment="1">
      <alignment horizontal="center" vertical="center" wrapText="1" shrinkToFit="1"/>
    </xf>
    <xf numFmtId="180" fontId="8" fillId="0" borderId="2" xfId="123" applyFont="1" applyFill="1" applyBorder="1" applyAlignment="1">
      <alignment horizontal="left" vertical="center" wrapText="1"/>
    </xf>
    <xf numFmtId="49" fontId="9" fillId="0" borderId="1" xfId="123" applyNumberFormat="1" applyFont="1" applyFill="1" applyBorder="1" applyAlignment="1">
      <alignment horizontal="center" vertical="center" wrapText="1"/>
    </xf>
    <xf numFmtId="180" fontId="9" fillId="0" borderId="1" xfId="123" applyFont="1" applyFill="1" applyBorder="1" applyAlignment="1">
      <alignment horizontal="center" vertical="center" wrapText="1"/>
    </xf>
    <xf numFmtId="180" fontId="8" fillId="0" borderId="2" xfId="126" applyNumberFormat="1" applyFont="1" applyFill="1" applyBorder="1" applyAlignment="1">
      <alignment horizontal="left" vertical="center" wrapText="1"/>
    </xf>
    <xf numFmtId="180" fontId="9" fillId="0" borderId="1" xfId="126" applyNumberFormat="1" applyFont="1" applyFill="1" applyBorder="1" applyAlignment="1">
      <alignment horizontal="center" vertical="center" wrapText="1"/>
    </xf>
    <xf numFmtId="180" fontId="1" fillId="0" borderId="1" xfId="122" applyFont="1" applyFill="1" applyBorder="1" applyAlignment="1">
      <alignment horizontal="center" vertical="center" wrapText="1"/>
    </xf>
    <xf numFmtId="49" fontId="8" fillId="0" borderId="2" xfId="122" applyNumberFormat="1" applyFont="1" applyFill="1" applyBorder="1" applyAlignment="1">
      <alignment horizontal="left" vertical="center" wrapText="1"/>
    </xf>
    <xf numFmtId="180" fontId="8" fillId="0" borderId="0" xfId="124" applyFont="1" applyAlignment="1">
      <alignment horizontal="left" vertical="center" wrapText="1"/>
    </xf>
    <xf numFmtId="180" fontId="8" fillId="0" borderId="1" xfId="66" applyNumberFormat="1" applyFont="1" applyFill="1" applyBorder="1" applyAlignment="1">
      <alignment horizontal="left" vertical="center" wrapText="1"/>
    </xf>
    <xf numFmtId="180" fontId="8" fillId="0" borderId="1" xfId="124" applyFont="1" applyBorder="1" applyAlignment="1">
      <alignment horizontal="left" vertical="center" wrapText="1"/>
    </xf>
    <xf numFmtId="180" fontId="8" fillId="0" borderId="0" xfId="66" applyNumberFormat="1" applyFont="1" applyFill="1" applyAlignment="1">
      <alignment horizontal="left" vertical="center" wrapText="1"/>
    </xf>
    <xf numFmtId="180" fontId="8" fillId="0" borderId="2" xfId="125" applyFont="1" applyBorder="1" applyAlignment="1">
      <alignment horizontal="left" vertical="center" wrapText="1"/>
    </xf>
    <xf numFmtId="49" fontId="9" fillId="0" borderId="1" xfId="125" applyNumberFormat="1" applyFont="1" applyBorder="1" applyAlignment="1">
      <alignment horizontal="center" vertical="center" wrapText="1"/>
    </xf>
    <xf numFmtId="180" fontId="9" fillId="0" borderId="1" xfId="125" applyFont="1" applyBorder="1" applyAlignment="1">
      <alignment horizontal="center" vertical="center" wrapText="1"/>
    </xf>
    <xf numFmtId="180" fontId="8" fillId="0" borderId="2" xfId="84" applyNumberFormat="1" applyFont="1" applyFill="1" applyBorder="1" applyAlignment="1">
      <alignment horizontal="left" wrapText="1"/>
    </xf>
    <xf numFmtId="49" fontId="9" fillId="0" borderId="1" xfId="84" applyNumberFormat="1" applyFont="1" applyFill="1" applyBorder="1" applyAlignment="1">
      <alignment horizontal="center" wrapText="1"/>
    </xf>
    <xf numFmtId="180" fontId="9" fillId="0" borderId="1" xfId="84" applyNumberFormat="1" applyFont="1" applyFill="1" applyBorder="1" applyAlignment="1">
      <alignment horizontal="center" wrapText="1"/>
    </xf>
    <xf numFmtId="49" fontId="8" fillId="0" borderId="1" xfId="122" applyNumberFormat="1" applyFont="1" applyFill="1" applyBorder="1" applyAlignment="1">
      <alignment horizontal="center" vertical="center" wrapText="1"/>
    </xf>
    <xf numFmtId="180" fontId="8" fillId="0" borderId="2" xfId="126" applyFont="1" applyFill="1" applyBorder="1" applyAlignment="1">
      <alignment horizontal="left" vertical="top" wrapText="1"/>
    </xf>
    <xf numFmtId="49" fontId="9" fillId="0" borderId="1" xfId="126" applyNumberFormat="1" applyFont="1" applyFill="1" applyBorder="1" applyAlignment="1">
      <alignment horizontal="center" vertical="top" wrapText="1"/>
    </xf>
    <xf numFmtId="180" fontId="9" fillId="0" borderId="1" xfId="126" applyFont="1" applyFill="1" applyBorder="1" applyAlignment="1">
      <alignment horizontal="center" vertical="top" wrapText="1"/>
    </xf>
    <xf numFmtId="49" fontId="8" fillId="0" borderId="2" xfId="66" applyNumberFormat="1" applyFont="1" applyFill="1" applyBorder="1" applyAlignment="1">
      <alignment horizontal="left" vertical="top" wrapText="1"/>
    </xf>
    <xf numFmtId="180" fontId="8" fillId="0" borderId="2" xfId="125" applyFont="1" applyFill="1" applyBorder="1" applyAlignment="1">
      <alignment horizontal="left" vertical="center" wrapText="1"/>
    </xf>
    <xf numFmtId="180" fontId="9" fillId="0" borderId="1" xfId="125" applyFont="1" applyFill="1" applyBorder="1" applyAlignment="1">
      <alignment horizontal="center" vertical="center" wrapText="1"/>
    </xf>
    <xf numFmtId="183" fontId="12" fillId="0" borderId="1" xfId="0" applyNumberFormat="1" applyFont="1" applyFill="1" applyBorder="1" applyAlignment="1">
      <alignment horizontal="center" vertical="center" shrinkToFit="1"/>
    </xf>
    <xf numFmtId="183" fontId="8" fillId="0" borderId="1" xfId="0" applyNumberFormat="1" applyFont="1" applyFill="1" applyBorder="1" applyAlignment="1">
      <alignment horizontal="center" vertical="center" shrinkToFit="1"/>
    </xf>
    <xf numFmtId="0" fontId="8" fillId="0" borderId="2" xfId="0" applyNumberFormat="1" applyFont="1" applyFill="1" applyBorder="1" applyAlignment="1">
      <alignment horizontal="left" vertical="center"/>
    </xf>
    <xf numFmtId="49" fontId="9" fillId="0" borderId="1" xfId="0" applyNumberFormat="1" applyFont="1" applyFill="1" applyBorder="1" applyAlignment="1">
      <alignment horizontal="center" vertical="center"/>
    </xf>
    <xf numFmtId="0" fontId="9" fillId="0" borderId="1" xfId="0" applyNumberFormat="1" applyFont="1" applyFill="1" applyBorder="1" applyAlignment="1">
      <alignment horizontal="center" vertical="center"/>
    </xf>
    <xf numFmtId="0" fontId="8" fillId="0" borderId="1" xfId="122" applyNumberFormat="1" applyFont="1" applyFill="1" applyBorder="1" applyAlignment="1">
      <alignment horizontal="center" vertical="center"/>
    </xf>
    <xf numFmtId="180" fontId="8" fillId="0" borderId="1" xfId="122" applyFont="1" applyFill="1" applyBorder="1" applyAlignment="1">
      <alignment horizontal="center" vertical="center"/>
    </xf>
    <xf numFmtId="182" fontId="8" fillId="0" borderId="2" xfId="122" applyNumberFormat="1" applyFont="1" applyFill="1" applyBorder="1" applyAlignment="1">
      <alignment horizontal="center" vertical="center"/>
    </xf>
    <xf numFmtId="183" fontId="8" fillId="0" borderId="1" xfId="0" applyNumberFormat="1" applyFont="1" applyFill="1" applyBorder="1" applyAlignment="1">
      <alignment horizontal="center" vertical="center" wrapText="1"/>
    </xf>
    <xf numFmtId="0" fontId="8" fillId="0" borderId="1" xfId="66" applyNumberFormat="1" applyFont="1" applyFill="1" applyBorder="1" applyAlignment="1">
      <alignment horizontal="center" vertical="center"/>
    </xf>
    <xf numFmtId="180" fontId="8" fillId="0" borderId="1" xfId="66" applyNumberFormat="1" applyFont="1" applyFill="1" applyBorder="1" applyAlignment="1">
      <alignment horizontal="center" vertical="center"/>
    </xf>
    <xf numFmtId="182" fontId="1" fillId="0" borderId="2" xfId="66" applyNumberFormat="1" applyFont="1" applyFill="1" applyBorder="1" applyAlignment="1">
      <alignment horizontal="center" vertical="center"/>
    </xf>
    <xf numFmtId="0" fontId="8" fillId="0" borderId="1" xfId="121" applyNumberFormat="1" applyFont="1" applyFill="1" applyBorder="1" applyAlignment="1">
      <alignment horizontal="center" vertical="center" wrapText="1"/>
    </xf>
    <xf numFmtId="180" fontId="8" fillId="0" borderId="1" xfId="121" applyFont="1" applyFill="1" applyBorder="1" applyAlignment="1">
      <alignment horizontal="center" vertical="center" wrapText="1"/>
    </xf>
    <xf numFmtId="182" fontId="8" fillId="0" borderId="2" xfId="121" applyNumberFormat="1" applyFont="1" applyFill="1" applyBorder="1" applyAlignment="1">
      <alignment horizontal="center" vertical="center" wrapText="1"/>
    </xf>
    <xf numFmtId="180" fontId="1" fillId="0" borderId="2" xfId="121" applyFont="1" applyFill="1" applyBorder="1" applyAlignment="1">
      <alignment horizontal="left" vertical="center" wrapText="1"/>
    </xf>
    <xf numFmtId="0" fontId="8" fillId="0" borderId="1" xfId="0" applyNumberFormat="1" applyFont="1" applyFill="1" applyBorder="1" applyAlignment="1">
      <alignment horizontal="center" vertical="center" wrapText="1"/>
    </xf>
    <xf numFmtId="180" fontId="8" fillId="0" borderId="2" xfId="120" applyFont="1" applyFill="1" applyBorder="1" applyAlignment="1">
      <alignment horizontal="left" vertical="center" wrapText="1"/>
    </xf>
    <xf numFmtId="0" fontId="1" fillId="0" borderId="1" xfId="120" applyNumberFormat="1" applyFont="1" applyFill="1" applyBorder="1" applyAlignment="1">
      <alignment horizontal="center" vertical="center"/>
    </xf>
    <xf numFmtId="180" fontId="1" fillId="0" borderId="1" xfId="120" applyFont="1" applyFill="1" applyBorder="1" applyAlignment="1">
      <alignment horizontal="center" vertical="center"/>
    </xf>
    <xf numFmtId="182" fontId="1" fillId="0" borderId="2" xfId="120" applyNumberFormat="1" applyFont="1" applyFill="1" applyBorder="1" applyAlignment="1">
      <alignment horizontal="center" vertical="center"/>
    </xf>
    <xf numFmtId="180" fontId="1" fillId="0" borderId="2" xfId="120" applyFont="1" applyFill="1" applyBorder="1" applyAlignment="1">
      <alignment horizontal="left" vertical="center"/>
    </xf>
    <xf numFmtId="0" fontId="1" fillId="0" borderId="1" xfId="121" applyNumberFormat="1" applyFont="1" applyFill="1" applyBorder="1" applyAlignment="1">
      <alignment horizontal="center" vertical="center" wrapText="1"/>
    </xf>
    <xf numFmtId="180" fontId="1" fillId="0" borderId="1" xfId="121" applyFont="1" applyFill="1" applyBorder="1" applyAlignment="1">
      <alignment horizontal="center" vertical="center" wrapText="1"/>
    </xf>
    <xf numFmtId="182" fontId="1" fillId="0" borderId="2" xfId="121" applyNumberFormat="1" applyFont="1" applyFill="1" applyBorder="1" applyAlignment="1">
      <alignment horizontal="center" vertical="center" wrapText="1"/>
    </xf>
    <xf numFmtId="180" fontId="1" fillId="0" borderId="2" xfId="121" applyFont="1" applyFill="1" applyBorder="1" applyAlignment="1">
      <alignment horizontal="left" vertical="center"/>
    </xf>
    <xf numFmtId="180" fontId="8" fillId="0" borderId="2" xfId="66" applyNumberFormat="1" applyFont="1" applyFill="1" applyBorder="1" applyAlignment="1">
      <alignment horizontal="left" vertical="center"/>
    </xf>
    <xf numFmtId="49" fontId="9" fillId="0" borderId="1" xfId="66" applyNumberFormat="1" applyFont="1" applyFill="1" applyBorder="1" applyAlignment="1">
      <alignment horizontal="center" vertical="center"/>
    </xf>
    <xf numFmtId="180" fontId="9" fillId="0" borderId="1" xfId="66" applyNumberFormat="1" applyFont="1" applyFill="1" applyBorder="1" applyAlignment="1">
      <alignment horizontal="center" vertical="center"/>
    </xf>
    <xf numFmtId="183" fontId="12" fillId="5" borderId="1" xfId="0" applyNumberFormat="1" applyFont="1" applyFill="1" applyBorder="1" applyAlignment="1">
      <alignment horizontal="center" vertical="center" shrinkToFit="1"/>
    </xf>
    <xf numFmtId="0" fontId="1" fillId="2" borderId="1" xfId="122" applyNumberFormat="1" applyFont="1" applyFill="1" applyBorder="1" applyAlignment="1">
      <alignment horizontal="center" vertical="center" wrapText="1"/>
    </xf>
    <xf numFmtId="180" fontId="1" fillId="2" borderId="1" xfId="122" applyFont="1" applyFill="1" applyBorder="1" applyAlignment="1">
      <alignment horizontal="center" vertical="center"/>
    </xf>
    <xf numFmtId="0" fontId="1" fillId="0" borderId="1" xfId="122" applyNumberFormat="1" applyFont="1" applyFill="1" applyBorder="1" applyAlignment="1">
      <alignment horizontal="center" vertical="center"/>
    </xf>
    <xf numFmtId="49" fontId="8" fillId="0" borderId="1" xfId="0" applyNumberFormat="1" applyFont="1" applyFill="1" applyBorder="1" applyAlignment="1">
      <alignment horizontal="center" vertical="center" wrapText="1"/>
    </xf>
    <xf numFmtId="180" fontId="8" fillId="0" borderId="1" xfId="0" applyNumberFormat="1" applyFont="1" applyFill="1" applyBorder="1" applyAlignment="1">
      <alignment horizontal="center" vertical="center" wrapText="1"/>
    </xf>
    <xf numFmtId="49" fontId="8" fillId="0" borderId="1" xfId="66" applyNumberFormat="1" applyFont="1" applyFill="1" applyBorder="1" applyAlignment="1">
      <alignment horizontal="center" vertical="center" wrapText="1"/>
    </xf>
    <xf numFmtId="49" fontId="8" fillId="0" borderId="1" xfId="125" applyNumberFormat="1" applyFont="1" applyFill="1" applyBorder="1" applyAlignment="1">
      <alignment horizontal="center" vertical="center" wrapText="1"/>
    </xf>
    <xf numFmtId="49" fontId="8" fillId="0" borderId="1" xfId="124" applyNumberFormat="1" applyFont="1" applyFill="1" applyBorder="1" applyAlignment="1">
      <alignment horizontal="center" vertical="center" wrapText="1"/>
    </xf>
    <xf numFmtId="180" fontId="1" fillId="0" borderId="2" xfId="122" applyFont="1" applyFill="1" applyBorder="1" applyAlignment="1">
      <alignment horizontal="left" vertical="center" wrapText="1"/>
    </xf>
    <xf numFmtId="49" fontId="1" fillId="0" borderId="1" xfId="122" applyNumberFormat="1" applyFont="1" applyFill="1" applyBorder="1" applyAlignment="1">
      <alignment horizontal="center" vertical="center" wrapText="1"/>
    </xf>
    <xf numFmtId="49" fontId="8" fillId="0" borderId="1" xfId="0" applyNumberFormat="1" applyFont="1" applyFill="1" applyBorder="1" applyAlignment="1">
      <alignment horizontal="center" vertical="top" wrapText="1"/>
    </xf>
    <xf numFmtId="180" fontId="8" fillId="0" borderId="1" xfId="0" applyNumberFormat="1" applyFont="1" applyFill="1" applyBorder="1" applyAlignment="1">
      <alignment horizontal="center" vertical="top" wrapText="1"/>
    </xf>
    <xf numFmtId="49" fontId="8" fillId="0" borderId="1" xfId="123" applyNumberFormat="1" applyFont="1" applyFill="1" applyBorder="1" applyAlignment="1">
      <alignment horizontal="center" vertical="center" wrapText="1"/>
    </xf>
    <xf numFmtId="180" fontId="8" fillId="0" borderId="1" xfId="123" applyFont="1" applyFill="1" applyBorder="1" applyAlignment="1">
      <alignment horizontal="center" vertical="center" wrapText="1"/>
    </xf>
    <xf numFmtId="0" fontId="1" fillId="0" borderId="1" xfId="124" applyNumberFormat="1" applyFont="1" applyFill="1" applyBorder="1" applyAlignment="1">
      <alignment horizontal="center" vertical="center" wrapText="1"/>
    </xf>
    <xf numFmtId="180" fontId="1" fillId="0" borderId="1" xfId="124" applyFont="1" applyFill="1" applyBorder="1" applyAlignment="1">
      <alignment horizontal="center" vertical="center" wrapText="1" shrinkToFit="1"/>
    </xf>
    <xf numFmtId="49" fontId="1" fillId="0" borderId="1" xfId="66" applyNumberFormat="1" applyFont="1" applyFill="1" applyBorder="1" applyAlignment="1">
      <alignment horizontal="center" vertical="center" wrapText="1"/>
    </xf>
    <xf numFmtId="49" fontId="8" fillId="0" borderId="1" xfId="0" applyNumberFormat="1" applyFont="1" applyFill="1" applyBorder="1" applyAlignment="1">
      <alignment horizontal="center" wrapText="1"/>
    </xf>
    <xf numFmtId="180" fontId="8" fillId="0" borderId="1" xfId="0" applyNumberFormat="1" applyFont="1" applyFill="1" applyBorder="1" applyAlignment="1">
      <alignment horizontal="center" wrapText="1"/>
    </xf>
    <xf numFmtId="49" fontId="8" fillId="0" borderId="1" xfId="0" applyNumberFormat="1" applyFont="1" applyFill="1" applyBorder="1" applyAlignment="1">
      <alignment horizontal="center" vertical="center"/>
    </xf>
    <xf numFmtId="0" fontId="8" fillId="0" borderId="1" xfId="0" applyNumberFormat="1" applyFont="1" applyFill="1" applyBorder="1" applyAlignment="1">
      <alignment horizontal="center" vertical="center"/>
    </xf>
    <xf numFmtId="49" fontId="8" fillId="0" borderId="1" xfId="126" applyNumberFormat="1" applyFont="1" applyFill="1" applyBorder="1" applyAlignment="1">
      <alignment horizontal="center" vertical="center" wrapText="1"/>
    </xf>
    <xf numFmtId="180" fontId="8" fillId="0" borderId="1" xfId="126" applyFont="1" applyFill="1" applyBorder="1" applyAlignment="1">
      <alignment horizontal="center" vertical="center" wrapText="1"/>
    </xf>
    <xf numFmtId="0" fontId="8" fillId="0" borderId="1" xfId="128" applyNumberFormat="1" applyFont="1" applyFill="1" applyBorder="1" applyAlignment="1">
      <alignment horizontal="center" wrapText="1"/>
    </xf>
    <xf numFmtId="180" fontId="8" fillId="0" borderId="1" xfId="128" applyFont="1" applyFill="1" applyBorder="1" applyAlignment="1">
      <alignment horizontal="center" vertical="center" wrapText="1"/>
    </xf>
    <xf numFmtId="0" fontId="8" fillId="0" borderId="1" xfId="128" applyNumberFormat="1" applyFont="1" applyFill="1" applyBorder="1" applyAlignment="1">
      <alignment horizontal="center" vertical="center" wrapText="1"/>
    </xf>
    <xf numFmtId="49" fontId="8" fillId="0" borderId="1" xfId="128" applyNumberFormat="1" applyFont="1" applyFill="1" applyBorder="1" applyAlignment="1">
      <alignment horizontal="center" vertical="center" wrapText="1"/>
    </xf>
    <xf numFmtId="180" fontId="8" fillId="0" borderId="2" xfId="128" applyFont="1" applyFill="1" applyBorder="1" applyAlignment="1">
      <alignment horizontal="left" wrapText="1"/>
    </xf>
    <xf numFmtId="49" fontId="8" fillId="0" borderId="1" xfId="128" applyNumberFormat="1" applyFont="1" applyFill="1" applyBorder="1" applyAlignment="1">
      <alignment horizontal="center" wrapText="1"/>
    </xf>
    <xf numFmtId="180" fontId="8" fillId="0" borderId="1" xfId="128" applyFont="1" applyFill="1" applyBorder="1" applyAlignment="1">
      <alignment horizontal="center" wrapText="1"/>
    </xf>
    <xf numFmtId="180" fontId="11" fillId="0" borderId="2" xfId="66" applyNumberFormat="1" applyFont="1" applyFill="1" applyBorder="1" applyAlignment="1">
      <alignment horizontal="left" vertical="center" wrapText="1"/>
    </xf>
    <xf numFmtId="0" fontId="1" fillId="0" borderId="1" xfId="52" applyNumberFormat="1" applyFont="1" applyFill="1" applyBorder="1" applyAlignment="1">
      <alignment horizontal="center" vertical="center" wrapText="1"/>
    </xf>
    <xf numFmtId="0" fontId="2" fillId="0" borderId="2" xfId="0" applyFont="1" applyFill="1" applyBorder="1" applyAlignment="1">
      <alignment horizontal="left" vertical="center"/>
    </xf>
    <xf numFmtId="182" fontId="8" fillId="0" borderId="1" xfId="52" applyNumberFormat="1" applyFont="1" applyFill="1" applyBorder="1" applyAlignment="1">
      <alignment horizontal="center" vertical="center" wrapText="1"/>
    </xf>
    <xf numFmtId="182" fontId="1" fillId="0" borderId="2" xfId="121" applyNumberFormat="1" applyFont="1" applyFill="1" applyBorder="1" applyAlignment="1">
      <alignment horizontal="center" vertical="center"/>
    </xf>
    <xf numFmtId="182" fontId="1" fillId="0" borderId="1" xfId="52" applyNumberFormat="1" applyFont="1" applyFill="1" applyBorder="1" applyAlignment="1">
      <alignment horizontal="center" vertical="center" wrapText="1"/>
    </xf>
    <xf numFmtId="49" fontId="7" fillId="0" borderId="1" xfId="121" applyNumberFormat="1" applyFont="1" applyFill="1" applyBorder="1" applyAlignment="1">
      <alignment horizontal="center" vertical="center"/>
    </xf>
    <xf numFmtId="180" fontId="7" fillId="0" borderId="1" xfId="121" applyFont="1" applyFill="1" applyBorder="1" applyAlignment="1">
      <alignment horizontal="center" vertical="center"/>
    </xf>
    <xf numFmtId="180" fontId="7" fillId="0" borderId="1" xfId="121" applyFont="1" applyFill="1" applyBorder="1" applyAlignment="1">
      <alignment horizontal="center" vertical="center" wrapText="1"/>
    </xf>
    <xf numFmtId="49" fontId="7" fillId="0" borderId="1" xfId="121" applyNumberFormat="1" applyFont="1" applyFill="1" applyBorder="1" applyAlignment="1">
      <alignment horizontal="center" vertical="center" wrapText="1"/>
    </xf>
    <xf numFmtId="182" fontId="1" fillId="0" borderId="2" xfId="52" applyNumberFormat="1" applyFont="1" applyFill="1" applyBorder="1" applyAlignment="1">
      <alignment horizontal="left" vertical="center" wrapText="1"/>
    </xf>
    <xf numFmtId="49" fontId="7" fillId="0" borderId="1" xfId="52" applyNumberFormat="1" applyFont="1" applyFill="1" applyBorder="1" applyAlignment="1">
      <alignment horizontal="center" vertical="center" wrapText="1"/>
    </xf>
    <xf numFmtId="182" fontId="7" fillId="0" borderId="1" xfId="52" applyNumberFormat="1" applyFont="1" applyFill="1" applyBorder="1" applyAlignment="1">
      <alignment horizontal="center" vertical="center" wrapText="1"/>
    </xf>
    <xf numFmtId="0" fontId="1" fillId="0" borderId="1" xfId="120" applyNumberFormat="1" applyFont="1" applyFill="1" applyBorder="1" applyAlignment="1">
      <alignment horizontal="center" vertical="center" wrapText="1"/>
    </xf>
    <xf numFmtId="0" fontId="1" fillId="0" borderId="1" xfId="81" applyNumberFormat="1" applyFont="1" applyFill="1" applyBorder="1" applyAlignment="1">
      <alignment horizontal="center" vertical="center" wrapText="1"/>
    </xf>
    <xf numFmtId="180" fontId="1" fillId="0" borderId="1" xfId="81" applyNumberFormat="1" applyFont="1" applyFill="1" applyBorder="1" applyAlignment="1">
      <alignment horizontal="center" vertical="center"/>
    </xf>
    <xf numFmtId="180" fontId="1" fillId="0" borderId="2" xfId="66" applyNumberFormat="1" applyFont="1" applyFill="1" applyBorder="1" applyAlignment="1">
      <alignment horizontal="left" vertical="center"/>
    </xf>
    <xf numFmtId="0" fontId="8" fillId="0" borderId="1" xfId="73" applyNumberFormat="1" applyFont="1" applyFill="1" applyBorder="1" applyAlignment="1">
      <alignment horizontal="center" vertical="center" wrapText="1"/>
    </xf>
    <xf numFmtId="0" fontId="1" fillId="0" borderId="1" xfId="73" applyNumberFormat="1" applyFont="1" applyFill="1" applyBorder="1" applyAlignment="1">
      <alignment horizontal="center" vertical="center"/>
    </xf>
    <xf numFmtId="0" fontId="8" fillId="0" borderId="1" xfId="81" applyNumberFormat="1" applyFont="1" applyFill="1" applyBorder="1" applyAlignment="1">
      <alignment horizontal="center" vertical="center" wrapText="1"/>
    </xf>
    <xf numFmtId="180" fontId="8" fillId="0" borderId="1" xfId="81" applyNumberFormat="1" applyFont="1" applyFill="1" applyBorder="1" applyAlignment="1">
      <alignment horizontal="center" vertical="center" wrapText="1"/>
    </xf>
    <xf numFmtId="182" fontId="8" fillId="0" borderId="2" xfId="81" applyNumberFormat="1" applyFont="1" applyFill="1" applyBorder="1" applyAlignment="1">
      <alignment horizontal="center" vertical="center" wrapText="1"/>
    </xf>
    <xf numFmtId="180" fontId="1" fillId="0" borderId="2" xfId="73" applyNumberFormat="1" applyFont="1" applyFill="1" applyBorder="1" applyAlignment="1">
      <alignment horizontal="left" vertical="center"/>
    </xf>
    <xf numFmtId="0" fontId="8" fillId="0" borderId="1" xfId="120" applyNumberFormat="1" applyFont="1" applyFill="1" applyBorder="1" applyAlignment="1" quotePrefix="1">
      <alignment horizontal="center" vertical="center" wrapText="1"/>
    </xf>
    <xf numFmtId="49" fontId="9" fillId="0" borderId="1" xfId="121" applyNumberFormat="1" applyFont="1" applyFill="1" applyBorder="1" applyAlignment="1" applyProtection="1" quotePrefix="1">
      <alignment horizontal="center" vertical="center" wrapText="1"/>
      <protection locked="0"/>
    </xf>
    <xf numFmtId="180" fontId="8" fillId="0" borderId="1" xfId="120" applyFont="1" applyFill="1" applyBorder="1" applyAlignment="1" quotePrefix="1">
      <alignment horizontal="center" vertical="center" wrapText="1"/>
    </xf>
    <xf numFmtId="182" fontId="8" fillId="0" borderId="1" xfId="52" applyNumberFormat="1" applyFont="1" applyFill="1" applyBorder="1" applyAlignment="1" quotePrefix="1">
      <alignment horizontal="center" vertical="center" wrapText="1"/>
    </xf>
  </cellXfs>
  <cellStyles count="1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1" xfId="49"/>
    <cellStyle name="常规 6" xfId="50"/>
    <cellStyle name="常规 5 2" xfId="51"/>
    <cellStyle name="常规 3 2 2" xfId="52"/>
    <cellStyle name="常规 4 11" xfId="53"/>
    <cellStyle name="常规 3 2" xfId="54"/>
    <cellStyle name="常规 2 2 3 2 2 2 2" xfId="55"/>
    <cellStyle name="样式 1" xfId="56"/>
    <cellStyle name="常规 7 10" xfId="57"/>
    <cellStyle name="常规 5" xfId="58"/>
    <cellStyle name="常规 4 2" xfId="59"/>
    <cellStyle name="常规 4" xfId="60"/>
    <cellStyle name="常规_塑钢结构 12" xfId="61"/>
    <cellStyle name="常规 2" xfId="62"/>
    <cellStyle name="常规 15" xfId="63"/>
    <cellStyle name="常规 10 10 2" xfId="64"/>
    <cellStyle name="常规 11 2" xfId="65"/>
    <cellStyle name="常规 8" xfId="66"/>
    <cellStyle name="常规 73 2" xfId="67"/>
    <cellStyle name="常规_分项报价表_38" xfId="68"/>
    <cellStyle name="千位分隔 2" xfId="69"/>
    <cellStyle name="常规 2 2 2" xfId="70"/>
    <cellStyle name="常规 10 10 2 2" xfId="71"/>
    <cellStyle name="常规 4 2 7" xfId="72"/>
    <cellStyle name="常规 2 2" xfId="73"/>
    <cellStyle name="常规 3 3" xfId="74"/>
    <cellStyle name="常规_分项报价_25" xfId="75"/>
    <cellStyle name="常规 4 11 2" xfId="76"/>
    <cellStyle name="常规 10 2" xfId="77"/>
    <cellStyle name="超链接 3" xfId="78"/>
    <cellStyle name="常规 2 4" xfId="79"/>
    <cellStyle name="常规 2 3" xfId="80"/>
    <cellStyle name="常规 7" xfId="81"/>
    <cellStyle name="常规 10 2 3 2" xfId="82"/>
    <cellStyle name="常规 3" xfId="83"/>
    <cellStyle name="常规 7 2" xfId="84"/>
    <cellStyle name="常规_分项报价_44" xfId="85"/>
    <cellStyle name="常规_分项报价表_29" xfId="86"/>
    <cellStyle name="_ET_STYLE_NoName_00_" xfId="87"/>
    <cellStyle name="常规 140" xfId="88"/>
    <cellStyle name="常规_分项报价表_36" xfId="89"/>
    <cellStyle name="常规_分项报价_99" xfId="90"/>
    <cellStyle name="常规_分项报价表_14" xfId="91"/>
    <cellStyle name="常规_分项报价表_24" xfId="92"/>
    <cellStyle name="常规_分项报价_116" xfId="93"/>
    <cellStyle name="常规_分项报价表_42" xfId="94"/>
    <cellStyle name="常规_分项报价_59" xfId="95"/>
    <cellStyle name="常规_分项报价_112" xfId="96"/>
    <cellStyle name="常规_分项报价_108" xfId="97"/>
    <cellStyle name="常规_分项报价_16" xfId="98"/>
    <cellStyle name="常规_分项报价表_5" xfId="99"/>
    <cellStyle name="常规_分项报价表_51" xfId="100"/>
    <cellStyle name="常规 4 11 2 2" xfId="101"/>
    <cellStyle name="常规 4 2 7 2" xfId="102"/>
    <cellStyle name="常规 73 2 2 3" xfId="103"/>
    <cellStyle name="常规 10 10 2 3" xfId="104"/>
    <cellStyle name="常规 10" xfId="105"/>
    <cellStyle name="常规 7 2 2 2" xfId="106"/>
    <cellStyle name="常规_准备室方案(新铝木）" xfId="107"/>
    <cellStyle name="常规_准备室最新标准方案(贴面药品柜）OK1" xfId="108"/>
    <cellStyle name="常规 14 2 2 2" xfId="109"/>
    <cellStyle name="常规_大悟思源实验学校实验学校实验功能室配置方案（2016.1.25）." xfId="110"/>
    <cellStyle name="_ET_STYLE_NoName_00_ 2 2 3 2" xfId="111"/>
    <cellStyle name="_中山东风实验室" xfId="112"/>
    <cellStyle name="常规 101 2 2" xfId="113"/>
    <cellStyle name="常规 5 7 2 2" xfId="114"/>
    <cellStyle name="常规 15 4 2 2" xfId="115"/>
    <cellStyle name="常规 15 5 2" xfId="116"/>
    <cellStyle name="_增城市实验室" xfId="117"/>
    <cellStyle name="常规_Sheet1_1" xfId="118"/>
    <cellStyle name="常规_通风化学实验室（铁线槽水管明细）_1" xfId="119"/>
    <cellStyle name="常规 7 2 3" xfId="120"/>
    <cellStyle name="常规 7 10 2" xfId="121"/>
    <cellStyle name="常规_Sheet1" xfId="122"/>
    <cellStyle name="常规_2013年贵港市“薄改”项目--23-小学科学（港南）" xfId="123"/>
    <cellStyle name="常规_1数学" xfId="124"/>
    <cellStyle name="常规 4 3" xfId="125"/>
    <cellStyle name="常规 3 4" xfId="126"/>
    <cellStyle name="常规_精钢注塑理化生方案2013" xfId="127"/>
    <cellStyle name="常规 51" xfId="128"/>
    <cellStyle name="常规 2 2 2 2 2" xfId="129"/>
    <cellStyle name="常规 4 2 2 2 2 2 2 2" xfId="130"/>
    <cellStyle name="常规 3 2 2 2 2" xfId="131"/>
    <cellStyle name="常规 2 6 2" xfId="132"/>
    <cellStyle name="常规_物理_3" xfId="133"/>
    <cellStyle name="常规_采集器与传感器_1" xfId="134"/>
    <cellStyle name="常规_化学_7" xfId="135"/>
    <cellStyle name="常规 2 2 2 3" xfId="136"/>
    <cellStyle name="常规 2 2 3 2" xfId="137"/>
    <cellStyle name="常规 5 7 2 2 2" xfId="138"/>
    <cellStyle name="常规 140 2" xfId="139"/>
    <cellStyle name="常规 3 2 2 2" xfId="140"/>
    <cellStyle name="差 2" xfId="141"/>
    <cellStyle name="常规 9" xfId="142"/>
    <cellStyle name="常规_Sheet3_产品清单_1" xfId="143"/>
    <cellStyle name="20% - 强调文字颜色 5 3 2 2 7" xfId="144"/>
    <cellStyle name="常规 2 4 2 2" xfId="145"/>
    <cellStyle name="常规 4 2 2 2 2 2 2" xfId="146"/>
    <cellStyle name="常规 2 2 2 2" xfId="147"/>
    <cellStyle name="常规_地理" xfId="148"/>
    <cellStyle name="常规 33" xfId="149"/>
    <cellStyle name="常规 43 3 3 2" xfId="150"/>
    <cellStyle name="链接单元格 9 3" xfId="151"/>
  </cellStyles>
  <tableStyles count="0" defaultTableStyle="TableStyleMedium2"/>
  <colors>
    <mruColors>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var\mobile\Containers\Data\Application\D11F40F2-92EA-419D-A427-03044552AE22\Documents\418141453_cloud_folder\E:\2018&#24180;&#24037;&#20316;&#25991;&#20214;-&#26446;&#21516;&#36816;\01%20&#36164;&#26009;\1-1%20&#26631;&#20934;&#26041;&#26696;\&#65288;&#24453;&#23457;&#65289;DF-06-04-191028-&#29702;&#21270;&#29983;&#25506;&#31350;&#23454;&#39564;&#2346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2020&#28165;&#21333;\&#20013;&#31185;&#38598;&#22242;-&#29702;&#21270;&#29983;&#23454;&#39564;&#23460;V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Tencent\QQ\Users\361608407\FileRecv\2012&#24180;&#20013;&#23567;&#23398;&#39302;&#37197;\&#20013;&#23567;&#23398;&#39302;&#37197;&#22791;&#36873;&#20070;&#30446;\(&#20013;&#23398;&#20070;&#30446;)&#26684;&#24335;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汇总表"/>
      <sheetName val="1-1化学探（常规）"/>
      <sheetName val="1-2生物探（常规）"/>
      <sheetName val="1-3物理探（常规）"/>
      <sheetName val="2-1化学探（吊装）"/>
      <sheetName val="2-2生物探 （吊装）"/>
      <sheetName val="2-3物理探 （吊装-加水）"/>
      <sheetName val="2-4物理探 （吊装-无水）"/>
      <sheetName val="2-5化学探 （吊装）"/>
      <sheetName val="2-6生物探 （吊装）"/>
      <sheetName val="2-7物理探 （吊装-加水）"/>
      <sheetName val="2-8物理探 （吊装）"/>
      <sheetName val="3-1化学探（常规）"/>
      <sheetName val="3-2生物探（常规）"/>
      <sheetName val="3-3物理探（常规） "/>
      <sheetName val="4-1化学探（吊装） "/>
      <sheetName val="4-2生物探 （吊装） "/>
      <sheetName val="4-3物理探 （吊装-加水） "/>
      <sheetName val="4-4物理探 （吊装-无水） "/>
      <sheetName val="4-5化学探 （吊装） "/>
      <sheetName val="4-6生物探 （吊装） "/>
      <sheetName val="4-7物理探 （吊装-加水） "/>
      <sheetName val="4-8物理探 （吊装） "/>
      <sheetName val="5-1化学探究实验室"/>
      <sheetName val="5-2生物探究实验室"/>
      <sheetName val="5-3物理探究实验室"/>
      <sheetName val="附表1 修改记录表"/>
      <sheetName val="附表2 修改数据对照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汇总"/>
      <sheetName val="1初中智慧"/>
      <sheetName val="1高中智慧"/>
      <sheetName val="1区级系统总控设备"/>
      <sheetName val="2物理塔吊"/>
      <sheetName val="2化学塔吊（下）"/>
      <sheetName val="2化学塔吊（上） "/>
      <sheetName val="2生物塔吊（下） "/>
      <sheetName val="2生物塔吊（上） "/>
      <sheetName val="3物理学科"/>
      <sheetName val="3化学学科"/>
      <sheetName val="3生物学科"/>
      <sheetName val="4物理竞赛"/>
      <sheetName val="4化学竞赛"/>
      <sheetName val="4生物竞赛"/>
      <sheetName val="5普通物理"/>
      <sheetName val="5物理力热学"/>
      <sheetName val="5物理电磁学"/>
      <sheetName val="5物理声光学 "/>
      <sheetName val="5物理探究"/>
      <sheetName val="5物理准备"/>
      <sheetName val="6普通化学"/>
      <sheetName val="6化学通风"/>
      <sheetName val="6有机化学"/>
      <sheetName val="6无机化学"/>
      <sheetName val="6化学环境分析实验室"/>
      <sheetName val="6化学探究"/>
      <sheetName val="6化学准备"/>
      <sheetName val="7生物综合"/>
      <sheetName val="7生物解剖"/>
      <sheetName val="7生物探究"/>
      <sheetName val="7生物数码显微"/>
      <sheetName val="7生物组培实验室"/>
      <sheetName val="7生物准备"/>
      <sheetName val="8污水、废气处理系统"/>
      <sheetName val="9初中常规仪器"/>
      <sheetName val="9高中常规仪器"/>
      <sheetName val="9小学实验箱"/>
      <sheetName val="9zk初中实验箱 "/>
      <sheetName val="9zk高中实验箱"/>
      <sheetName val="9朗威-传感器"/>
      <sheetName val="9acro初中传感器高低配"/>
      <sheetName val="9acro高中传感器高低配"/>
      <sheetName val="9麦克奥迪显微镜"/>
      <sheetName val="10课桌椅系列"/>
      <sheetName val="理化生综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年月"/>
      <sheetName val="汇总"/>
      <sheetName val="汇总表"/>
    </sheetNames>
    <sheetDataSet>
      <sheetData sheetId="0" refreshError="1"/>
      <sheetData sheetId="1" refreshError="1"/>
      <sheetData sheetId="2"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898"/>
  <sheetViews>
    <sheetView tabSelected="1" topLeftCell="A53" workbookViewId="0">
      <selection activeCell="O58" sqref="O58"/>
    </sheetView>
  </sheetViews>
  <sheetFormatPr defaultColWidth="8.89166666666667" defaultRowHeight="24" customHeight="1"/>
  <cols>
    <col min="1" max="1" width="8.89166666666667" style="14"/>
    <col min="2" max="2" width="11.3" style="15" customWidth="1"/>
    <col min="3" max="3" width="6.7" style="15" customWidth="1"/>
    <col min="4" max="4" width="5.5" style="14" customWidth="1"/>
    <col min="5" max="5" width="8.89166666666667" style="14"/>
    <col min="6" max="6" width="4.3" style="16" customWidth="1"/>
    <col min="7" max="7" width="19.5" style="17" customWidth="1"/>
    <col min="8" max="8" width="8.89166666666667" style="14"/>
    <col min="9" max="9" width="3.6" style="18" customWidth="1"/>
    <col min="10" max="10" width="10.625" style="14" customWidth="1"/>
    <col min="11" max="12" width="8.89166666666667" style="14" customWidth="1"/>
    <col min="13" max="13" width="14.7" style="19" customWidth="1"/>
    <col min="14" max="14" width="8.5" style="14" customWidth="1"/>
    <col min="15" max="15" width="5.8" style="14" customWidth="1"/>
    <col min="16" max="16" width="11" style="20" customWidth="1"/>
    <col min="17" max="20" width="11.2" style="18" customWidth="1"/>
    <col min="21" max="16384" width="8.89166666666667" style="14"/>
  </cols>
  <sheetData>
    <row r="1" s="11" customFormat="1" customHeight="1" spans="1:20">
      <c r="A1" s="21" t="s">
        <v>0</v>
      </c>
      <c r="B1" s="22" t="s">
        <v>1</v>
      </c>
      <c r="C1" s="22" t="s">
        <v>2</v>
      </c>
      <c r="D1" s="21" t="s">
        <v>3</v>
      </c>
      <c r="E1" s="22" t="s">
        <v>4</v>
      </c>
      <c r="F1" s="23"/>
      <c r="G1" s="22" t="s">
        <v>5</v>
      </c>
      <c r="H1" s="24" t="s">
        <v>6</v>
      </c>
      <c r="I1" s="25" t="s">
        <v>7</v>
      </c>
      <c r="J1" s="2"/>
      <c r="K1" s="26" t="s">
        <v>8</v>
      </c>
      <c r="L1" s="27" t="s">
        <v>9</v>
      </c>
      <c r="M1" s="27" t="s">
        <v>10</v>
      </c>
      <c r="P1" s="28" t="s">
        <v>11</v>
      </c>
      <c r="Q1" s="2" t="s">
        <v>12</v>
      </c>
      <c r="R1" s="2" t="s">
        <v>9</v>
      </c>
      <c r="S1" s="2" t="s">
        <v>13</v>
      </c>
      <c r="T1" s="2" t="s">
        <v>14</v>
      </c>
    </row>
    <row r="2" s="12" customFormat="1" customHeight="1" spans="1:20">
      <c r="A2" s="29">
        <v>3</v>
      </c>
      <c r="B2" s="30" t="s">
        <v>15</v>
      </c>
      <c r="C2" s="30"/>
      <c r="D2" s="31">
        <v>2</v>
      </c>
      <c r="E2" s="32" t="s">
        <v>16</v>
      </c>
      <c r="F2" s="33"/>
      <c r="G2" s="34" t="s">
        <v>17</v>
      </c>
      <c r="H2" s="35" t="s">
        <v>18</v>
      </c>
      <c r="I2" s="36"/>
      <c r="J2" s="37"/>
      <c r="K2" s="38"/>
      <c r="L2" s="38"/>
      <c r="M2" s="39"/>
      <c r="N2" s="12"/>
      <c r="O2" s="12"/>
      <c r="P2" s="40"/>
      <c r="Q2" s="36"/>
      <c r="R2" s="36"/>
      <c r="S2" s="36"/>
      <c r="T2" s="36"/>
    </row>
    <row r="3" customHeight="1" spans="1:20">
      <c r="A3" s="244" t="s">
        <v>19</v>
      </c>
      <c r="B3" s="42" t="s">
        <v>20</v>
      </c>
      <c r="C3" s="42"/>
      <c r="D3" s="43">
        <v>1</v>
      </c>
      <c r="E3" s="42" t="s">
        <v>21</v>
      </c>
      <c r="F3" s="44">
        <f>D3*2</f>
        <v>2</v>
      </c>
      <c r="G3" s="45" t="s">
        <v>22</v>
      </c>
      <c r="H3" s="46" t="s">
        <v>18</v>
      </c>
      <c r="I3" s="47"/>
      <c r="J3" s="48" t="s">
        <v>23</v>
      </c>
      <c r="K3" s="245" t="s">
        <v>24</v>
      </c>
      <c r="L3" s="50" t="s">
        <v>25</v>
      </c>
      <c r="M3" s="50" t="s">
        <v>26</v>
      </c>
      <c r="N3" s="14" t="s">
        <v>27</v>
      </c>
      <c r="O3" s="14" t="s">
        <v>28</v>
      </c>
      <c r="P3" s="51">
        <v>270</v>
      </c>
      <c r="Q3" s="47">
        <f>P3*F3</f>
        <v>540</v>
      </c>
      <c r="R3" s="47"/>
      <c r="S3" s="47"/>
      <c r="T3" s="47"/>
    </row>
    <row r="4" s="13" customFormat="1" ht="21" customHeight="1" spans="1:20">
      <c r="A4" s="52" t="s">
        <v>29</v>
      </c>
      <c r="B4" s="53"/>
      <c r="C4" s="53"/>
      <c r="D4" s="53"/>
      <c r="E4" s="53"/>
      <c r="F4" s="54"/>
      <c r="G4" s="55"/>
      <c r="H4" s="56"/>
      <c r="I4" s="57"/>
      <c r="J4" s="48"/>
      <c r="K4" s="58"/>
      <c r="L4" s="58"/>
      <c r="M4" s="59"/>
      <c r="P4" s="60"/>
      <c r="Q4" s="47">
        <f t="shared" ref="Q4:Q67" si="0">P4*F4</f>
        <v>0</v>
      </c>
      <c r="R4" s="57"/>
      <c r="S4" s="57"/>
      <c r="T4" s="57"/>
    </row>
    <row r="5" s="13" customFormat="1" ht="21" customHeight="1" spans="1:20">
      <c r="A5" s="61" t="s">
        <v>30</v>
      </c>
      <c r="B5" s="62"/>
      <c r="C5" s="62"/>
      <c r="D5" s="62"/>
      <c r="E5" s="62"/>
      <c r="F5" s="63"/>
      <c r="G5" s="64"/>
      <c r="H5" s="65"/>
      <c r="I5" s="66"/>
      <c r="J5" s="48"/>
      <c r="K5" s="58"/>
      <c r="L5" s="58"/>
      <c r="M5" s="59"/>
      <c r="P5" s="67"/>
      <c r="Q5" s="47">
        <f t="shared" si="0"/>
        <v>0</v>
      </c>
      <c r="R5" s="66"/>
      <c r="S5" s="66"/>
      <c r="T5" s="66"/>
    </row>
    <row r="6" s="12" customFormat="1" customHeight="1" spans="1:20">
      <c r="A6" s="68">
        <v>5</v>
      </c>
      <c r="B6" s="30" t="s">
        <v>31</v>
      </c>
      <c r="C6" s="30"/>
      <c r="D6" s="68">
        <v>2</v>
      </c>
      <c r="E6" s="30" t="s">
        <v>32</v>
      </c>
      <c r="F6" s="69"/>
      <c r="G6" s="70" t="s">
        <v>33</v>
      </c>
      <c r="H6" s="35" t="s">
        <v>18</v>
      </c>
      <c r="I6" s="36"/>
      <c r="J6" s="37"/>
      <c r="K6" s="38"/>
      <c r="L6" s="38"/>
      <c r="M6" s="39"/>
      <c r="N6" s="12"/>
      <c r="O6" s="12"/>
      <c r="P6" s="40"/>
      <c r="Q6" s="36">
        <f t="shared" si="0"/>
        <v>0</v>
      </c>
      <c r="R6" s="36"/>
      <c r="S6" s="36"/>
      <c r="T6" s="36"/>
    </row>
    <row r="7" customHeight="1" spans="1:20">
      <c r="A7" s="244" t="s">
        <v>34</v>
      </c>
      <c r="B7" s="71" t="s">
        <v>35</v>
      </c>
      <c r="C7" s="71"/>
      <c r="D7" s="41">
        <v>56</v>
      </c>
      <c r="E7" s="71" t="s">
        <v>36</v>
      </c>
      <c r="F7" s="44"/>
      <c r="G7" s="72"/>
      <c r="H7" s="46"/>
      <c r="I7" s="47"/>
      <c r="J7" s="48"/>
      <c r="K7" s="73"/>
      <c r="L7" s="73"/>
      <c r="M7" s="74"/>
      <c r="P7" s="51"/>
      <c r="Q7" s="47">
        <f t="shared" si="0"/>
        <v>0</v>
      </c>
      <c r="R7" s="47"/>
      <c r="S7" s="47"/>
      <c r="T7" s="47"/>
    </row>
    <row r="8" customHeight="1" spans="1:20">
      <c r="A8" s="75" t="s">
        <v>37</v>
      </c>
      <c r="B8" s="2" t="s">
        <v>38</v>
      </c>
      <c r="C8" s="2"/>
      <c r="D8" s="6"/>
      <c r="E8" s="2"/>
      <c r="F8" s="76"/>
      <c r="G8" s="77"/>
      <c r="H8" s="46"/>
      <c r="I8" s="47"/>
      <c r="J8" s="48"/>
      <c r="K8" s="73"/>
      <c r="L8" s="73"/>
      <c r="M8" s="74"/>
      <c r="P8" s="51"/>
      <c r="Q8" s="47">
        <f t="shared" si="0"/>
        <v>0</v>
      </c>
      <c r="R8" s="47"/>
      <c r="S8" s="47"/>
      <c r="T8" s="47"/>
    </row>
    <row r="9" ht="38" customHeight="1" spans="1:20">
      <c r="A9" s="43" t="s">
        <v>39</v>
      </c>
      <c r="B9" s="78" t="s">
        <v>40</v>
      </c>
      <c r="C9" s="78"/>
      <c r="D9" s="43">
        <f>D7/2</f>
        <v>28</v>
      </c>
      <c r="E9" s="78" t="s">
        <v>21</v>
      </c>
      <c r="F9" s="44">
        <f t="shared" ref="F9:F72" si="1">D9*2</f>
        <v>56</v>
      </c>
      <c r="G9" s="79" t="s">
        <v>41</v>
      </c>
      <c r="H9" s="46" t="s">
        <v>18</v>
      </c>
      <c r="I9" s="47"/>
      <c r="J9" s="48" t="s">
        <v>42</v>
      </c>
      <c r="K9" s="80" t="s">
        <v>39</v>
      </c>
      <c r="L9" s="81" t="s">
        <v>43</v>
      </c>
      <c r="M9" s="81" t="s">
        <v>44</v>
      </c>
      <c r="N9" s="14" t="s">
        <v>27</v>
      </c>
      <c r="O9" s="14" t="s">
        <v>28</v>
      </c>
      <c r="P9" s="51">
        <v>14</v>
      </c>
      <c r="Q9" s="47">
        <f t="shared" si="0"/>
        <v>784</v>
      </c>
      <c r="R9" s="47"/>
      <c r="S9" s="47"/>
      <c r="T9" s="47" t="s">
        <v>39</v>
      </c>
    </row>
    <row r="10" customHeight="1" spans="1:20">
      <c r="A10" s="43" t="s">
        <v>45</v>
      </c>
      <c r="B10" s="78" t="s">
        <v>46</v>
      </c>
      <c r="C10" s="78"/>
      <c r="D10" s="43">
        <v>1</v>
      </c>
      <c r="E10" s="78" t="s">
        <v>47</v>
      </c>
      <c r="F10" s="44">
        <f t="shared" si="1"/>
        <v>2</v>
      </c>
      <c r="G10" s="82" t="s">
        <v>48</v>
      </c>
      <c r="H10" s="46" t="s">
        <v>18</v>
      </c>
      <c r="I10" s="47"/>
      <c r="J10" s="48" t="s">
        <v>42</v>
      </c>
      <c r="K10" s="83" t="s">
        <v>45</v>
      </c>
      <c r="L10" s="84" t="s">
        <v>25</v>
      </c>
      <c r="M10" s="84" t="s">
        <v>26</v>
      </c>
      <c r="N10" s="14" t="s">
        <v>27</v>
      </c>
      <c r="O10" s="14" t="s">
        <v>28</v>
      </c>
      <c r="P10" s="51">
        <v>55</v>
      </c>
      <c r="Q10" s="47">
        <f t="shared" si="0"/>
        <v>110</v>
      </c>
      <c r="R10" s="47"/>
      <c r="S10" s="47"/>
      <c r="T10" s="47" t="s">
        <v>45</v>
      </c>
    </row>
    <row r="11" customHeight="1" spans="1:20">
      <c r="A11" s="43" t="s">
        <v>49</v>
      </c>
      <c r="B11" s="78" t="s">
        <v>50</v>
      </c>
      <c r="C11" s="78"/>
      <c r="D11" s="43">
        <v>1</v>
      </c>
      <c r="E11" s="78" t="s">
        <v>32</v>
      </c>
      <c r="F11" s="44">
        <f t="shared" si="1"/>
        <v>2</v>
      </c>
      <c r="G11" s="82" t="s">
        <v>51</v>
      </c>
      <c r="H11" s="46" t="s">
        <v>18</v>
      </c>
      <c r="I11" s="47"/>
      <c r="J11" s="48" t="s">
        <v>42</v>
      </c>
      <c r="K11" s="83" t="s">
        <v>49</v>
      </c>
      <c r="L11" s="84" t="s">
        <v>25</v>
      </c>
      <c r="M11" s="84" t="s">
        <v>26</v>
      </c>
      <c r="N11" s="14" t="s">
        <v>27</v>
      </c>
      <c r="O11" s="14" t="s">
        <v>28</v>
      </c>
      <c r="P11" s="51">
        <v>6</v>
      </c>
      <c r="Q11" s="47">
        <f t="shared" si="0"/>
        <v>12</v>
      </c>
      <c r="R11" s="47"/>
      <c r="S11" s="47"/>
      <c r="T11" s="47" t="s">
        <v>49</v>
      </c>
    </row>
    <row r="12" ht="36" customHeight="1" spans="1:20">
      <c r="A12" s="43" t="s">
        <v>52</v>
      </c>
      <c r="B12" s="78" t="s">
        <v>53</v>
      </c>
      <c r="C12" s="78"/>
      <c r="D12" s="43">
        <v>1</v>
      </c>
      <c r="E12" s="78" t="s">
        <v>54</v>
      </c>
      <c r="F12" s="44">
        <f t="shared" si="1"/>
        <v>2</v>
      </c>
      <c r="G12" s="85" t="s">
        <v>55</v>
      </c>
      <c r="H12" s="46" t="s">
        <v>18</v>
      </c>
      <c r="I12" s="47"/>
      <c r="J12" s="48" t="s">
        <v>42</v>
      </c>
      <c r="K12" s="86" t="s">
        <v>52</v>
      </c>
      <c r="L12" s="87" t="s">
        <v>56</v>
      </c>
      <c r="M12" s="87" t="s">
        <v>57</v>
      </c>
      <c r="N12" s="14" t="s">
        <v>27</v>
      </c>
      <c r="O12" s="14" t="s">
        <v>28</v>
      </c>
      <c r="P12" s="51">
        <v>320</v>
      </c>
      <c r="Q12" s="47">
        <f t="shared" si="0"/>
        <v>640</v>
      </c>
      <c r="R12" s="47"/>
      <c r="S12" s="47"/>
      <c r="T12" s="47" t="s">
        <v>52</v>
      </c>
    </row>
    <row r="13" customHeight="1" spans="1:20">
      <c r="A13" s="43" t="s">
        <v>58</v>
      </c>
      <c r="B13" s="78" t="s">
        <v>59</v>
      </c>
      <c r="C13" s="78"/>
      <c r="D13" s="43">
        <v>1</v>
      </c>
      <c r="E13" s="78" t="s">
        <v>21</v>
      </c>
      <c r="F13" s="44">
        <f t="shared" si="1"/>
        <v>2</v>
      </c>
      <c r="G13" s="82" t="s">
        <v>60</v>
      </c>
      <c r="H13" s="46" t="s">
        <v>18</v>
      </c>
      <c r="I13" s="47"/>
      <c r="J13" s="48" t="s">
        <v>42</v>
      </c>
      <c r="K13" s="83" t="s">
        <v>58</v>
      </c>
      <c r="L13" s="84" t="s">
        <v>25</v>
      </c>
      <c r="M13" s="84" t="s">
        <v>26</v>
      </c>
      <c r="N13" s="14" t="s">
        <v>27</v>
      </c>
      <c r="O13" s="14" t="s">
        <v>28</v>
      </c>
      <c r="P13" s="51">
        <v>16</v>
      </c>
      <c r="Q13" s="47">
        <f t="shared" si="0"/>
        <v>32</v>
      </c>
      <c r="R13" s="47"/>
      <c r="S13" s="47"/>
      <c r="T13" s="47" t="s">
        <v>58</v>
      </c>
    </row>
    <row r="14" customHeight="1" spans="1:20">
      <c r="A14" s="43" t="s">
        <v>61</v>
      </c>
      <c r="B14" s="78" t="s">
        <v>62</v>
      </c>
      <c r="C14" s="78"/>
      <c r="D14" s="43">
        <v>1</v>
      </c>
      <c r="E14" s="78" t="s">
        <v>21</v>
      </c>
      <c r="F14" s="44">
        <f t="shared" si="1"/>
        <v>2</v>
      </c>
      <c r="G14" s="82" t="s">
        <v>63</v>
      </c>
      <c r="H14" s="46" t="s">
        <v>18</v>
      </c>
      <c r="I14" s="47"/>
      <c r="J14" s="48" t="s">
        <v>42</v>
      </c>
      <c r="K14" s="83" t="s">
        <v>61</v>
      </c>
      <c r="L14" s="84" t="s">
        <v>25</v>
      </c>
      <c r="M14" s="84" t="s">
        <v>26</v>
      </c>
      <c r="N14" s="14" t="s">
        <v>27</v>
      </c>
      <c r="O14" s="14" t="s">
        <v>28</v>
      </c>
      <c r="P14" s="51">
        <v>15</v>
      </c>
      <c r="Q14" s="47">
        <f t="shared" si="0"/>
        <v>30</v>
      </c>
      <c r="R14" s="47"/>
      <c r="S14" s="47"/>
      <c r="T14" s="47" t="s">
        <v>61</v>
      </c>
    </row>
    <row r="15" ht="52" customHeight="1" spans="1:20">
      <c r="A15" s="43" t="s">
        <v>64</v>
      </c>
      <c r="B15" s="78" t="s">
        <v>65</v>
      </c>
      <c r="C15" s="78"/>
      <c r="D15" s="43">
        <v>1</v>
      </c>
      <c r="E15" s="78" t="s">
        <v>21</v>
      </c>
      <c r="F15" s="44">
        <f t="shared" si="1"/>
        <v>2</v>
      </c>
      <c r="G15" s="85" t="s">
        <v>66</v>
      </c>
      <c r="H15" s="46" t="s">
        <v>18</v>
      </c>
      <c r="I15" s="47"/>
      <c r="J15" s="48" t="s">
        <v>42</v>
      </c>
      <c r="K15" s="86" t="s">
        <v>64</v>
      </c>
      <c r="L15" s="87" t="s">
        <v>25</v>
      </c>
      <c r="M15" s="87" t="s">
        <v>26</v>
      </c>
      <c r="N15" s="14" t="s">
        <v>27</v>
      </c>
      <c r="O15" s="14" t="s">
        <v>28</v>
      </c>
      <c r="P15" s="51">
        <v>12</v>
      </c>
      <c r="Q15" s="47">
        <f t="shared" si="0"/>
        <v>24</v>
      </c>
      <c r="R15" s="47"/>
      <c r="S15" s="47"/>
      <c r="T15" s="47" t="s">
        <v>64</v>
      </c>
    </row>
    <row r="16" customHeight="1" spans="1:20">
      <c r="A16" s="43" t="s">
        <v>67</v>
      </c>
      <c r="B16" s="78" t="s">
        <v>68</v>
      </c>
      <c r="C16" s="78"/>
      <c r="D16" s="43">
        <v>1</v>
      </c>
      <c r="E16" s="78" t="s">
        <v>32</v>
      </c>
      <c r="F16" s="44">
        <f t="shared" si="1"/>
        <v>2</v>
      </c>
      <c r="G16" s="85" t="s">
        <v>69</v>
      </c>
      <c r="H16" s="46" t="s">
        <v>18</v>
      </c>
      <c r="I16" s="47"/>
      <c r="J16" s="48" t="s">
        <v>42</v>
      </c>
      <c r="K16" s="86" t="s">
        <v>67</v>
      </c>
      <c r="L16" s="87" t="s">
        <v>25</v>
      </c>
      <c r="M16" s="87" t="s">
        <v>26</v>
      </c>
      <c r="N16" s="14" t="s">
        <v>27</v>
      </c>
      <c r="O16" s="14" t="s">
        <v>28</v>
      </c>
      <c r="P16" s="51">
        <v>85</v>
      </c>
      <c r="Q16" s="47">
        <f t="shared" si="0"/>
        <v>170</v>
      </c>
      <c r="R16" s="47"/>
      <c r="S16" s="47"/>
      <c r="T16" s="47" t="s">
        <v>67</v>
      </c>
    </row>
    <row r="17" customHeight="1" spans="1:20">
      <c r="A17" s="43" t="s">
        <v>70</v>
      </c>
      <c r="B17" s="78" t="s">
        <v>71</v>
      </c>
      <c r="C17" s="78"/>
      <c r="D17" s="43">
        <v>1</v>
      </c>
      <c r="E17" s="78" t="s">
        <v>21</v>
      </c>
      <c r="F17" s="44">
        <f t="shared" si="1"/>
        <v>2</v>
      </c>
      <c r="G17" s="85" t="s">
        <v>72</v>
      </c>
      <c r="H17" s="46" t="s">
        <v>18</v>
      </c>
      <c r="I17" s="47"/>
      <c r="J17" s="48" t="s">
        <v>42</v>
      </c>
      <c r="K17" s="86" t="s">
        <v>73</v>
      </c>
      <c r="L17" s="87" t="s">
        <v>74</v>
      </c>
      <c r="M17" s="87" t="s">
        <v>75</v>
      </c>
      <c r="N17" s="14" t="s">
        <v>27</v>
      </c>
      <c r="O17" s="14" t="s">
        <v>28</v>
      </c>
      <c r="P17" s="51">
        <v>150</v>
      </c>
      <c r="Q17" s="47">
        <f t="shared" si="0"/>
        <v>300</v>
      </c>
      <c r="R17" s="47"/>
      <c r="S17" s="47"/>
      <c r="T17" s="47" t="s">
        <v>70</v>
      </c>
    </row>
    <row r="18" customHeight="1" spans="1:20">
      <c r="A18" s="43" t="s">
        <v>76</v>
      </c>
      <c r="B18" s="78" t="s">
        <v>77</v>
      </c>
      <c r="C18" s="78"/>
      <c r="D18" s="43">
        <v>1</v>
      </c>
      <c r="E18" s="78" t="s">
        <v>78</v>
      </c>
      <c r="F18" s="44">
        <f t="shared" si="1"/>
        <v>2</v>
      </c>
      <c r="G18" s="85" t="s">
        <v>79</v>
      </c>
      <c r="H18" s="46" t="s">
        <v>18</v>
      </c>
      <c r="I18" s="47"/>
      <c r="J18" s="48" t="s">
        <v>42</v>
      </c>
      <c r="K18" s="86">
        <v>2020</v>
      </c>
      <c r="L18" s="87" t="s">
        <v>25</v>
      </c>
      <c r="M18" s="87" t="s">
        <v>26</v>
      </c>
      <c r="N18" s="14" t="s">
        <v>27</v>
      </c>
      <c r="O18" s="14" t="s">
        <v>28</v>
      </c>
      <c r="P18" s="51">
        <v>175</v>
      </c>
      <c r="Q18" s="47">
        <f t="shared" si="0"/>
        <v>350</v>
      </c>
      <c r="R18" s="47"/>
      <c r="S18" s="47"/>
      <c r="T18" s="47" t="s">
        <v>76</v>
      </c>
    </row>
    <row r="19" customHeight="1" spans="1:20">
      <c r="A19" s="43" t="s">
        <v>80</v>
      </c>
      <c r="B19" s="78" t="s">
        <v>81</v>
      </c>
      <c r="C19" s="78"/>
      <c r="D19" s="43">
        <v>1</v>
      </c>
      <c r="E19" s="78" t="s">
        <v>54</v>
      </c>
      <c r="F19" s="44">
        <f t="shared" si="1"/>
        <v>2</v>
      </c>
      <c r="G19" s="88" t="s">
        <v>82</v>
      </c>
      <c r="H19" s="46" t="s">
        <v>18</v>
      </c>
      <c r="I19" s="47"/>
      <c r="J19" s="48" t="s">
        <v>42</v>
      </c>
      <c r="K19" s="89" t="s">
        <v>80</v>
      </c>
      <c r="L19" s="90" t="s">
        <v>25</v>
      </c>
      <c r="M19" s="90" t="s">
        <v>26</v>
      </c>
      <c r="N19" s="14" t="s">
        <v>27</v>
      </c>
      <c r="O19" s="14" t="s">
        <v>28</v>
      </c>
      <c r="P19" s="51">
        <v>95</v>
      </c>
      <c r="Q19" s="47">
        <f t="shared" si="0"/>
        <v>190</v>
      </c>
      <c r="R19" s="47"/>
      <c r="S19" s="47"/>
      <c r="T19" s="47" t="s">
        <v>80</v>
      </c>
    </row>
    <row r="20" customHeight="1" spans="1:20">
      <c r="A20" s="43" t="s">
        <v>83</v>
      </c>
      <c r="B20" s="78" t="s">
        <v>84</v>
      </c>
      <c r="C20" s="78"/>
      <c r="D20" s="43">
        <v>1</v>
      </c>
      <c r="E20" s="78" t="s">
        <v>21</v>
      </c>
      <c r="F20" s="44">
        <f t="shared" si="1"/>
        <v>2</v>
      </c>
      <c r="G20" s="82" t="s">
        <v>85</v>
      </c>
      <c r="H20" s="46" t="s">
        <v>18</v>
      </c>
      <c r="I20" s="47"/>
      <c r="J20" s="48" t="s">
        <v>42</v>
      </c>
      <c r="K20" s="83" t="s">
        <v>83</v>
      </c>
      <c r="L20" s="84" t="s">
        <v>25</v>
      </c>
      <c r="M20" s="84" t="s">
        <v>26</v>
      </c>
      <c r="N20" s="14" t="s">
        <v>27</v>
      </c>
      <c r="O20" s="14" t="s">
        <v>28</v>
      </c>
      <c r="P20" s="51">
        <v>55</v>
      </c>
      <c r="Q20" s="47">
        <f t="shared" si="0"/>
        <v>110</v>
      </c>
      <c r="R20" s="47"/>
      <c r="S20" s="47"/>
      <c r="T20" s="47" t="s">
        <v>83</v>
      </c>
    </row>
    <row r="21" ht="33" customHeight="1" spans="1:20">
      <c r="A21" s="43" t="s">
        <v>86</v>
      </c>
      <c r="B21" s="78" t="s">
        <v>87</v>
      </c>
      <c r="C21" s="78"/>
      <c r="D21" s="43">
        <v>1</v>
      </c>
      <c r="E21" s="78" t="s">
        <v>21</v>
      </c>
      <c r="F21" s="44">
        <f t="shared" si="1"/>
        <v>2</v>
      </c>
      <c r="G21" s="85" t="s">
        <v>88</v>
      </c>
      <c r="H21" s="46" t="s">
        <v>18</v>
      </c>
      <c r="I21" s="47"/>
      <c r="J21" s="48" t="s">
        <v>42</v>
      </c>
      <c r="K21" s="86" t="s">
        <v>86</v>
      </c>
      <c r="L21" s="87" t="s">
        <v>89</v>
      </c>
      <c r="M21" s="87" t="s">
        <v>90</v>
      </c>
      <c r="N21" s="14" t="s">
        <v>27</v>
      </c>
      <c r="O21" s="14" t="s">
        <v>28</v>
      </c>
      <c r="P21" s="51">
        <v>48</v>
      </c>
      <c r="Q21" s="47">
        <f t="shared" si="0"/>
        <v>96</v>
      </c>
      <c r="R21" s="47"/>
      <c r="S21" s="47"/>
      <c r="T21" s="47" t="s">
        <v>86</v>
      </c>
    </row>
    <row r="22" customHeight="1" spans="1:20">
      <c r="A22" s="43" t="s">
        <v>91</v>
      </c>
      <c r="B22" s="78" t="s">
        <v>92</v>
      </c>
      <c r="C22" s="78"/>
      <c r="D22" s="43">
        <v>2</v>
      </c>
      <c r="E22" s="78" t="s">
        <v>21</v>
      </c>
      <c r="F22" s="44">
        <f t="shared" si="1"/>
        <v>4</v>
      </c>
      <c r="G22" s="91" t="s">
        <v>93</v>
      </c>
      <c r="H22" s="46" t="s">
        <v>18</v>
      </c>
      <c r="I22" s="47"/>
      <c r="J22" s="48" t="s">
        <v>42</v>
      </c>
      <c r="K22" s="92" t="s">
        <v>94</v>
      </c>
      <c r="L22" s="93" t="s">
        <v>95</v>
      </c>
      <c r="M22" s="93" t="s">
        <v>96</v>
      </c>
      <c r="N22" s="14" t="s">
        <v>27</v>
      </c>
      <c r="O22" s="14" t="s">
        <v>28</v>
      </c>
      <c r="P22" s="51">
        <v>9</v>
      </c>
      <c r="Q22" s="47">
        <f t="shared" si="0"/>
        <v>36</v>
      </c>
      <c r="R22" s="47"/>
      <c r="S22" s="47"/>
      <c r="T22" s="47" t="s">
        <v>91</v>
      </c>
    </row>
    <row r="23" customHeight="1" spans="1:20">
      <c r="A23" s="43" t="s">
        <v>97</v>
      </c>
      <c r="B23" s="78" t="s">
        <v>98</v>
      </c>
      <c r="C23" s="78"/>
      <c r="D23" s="43">
        <v>2</v>
      </c>
      <c r="E23" s="78" t="s">
        <v>21</v>
      </c>
      <c r="F23" s="44">
        <f t="shared" si="1"/>
        <v>4</v>
      </c>
      <c r="G23" s="91" t="s">
        <v>99</v>
      </c>
      <c r="H23" s="46" t="s">
        <v>18</v>
      </c>
      <c r="I23" s="47"/>
      <c r="J23" s="48" t="s">
        <v>42</v>
      </c>
      <c r="K23" s="92" t="s">
        <v>97</v>
      </c>
      <c r="L23" s="93" t="s">
        <v>25</v>
      </c>
      <c r="M23" s="93" t="s">
        <v>26</v>
      </c>
      <c r="N23" s="14" t="s">
        <v>27</v>
      </c>
      <c r="O23" s="14" t="s">
        <v>28</v>
      </c>
      <c r="P23" s="51">
        <v>15</v>
      </c>
      <c r="Q23" s="47">
        <f t="shared" si="0"/>
        <v>60</v>
      </c>
      <c r="R23" s="47"/>
      <c r="S23" s="47"/>
      <c r="T23" s="47" t="s">
        <v>97</v>
      </c>
    </row>
    <row r="24" customHeight="1" spans="1:20">
      <c r="A24" s="43" t="s">
        <v>100</v>
      </c>
      <c r="B24" s="78" t="s">
        <v>101</v>
      </c>
      <c r="C24" s="78"/>
      <c r="D24" s="43">
        <v>1</v>
      </c>
      <c r="E24" s="78" t="s">
        <v>21</v>
      </c>
      <c r="F24" s="44">
        <f t="shared" si="1"/>
        <v>2</v>
      </c>
      <c r="G24" s="85" t="s">
        <v>102</v>
      </c>
      <c r="H24" s="46" t="s">
        <v>18</v>
      </c>
      <c r="I24" s="47"/>
      <c r="J24" s="48" t="s">
        <v>42</v>
      </c>
      <c r="K24" s="86" t="s">
        <v>100</v>
      </c>
      <c r="L24" s="87" t="s">
        <v>25</v>
      </c>
      <c r="M24" s="87" t="s">
        <v>26</v>
      </c>
      <c r="N24" s="14" t="s">
        <v>27</v>
      </c>
      <c r="O24" s="14" t="s">
        <v>28</v>
      </c>
      <c r="P24" s="51">
        <v>20</v>
      </c>
      <c r="Q24" s="47">
        <f t="shared" si="0"/>
        <v>40</v>
      </c>
      <c r="R24" s="47"/>
      <c r="S24" s="47"/>
      <c r="T24" s="47" t="s">
        <v>100</v>
      </c>
    </row>
    <row r="25" customHeight="1" spans="1:20">
      <c r="A25" s="75" t="s">
        <v>103</v>
      </c>
      <c r="B25" s="2" t="s">
        <v>104</v>
      </c>
      <c r="C25" s="2"/>
      <c r="D25" s="6"/>
      <c r="E25" s="2"/>
      <c r="F25" s="44">
        <f t="shared" si="1"/>
        <v>0</v>
      </c>
      <c r="G25" s="77"/>
      <c r="H25" s="46"/>
      <c r="I25" s="47"/>
      <c r="J25" s="48"/>
      <c r="K25" s="94"/>
      <c r="L25" s="95"/>
      <c r="M25" s="95"/>
      <c r="O25" s="14" t="s">
        <v>28</v>
      </c>
      <c r="P25" s="51"/>
      <c r="Q25" s="47">
        <f t="shared" si="0"/>
        <v>0</v>
      </c>
      <c r="R25" s="47"/>
      <c r="S25" s="47"/>
      <c r="T25" s="47"/>
    </row>
    <row r="26" customHeight="1" spans="1:20">
      <c r="A26" s="43" t="s">
        <v>105</v>
      </c>
      <c r="B26" s="78" t="s">
        <v>106</v>
      </c>
      <c r="C26" s="78"/>
      <c r="D26" s="43">
        <v>2</v>
      </c>
      <c r="E26" s="78" t="s">
        <v>32</v>
      </c>
      <c r="F26" s="44">
        <f t="shared" si="1"/>
        <v>4</v>
      </c>
      <c r="G26" s="91" t="s">
        <v>107</v>
      </c>
      <c r="H26" s="46" t="s">
        <v>18</v>
      </c>
      <c r="I26" s="47"/>
      <c r="J26" s="48" t="s">
        <v>42</v>
      </c>
      <c r="K26" s="92" t="s">
        <v>105</v>
      </c>
      <c r="L26" s="93" t="s">
        <v>25</v>
      </c>
      <c r="M26" s="93" t="s">
        <v>26</v>
      </c>
      <c r="N26" s="14" t="s">
        <v>27</v>
      </c>
      <c r="O26" s="14" t="s">
        <v>28</v>
      </c>
      <c r="P26" s="51">
        <v>90</v>
      </c>
      <c r="Q26" s="47">
        <f t="shared" si="0"/>
        <v>360</v>
      </c>
      <c r="R26" s="47"/>
      <c r="S26" s="47"/>
      <c r="T26" s="47" t="s">
        <v>105</v>
      </c>
    </row>
    <row r="27" customHeight="1" spans="1:20">
      <c r="A27" s="43" t="s">
        <v>108</v>
      </c>
      <c r="B27" s="78" t="s">
        <v>109</v>
      </c>
      <c r="C27" s="78"/>
      <c r="D27" s="43">
        <f>D9*2</f>
        <v>56</v>
      </c>
      <c r="E27" s="78" t="s">
        <v>32</v>
      </c>
      <c r="F27" s="44">
        <f t="shared" si="1"/>
        <v>112</v>
      </c>
      <c r="G27" s="85" t="s">
        <v>110</v>
      </c>
      <c r="H27" s="46" t="s">
        <v>18</v>
      </c>
      <c r="I27" s="47"/>
      <c r="J27" s="48" t="s">
        <v>42</v>
      </c>
      <c r="K27" s="86" t="s">
        <v>108</v>
      </c>
      <c r="L27" s="87" t="s">
        <v>25</v>
      </c>
      <c r="M27" s="87" t="s">
        <v>26</v>
      </c>
      <c r="N27" s="14" t="s">
        <v>27</v>
      </c>
      <c r="O27" s="14" t="s">
        <v>28</v>
      </c>
      <c r="P27" s="51">
        <v>36</v>
      </c>
      <c r="Q27" s="47">
        <f t="shared" si="0"/>
        <v>4032</v>
      </c>
      <c r="R27" s="47"/>
      <c r="S27" s="47"/>
      <c r="T27" s="47" t="s">
        <v>108</v>
      </c>
    </row>
    <row r="28" customHeight="1" spans="1:20">
      <c r="A28" s="43" t="s">
        <v>111</v>
      </c>
      <c r="B28" s="78" t="s">
        <v>112</v>
      </c>
      <c r="C28" s="78"/>
      <c r="D28" s="43">
        <v>2</v>
      </c>
      <c r="E28" s="78" t="s">
        <v>32</v>
      </c>
      <c r="F28" s="44">
        <f t="shared" si="1"/>
        <v>4</v>
      </c>
      <c r="G28" s="85" t="s">
        <v>113</v>
      </c>
      <c r="H28" s="46" t="s">
        <v>18</v>
      </c>
      <c r="I28" s="47"/>
      <c r="J28" s="48" t="s">
        <v>42</v>
      </c>
      <c r="K28" s="86" t="s">
        <v>111</v>
      </c>
      <c r="L28" s="87" t="s">
        <v>25</v>
      </c>
      <c r="M28" s="87" t="s">
        <v>26</v>
      </c>
      <c r="N28" s="14" t="s">
        <v>27</v>
      </c>
      <c r="O28" s="14" t="s">
        <v>28</v>
      </c>
      <c r="P28" s="51">
        <v>135</v>
      </c>
      <c r="Q28" s="47">
        <f t="shared" si="0"/>
        <v>540</v>
      </c>
      <c r="R28" s="47"/>
      <c r="S28" s="47"/>
      <c r="T28" s="47" t="s">
        <v>111</v>
      </c>
    </row>
    <row r="29" customHeight="1" spans="1:20">
      <c r="A29" s="43" t="s">
        <v>114</v>
      </c>
      <c r="B29" s="78" t="s">
        <v>115</v>
      </c>
      <c r="C29" s="78"/>
      <c r="D29" s="43">
        <v>2</v>
      </c>
      <c r="E29" s="78" t="s">
        <v>54</v>
      </c>
      <c r="F29" s="44">
        <f t="shared" si="1"/>
        <v>4</v>
      </c>
      <c r="G29" s="85" t="s">
        <v>116</v>
      </c>
      <c r="H29" s="46" t="s">
        <v>18</v>
      </c>
      <c r="I29" s="47"/>
      <c r="J29" s="48" t="s">
        <v>42</v>
      </c>
      <c r="K29" s="86" t="s">
        <v>114</v>
      </c>
      <c r="L29" s="87" t="s">
        <v>25</v>
      </c>
      <c r="M29" s="87" t="s">
        <v>26</v>
      </c>
      <c r="N29" s="14" t="s">
        <v>27</v>
      </c>
      <c r="O29" s="14" t="s">
        <v>28</v>
      </c>
      <c r="P29" s="51">
        <v>55</v>
      </c>
      <c r="Q29" s="47">
        <f t="shared" si="0"/>
        <v>220</v>
      </c>
      <c r="R29" s="47"/>
      <c r="S29" s="47"/>
      <c r="T29" s="47" t="s">
        <v>114</v>
      </c>
    </row>
    <row r="30" customHeight="1" spans="1:20">
      <c r="A30" s="43" t="s">
        <v>117</v>
      </c>
      <c r="B30" s="78" t="s">
        <v>118</v>
      </c>
      <c r="C30" s="78"/>
      <c r="D30" s="43">
        <f>D9</f>
        <v>28</v>
      </c>
      <c r="E30" s="78" t="s">
        <v>21</v>
      </c>
      <c r="F30" s="44">
        <f t="shared" si="1"/>
        <v>56</v>
      </c>
      <c r="G30" s="85" t="s">
        <v>119</v>
      </c>
      <c r="H30" s="46" t="s">
        <v>18</v>
      </c>
      <c r="I30" s="47"/>
      <c r="J30" s="48" t="s">
        <v>42</v>
      </c>
      <c r="K30" s="86" t="s">
        <v>117</v>
      </c>
      <c r="L30" s="87" t="s">
        <v>25</v>
      </c>
      <c r="M30" s="87" t="s">
        <v>26</v>
      </c>
      <c r="N30" s="14" t="s">
        <v>27</v>
      </c>
      <c r="O30" s="14" t="s">
        <v>28</v>
      </c>
      <c r="P30" s="51">
        <v>5</v>
      </c>
      <c r="Q30" s="47">
        <f t="shared" si="0"/>
        <v>280</v>
      </c>
      <c r="R30" s="47"/>
      <c r="S30" s="47"/>
      <c r="T30" s="47" t="s">
        <v>117</v>
      </c>
    </row>
    <row r="31" customHeight="1" spans="1:20">
      <c r="A31" s="75" t="s">
        <v>120</v>
      </c>
      <c r="B31" s="2" t="s">
        <v>121</v>
      </c>
      <c r="C31" s="2"/>
      <c r="D31" s="6"/>
      <c r="E31" s="2"/>
      <c r="F31" s="44">
        <f t="shared" si="1"/>
        <v>0</v>
      </c>
      <c r="G31" s="77"/>
      <c r="H31" s="46"/>
      <c r="I31" s="47"/>
      <c r="J31" s="48"/>
      <c r="K31" s="94"/>
      <c r="L31" s="95"/>
      <c r="M31" s="95"/>
      <c r="O31" s="14" t="s">
        <v>28</v>
      </c>
      <c r="P31" s="51"/>
      <c r="Q31" s="47">
        <f t="shared" si="0"/>
        <v>0</v>
      </c>
      <c r="R31" s="47"/>
      <c r="S31" s="47"/>
      <c r="T31" s="47"/>
    </row>
    <row r="32" customHeight="1" spans="1:20">
      <c r="A32" s="43" t="s">
        <v>122</v>
      </c>
      <c r="B32" s="78" t="s">
        <v>123</v>
      </c>
      <c r="C32" s="78"/>
      <c r="D32" s="43">
        <f>D9</f>
        <v>28</v>
      </c>
      <c r="E32" s="78" t="s">
        <v>54</v>
      </c>
      <c r="F32" s="44">
        <f t="shared" si="1"/>
        <v>56</v>
      </c>
      <c r="G32" s="85" t="s">
        <v>124</v>
      </c>
      <c r="H32" s="46" t="s">
        <v>18</v>
      </c>
      <c r="I32" s="47"/>
      <c r="J32" s="48" t="s">
        <v>42</v>
      </c>
      <c r="K32" s="86" t="s">
        <v>122</v>
      </c>
      <c r="L32" s="87" t="s">
        <v>25</v>
      </c>
      <c r="M32" s="87" t="s">
        <v>26</v>
      </c>
      <c r="N32" s="14" t="s">
        <v>27</v>
      </c>
      <c r="O32" s="14" t="s">
        <v>28</v>
      </c>
      <c r="P32" s="51">
        <v>105</v>
      </c>
      <c r="Q32" s="47">
        <f t="shared" si="0"/>
        <v>5880</v>
      </c>
      <c r="R32" s="47"/>
      <c r="S32" s="47"/>
      <c r="T32" s="43" t="s">
        <v>122</v>
      </c>
    </row>
    <row r="33" customHeight="1" spans="1:20">
      <c r="A33" s="43" t="s">
        <v>122</v>
      </c>
      <c r="B33" s="78" t="s">
        <v>125</v>
      </c>
      <c r="C33" s="78"/>
      <c r="D33" s="43">
        <v>14</v>
      </c>
      <c r="E33" s="78" t="s">
        <v>54</v>
      </c>
      <c r="F33" s="44">
        <f t="shared" si="1"/>
        <v>28</v>
      </c>
      <c r="G33" s="85" t="s">
        <v>126</v>
      </c>
      <c r="H33" s="46" t="s">
        <v>18</v>
      </c>
      <c r="I33" s="47"/>
      <c r="J33" s="48" t="s">
        <v>42</v>
      </c>
      <c r="K33" s="86" t="s">
        <v>122</v>
      </c>
      <c r="L33" s="87" t="s">
        <v>25</v>
      </c>
      <c r="M33" s="87" t="s">
        <v>26</v>
      </c>
      <c r="N33" s="14" t="s">
        <v>27</v>
      </c>
      <c r="O33" s="14" t="s">
        <v>28</v>
      </c>
      <c r="P33" s="51">
        <v>285</v>
      </c>
      <c r="Q33" s="47">
        <f t="shared" si="0"/>
        <v>7980</v>
      </c>
      <c r="R33" s="47"/>
      <c r="S33" s="47"/>
      <c r="T33" s="43" t="s">
        <v>122</v>
      </c>
    </row>
    <row r="34" customHeight="1" spans="1:20">
      <c r="A34" s="43" t="s">
        <v>127</v>
      </c>
      <c r="B34" s="78" t="s">
        <v>128</v>
      </c>
      <c r="C34" s="78"/>
      <c r="D34" s="43">
        <v>4</v>
      </c>
      <c r="E34" s="78" t="s">
        <v>54</v>
      </c>
      <c r="F34" s="44">
        <f t="shared" si="1"/>
        <v>8</v>
      </c>
      <c r="G34" s="85" t="s">
        <v>129</v>
      </c>
      <c r="H34" s="46" t="s">
        <v>18</v>
      </c>
      <c r="I34" s="47"/>
      <c r="J34" s="48" t="s">
        <v>42</v>
      </c>
      <c r="K34" s="86" t="s">
        <v>127</v>
      </c>
      <c r="L34" s="87" t="s">
        <v>130</v>
      </c>
      <c r="M34" s="87" t="s">
        <v>131</v>
      </c>
      <c r="N34" s="14" t="s">
        <v>27</v>
      </c>
      <c r="O34" s="14" t="s">
        <v>28</v>
      </c>
      <c r="P34" s="51">
        <v>340</v>
      </c>
      <c r="Q34" s="47">
        <f t="shared" si="0"/>
        <v>2720</v>
      </c>
      <c r="R34" s="47"/>
      <c r="S34" s="47"/>
      <c r="T34" s="43" t="s">
        <v>127</v>
      </c>
    </row>
    <row r="35" customHeight="1" spans="1:20">
      <c r="A35" s="43" t="s">
        <v>132</v>
      </c>
      <c r="B35" s="78" t="s">
        <v>133</v>
      </c>
      <c r="C35" s="78"/>
      <c r="D35" s="43">
        <v>2</v>
      </c>
      <c r="E35" s="78" t="s">
        <v>54</v>
      </c>
      <c r="F35" s="44">
        <f t="shared" si="1"/>
        <v>4</v>
      </c>
      <c r="G35" s="91" t="s">
        <v>134</v>
      </c>
      <c r="H35" s="46" t="s">
        <v>18</v>
      </c>
      <c r="I35" s="47"/>
      <c r="J35" s="48" t="s">
        <v>42</v>
      </c>
      <c r="K35" s="92" t="s">
        <v>132</v>
      </c>
      <c r="L35" s="93" t="s">
        <v>25</v>
      </c>
      <c r="M35" s="93" t="s">
        <v>26</v>
      </c>
      <c r="N35" s="14" t="s">
        <v>27</v>
      </c>
      <c r="O35" s="14" t="s">
        <v>28</v>
      </c>
      <c r="P35" s="51">
        <v>26</v>
      </c>
      <c r="Q35" s="47">
        <f t="shared" si="0"/>
        <v>104</v>
      </c>
      <c r="R35" s="47"/>
      <c r="S35" s="47"/>
      <c r="T35" s="43" t="s">
        <v>132</v>
      </c>
    </row>
    <row r="36" customHeight="1" spans="1:20">
      <c r="A36" s="43" t="s">
        <v>135</v>
      </c>
      <c r="B36" s="78" t="s">
        <v>136</v>
      </c>
      <c r="C36" s="78"/>
      <c r="D36" s="43">
        <v>1</v>
      </c>
      <c r="E36" s="78" t="s">
        <v>54</v>
      </c>
      <c r="F36" s="44">
        <f t="shared" si="1"/>
        <v>2</v>
      </c>
      <c r="G36" s="91" t="s">
        <v>137</v>
      </c>
      <c r="H36" s="46" t="s">
        <v>18</v>
      </c>
      <c r="I36" s="47"/>
      <c r="J36" s="48" t="s">
        <v>42</v>
      </c>
      <c r="K36" s="92" t="s">
        <v>135</v>
      </c>
      <c r="L36" s="93" t="s">
        <v>138</v>
      </c>
      <c r="M36" s="93" t="s">
        <v>139</v>
      </c>
      <c r="N36" s="14" t="s">
        <v>27</v>
      </c>
      <c r="O36" s="14" t="s">
        <v>28</v>
      </c>
      <c r="P36" s="51">
        <v>240</v>
      </c>
      <c r="Q36" s="47">
        <f t="shared" si="0"/>
        <v>480</v>
      </c>
      <c r="R36" s="47"/>
      <c r="S36" s="47"/>
      <c r="T36" s="43" t="s">
        <v>135</v>
      </c>
    </row>
    <row r="37" customHeight="1" spans="1:20">
      <c r="A37" s="43" t="s">
        <v>140</v>
      </c>
      <c r="B37" s="78" t="s">
        <v>141</v>
      </c>
      <c r="C37" s="78"/>
      <c r="D37" s="43">
        <f>D9</f>
        <v>28</v>
      </c>
      <c r="E37" s="78" t="s">
        <v>142</v>
      </c>
      <c r="F37" s="44">
        <f t="shared" si="1"/>
        <v>56</v>
      </c>
      <c r="G37" s="85" t="s">
        <v>143</v>
      </c>
      <c r="H37" s="46" t="s">
        <v>18</v>
      </c>
      <c r="I37" s="47"/>
      <c r="J37" s="48" t="s">
        <v>42</v>
      </c>
      <c r="K37" s="86" t="s">
        <v>140</v>
      </c>
      <c r="L37" s="87" t="s">
        <v>25</v>
      </c>
      <c r="M37" s="87" t="s">
        <v>26</v>
      </c>
      <c r="N37" s="14" t="s">
        <v>27</v>
      </c>
      <c r="O37" s="14" t="s">
        <v>28</v>
      </c>
      <c r="P37" s="51">
        <v>4.4</v>
      </c>
      <c r="Q37" s="47">
        <f t="shared" si="0"/>
        <v>246.4</v>
      </c>
      <c r="R37" s="47"/>
      <c r="S37" s="47"/>
      <c r="T37" s="43" t="s">
        <v>140</v>
      </c>
    </row>
    <row r="38" customHeight="1" spans="1:20">
      <c r="A38" s="43" t="s">
        <v>144</v>
      </c>
      <c r="B38" s="78" t="s">
        <v>145</v>
      </c>
      <c r="C38" s="78"/>
      <c r="D38" s="43">
        <v>1</v>
      </c>
      <c r="E38" s="78" t="s">
        <v>54</v>
      </c>
      <c r="F38" s="44">
        <f t="shared" si="1"/>
        <v>2</v>
      </c>
      <c r="G38" s="96" t="s">
        <v>146</v>
      </c>
      <c r="H38" s="46" t="s">
        <v>18</v>
      </c>
      <c r="I38" s="47"/>
      <c r="J38" s="48" t="s">
        <v>42</v>
      </c>
      <c r="K38" s="97" t="s">
        <v>144</v>
      </c>
      <c r="L38" s="98" t="s">
        <v>25</v>
      </c>
      <c r="M38" s="98" t="s">
        <v>26</v>
      </c>
      <c r="N38" s="14" t="s">
        <v>27</v>
      </c>
      <c r="O38" s="14" t="s">
        <v>28</v>
      </c>
      <c r="P38" s="51">
        <v>220</v>
      </c>
      <c r="Q38" s="47">
        <f t="shared" si="0"/>
        <v>440</v>
      </c>
      <c r="R38" s="47"/>
      <c r="S38" s="47"/>
      <c r="T38" s="43" t="s">
        <v>144</v>
      </c>
    </row>
    <row r="39" customHeight="1" spans="1:20">
      <c r="A39" s="43" t="s">
        <v>147</v>
      </c>
      <c r="B39" s="78" t="s">
        <v>148</v>
      </c>
      <c r="C39" s="78"/>
      <c r="D39" s="43">
        <v>1</v>
      </c>
      <c r="E39" s="78" t="s">
        <v>54</v>
      </c>
      <c r="F39" s="44">
        <f t="shared" si="1"/>
        <v>2</v>
      </c>
      <c r="G39" s="85" t="s">
        <v>149</v>
      </c>
      <c r="H39" s="46" t="s">
        <v>18</v>
      </c>
      <c r="I39" s="47"/>
      <c r="J39" s="48" t="s">
        <v>42</v>
      </c>
      <c r="K39" s="86" t="s">
        <v>147</v>
      </c>
      <c r="L39" s="87" t="s">
        <v>150</v>
      </c>
      <c r="M39" s="87" t="s">
        <v>151</v>
      </c>
      <c r="N39" s="14" t="s">
        <v>27</v>
      </c>
      <c r="O39" s="14" t="s">
        <v>28</v>
      </c>
      <c r="P39" s="51">
        <v>320</v>
      </c>
      <c r="Q39" s="47">
        <f t="shared" si="0"/>
        <v>640</v>
      </c>
      <c r="R39" s="47"/>
      <c r="S39" s="47"/>
      <c r="T39" s="43" t="s">
        <v>147</v>
      </c>
    </row>
    <row r="40" ht="32" customHeight="1" spans="1:20">
      <c r="A40" s="43" t="s">
        <v>152</v>
      </c>
      <c r="B40" s="78" t="s">
        <v>153</v>
      </c>
      <c r="C40" s="78"/>
      <c r="D40" s="43">
        <v>9</v>
      </c>
      <c r="E40" s="78" t="s">
        <v>54</v>
      </c>
      <c r="F40" s="44">
        <f t="shared" si="1"/>
        <v>18</v>
      </c>
      <c r="G40" s="99" t="s">
        <v>154</v>
      </c>
      <c r="H40" s="46" t="s">
        <v>18</v>
      </c>
      <c r="I40" s="47"/>
      <c r="J40" s="48" t="s">
        <v>42</v>
      </c>
      <c r="K40" s="100" t="s">
        <v>152</v>
      </c>
      <c r="L40" s="101" t="s">
        <v>25</v>
      </c>
      <c r="M40" s="101" t="s">
        <v>26</v>
      </c>
      <c r="N40" s="14" t="s">
        <v>27</v>
      </c>
      <c r="O40" s="14" t="s">
        <v>28</v>
      </c>
      <c r="P40" s="51">
        <v>380</v>
      </c>
      <c r="Q40" s="47">
        <f t="shared" si="0"/>
        <v>6840</v>
      </c>
      <c r="R40" s="47"/>
      <c r="S40" s="47"/>
      <c r="T40" s="43" t="s">
        <v>152</v>
      </c>
    </row>
    <row r="41" customHeight="1" spans="1:20">
      <c r="A41" s="43" t="s">
        <v>155</v>
      </c>
      <c r="B41" s="78" t="s">
        <v>156</v>
      </c>
      <c r="C41" s="78"/>
      <c r="D41" s="43">
        <v>1</v>
      </c>
      <c r="E41" s="78" t="s">
        <v>54</v>
      </c>
      <c r="F41" s="44">
        <f t="shared" si="1"/>
        <v>2</v>
      </c>
      <c r="G41" s="102" t="s">
        <v>157</v>
      </c>
      <c r="H41" s="46" t="s">
        <v>18</v>
      </c>
      <c r="I41" s="47"/>
      <c r="J41" s="48" t="s">
        <v>42</v>
      </c>
      <c r="K41" s="83" t="s">
        <v>155</v>
      </c>
      <c r="L41" s="103" t="s">
        <v>25</v>
      </c>
      <c r="M41" s="103" t="s">
        <v>26</v>
      </c>
      <c r="N41" s="14" t="s">
        <v>27</v>
      </c>
      <c r="O41" s="14" t="s">
        <v>28</v>
      </c>
      <c r="P41" s="51">
        <v>400</v>
      </c>
      <c r="Q41" s="47">
        <f t="shared" si="0"/>
        <v>800</v>
      </c>
      <c r="R41" s="47"/>
      <c r="S41" s="47"/>
      <c r="T41" s="43" t="s">
        <v>155</v>
      </c>
    </row>
    <row r="42" customHeight="1" spans="1:20">
      <c r="A42" s="75" t="s">
        <v>37</v>
      </c>
      <c r="B42" s="2" t="s">
        <v>158</v>
      </c>
      <c r="C42" s="2"/>
      <c r="D42" s="6"/>
      <c r="E42" s="2"/>
      <c r="F42" s="44">
        <f t="shared" si="1"/>
        <v>0</v>
      </c>
      <c r="G42" s="77"/>
      <c r="H42" s="46"/>
      <c r="I42" s="47"/>
      <c r="J42" s="48"/>
      <c r="K42" s="94"/>
      <c r="L42" s="95"/>
      <c r="M42" s="95"/>
      <c r="O42" s="14" t="s">
        <v>28</v>
      </c>
      <c r="P42" s="51"/>
      <c r="Q42" s="47">
        <f t="shared" si="0"/>
        <v>0</v>
      </c>
      <c r="R42" s="47"/>
      <c r="S42" s="47"/>
      <c r="T42" s="47"/>
    </row>
    <row r="43" customHeight="1" spans="1:20">
      <c r="A43" s="6">
        <v>10</v>
      </c>
      <c r="B43" s="2" t="s">
        <v>159</v>
      </c>
      <c r="C43" s="2"/>
      <c r="D43" s="6"/>
      <c r="E43" s="2"/>
      <c r="F43" s="44">
        <f t="shared" si="1"/>
        <v>0</v>
      </c>
      <c r="G43" s="77"/>
      <c r="H43" s="46"/>
      <c r="I43" s="47"/>
      <c r="J43" s="48"/>
      <c r="K43" s="94"/>
      <c r="L43" s="95"/>
      <c r="M43" s="95"/>
      <c r="O43" s="14" t="s">
        <v>28</v>
      </c>
      <c r="P43" s="51"/>
      <c r="Q43" s="47">
        <f t="shared" si="0"/>
        <v>0</v>
      </c>
      <c r="R43" s="47"/>
      <c r="S43" s="47"/>
      <c r="T43" s="47"/>
    </row>
    <row r="44" customHeight="1" spans="1:20">
      <c r="A44" s="43">
        <v>10002</v>
      </c>
      <c r="B44" s="78" t="s">
        <v>160</v>
      </c>
      <c r="C44" s="78"/>
      <c r="D44" s="43">
        <f>D9</f>
        <v>28</v>
      </c>
      <c r="E44" s="78" t="s">
        <v>161</v>
      </c>
      <c r="F44" s="44">
        <f t="shared" si="1"/>
        <v>56</v>
      </c>
      <c r="G44" s="85" t="s">
        <v>162</v>
      </c>
      <c r="H44" s="46" t="s">
        <v>18</v>
      </c>
      <c r="I44" s="47"/>
      <c r="J44" s="48" t="s">
        <v>42</v>
      </c>
      <c r="K44" s="86">
        <v>10002</v>
      </c>
      <c r="L44" s="87" t="s">
        <v>25</v>
      </c>
      <c r="M44" s="87" t="s">
        <v>26</v>
      </c>
      <c r="N44" s="14" t="s">
        <v>27</v>
      </c>
      <c r="O44" s="14" t="s">
        <v>28</v>
      </c>
      <c r="P44" s="51">
        <v>6</v>
      </c>
      <c r="Q44" s="47">
        <f t="shared" si="0"/>
        <v>336</v>
      </c>
      <c r="R44" s="47"/>
      <c r="S44" s="47"/>
      <c r="T44" s="47">
        <v>10002</v>
      </c>
    </row>
    <row r="45" customHeight="1" spans="1:20">
      <c r="A45" s="43">
        <v>10004</v>
      </c>
      <c r="B45" s="78" t="s">
        <v>163</v>
      </c>
      <c r="C45" s="78"/>
      <c r="D45" s="43">
        <f>D9</f>
        <v>28</v>
      </c>
      <c r="E45" s="78" t="s">
        <v>161</v>
      </c>
      <c r="F45" s="44">
        <f t="shared" si="1"/>
        <v>56</v>
      </c>
      <c r="G45" s="85" t="s">
        <v>164</v>
      </c>
      <c r="H45" s="46" t="s">
        <v>18</v>
      </c>
      <c r="I45" s="47"/>
      <c r="J45" s="48" t="s">
        <v>42</v>
      </c>
      <c r="K45" s="86">
        <v>10004</v>
      </c>
      <c r="L45" s="87" t="s">
        <v>165</v>
      </c>
      <c r="M45" s="87" t="s">
        <v>166</v>
      </c>
      <c r="N45" s="14" t="s">
        <v>27</v>
      </c>
      <c r="O45" s="14" t="s">
        <v>28</v>
      </c>
      <c r="P45" s="51">
        <v>5</v>
      </c>
      <c r="Q45" s="47">
        <f t="shared" si="0"/>
        <v>280</v>
      </c>
      <c r="R45" s="47"/>
      <c r="S45" s="47"/>
      <c r="T45" s="47">
        <v>10004</v>
      </c>
    </row>
    <row r="46" customHeight="1" spans="1:20">
      <c r="A46" s="43">
        <v>10004</v>
      </c>
      <c r="B46" s="78" t="s">
        <v>163</v>
      </c>
      <c r="C46" s="78"/>
      <c r="D46" s="43">
        <f>D9</f>
        <v>28</v>
      </c>
      <c r="E46" s="78" t="s">
        <v>161</v>
      </c>
      <c r="F46" s="44">
        <f t="shared" si="1"/>
        <v>56</v>
      </c>
      <c r="G46" s="85" t="s">
        <v>167</v>
      </c>
      <c r="H46" s="46" t="s">
        <v>18</v>
      </c>
      <c r="I46" s="47"/>
      <c r="J46" s="48" t="s">
        <v>42</v>
      </c>
      <c r="K46" s="86">
        <v>10004</v>
      </c>
      <c r="L46" s="87" t="s">
        <v>165</v>
      </c>
      <c r="M46" s="87" t="s">
        <v>166</v>
      </c>
      <c r="N46" s="14" t="s">
        <v>27</v>
      </c>
      <c r="O46" s="14" t="s">
        <v>28</v>
      </c>
      <c r="P46" s="51">
        <v>5</v>
      </c>
      <c r="Q46" s="47">
        <f t="shared" si="0"/>
        <v>280</v>
      </c>
      <c r="R46" s="47"/>
      <c r="S46" s="47"/>
      <c r="T46" s="47">
        <v>10004</v>
      </c>
    </row>
    <row r="47" customHeight="1" spans="1:20">
      <c r="A47" s="43">
        <v>10005</v>
      </c>
      <c r="B47" s="78" t="s">
        <v>168</v>
      </c>
      <c r="C47" s="78"/>
      <c r="D47" s="43">
        <f>D9</f>
        <v>28</v>
      </c>
      <c r="E47" s="78" t="s">
        <v>169</v>
      </c>
      <c r="F47" s="44">
        <f t="shared" si="1"/>
        <v>56</v>
      </c>
      <c r="G47" s="85" t="s">
        <v>170</v>
      </c>
      <c r="H47" s="46" t="s">
        <v>18</v>
      </c>
      <c r="I47" s="47"/>
      <c r="J47" s="48" t="s">
        <v>42</v>
      </c>
      <c r="K47" s="86">
        <v>10005</v>
      </c>
      <c r="L47" s="87" t="s">
        <v>25</v>
      </c>
      <c r="M47" s="87" t="s">
        <v>26</v>
      </c>
      <c r="N47" s="14" t="s">
        <v>27</v>
      </c>
      <c r="O47" s="14" t="s">
        <v>28</v>
      </c>
      <c r="P47" s="51">
        <v>5</v>
      </c>
      <c r="Q47" s="47">
        <f t="shared" si="0"/>
        <v>280</v>
      </c>
      <c r="R47" s="47"/>
      <c r="S47" s="47"/>
      <c r="T47" s="47">
        <v>10005</v>
      </c>
    </row>
    <row r="48" customHeight="1" spans="1:20">
      <c r="A48" s="43">
        <v>10010</v>
      </c>
      <c r="B48" s="78" t="s">
        <v>171</v>
      </c>
      <c r="C48" s="78"/>
      <c r="D48" s="43">
        <f>D9</f>
        <v>28</v>
      </c>
      <c r="E48" s="78" t="s">
        <v>172</v>
      </c>
      <c r="F48" s="44">
        <f t="shared" si="1"/>
        <v>56</v>
      </c>
      <c r="G48" s="85" t="s">
        <v>173</v>
      </c>
      <c r="H48" s="46" t="s">
        <v>18</v>
      </c>
      <c r="I48" s="47"/>
      <c r="J48" s="48" t="s">
        <v>42</v>
      </c>
      <c r="K48" s="86">
        <v>10010</v>
      </c>
      <c r="L48" s="87" t="s">
        <v>174</v>
      </c>
      <c r="M48" s="87" t="s">
        <v>175</v>
      </c>
      <c r="N48" s="14" t="s">
        <v>27</v>
      </c>
      <c r="O48" s="14" t="s">
        <v>28</v>
      </c>
      <c r="P48" s="51">
        <v>30</v>
      </c>
      <c r="Q48" s="47">
        <f t="shared" si="0"/>
        <v>1680</v>
      </c>
      <c r="R48" s="47"/>
      <c r="S48" s="47"/>
      <c r="T48" s="47">
        <v>10010</v>
      </c>
    </row>
    <row r="49" customHeight="1" spans="1:20">
      <c r="A49" s="43">
        <v>10010</v>
      </c>
      <c r="B49" s="78" t="s">
        <v>171</v>
      </c>
      <c r="C49" s="78"/>
      <c r="D49" s="43">
        <f>D9</f>
        <v>28</v>
      </c>
      <c r="E49" s="78" t="s">
        <v>172</v>
      </c>
      <c r="F49" s="44">
        <f t="shared" si="1"/>
        <v>56</v>
      </c>
      <c r="G49" s="85" t="s">
        <v>176</v>
      </c>
      <c r="H49" s="46" t="s">
        <v>18</v>
      </c>
      <c r="I49" s="47"/>
      <c r="J49" s="48" t="s">
        <v>42</v>
      </c>
      <c r="K49" s="86">
        <v>10010</v>
      </c>
      <c r="L49" s="87" t="s">
        <v>174</v>
      </c>
      <c r="M49" s="87" t="s">
        <v>175</v>
      </c>
      <c r="N49" s="14" t="s">
        <v>27</v>
      </c>
      <c r="O49" s="14" t="s">
        <v>28</v>
      </c>
      <c r="P49" s="51">
        <v>30</v>
      </c>
      <c r="Q49" s="47">
        <f t="shared" si="0"/>
        <v>1680</v>
      </c>
      <c r="R49" s="47"/>
      <c r="S49" s="47"/>
      <c r="T49" s="47">
        <v>10010</v>
      </c>
    </row>
    <row r="50" customHeight="1" spans="1:20">
      <c r="A50" s="43">
        <v>10011</v>
      </c>
      <c r="B50" s="78" t="s">
        <v>177</v>
      </c>
      <c r="C50" s="78"/>
      <c r="D50" s="43">
        <f>D9</f>
        <v>28</v>
      </c>
      <c r="E50" s="78" t="s">
        <v>161</v>
      </c>
      <c r="F50" s="44">
        <f t="shared" si="1"/>
        <v>56</v>
      </c>
      <c r="G50" s="85" t="s">
        <v>178</v>
      </c>
      <c r="H50" s="46" t="s">
        <v>18</v>
      </c>
      <c r="I50" s="47"/>
      <c r="J50" s="48" t="s">
        <v>42</v>
      </c>
      <c r="K50" s="86">
        <v>10011</v>
      </c>
      <c r="L50" s="87" t="s">
        <v>174</v>
      </c>
      <c r="M50" s="87" t="s">
        <v>175</v>
      </c>
      <c r="N50" s="14" t="s">
        <v>27</v>
      </c>
      <c r="O50" s="14" t="s">
        <v>28</v>
      </c>
      <c r="P50" s="51">
        <v>30</v>
      </c>
      <c r="Q50" s="47">
        <f t="shared" si="0"/>
        <v>1680</v>
      </c>
      <c r="R50" s="47"/>
      <c r="S50" s="47"/>
      <c r="T50" s="47">
        <v>10011</v>
      </c>
    </row>
    <row r="51" customHeight="1" spans="1:20">
      <c r="A51" s="43">
        <v>10012</v>
      </c>
      <c r="B51" s="78" t="s">
        <v>179</v>
      </c>
      <c r="C51" s="78"/>
      <c r="D51" s="43">
        <v>1</v>
      </c>
      <c r="E51" s="78" t="s">
        <v>172</v>
      </c>
      <c r="F51" s="44">
        <f t="shared" si="1"/>
        <v>2</v>
      </c>
      <c r="G51" s="85" t="s">
        <v>180</v>
      </c>
      <c r="H51" s="46" t="s">
        <v>18</v>
      </c>
      <c r="I51" s="47"/>
      <c r="J51" s="48" t="s">
        <v>42</v>
      </c>
      <c r="K51" s="86">
        <v>10012</v>
      </c>
      <c r="L51" s="87" t="s">
        <v>174</v>
      </c>
      <c r="M51" s="87" t="s">
        <v>175</v>
      </c>
      <c r="N51" s="14" t="s">
        <v>27</v>
      </c>
      <c r="O51" s="14" t="s">
        <v>28</v>
      </c>
      <c r="P51" s="51">
        <v>120</v>
      </c>
      <c r="Q51" s="47">
        <f t="shared" si="0"/>
        <v>240</v>
      </c>
      <c r="R51" s="47"/>
      <c r="S51" s="47"/>
      <c r="T51" s="47">
        <v>10012</v>
      </c>
    </row>
    <row r="52" customHeight="1" spans="1:20">
      <c r="A52" s="6">
        <v>11</v>
      </c>
      <c r="B52" s="2" t="s">
        <v>181</v>
      </c>
      <c r="C52" s="2"/>
      <c r="D52" s="6"/>
      <c r="E52" s="2"/>
      <c r="F52" s="44">
        <f t="shared" si="1"/>
        <v>0</v>
      </c>
      <c r="G52" s="77"/>
      <c r="H52" s="46"/>
      <c r="I52" s="47"/>
      <c r="J52" s="48"/>
      <c r="K52" s="94"/>
      <c r="L52" s="95"/>
      <c r="M52" s="95"/>
      <c r="O52" s="14" t="s">
        <v>28</v>
      </c>
      <c r="P52" s="51"/>
      <c r="Q52" s="47">
        <f t="shared" si="0"/>
        <v>0</v>
      </c>
      <c r="R52" s="47"/>
      <c r="S52" s="47"/>
      <c r="T52" s="47"/>
    </row>
    <row r="53" customHeight="1" spans="1:20">
      <c r="A53" s="43">
        <v>11001</v>
      </c>
      <c r="B53" s="78" t="s">
        <v>182</v>
      </c>
      <c r="C53" s="78"/>
      <c r="D53" s="43">
        <v>1</v>
      </c>
      <c r="E53" s="78" t="s">
        <v>54</v>
      </c>
      <c r="F53" s="44">
        <f t="shared" si="1"/>
        <v>2</v>
      </c>
      <c r="G53" s="85" t="s">
        <v>183</v>
      </c>
      <c r="H53" s="46" t="s">
        <v>18</v>
      </c>
      <c r="I53" s="47"/>
      <c r="J53" s="48" t="s">
        <v>42</v>
      </c>
      <c r="K53" s="86">
        <v>11001</v>
      </c>
      <c r="L53" s="87" t="s">
        <v>25</v>
      </c>
      <c r="M53" s="87" t="s">
        <v>26</v>
      </c>
      <c r="N53" s="14" t="s">
        <v>27</v>
      </c>
      <c r="O53" s="14" t="s">
        <v>28</v>
      </c>
      <c r="P53" s="51">
        <v>195</v>
      </c>
      <c r="Q53" s="47">
        <f t="shared" si="0"/>
        <v>390</v>
      </c>
      <c r="R53" s="47"/>
      <c r="S53" s="47"/>
      <c r="T53" s="47">
        <v>11001</v>
      </c>
    </row>
    <row r="54" customHeight="1" spans="1:20">
      <c r="A54" s="43">
        <v>11002</v>
      </c>
      <c r="B54" s="78" t="s">
        <v>184</v>
      </c>
      <c r="C54" s="78"/>
      <c r="D54" s="43">
        <f>D9</f>
        <v>28</v>
      </c>
      <c r="E54" s="78" t="s">
        <v>54</v>
      </c>
      <c r="F54" s="44">
        <f t="shared" si="1"/>
        <v>56</v>
      </c>
      <c r="G54" s="91" t="s">
        <v>185</v>
      </c>
      <c r="H54" s="46" t="s">
        <v>18</v>
      </c>
      <c r="I54" s="47"/>
      <c r="J54" s="48" t="s">
        <v>42</v>
      </c>
      <c r="K54" s="92">
        <v>11002</v>
      </c>
      <c r="L54" s="93" t="s">
        <v>25</v>
      </c>
      <c r="M54" s="93" t="s">
        <v>26</v>
      </c>
      <c r="N54" s="14" t="s">
        <v>27</v>
      </c>
      <c r="O54" s="14" t="s">
        <v>28</v>
      </c>
      <c r="P54" s="51">
        <v>90</v>
      </c>
      <c r="Q54" s="47">
        <f t="shared" si="0"/>
        <v>5040</v>
      </c>
      <c r="R54" s="47"/>
      <c r="S54" s="47"/>
      <c r="T54" s="47">
        <v>11002</v>
      </c>
    </row>
    <row r="55" customHeight="1" spans="1:20">
      <c r="A55" s="43">
        <v>11004</v>
      </c>
      <c r="B55" s="78" t="s">
        <v>186</v>
      </c>
      <c r="C55" s="78"/>
      <c r="D55" s="43">
        <f>D9</f>
        <v>28</v>
      </c>
      <c r="E55" s="78" t="s">
        <v>54</v>
      </c>
      <c r="F55" s="44">
        <f t="shared" si="1"/>
        <v>56</v>
      </c>
      <c r="G55" s="91" t="s">
        <v>187</v>
      </c>
      <c r="H55" s="46" t="s">
        <v>18</v>
      </c>
      <c r="I55" s="47"/>
      <c r="J55" s="48" t="s">
        <v>42</v>
      </c>
      <c r="K55" s="92">
        <v>11004</v>
      </c>
      <c r="L55" s="93" t="s">
        <v>25</v>
      </c>
      <c r="M55" s="93" t="s">
        <v>26</v>
      </c>
      <c r="N55" s="14" t="s">
        <v>27</v>
      </c>
      <c r="O55" s="14" t="s">
        <v>28</v>
      </c>
      <c r="P55" s="51">
        <v>30</v>
      </c>
      <c r="Q55" s="47">
        <f t="shared" si="0"/>
        <v>1680</v>
      </c>
      <c r="R55" s="47"/>
      <c r="S55" s="47"/>
      <c r="T55" s="47">
        <v>11003</v>
      </c>
    </row>
    <row r="56" customHeight="1" spans="1:20">
      <c r="A56" s="43">
        <v>11005</v>
      </c>
      <c r="B56" s="78" t="s">
        <v>186</v>
      </c>
      <c r="C56" s="78"/>
      <c r="D56" s="43">
        <f>D9</f>
        <v>28</v>
      </c>
      <c r="E56" s="78" t="s">
        <v>54</v>
      </c>
      <c r="F56" s="44">
        <f t="shared" si="1"/>
        <v>56</v>
      </c>
      <c r="G56" s="104" t="s">
        <v>188</v>
      </c>
      <c r="H56" s="46" t="s">
        <v>18</v>
      </c>
      <c r="I56" s="47"/>
      <c r="J56" s="48" t="s">
        <v>42</v>
      </c>
      <c r="K56" s="105">
        <v>11005</v>
      </c>
      <c r="L56" s="106" t="s">
        <v>25</v>
      </c>
      <c r="M56" s="106" t="s">
        <v>26</v>
      </c>
      <c r="N56" s="14" t="s">
        <v>27</v>
      </c>
      <c r="O56" s="14" t="s">
        <v>28</v>
      </c>
      <c r="P56" s="51">
        <v>30</v>
      </c>
      <c r="Q56" s="47">
        <f t="shared" si="0"/>
        <v>1680</v>
      </c>
      <c r="R56" s="47"/>
      <c r="S56" s="47"/>
      <c r="T56" s="47">
        <v>11003</v>
      </c>
    </row>
    <row r="57" customHeight="1" spans="1:20">
      <c r="A57" s="43">
        <v>11010</v>
      </c>
      <c r="B57" s="78" t="s">
        <v>189</v>
      </c>
      <c r="C57" s="78"/>
      <c r="D57" s="43">
        <v>1</v>
      </c>
      <c r="E57" s="78" t="s">
        <v>54</v>
      </c>
      <c r="F57" s="44">
        <f t="shared" si="1"/>
        <v>2</v>
      </c>
      <c r="G57" s="85" t="s">
        <v>190</v>
      </c>
      <c r="H57" s="46" t="s">
        <v>18</v>
      </c>
      <c r="I57" s="47"/>
      <c r="J57" s="48" t="s">
        <v>42</v>
      </c>
      <c r="K57" s="86">
        <v>11010</v>
      </c>
      <c r="L57" s="87" t="s">
        <v>191</v>
      </c>
      <c r="M57" s="87" t="s">
        <v>192</v>
      </c>
      <c r="N57" s="14" t="s">
        <v>27</v>
      </c>
      <c r="O57" s="14" t="s">
        <v>28</v>
      </c>
      <c r="P57" s="51">
        <v>180</v>
      </c>
      <c r="Q57" s="47">
        <f t="shared" si="0"/>
        <v>360</v>
      </c>
      <c r="R57" s="47"/>
      <c r="S57" s="47"/>
      <c r="T57" s="47">
        <v>11010</v>
      </c>
    </row>
    <row r="58" customHeight="1" spans="1:20">
      <c r="A58" s="43">
        <v>11010</v>
      </c>
      <c r="B58" s="78" t="s">
        <v>189</v>
      </c>
      <c r="C58" s="78"/>
      <c r="D58" s="43">
        <v>1</v>
      </c>
      <c r="E58" s="78" t="s">
        <v>54</v>
      </c>
      <c r="F58" s="44">
        <f t="shared" si="1"/>
        <v>2</v>
      </c>
      <c r="G58" s="85" t="s">
        <v>193</v>
      </c>
      <c r="H58" s="46" t="s">
        <v>18</v>
      </c>
      <c r="I58" s="47"/>
      <c r="J58" s="48" t="s">
        <v>42</v>
      </c>
      <c r="K58" s="86">
        <v>11010</v>
      </c>
      <c r="L58" s="87" t="s">
        <v>191</v>
      </c>
      <c r="M58" s="87" t="s">
        <v>192</v>
      </c>
      <c r="N58" s="14" t="s">
        <v>27</v>
      </c>
      <c r="O58" s="14" t="s">
        <v>28</v>
      </c>
      <c r="P58" s="51">
        <v>180</v>
      </c>
      <c r="Q58" s="47">
        <f t="shared" si="0"/>
        <v>360</v>
      </c>
      <c r="R58" s="47"/>
      <c r="S58" s="47"/>
      <c r="T58" s="47">
        <v>11010</v>
      </c>
    </row>
    <row r="59" customHeight="1" spans="1:20">
      <c r="A59" s="43">
        <v>11017</v>
      </c>
      <c r="B59" s="78" t="s">
        <v>194</v>
      </c>
      <c r="C59" s="78"/>
      <c r="D59" s="43">
        <v>1</v>
      </c>
      <c r="E59" s="78" t="s">
        <v>54</v>
      </c>
      <c r="F59" s="44">
        <f t="shared" si="1"/>
        <v>2</v>
      </c>
      <c r="G59" s="85" t="s">
        <v>195</v>
      </c>
      <c r="H59" s="46" t="s">
        <v>18</v>
      </c>
      <c r="I59" s="47"/>
      <c r="J59" s="48" t="s">
        <v>42</v>
      </c>
      <c r="K59" s="86">
        <v>11017</v>
      </c>
      <c r="L59" s="87" t="s">
        <v>196</v>
      </c>
      <c r="M59" s="87" t="s">
        <v>197</v>
      </c>
      <c r="N59" s="14" t="s">
        <v>27</v>
      </c>
      <c r="O59" s="14" t="s">
        <v>28</v>
      </c>
      <c r="P59" s="51">
        <v>340</v>
      </c>
      <c r="Q59" s="47">
        <f t="shared" si="0"/>
        <v>680</v>
      </c>
      <c r="R59" s="47"/>
      <c r="S59" s="47"/>
      <c r="T59" s="47">
        <v>11017</v>
      </c>
    </row>
    <row r="60" customHeight="1" spans="1:20">
      <c r="A60" s="43">
        <v>11021</v>
      </c>
      <c r="B60" s="78" t="s">
        <v>198</v>
      </c>
      <c r="C60" s="78"/>
      <c r="D60" s="43">
        <f>D9</f>
        <v>28</v>
      </c>
      <c r="E60" s="78" t="s">
        <v>32</v>
      </c>
      <c r="F60" s="44">
        <f t="shared" si="1"/>
        <v>56</v>
      </c>
      <c r="G60" s="85" t="s">
        <v>199</v>
      </c>
      <c r="H60" s="46" t="s">
        <v>18</v>
      </c>
      <c r="I60" s="47"/>
      <c r="J60" s="48" t="s">
        <v>42</v>
      </c>
      <c r="K60" s="86">
        <v>11021</v>
      </c>
      <c r="L60" s="87" t="s">
        <v>25</v>
      </c>
      <c r="M60" s="87" t="s">
        <v>26</v>
      </c>
      <c r="N60" s="14" t="s">
        <v>27</v>
      </c>
      <c r="O60" s="14" t="s">
        <v>28</v>
      </c>
      <c r="P60" s="51">
        <v>16</v>
      </c>
      <c r="Q60" s="47">
        <f t="shared" si="0"/>
        <v>896</v>
      </c>
      <c r="R60" s="47"/>
      <c r="S60" s="47"/>
      <c r="T60" s="47">
        <v>11021</v>
      </c>
    </row>
    <row r="61" customHeight="1" spans="1:20">
      <c r="A61" s="43">
        <v>11022</v>
      </c>
      <c r="B61" s="78" t="s">
        <v>200</v>
      </c>
      <c r="C61" s="78"/>
      <c r="D61" s="43">
        <f>D9</f>
        <v>28</v>
      </c>
      <c r="E61" s="78" t="s">
        <v>32</v>
      </c>
      <c r="F61" s="44">
        <f t="shared" si="1"/>
        <v>56</v>
      </c>
      <c r="G61" s="85" t="s">
        <v>201</v>
      </c>
      <c r="H61" s="46" t="s">
        <v>18</v>
      </c>
      <c r="I61" s="47"/>
      <c r="J61" s="48" t="s">
        <v>42</v>
      </c>
      <c r="K61" s="86">
        <v>11022</v>
      </c>
      <c r="L61" s="87" t="s">
        <v>25</v>
      </c>
      <c r="M61" s="87" t="s">
        <v>26</v>
      </c>
      <c r="N61" s="14" t="s">
        <v>27</v>
      </c>
      <c r="O61" s="14" t="s">
        <v>28</v>
      </c>
      <c r="P61" s="51">
        <v>35</v>
      </c>
      <c r="Q61" s="47">
        <f t="shared" si="0"/>
        <v>1960</v>
      </c>
      <c r="R61" s="47"/>
      <c r="S61" s="47"/>
      <c r="T61" s="47">
        <v>11022</v>
      </c>
    </row>
    <row r="62" customHeight="1" spans="1:20">
      <c r="A62" s="6">
        <v>12</v>
      </c>
      <c r="B62" s="2" t="s">
        <v>202</v>
      </c>
      <c r="C62" s="2"/>
      <c r="D62" s="6"/>
      <c r="E62" s="2"/>
      <c r="F62" s="44">
        <f t="shared" si="1"/>
        <v>0</v>
      </c>
      <c r="G62" s="77"/>
      <c r="H62" s="46"/>
      <c r="I62" s="47"/>
      <c r="J62" s="48" t="s">
        <v>42</v>
      </c>
      <c r="K62" s="94"/>
      <c r="L62" s="95"/>
      <c r="M62" s="95"/>
      <c r="O62" s="14" t="s">
        <v>28</v>
      </c>
      <c r="P62" s="51"/>
      <c r="Q62" s="47">
        <f t="shared" si="0"/>
        <v>0</v>
      </c>
      <c r="R62" s="47"/>
      <c r="S62" s="47"/>
      <c r="T62" s="47"/>
    </row>
    <row r="63" customHeight="1" spans="1:20">
      <c r="A63" s="43">
        <v>12001</v>
      </c>
      <c r="B63" s="78" t="s">
        <v>203</v>
      </c>
      <c r="C63" s="78"/>
      <c r="D63" s="43">
        <f>D9</f>
        <v>28</v>
      </c>
      <c r="E63" s="78" t="s">
        <v>47</v>
      </c>
      <c r="F63" s="44">
        <f t="shared" si="1"/>
        <v>56</v>
      </c>
      <c r="G63" s="85" t="s">
        <v>204</v>
      </c>
      <c r="H63" s="46" t="s">
        <v>18</v>
      </c>
      <c r="I63" s="47"/>
      <c r="J63" s="48" t="s">
        <v>42</v>
      </c>
      <c r="K63" s="86">
        <v>12001</v>
      </c>
      <c r="L63" s="87" t="s">
        <v>205</v>
      </c>
      <c r="M63" s="87" t="s">
        <v>206</v>
      </c>
      <c r="N63" s="14" t="s">
        <v>27</v>
      </c>
      <c r="O63" s="14" t="s">
        <v>28</v>
      </c>
      <c r="P63" s="51">
        <v>220</v>
      </c>
      <c r="Q63" s="47">
        <f t="shared" si="0"/>
        <v>12320</v>
      </c>
      <c r="R63" s="47"/>
      <c r="S63" s="47"/>
      <c r="T63" s="47">
        <v>12001</v>
      </c>
    </row>
    <row r="64" customHeight="1" spans="1:20">
      <c r="A64" s="43">
        <v>12003</v>
      </c>
      <c r="B64" s="78" t="s">
        <v>207</v>
      </c>
      <c r="C64" s="78"/>
      <c r="D64" s="43">
        <f>D9</f>
        <v>28</v>
      </c>
      <c r="E64" s="78" t="s">
        <v>47</v>
      </c>
      <c r="F64" s="44">
        <f t="shared" si="1"/>
        <v>56</v>
      </c>
      <c r="G64" s="85" t="s">
        <v>208</v>
      </c>
      <c r="H64" s="46" t="s">
        <v>18</v>
      </c>
      <c r="I64" s="47"/>
      <c r="J64" s="48" t="s">
        <v>42</v>
      </c>
      <c r="K64" s="86">
        <v>12003</v>
      </c>
      <c r="L64" s="87" t="s">
        <v>25</v>
      </c>
      <c r="M64" s="87" t="s">
        <v>26</v>
      </c>
      <c r="N64" s="14" t="s">
        <v>27</v>
      </c>
      <c r="O64" s="14" t="s">
        <v>28</v>
      </c>
      <c r="P64" s="51">
        <v>14</v>
      </c>
      <c r="Q64" s="47">
        <f t="shared" si="0"/>
        <v>784</v>
      </c>
      <c r="R64" s="47"/>
      <c r="S64" s="47"/>
      <c r="T64" s="47">
        <v>12003</v>
      </c>
    </row>
    <row r="65" customHeight="1" spans="1:20">
      <c r="A65" s="43">
        <v>12005</v>
      </c>
      <c r="B65" s="78" t="s">
        <v>209</v>
      </c>
      <c r="C65" s="78"/>
      <c r="D65" s="43">
        <f>D9</f>
        <v>28</v>
      </c>
      <c r="E65" s="78" t="s">
        <v>21</v>
      </c>
      <c r="F65" s="44">
        <f t="shared" si="1"/>
        <v>56</v>
      </c>
      <c r="G65" s="85" t="s">
        <v>210</v>
      </c>
      <c r="H65" s="46" t="s">
        <v>18</v>
      </c>
      <c r="I65" s="47"/>
      <c r="J65" s="48" t="s">
        <v>42</v>
      </c>
      <c r="K65" s="86">
        <v>12005</v>
      </c>
      <c r="L65" s="87" t="s">
        <v>25</v>
      </c>
      <c r="M65" s="87" t="s">
        <v>26</v>
      </c>
      <c r="N65" s="14" t="s">
        <v>27</v>
      </c>
      <c r="O65" s="14" t="s">
        <v>28</v>
      </c>
      <c r="P65" s="51">
        <v>38</v>
      </c>
      <c r="Q65" s="47">
        <f t="shared" si="0"/>
        <v>2128</v>
      </c>
      <c r="R65" s="47"/>
      <c r="S65" s="47"/>
      <c r="T65" s="47">
        <v>12005</v>
      </c>
    </row>
    <row r="66" customHeight="1" spans="1:20">
      <c r="A66" s="43">
        <v>12005</v>
      </c>
      <c r="B66" s="78" t="s">
        <v>209</v>
      </c>
      <c r="C66" s="78"/>
      <c r="D66" s="43">
        <f>D9</f>
        <v>28</v>
      </c>
      <c r="E66" s="78" t="s">
        <v>21</v>
      </c>
      <c r="F66" s="44">
        <f t="shared" si="1"/>
        <v>56</v>
      </c>
      <c r="G66" s="85" t="s">
        <v>211</v>
      </c>
      <c r="H66" s="46" t="s">
        <v>18</v>
      </c>
      <c r="I66" s="47"/>
      <c r="J66" s="48" t="s">
        <v>42</v>
      </c>
      <c r="K66" s="86">
        <v>12005</v>
      </c>
      <c r="L66" s="87" t="s">
        <v>25</v>
      </c>
      <c r="M66" s="87" t="s">
        <v>26</v>
      </c>
      <c r="N66" s="14" t="s">
        <v>27</v>
      </c>
      <c r="O66" s="14" t="s">
        <v>28</v>
      </c>
      <c r="P66" s="51">
        <v>38</v>
      </c>
      <c r="Q66" s="47">
        <f t="shared" si="0"/>
        <v>2128</v>
      </c>
      <c r="R66" s="47"/>
      <c r="S66" s="47"/>
      <c r="T66" s="47">
        <v>12005</v>
      </c>
    </row>
    <row r="67" customHeight="1" spans="1:20">
      <c r="A67" s="43">
        <v>12006</v>
      </c>
      <c r="B67" s="78" t="s">
        <v>212</v>
      </c>
      <c r="C67" s="78"/>
      <c r="D67" s="43">
        <f>D9</f>
        <v>28</v>
      </c>
      <c r="E67" s="78" t="s">
        <v>21</v>
      </c>
      <c r="F67" s="44">
        <f t="shared" si="1"/>
        <v>56</v>
      </c>
      <c r="G67" s="85" t="s">
        <v>213</v>
      </c>
      <c r="H67" s="46" t="s">
        <v>18</v>
      </c>
      <c r="I67" s="47"/>
      <c r="J67" s="48" t="s">
        <v>42</v>
      </c>
      <c r="K67" s="86">
        <v>12006</v>
      </c>
      <c r="L67" s="87" t="s">
        <v>25</v>
      </c>
      <c r="M67" s="87" t="s">
        <v>26</v>
      </c>
      <c r="N67" s="14" t="s">
        <v>27</v>
      </c>
      <c r="O67" s="14" t="s">
        <v>28</v>
      </c>
      <c r="P67" s="51">
        <v>34</v>
      </c>
      <c r="Q67" s="47">
        <f t="shared" si="0"/>
        <v>1904</v>
      </c>
      <c r="R67" s="47"/>
      <c r="S67" s="47"/>
      <c r="T67" s="47">
        <v>12006</v>
      </c>
    </row>
    <row r="68" customHeight="1" spans="1:20">
      <c r="A68" s="43">
        <v>12007</v>
      </c>
      <c r="B68" s="78" t="s">
        <v>214</v>
      </c>
      <c r="C68" s="78"/>
      <c r="D68" s="43">
        <v>14</v>
      </c>
      <c r="E68" s="78" t="s">
        <v>54</v>
      </c>
      <c r="F68" s="44">
        <f t="shared" si="1"/>
        <v>28</v>
      </c>
      <c r="G68" s="85" t="s">
        <v>215</v>
      </c>
      <c r="H68" s="46" t="s">
        <v>18</v>
      </c>
      <c r="I68" s="47"/>
      <c r="J68" s="48" t="s">
        <v>42</v>
      </c>
      <c r="K68" s="86">
        <v>12007</v>
      </c>
      <c r="L68" s="87" t="s">
        <v>25</v>
      </c>
      <c r="M68" s="87" t="s">
        <v>26</v>
      </c>
      <c r="N68" s="14" t="s">
        <v>27</v>
      </c>
      <c r="O68" s="14" t="s">
        <v>28</v>
      </c>
      <c r="P68" s="51">
        <v>130</v>
      </c>
      <c r="Q68" s="47">
        <f t="shared" ref="Q68:Q131" si="2">P68*F68</f>
        <v>3640</v>
      </c>
      <c r="R68" s="47"/>
      <c r="S68" s="47"/>
      <c r="T68" s="47">
        <v>12007</v>
      </c>
    </row>
    <row r="69" customHeight="1" spans="1:20">
      <c r="A69" s="43">
        <v>12007</v>
      </c>
      <c r="B69" s="78" t="s">
        <v>214</v>
      </c>
      <c r="C69" s="78"/>
      <c r="D69" s="43">
        <v>14</v>
      </c>
      <c r="E69" s="78" t="s">
        <v>54</v>
      </c>
      <c r="F69" s="44">
        <f t="shared" si="1"/>
        <v>28</v>
      </c>
      <c r="G69" s="85" t="s">
        <v>216</v>
      </c>
      <c r="H69" s="46" t="s">
        <v>18</v>
      </c>
      <c r="I69" s="47"/>
      <c r="J69" s="48" t="s">
        <v>42</v>
      </c>
      <c r="K69" s="86">
        <v>12007</v>
      </c>
      <c r="L69" s="87" t="s">
        <v>25</v>
      </c>
      <c r="M69" s="87" t="s">
        <v>26</v>
      </c>
      <c r="N69" s="14" t="s">
        <v>27</v>
      </c>
      <c r="O69" s="14" t="s">
        <v>28</v>
      </c>
      <c r="P69" s="51">
        <v>130</v>
      </c>
      <c r="Q69" s="47">
        <f t="shared" si="2"/>
        <v>3640</v>
      </c>
      <c r="R69" s="47"/>
      <c r="S69" s="47"/>
      <c r="T69" s="47">
        <v>12007</v>
      </c>
    </row>
    <row r="70" customHeight="1" spans="1:20">
      <c r="A70" s="43">
        <v>12008</v>
      </c>
      <c r="B70" s="78" t="s">
        <v>217</v>
      </c>
      <c r="C70" s="78"/>
      <c r="D70" s="43">
        <v>1</v>
      </c>
      <c r="E70" s="78" t="s">
        <v>54</v>
      </c>
      <c r="F70" s="44">
        <f t="shared" si="1"/>
        <v>2</v>
      </c>
      <c r="G70" s="85" t="s">
        <v>218</v>
      </c>
      <c r="H70" s="46" t="s">
        <v>18</v>
      </c>
      <c r="I70" s="47"/>
      <c r="J70" s="48" t="s">
        <v>42</v>
      </c>
      <c r="K70" s="86">
        <v>12008</v>
      </c>
      <c r="L70" s="87" t="s">
        <v>25</v>
      </c>
      <c r="M70" s="87" t="s">
        <v>26</v>
      </c>
      <c r="N70" s="14" t="s">
        <v>27</v>
      </c>
      <c r="O70" s="14" t="s">
        <v>28</v>
      </c>
      <c r="P70" s="51">
        <v>110</v>
      </c>
      <c r="Q70" s="47">
        <f t="shared" si="2"/>
        <v>220</v>
      </c>
      <c r="R70" s="47"/>
      <c r="S70" s="47"/>
      <c r="T70" s="47">
        <v>12008</v>
      </c>
    </row>
    <row r="71" customHeight="1" spans="1:20">
      <c r="A71" s="6">
        <v>13</v>
      </c>
      <c r="B71" s="2" t="s">
        <v>219</v>
      </c>
      <c r="C71" s="2"/>
      <c r="D71" s="6"/>
      <c r="E71" s="2"/>
      <c r="F71" s="44">
        <f t="shared" si="1"/>
        <v>0</v>
      </c>
      <c r="G71" s="77"/>
      <c r="H71" s="46"/>
      <c r="I71" s="47"/>
      <c r="J71" s="48" t="s">
        <v>42</v>
      </c>
      <c r="K71" s="94"/>
      <c r="L71" s="95"/>
      <c r="M71" s="95"/>
      <c r="O71" s="14" t="s">
        <v>28</v>
      </c>
      <c r="P71" s="51"/>
      <c r="Q71" s="47">
        <f t="shared" si="2"/>
        <v>0</v>
      </c>
      <c r="R71" s="47"/>
      <c r="S71" s="47"/>
      <c r="T71" s="47"/>
    </row>
    <row r="72" customHeight="1" spans="1:20">
      <c r="A72" s="43">
        <v>13001</v>
      </c>
      <c r="B72" s="78" t="s">
        <v>220</v>
      </c>
      <c r="C72" s="78"/>
      <c r="D72" s="43">
        <v>100</v>
      </c>
      <c r="E72" s="78" t="s">
        <v>221</v>
      </c>
      <c r="F72" s="44">
        <f t="shared" si="1"/>
        <v>200</v>
      </c>
      <c r="G72" s="85" t="s">
        <v>222</v>
      </c>
      <c r="H72" s="46" t="s">
        <v>18</v>
      </c>
      <c r="I72" s="47"/>
      <c r="J72" s="48" t="s">
        <v>42</v>
      </c>
      <c r="K72" s="86">
        <v>13001</v>
      </c>
      <c r="L72" s="87" t="s">
        <v>25</v>
      </c>
      <c r="M72" s="87" t="s">
        <v>26</v>
      </c>
      <c r="N72" s="14" t="s">
        <v>27</v>
      </c>
      <c r="O72" s="14" t="s">
        <v>28</v>
      </c>
      <c r="P72" s="51">
        <v>2</v>
      </c>
      <c r="Q72" s="47">
        <f t="shared" si="2"/>
        <v>400</v>
      </c>
      <c r="R72" s="47"/>
      <c r="S72" s="47"/>
      <c r="T72" s="47">
        <v>13001</v>
      </c>
    </row>
    <row r="73" customHeight="1" spans="1:20">
      <c r="A73" s="43">
        <v>13003</v>
      </c>
      <c r="B73" s="78" t="s">
        <v>220</v>
      </c>
      <c r="C73" s="78"/>
      <c r="D73" s="43">
        <v>2</v>
      </c>
      <c r="E73" s="78" t="s">
        <v>221</v>
      </c>
      <c r="F73" s="44">
        <f t="shared" ref="F73:F136" si="3">D73*2</f>
        <v>4</v>
      </c>
      <c r="G73" s="85" t="s">
        <v>223</v>
      </c>
      <c r="H73" s="46" t="s">
        <v>18</v>
      </c>
      <c r="I73" s="47"/>
      <c r="J73" s="48" t="s">
        <v>42</v>
      </c>
      <c r="K73" s="86">
        <v>13003</v>
      </c>
      <c r="L73" s="87" t="s">
        <v>25</v>
      </c>
      <c r="M73" s="87" t="s">
        <v>26</v>
      </c>
      <c r="N73" s="14" t="s">
        <v>27</v>
      </c>
      <c r="O73" s="14" t="s">
        <v>28</v>
      </c>
      <c r="P73" s="51">
        <v>3</v>
      </c>
      <c r="Q73" s="47">
        <f t="shared" si="2"/>
        <v>12</v>
      </c>
      <c r="R73" s="47"/>
      <c r="S73" s="47"/>
      <c r="T73" s="47">
        <v>13003</v>
      </c>
    </row>
    <row r="74" customHeight="1" spans="1:20">
      <c r="A74" s="43">
        <v>13007</v>
      </c>
      <c r="B74" s="78" t="s">
        <v>224</v>
      </c>
      <c r="C74" s="78"/>
      <c r="D74" s="43">
        <v>1</v>
      </c>
      <c r="E74" s="78" t="s">
        <v>21</v>
      </c>
      <c r="F74" s="44">
        <f t="shared" si="3"/>
        <v>2</v>
      </c>
      <c r="G74" s="85" t="s">
        <v>225</v>
      </c>
      <c r="H74" s="46" t="s">
        <v>18</v>
      </c>
      <c r="I74" s="47"/>
      <c r="J74" s="48" t="s">
        <v>42</v>
      </c>
      <c r="K74" s="86">
        <v>13007</v>
      </c>
      <c r="L74" s="87" t="s">
        <v>25</v>
      </c>
      <c r="M74" s="87" t="s">
        <v>26</v>
      </c>
      <c r="N74" s="14" t="s">
        <v>27</v>
      </c>
      <c r="O74" s="14" t="s">
        <v>28</v>
      </c>
      <c r="P74" s="51">
        <v>150</v>
      </c>
      <c r="Q74" s="47">
        <f t="shared" si="2"/>
        <v>300</v>
      </c>
      <c r="R74" s="47"/>
      <c r="S74" s="47"/>
      <c r="T74" s="47">
        <v>13007</v>
      </c>
    </row>
    <row r="75" customHeight="1" spans="1:20">
      <c r="A75" s="43">
        <v>13011</v>
      </c>
      <c r="B75" s="78" t="s">
        <v>226</v>
      </c>
      <c r="C75" s="78"/>
      <c r="D75" s="43">
        <v>1</v>
      </c>
      <c r="E75" s="78" t="s">
        <v>221</v>
      </c>
      <c r="F75" s="44">
        <f t="shared" si="3"/>
        <v>2</v>
      </c>
      <c r="G75" s="85" t="s">
        <v>227</v>
      </c>
      <c r="H75" s="46" t="s">
        <v>18</v>
      </c>
      <c r="I75" s="47"/>
      <c r="J75" s="48" t="s">
        <v>42</v>
      </c>
      <c r="K75" s="86">
        <v>13011</v>
      </c>
      <c r="L75" s="87" t="s">
        <v>25</v>
      </c>
      <c r="M75" s="87" t="s">
        <v>26</v>
      </c>
      <c r="N75" s="14" t="s">
        <v>27</v>
      </c>
      <c r="O75" s="14" t="s">
        <v>28</v>
      </c>
      <c r="P75" s="51">
        <v>14</v>
      </c>
      <c r="Q75" s="47">
        <f t="shared" si="2"/>
        <v>28</v>
      </c>
      <c r="R75" s="47"/>
      <c r="S75" s="47"/>
      <c r="T75" s="47">
        <v>13011</v>
      </c>
    </row>
    <row r="76" customHeight="1" spans="1:20">
      <c r="A76" s="43">
        <v>13012</v>
      </c>
      <c r="B76" s="78" t="s">
        <v>228</v>
      </c>
      <c r="C76" s="78"/>
      <c r="D76" s="43">
        <v>1</v>
      </c>
      <c r="E76" s="78" t="s">
        <v>21</v>
      </c>
      <c r="F76" s="44">
        <f t="shared" si="3"/>
        <v>2</v>
      </c>
      <c r="G76" s="85" t="s">
        <v>229</v>
      </c>
      <c r="H76" s="46" t="s">
        <v>18</v>
      </c>
      <c r="I76" s="47"/>
      <c r="J76" s="48" t="s">
        <v>42</v>
      </c>
      <c r="K76" s="86">
        <v>13012</v>
      </c>
      <c r="L76" s="87" t="s">
        <v>230</v>
      </c>
      <c r="M76" s="87" t="s">
        <v>231</v>
      </c>
      <c r="N76" s="14" t="s">
        <v>27</v>
      </c>
      <c r="O76" s="14" t="s">
        <v>28</v>
      </c>
      <c r="P76" s="51">
        <v>80</v>
      </c>
      <c r="Q76" s="47">
        <f t="shared" si="2"/>
        <v>160</v>
      </c>
      <c r="R76" s="47"/>
      <c r="S76" s="47"/>
      <c r="T76" s="47">
        <v>13012</v>
      </c>
    </row>
    <row r="77" customHeight="1" spans="1:20">
      <c r="A77" s="43">
        <v>13020</v>
      </c>
      <c r="B77" s="78" t="s">
        <v>232</v>
      </c>
      <c r="C77" s="78"/>
      <c r="D77" s="43">
        <v>1</v>
      </c>
      <c r="E77" s="78" t="s">
        <v>161</v>
      </c>
      <c r="F77" s="44">
        <f t="shared" si="3"/>
        <v>2</v>
      </c>
      <c r="G77" s="85" t="s">
        <v>233</v>
      </c>
      <c r="H77" s="46" t="s">
        <v>18</v>
      </c>
      <c r="I77" s="47"/>
      <c r="J77" s="48" t="s">
        <v>42</v>
      </c>
      <c r="K77" s="86">
        <v>13020</v>
      </c>
      <c r="L77" s="87" t="s">
        <v>25</v>
      </c>
      <c r="M77" s="87" t="s">
        <v>26</v>
      </c>
      <c r="N77" s="14" t="s">
        <v>27</v>
      </c>
      <c r="O77" s="14" t="s">
        <v>28</v>
      </c>
      <c r="P77" s="51">
        <v>4</v>
      </c>
      <c r="Q77" s="47">
        <f t="shared" si="2"/>
        <v>8</v>
      </c>
      <c r="R77" s="47"/>
      <c r="S77" s="47"/>
      <c r="T77" s="47">
        <v>13020</v>
      </c>
    </row>
    <row r="78" customHeight="1" spans="1:20">
      <c r="A78" s="6">
        <v>14</v>
      </c>
      <c r="B78" s="2" t="s">
        <v>234</v>
      </c>
      <c r="C78" s="2"/>
      <c r="D78" s="6"/>
      <c r="E78" s="2"/>
      <c r="F78" s="44">
        <f t="shared" si="3"/>
        <v>0</v>
      </c>
      <c r="G78" s="77"/>
      <c r="H78" s="46"/>
      <c r="I78" s="47"/>
      <c r="J78" s="48" t="s">
        <v>42</v>
      </c>
      <c r="K78" s="94"/>
      <c r="L78" s="95"/>
      <c r="M78" s="95"/>
      <c r="O78" s="14" t="s">
        <v>28</v>
      </c>
      <c r="P78" s="51"/>
      <c r="Q78" s="47">
        <f t="shared" si="2"/>
        <v>0</v>
      </c>
      <c r="R78" s="47"/>
      <c r="S78" s="47"/>
      <c r="T78" s="47">
        <v>14</v>
      </c>
    </row>
    <row r="79" customHeight="1" spans="1:20">
      <c r="A79" s="43">
        <v>14001</v>
      </c>
      <c r="B79" s="78" t="s">
        <v>235</v>
      </c>
      <c r="C79" s="78"/>
      <c r="D79" s="43">
        <f>D9*2</f>
        <v>56</v>
      </c>
      <c r="E79" s="78" t="s">
        <v>21</v>
      </c>
      <c r="F79" s="44">
        <f t="shared" si="3"/>
        <v>112</v>
      </c>
      <c r="G79" s="85" t="s">
        <v>236</v>
      </c>
      <c r="H79" s="46" t="s">
        <v>18</v>
      </c>
      <c r="I79" s="47"/>
      <c r="J79" s="48" t="s">
        <v>42</v>
      </c>
      <c r="K79" s="86">
        <v>14001</v>
      </c>
      <c r="L79" s="87" t="s">
        <v>25</v>
      </c>
      <c r="M79" s="87" t="s">
        <v>26</v>
      </c>
      <c r="N79" s="14" t="s">
        <v>27</v>
      </c>
      <c r="O79" s="14" t="s">
        <v>28</v>
      </c>
      <c r="P79" s="51">
        <v>5</v>
      </c>
      <c r="Q79" s="47">
        <f t="shared" si="2"/>
        <v>560</v>
      </c>
      <c r="R79" s="47"/>
      <c r="S79" s="47"/>
      <c r="T79" s="47">
        <v>14001</v>
      </c>
    </row>
    <row r="80" customHeight="1" spans="1:20">
      <c r="A80" s="43">
        <v>14002</v>
      </c>
      <c r="B80" s="78" t="s">
        <v>235</v>
      </c>
      <c r="C80" s="78"/>
      <c r="D80" s="43">
        <f>D9*2</f>
        <v>56</v>
      </c>
      <c r="E80" s="78" t="s">
        <v>21</v>
      </c>
      <c r="F80" s="44">
        <f t="shared" si="3"/>
        <v>112</v>
      </c>
      <c r="G80" s="85" t="s">
        <v>237</v>
      </c>
      <c r="H80" s="46" t="s">
        <v>18</v>
      </c>
      <c r="I80" s="47"/>
      <c r="J80" s="48" t="s">
        <v>42</v>
      </c>
      <c r="K80" s="86">
        <v>14002</v>
      </c>
      <c r="L80" s="87" t="s">
        <v>25</v>
      </c>
      <c r="M80" s="87" t="s">
        <v>26</v>
      </c>
      <c r="N80" s="14" t="s">
        <v>27</v>
      </c>
      <c r="O80" s="14" t="s">
        <v>28</v>
      </c>
      <c r="P80" s="51">
        <v>5</v>
      </c>
      <c r="Q80" s="47">
        <f t="shared" si="2"/>
        <v>560</v>
      </c>
      <c r="R80" s="47"/>
      <c r="S80" s="47"/>
      <c r="T80" s="47">
        <v>14001</v>
      </c>
    </row>
    <row r="81" customHeight="1" spans="1:20">
      <c r="A81" s="43">
        <v>14003</v>
      </c>
      <c r="B81" s="78" t="s">
        <v>235</v>
      </c>
      <c r="C81" s="78"/>
      <c r="D81" s="43">
        <f>D9*2</f>
        <v>56</v>
      </c>
      <c r="E81" s="78" t="s">
        <v>21</v>
      </c>
      <c r="F81" s="44">
        <f t="shared" si="3"/>
        <v>112</v>
      </c>
      <c r="G81" s="85" t="s">
        <v>238</v>
      </c>
      <c r="H81" s="46" t="s">
        <v>18</v>
      </c>
      <c r="I81" s="47"/>
      <c r="J81" s="48" t="s">
        <v>42</v>
      </c>
      <c r="K81" s="86">
        <v>14003</v>
      </c>
      <c r="L81" s="87" t="s">
        <v>25</v>
      </c>
      <c r="M81" s="87" t="s">
        <v>26</v>
      </c>
      <c r="N81" s="14" t="s">
        <v>27</v>
      </c>
      <c r="O81" s="14" t="s">
        <v>28</v>
      </c>
      <c r="P81" s="51">
        <v>5</v>
      </c>
      <c r="Q81" s="47">
        <f t="shared" si="2"/>
        <v>560</v>
      </c>
      <c r="R81" s="47"/>
      <c r="S81" s="47"/>
      <c r="T81" s="47">
        <v>14001</v>
      </c>
    </row>
    <row r="82" customHeight="1" spans="1:20">
      <c r="A82" s="43">
        <v>14004</v>
      </c>
      <c r="B82" s="78" t="s">
        <v>235</v>
      </c>
      <c r="C82" s="78"/>
      <c r="D82" s="43">
        <f>D9*2</f>
        <v>56</v>
      </c>
      <c r="E82" s="78" t="s">
        <v>21</v>
      </c>
      <c r="F82" s="44">
        <f t="shared" si="3"/>
        <v>112</v>
      </c>
      <c r="G82" s="85" t="s">
        <v>239</v>
      </c>
      <c r="H82" s="46" t="s">
        <v>18</v>
      </c>
      <c r="I82" s="47"/>
      <c r="J82" s="48" t="s">
        <v>42</v>
      </c>
      <c r="K82" s="86">
        <v>14004</v>
      </c>
      <c r="L82" s="87" t="s">
        <v>25</v>
      </c>
      <c r="M82" s="87" t="s">
        <v>26</v>
      </c>
      <c r="N82" s="14" t="s">
        <v>27</v>
      </c>
      <c r="O82" s="14" t="s">
        <v>28</v>
      </c>
      <c r="P82" s="51">
        <v>5</v>
      </c>
      <c r="Q82" s="47">
        <f t="shared" si="2"/>
        <v>560</v>
      </c>
      <c r="R82" s="47"/>
      <c r="S82" s="47"/>
      <c r="T82" s="47">
        <v>14001</v>
      </c>
    </row>
    <row r="83" customHeight="1" spans="1:20">
      <c r="A83" s="107" t="s">
        <v>240</v>
      </c>
      <c r="B83" s="78" t="s">
        <v>241</v>
      </c>
      <c r="C83" s="78"/>
      <c r="D83" s="43">
        <v>2</v>
      </c>
      <c r="E83" s="78" t="s">
        <v>21</v>
      </c>
      <c r="F83" s="44">
        <f t="shared" si="3"/>
        <v>4</v>
      </c>
      <c r="G83" s="85" t="s">
        <v>242</v>
      </c>
      <c r="H83" s="46" t="s">
        <v>18</v>
      </c>
      <c r="I83" s="47"/>
      <c r="J83" s="48" t="s">
        <v>42</v>
      </c>
      <c r="K83" s="86" t="s">
        <v>240</v>
      </c>
      <c r="L83" s="87" t="s">
        <v>25</v>
      </c>
      <c r="M83" s="87" t="s">
        <v>26</v>
      </c>
      <c r="N83" s="14" t="s">
        <v>27</v>
      </c>
      <c r="O83" s="14" t="s">
        <v>28</v>
      </c>
      <c r="P83" s="51">
        <v>102</v>
      </c>
      <c r="Q83" s="47">
        <f t="shared" si="2"/>
        <v>408</v>
      </c>
      <c r="R83" s="47"/>
      <c r="S83" s="47"/>
      <c r="T83" s="47">
        <v>14010</v>
      </c>
    </row>
    <row r="84" customHeight="1" spans="1:20">
      <c r="A84" s="43">
        <v>14012</v>
      </c>
      <c r="B84" s="78" t="s">
        <v>243</v>
      </c>
      <c r="C84" s="78"/>
      <c r="D84" s="43">
        <v>2</v>
      </c>
      <c r="E84" s="78" t="s">
        <v>21</v>
      </c>
      <c r="F84" s="44">
        <f t="shared" si="3"/>
        <v>4</v>
      </c>
      <c r="G84" s="85" t="s">
        <v>244</v>
      </c>
      <c r="H84" s="46" t="s">
        <v>18</v>
      </c>
      <c r="I84" s="47"/>
      <c r="J84" s="48" t="s">
        <v>42</v>
      </c>
      <c r="K84" s="86">
        <v>14012</v>
      </c>
      <c r="L84" s="87" t="s">
        <v>25</v>
      </c>
      <c r="M84" s="87" t="s">
        <v>26</v>
      </c>
      <c r="N84" s="14" t="s">
        <v>27</v>
      </c>
      <c r="O84" s="14" t="s">
        <v>28</v>
      </c>
      <c r="P84" s="51">
        <v>20</v>
      </c>
      <c r="Q84" s="47">
        <f t="shared" si="2"/>
        <v>80</v>
      </c>
      <c r="R84" s="47"/>
      <c r="S84" s="47"/>
      <c r="T84" s="47">
        <v>14012</v>
      </c>
    </row>
    <row r="85" customHeight="1" spans="1:20">
      <c r="A85" s="43">
        <v>14013</v>
      </c>
      <c r="B85" s="78" t="s">
        <v>245</v>
      </c>
      <c r="C85" s="78"/>
      <c r="D85" s="43">
        <v>2</v>
      </c>
      <c r="E85" s="78" t="s">
        <v>21</v>
      </c>
      <c r="F85" s="44">
        <f t="shared" si="3"/>
        <v>4</v>
      </c>
      <c r="G85" s="85" t="s">
        <v>246</v>
      </c>
      <c r="H85" s="46" t="s">
        <v>18</v>
      </c>
      <c r="I85" s="47"/>
      <c r="J85" s="48" t="s">
        <v>42</v>
      </c>
      <c r="K85" s="86">
        <v>14013</v>
      </c>
      <c r="L85" s="87" t="s">
        <v>25</v>
      </c>
      <c r="M85" s="87" t="s">
        <v>26</v>
      </c>
      <c r="N85" s="14" t="s">
        <v>27</v>
      </c>
      <c r="O85" s="14" t="s">
        <v>28</v>
      </c>
      <c r="P85" s="51">
        <v>15</v>
      </c>
      <c r="Q85" s="47">
        <f t="shared" si="2"/>
        <v>60</v>
      </c>
      <c r="R85" s="47"/>
      <c r="S85" s="47"/>
      <c r="T85" s="47">
        <v>14013</v>
      </c>
    </row>
    <row r="86" customHeight="1" spans="1:20">
      <c r="A86" s="43">
        <v>14014</v>
      </c>
      <c r="B86" s="78" t="s">
        <v>247</v>
      </c>
      <c r="C86" s="78"/>
      <c r="D86" s="43">
        <v>2</v>
      </c>
      <c r="E86" s="78" t="s">
        <v>21</v>
      </c>
      <c r="F86" s="44">
        <f t="shared" si="3"/>
        <v>4</v>
      </c>
      <c r="G86" s="85" t="s">
        <v>248</v>
      </c>
      <c r="H86" s="46" t="s">
        <v>18</v>
      </c>
      <c r="I86" s="47"/>
      <c r="J86" s="48" t="s">
        <v>42</v>
      </c>
      <c r="K86" s="86">
        <v>14014</v>
      </c>
      <c r="L86" s="87" t="s">
        <v>25</v>
      </c>
      <c r="M86" s="87" t="s">
        <v>26</v>
      </c>
      <c r="N86" s="14" t="s">
        <v>27</v>
      </c>
      <c r="O86" s="14" t="s">
        <v>28</v>
      </c>
      <c r="P86" s="51">
        <v>100</v>
      </c>
      <c r="Q86" s="47">
        <f t="shared" si="2"/>
        <v>400</v>
      </c>
      <c r="R86" s="47"/>
      <c r="S86" s="47"/>
      <c r="T86" s="47">
        <v>14014</v>
      </c>
    </row>
    <row r="87" customHeight="1" spans="1:20">
      <c r="A87" s="43">
        <v>14015</v>
      </c>
      <c r="B87" s="78" t="s">
        <v>249</v>
      </c>
      <c r="C87" s="78"/>
      <c r="D87" s="43">
        <f>D9</f>
        <v>28</v>
      </c>
      <c r="E87" s="78" t="s">
        <v>21</v>
      </c>
      <c r="F87" s="44">
        <f t="shared" si="3"/>
        <v>56</v>
      </c>
      <c r="G87" s="85" t="s">
        <v>250</v>
      </c>
      <c r="H87" s="46" t="s">
        <v>18</v>
      </c>
      <c r="I87" s="47"/>
      <c r="J87" s="48" t="s">
        <v>42</v>
      </c>
      <c r="K87" s="86">
        <v>14015</v>
      </c>
      <c r="L87" s="87" t="s">
        <v>25</v>
      </c>
      <c r="M87" s="87" t="s">
        <v>26</v>
      </c>
      <c r="N87" s="14" t="s">
        <v>27</v>
      </c>
      <c r="O87" s="14" t="s">
        <v>28</v>
      </c>
      <c r="P87" s="51">
        <v>90</v>
      </c>
      <c r="Q87" s="47">
        <f t="shared" si="2"/>
        <v>5040</v>
      </c>
      <c r="R87" s="47"/>
      <c r="S87" s="47"/>
      <c r="T87" s="47">
        <v>14015</v>
      </c>
    </row>
    <row r="88" customHeight="1" spans="1:20">
      <c r="A88" s="6">
        <v>15</v>
      </c>
      <c r="B88" s="2" t="s">
        <v>251</v>
      </c>
      <c r="C88" s="2"/>
      <c r="D88" s="6"/>
      <c r="E88" s="2"/>
      <c r="F88" s="44">
        <f t="shared" si="3"/>
        <v>0</v>
      </c>
      <c r="G88" s="77"/>
      <c r="H88" s="46"/>
      <c r="I88" s="47"/>
      <c r="J88" s="48" t="s">
        <v>42</v>
      </c>
      <c r="K88" s="94"/>
      <c r="L88" s="95"/>
      <c r="M88" s="95"/>
      <c r="P88" s="51"/>
      <c r="Q88" s="47">
        <f t="shared" si="2"/>
        <v>0</v>
      </c>
      <c r="R88" s="47"/>
      <c r="S88" s="47"/>
      <c r="T88" s="47">
        <v>15</v>
      </c>
    </row>
    <row r="89" customHeight="1" spans="1:20">
      <c r="A89" s="43">
        <v>15003</v>
      </c>
      <c r="B89" s="78" t="s">
        <v>252</v>
      </c>
      <c r="C89" s="78"/>
      <c r="D89" s="43">
        <v>3</v>
      </c>
      <c r="E89" s="78" t="s">
        <v>161</v>
      </c>
      <c r="F89" s="44">
        <f t="shared" si="3"/>
        <v>6</v>
      </c>
      <c r="G89" s="85" t="s">
        <v>253</v>
      </c>
      <c r="H89" s="46" t="s">
        <v>18</v>
      </c>
      <c r="I89" s="47"/>
      <c r="J89" s="48" t="s">
        <v>42</v>
      </c>
      <c r="K89" s="86">
        <v>15003</v>
      </c>
      <c r="L89" s="87" t="s">
        <v>25</v>
      </c>
      <c r="M89" s="87" t="s">
        <v>26</v>
      </c>
      <c r="N89" s="14" t="s">
        <v>27</v>
      </c>
      <c r="O89" s="14" t="s">
        <v>28</v>
      </c>
      <c r="P89" s="51">
        <v>650</v>
      </c>
      <c r="Q89" s="47">
        <f t="shared" si="2"/>
        <v>3900</v>
      </c>
      <c r="R89" s="47"/>
      <c r="S89" s="47"/>
      <c r="T89" s="47">
        <v>15003</v>
      </c>
    </row>
    <row r="90" customHeight="1" spans="1:20">
      <c r="A90" s="43">
        <v>15007</v>
      </c>
      <c r="B90" s="78" t="s">
        <v>254</v>
      </c>
      <c r="C90" s="78"/>
      <c r="D90" s="43">
        <v>1</v>
      </c>
      <c r="E90" s="78" t="s">
        <v>161</v>
      </c>
      <c r="F90" s="44">
        <f t="shared" si="3"/>
        <v>2</v>
      </c>
      <c r="G90" s="82" t="s">
        <v>255</v>
      </c>
      <c r="H90" s="46" t="s">
        <v>18</v>
      </c>
      <c r="I90" s="47"/>
      <c r="J90" s="48" t="s">
        <v>42</v>
      </c>
      <c r="K90" s="83">
        <v>15007</v>
      </c>
      <c r="L90" s="84" t="s">
        <v>256</v>
      </c>
      <c r="M90" s="84" t="s">
        <v>257</v>
      </c>
      <c r="N90" s="14" t="s">
        <v>27</v>
      </c>
      <c r="O90" s="14" t="s">
        <v>28</v>
      </c>
      <c r="P90" s="51">
        <v>170</v>
      </c>
      <c r="Q90" s="47">
        <f t="shared" si="2"/>
        <v>340</v>
      </c>
      <c r="R90" s="47"/>
      <c r="S90" s="47"/>
      <c r="T90" s="47">
        <v>15007</v>
      </c>
    </row>
    <row r="91" customHeight="1" spans="1:20">
      <c r="A91" s="43">
        <v>15008</v>
      </c>
      <c r="B91" s="78" t="s">
        <v>258</v>
      </c>
      <c r="C91" s="78"/>
      <c r="D91" s="43">
        <f>D9</f>
        <v>28</v>
      </c>
      <c r="E91" s="78" t="s">
        <v>161</v>
      </c>
      <c r="F91" s="44">
        <f t="shared" si="3"/>
        <v>56</v>
      </c>
      <c r="G91" s="85" t="s">
        <v>259</v>
      </c>
      <c r="H91" s="46" t="s">
        <v>18</v>
      </c>
      <c r="I91" s="47"/>
      <c r="J91" s="48" t="s">
        <v>42</v>
      </c>
      <c r="K91" s="86">
        <v>15008</v>
      </c>
      <c r="L91" s="87" t="s">
        <v>25</v>
      </c>
      <c r="M91" s="87" t="s">
        <v>26</v>
      </c>
      <c r="N91" s="14" t="s">
        <v>27</v>
      </c>
      <c r="O91" s="14" t="s">
        <v>28</v>
      </c>
      <c r="P91" s="51">
        <v>17</v>
      </c>
      <c r="Q91" s="47">
        <f t="shared" si="2"/>
        <v>952</v>
      </c>
      <c r="R91" s="47"/>
      <c r="S91" s="47"/>
      <c r="T91" s="47">
        <v>15008</v>
      </c>
    </row>
    <row r="92" customHeight="1" spans="1:20">
      <c r="A92" s="43">
        <v>15008</v>
      </c>
      <c r="B92" s="78" t="s">
        <v>258</v>
      </c>
      <c r="C92" s="78"/>
      <c r="D92" s="43">
        <f>D9</f>
        <v>28</v>
      </c>
      <c r="E92" s="78" t="s">
        <v>161</v>
      </c>
      <c r="F92" s="44">
        <f t="shared" si="3"/>
        <v>56</v>
      </c>
      <c r="G92" s="85" t="s">
        <v>260</v>
      </c>
      <c r="H92" s="46" t="s">
        <v>18</v>
      </c>
      <c r="I92" s="47"/>
      <c r="J92" s="48" t="s">
        <v>42</v>
      </c>
      <c r="K92" s="86">
        <v>15008</v>
      </c>
      <c r="L92" s="87" t="s">
        <v>256</v>
      </c>
      <c r="M92" s="87" t="s">
        <v>257</v>
      </c>
      <c r="N92" s="14" t="s">
        <v>27</v>
      </c>
      <c r="O92" s="14" t="s">
        <v>28</v>
      </c>
      <c r="P92" s="51">
        <v>17</v>
      </c>
      <c r="Q92" s="47">
        <f t="shared" si="2"/>
        <v>952</v>
      </c>
      <c r="R92" s="47"/>
      <c r="S92" s="47"/>
      <c r="T92" s="47">
        <v>15008</v>
      </c>
    </row>
    <row r="93" customHeight="1" spans="1:20">
      <c r="A93" s="43">
        <v>15009</v>
      </c>
      <c r="B93" s="78" t="s">
        <v>261</v>
      </c>
      <c r="C93" s="78"/>
      <c r="D93" s="43">
        <f>D9</f>
        <v>28</v>
      </c>
      <c r="E93" s="78" t="s">
        <v>161</v>
      </c>
      <c r="F93" s="44">
        <f t="shared" si="3"/>
        <v>56</v>
      </c>
      <c r="G93" s="85" t="s">
        <v>262</v>
      </c>
      <c r="H93" s="46" t="s">
        <v>18</v>
      </c>
      <c r="I93" s="47"/>
      <c r="J93" s="48" t="s">
        <v>42</v>
      </c>
      <c r="K93" s="86">
        <v>15009</v>
      </c>
      <c r="L93" s="87" t="s">
        <v>25</v>
      </c>
      <c r="M93" s="87" t="s">
        <v>26</v>
      </c>
      <c r="N93" s="14" t="s">
        <v>27</v>
      </c>
      <c r="O93" s="14" t="s">
        <v>28</v>
      </c>
      <c r="P93" s="51">
        <v>17</v>
      </c>
      <c r="Q93" s="47">
        <f t="shared" si="2"/>
        <v>952</v>
      </c>
      <c r="R93" s="47"/>
      <c r="S93" s="47"/>
      <c r="T93" s="47">
        <v>15009</v>
      </c>
    </row>
    <row r="94" customHeight="1" spans="1:20">
      <c r="A94" s="43">
        <v>15010</v>
      </c>
      <c r="B94" s="78" t="s">
        <v>263</v>
      </c>
      <c r="C94" s="78"/>
      <c r="D94" s="43">
        <f>D9</f>
        <v>28</v>
      </c>
      <c r="E94" s="78" t="s">
        <v>161</v>
      </c>
      <c r="F94" s="44">
        <f t="shared" si="3"/>
        <v>56</v>
      </c>
      <c r="G94" s="85" t="s">
        <v>264</v>
      </c>
      <c r="H94" s="46" t="s">
        <v>18</v>
      </c>
      <c r="I94" s="47"/>
      <c r="J94" s="48" t="s">
        <v>42</v>
      </c>
      <c r="K94" s="86">
        <v>15010</v>
      </c>
      <c r="L94" s="87" t="s">
        <v>25</v>
      </c>
      <c r="M94" s="87" t="s">
        <v>26</v>
      </c>
      <c r="N94" s="14" t="s">
        <v>27</v>
      </c>
      <c r="O94" s="14" t="s">
        <v>28</v>
      </c>
      <c r="P94" s="51">
        <v>17</v>
      </c>
      <c r="Q94" s="47">
        <f t="shared" si="2"/>
        <v>952</v>
      </c>
      <c r="R94" s="47"/>
      <c r="S94" s="47"/>
      <c r="T94" s="47">
        <v>15010</v>
      </c>
    </row>
    <row r="95" customHeight="1" spans="1:20">
      <c r="A95" s="43">
        <v>15011</v>
      </c>
      <c r="B95" s="78" t="s">
        <v>265</v>
      </c>
      <c r="C95" s="78"/>
      <c r="D95" s="43">
        <f>D9</f>
        <v>28</v>
      </c>
      <c r="E95" s="78" t="s">
        <v>161</v>
      </c>
      <c r="F95" s="44">
        <f t="shared" si="3"/>
        <v>56</v>
      </c>
      <c r="G95" s="85" t="s">
        <v>266</v>
      </c>
      <c r="H95" s="46" t="s">
        <v>18</v>
      </c>
      <c r="I95" s="47"/>
      <c r="J95" s="48" t="s">
        <v>42</v>
      </c>
      <c r="K95" s="86">
        <v>15011</v>
      </c>
      <c r="L95" s="87" t="s">
        <v>267</v>
      </c>
      <c r="M95" s="87" t="s">
        <v>268</v>
      </c>
      <c r="N95" s="14" t="s">
        <v>27</v>
      </c>
      <c r="O95" s="14" t="s">
        <v>28</v>
      </c>
      <c r="P95" s="51">
        <v>65</v>
      </c>
      <c r="Q95" s="47">
        <f t="shared" si="2"/>
        <v>3640</v>
      </c>
      <c r="R95" s="47"/>
      <c r="S95" s="47"/>
      <c r="T95" s="47">
        <v>15011</v>
      </c>
    </row>
    <row r="96" customHeight="1" spans="1:20">
      <c r="A96" s="43">
        <v>15011</v>
      </c>
      <c r="B96" s="78" t="s">
        <v>265</v>
      </c>
      <c r="C96" s="78"/>
      <c r="D96" s="43">
        <v>2</v>
      </c>
      <c r="E96" s="78" t="s">
        <v>161</v>
      </c>
      <c r="F96" s="44">
        <f t="shared" si="3"/>
        <v>4</v>
      </c>
      <c r="G96" s="85" t="s">
        <v>269</v>
      </c>
      <c r="H96" s="46" t="s">
        <v>18</v>
      </c>
      <c r="I96" s="47"/>
      <c r="J96" s="48" t="s">
        <v>42</v>
      </c>
      <c r="K96" s="86">
        <v>15011</v>
      </c>
      <c r="L96" s="87" t="s">
        <v>256</v>
      </c>
      <c r="M96" s="87" t="s">
        <v>257</v>
      </c>
      <c r="N96" s="14" t="s">
        <v>27</v>
      </c>
      <c r="O96" s="14" t="s">
        <v>28</v>
      </c>
      <c r="P96" s="51">
        <v>65</v>
      </c>
      <c r="Q96" s="47">
        <f t="shared" si="2"/>
        <v>260</v>
      </c>
      <c r="R96" s="47"/>
      <c r="S96" s="47"/>
      <c r="T96" s="47">
        <v>15011</v>
      </c>
    </row>
    <row r="97" customHeight="1" spans="1:20">
      <c r="A97" s="43">
        <v>15011</v>
      </c>
      <c r="B97" s="78" t="s">
        <v>265</v>
      </c>
      <c r="C97" s="78"/>
      <c r="D97" s="43">
        <v>1</v>
      </c>
      <c r="E97" s="78" t="s">
        <v>161</v>
      </c>
      <c r="F97" s="44">
        <f t="shared" si="3"/>
        <v>2</v>
      </c>
      <c r="G97" s="85" t="s">
        <v>270</v>
      </c>
      <c r="H97" s="46" t="s">
        <v>18</v>
      </c>
      <c r="I97" s="47"/>
      <c r="J97" s="48" t="s">
        <v>42</v>
      </c>
      <c r="K97" s="86">
        <v>15011</v>
      </c>
      <c r="L97" s="87" t="s">
        <v>256</v>
      </c>
      <c r="M97" s="87" t="s">
        <v>257</v>
      </c>
      <c r="N97" s="14" t="s">
        <v>27</v>
      </c>
      <c r="O97" s="14" t="s">
        <v>28</v>
      </c>
      <c r="P97" s="51">
        <v>65</v>
      </c>
      <c r="Q97" s="47">
        <f t="shared" si="2"/>
        <v>130</v>
      </c>
      <c r="R97" s="47"/>
      <c r="S97" s="47"/>
      <c r="T97" s="47">
        <v>15011</v>
      </c>
    </row>
    <row r="98" customHeight="1" spans="1:20">
      <c r="A98" s="43">
        <v>15015</v>
      </c>
      <c r="B98" s="78" t="s">
        <v>271</v>
      </c>
      <c r="C98" s="78"/>
      <c r="D98" s="43">
        <f>D9</f>
        <v>28</v>
      </c>
      <c r="E98" s="78" t="s">
        <v>161</v>
      </c>
      <c r="F98" s="44">
        <f t="shared" si="3"/>
        <v>56</v>
      </c>
      <c r="G98" s="85" t="s">
        <v>272</v>
      </c>
      <c r="H98" s="46" t="s">
        <v>18</v>
      </c>
      <c r="I98" s="47"/>
      <c r="J98" s="48" t="s">
        <v>42</v>
      </c>
      <c r="K98" s="86">
        <v>15015</v>
      </c>
      <c r="L98" s="87" t="s">
        <v>256</v>
      </c>
      <c r="M98" s="87" t="s">
        <v>257</v>
      </c>
      <c r="N98" s="14" t="s">
        <v>27</v>
      </c>
      <c r="O98" s="14" t="s">
        <v>28</v>
      </c>
      <c r="P98" s="51">
        <v>25</v>
      </c>
      <c r="Q98" s="47">
        <f t="shared" si="2"/>
        <v>1400</v>
      </c>
      <c r="R98" s="47"/>
      <c r="S98" s="47"/>
      <c r="T98" s="47">
        <v>15015</v>
      </c>
    </row>
    <row r="99" customHeight="1" spans="1:20">
      <c r="A99" s="43">
        <v>15016</v>
      </c>
      <c r="B99" s="78" t="s">
        <v>273</v>
      </c>
      <c r="C99" s="78"/>
      <c r="D99" s="43">
        <v>2</v>
      </c>
      <c r="E99" s="78" t="s">
        <v>54</v>
      </c>
      <c r="F99" s="44">
        <f t="shared" si="3"/>
        <v>4</v>
      </c>
      <c r="G99" s="85" t="s">
        <v>274</v>
      </c>
      <c r="H99" s="46" t="s">
        <v>18</v>
      </c>
      <c r="I99" s="47"/>
      <c r="J99" s="48" t="s">
        <v>42</v>
      </c>
      <c r="K99" s="86">
        <v>15016</v>
      </c>
      <c r="L99" s="87" t="s">
        <v>275</v>
      </c>
      <c r="M99" s="87" t="s">
        <v>276</v>
      </c>
      <c r="N99" s="14" t="s">
        <v>27</v>
      </c>
      <c r="O99" s="14" t="s">
        <v>28</v>
      </c>
      <c r="P99" s="51">
        <v>200</v>
      </c>
      <c r="Q99" s="47">
        <f t="shared" si="2"/>
        <v>800</v>
      </c>
      <c r="R99" s="47"/>
      <c r="S99" s="47"/>
      <c r="T99" s="47">
        <v>15016</v>
      </c>
    </row>
    <row r="100" customHeight="1" spans="1:20">
      <c r="A100" s="43">
        <v>15017</v>
      </c>
      <c r="B100" s="78" t="s">
        <v>277</v>
      </c>
      <c r="C100" s="78"/>
      <c r="D100" s="43">
        <v>1</v>
      </c>
      <c r="E100" s="78" t="s">
        <v>54</v>
      </c>
      <c r="F100" s="44">
        <f t="shared" si="3"/>
        <v>2</v>
      </c>
      <c r="G100" s="85" t="s">
        <v>278</v>
      </c>
      <c r="H100" s="46" t="s">
        <v>18</v>
      </c>
      <c r="I100" s="47"/>
      <c r="J100" s="48" t="s">
        <v>42</v>
      </c>
      <c r="K100" s="86">
        <v>15017</v>
      </c>
      <c r="L100" s="87" t="s">
        <v>275</v>
      </c>
      <c r="M100" s="87" t="s">
        <v>276</v>
      </c>
      <c r="N100" s="14" t="s">
        <v>27</v>
      </c>
      <c r="O100" s="14" t="s">
        <v>28</v>
      </c>
      <c r="P100" s="51">
        <v>240</v>
      </c>
      <c r="Q100" s="47">
        <f t="shared" si="2"/>
        <v>480</v>
      </c>
      <c r="R100" s="47"/>
      <c r="S100" s="47"/>
      <c r="T100" s="47">
        <v>15017</v>
      </c>
    </row>
    <row r="101" customHeight="1" spans="1:20">
      <c r="A101" s="43">
        <v>15020</v>
      </c>
      <c r="B101" s="78" t="s">
        <v>279</v>
      </c>
      <c r="C101" s="78"/>
      <c r="D101" s="43">
        <v>1</v>
      </c>
      <c r="E101" s="78" t="s">
        <v>54</v>
      </c>
      <c r="F101" s="44">
        <f t="shared" si="3"/>
        <v>2</v>
      </c>
      <c r="G101" s="85" t="s">
        <v>280</v>
      </c>
      <c r="H101" s="46" t="s">
        <v>18</v>
      </c>
      <c r="I101" s="47"/>
      <c r="J101" s="48" t="s">
        <v>42</v>
      </c>
      <c r="K101" s="86">
        <v>15020</v>
      </c>
      <c r="L101" s="87" t="s">
        <v>281</v>
      </c>
      <c r="M101" s="87" t="s">
        <v>282</v>
      </c>
      <c r="N101" s="14" t="s">
        <v>27</v>
      </c>
      <c r="O101" s="14" t="s">
        <v>28</v>
      </c>
      <c r="P101" s="51">
        <v>1200</v>
      </c>
      <c r="Q101" s="47">
        <f t="shared" si="2"/>
        <v>2400</v>
      </c>
      <c r="R101" s="47"/>
      <c r="S101" s="47"/>
      <c r="T101" s="47">
        <v>15020</v>
      </c>
    </row>
    <row r="102" customHeight="1" spans="1:20">
      <c r="A102" s="43">
        <v>15022</v>
      </c>
      <c r="B102" s="78" t="s">
        <v>283</v>
      </c>
      <c r="C102" s="78"/>
      <c r="D102" s="43">
        <v>5</v>
      </c>
      <c r="E102" s="78" t="s">
        <v>54</v>
      </c>
      <c r="F102" s="44">
        <f t="shared" si="3"/>
        <v>10</v>
      </c>
      <c r="G102" s="85" t="s">
        <v>284</v>
      </c>
      <c r="H102" s="46" t="s">
        <v>18</v>
      </c>
      <c r="I102" s="47"/>
      <c r="J102" s="48" t="s">
        <v>42</v>
      </c>
      <c r="K102" s="86">
        <v>15022</v>
      </c>
      <c r="L102" s="87" t="s">
        <v>25</v>
      </c>
      <c r="M102" s="87" t="s">
        <v>26</v>
      </c>
      <c r="N102" s="14" t="s">
        <v>27</v>
      </c>
      <c r="O102" s="14" t="s">
        <v>28</v>
      </c>
      <c r="P102" s="51">
        <v>1100</v>
      </c>
      <c r="Q102" s="47">
        <f t="shared" si="2"/>
        <v>11000</v>
      </c>
      <c r="R102" s="47"/>
      <c r="S102" s="47"/>
      <c r="T102" s="47">
        <v>15022</v>
      </c>
    </row>
    <row r="103" customHeight="1" spans="1:20">
      <c r="A103" s="43">
        <v>15023</v>
      </c>
      <c r="B103" s="78" t="s">
        <v>285</v>
      </c>
      <c r="C103" s="78"/>
      <c r="D103" s="43">
        <v>5</v>
      </c>
      <c r="E103" s="78" t="s">
        <v>54</v>
      </c>
      <c r="F103" s="44">
        <f t="shared" si="3"/>
        <v>10</v>
      </c>
      <c r="G103" s="85" t="s">
        <v>286</v>
      </c>
      <c r="H103" s="46" t="s">
        <v>18</v>
      </c>
      <c r="I103" s="47"/>
      <c r="J103" s="48" t="s">
        <v>42</v>
      </c>
      <c r="K103" s="86">
        <v>15023</v>
      </c>
      <c r="L103" s="87" t="s">
        <v>281</v>
      </c>
      <c r="M103" s="87" t="s">
        <v>282</v>
      </c>
      <c r="N103" s="14" t="s">
        <v>27</v>
      </c>
      <c r="O103" s="14" t="s">
        <v>28</v>
      </c>
      <c r="P103" s="51">
        <v>1200</v>
      </c>
      <c r="Q103" s="47">
        <f t="shared" si="2"/>
        <v>12000</v>
      </c>
      <c r="R103" s="47"/>
      <c r="S103" s="47"/>
      <c r="T103" s="47">
        <v>15023</v>
      </c>
    </row>
    <row r="104" customHeight="1" spans="1:20">
      <c r="A104" s="43">
        <v>15023</v>
      </c>
      <c r="B104" s="78" t="s">
        <v>285</v>
      </c>
      <c r="C104" s="78"/>
      <c r="D104" s="43">
        <v>1</v>
      </c>
      <c r="E104" s="78" t="s">
        <v>54</v>
      </c>
      <c r="F104" s="44">
        <f t="shared" si="3"/>
        <v>2</v>
      </c>
      <c r="G104" s="85" t="s">
        <v>287</v>
      </c>
      <c r="H104" s="46" t="s">
        <v>18</v>
      </c>
      <c r="I104" s="47"/>
      <c r="J104" s="48" t="s">
        <v>42</v>
      </c>
      <c r="K104" s="86">
        <v>15023</v>
      </c>
      <c r="L104" s="87" t="s">
        <v>281</v>
      </c>
      <c r="M104" s="87" t="s">
        <v>282</v>
      </c>
      <c r="N104" s="14" t="s">
        <v>27</v>
      </c>
      <c r="O104" s="14" t="s">
        <v>28</v>
      </c>
      <c r="P104" s="51">
        <v>1200</v>
      </c>
      <c r="Q104" s="47">
        <f t="shared" si="2"/>
        <v>2400</v>
      </c>
      <c r="R104" s="47"/>
      <c r="S104" s="47"/>
      <c r="T104" s="47">
        <v>15023</v>
      </c>
    </row>
    <row r="105" customHeight="1" spans="1:20">
      <c r="A105" s="43">
        <v>15026</v>
      </c>
      <c r="B105" s="78" t="s">
        <v>288</v>
      </c>
      <c r="C105" s="78"/>
      <c r="D105" s="43">
        <f>D9</f>
        <v>28</v>
      </c>
      <c r="E105" s="78" t="s">
        <v>21</v>
      </c>
      <c r="F105" s="44">
        <f t="shared" si="3"/>
        <v>56</v>
      </c>
      <c r="G105" s="85" t="s">
        <v>289</v>
      </c>
      <c r="H105" s="46" t="s">
        <v>18</v>
      </c>
      <c r="I105" s="47"/>
      <c r="J105" s="48" t="s">
        <v>42</v>
      </c>
      <c r="K105" s="86">
        <v>15026</v>
      </c>
      <c r="L105" s="87" t="s">
        <v>25</v>
      </c>
      <c r="M105" s="87" t="s">
        <v>26</v>
      </c>
      <c r="N105" s="14" t="s">
        <v>27</v>
      </c>
      <c r="O105" s="14" t="s">
        <v>28</v>
      </c>
      <c r="P105" s="51">
        <v>45</v>
      </c>
      <c r="Q105" s="47">
        <f t="shared" si="2"/>
        <v>2520</v>
      </c>
      <c r="R105" s="47"/>
      <c r="S105" s="47"/>
      <c r="T105" s="47">
        <v>15026</v>
      </c>
    </row>
    <row r="106" customHeight="1" spans="1:20">
      <c r="A106" s="43">
        <v>15026</v>
      </c>
      <c r="B106" s="78" t="s">
        <v>288</v>
      </c>
      <c r="C106" s="78"/>
      <c r="D106" s="43">
        <v>1</v>
      </c>
      <c r="E106" s="78" t="s">
        <v>21</v>
      </c>
      <c r="F106" s="44">
        <f t="shared" si="3"/>
        <v>2</v>
      </c>
      <c r="G106" s="85" t="s">
        <v>290</v>
      </c>
      <c r="H106" s="46" t="s">
        <v>18</v>
      </c>
      <c r="I106" s="47"/>
      <c r="J106" s="48" t="s">
        <v>42</v>
      </c>
      <c r="K106" s="86">
        <v>15026</v>
      </c>
      <c r="L106" s="87" t="s">
        <v>25</v>
      </c>
      <c r="M106" s="87" t="s">
        <v>26</v>
      </c>
      <c r="N106" s="14" t="s">
        <v>27</v>
      </c>
      <c r="O106" s="14" t="s">
        <v>28</v>
      </c>
      <c r="P106" s="51">
        <v>45</v>
      </c>
      <c r="Q106" s="47">
        <f t="shared" si="2"/>
        <v>90</v>
      </c>
      <c r="R106" s="47"/>
      <c r="S106" s="47"/>
      <c r="T106" s="47">
        <v>15026</v>
      </c>
    </row>
    <row r="107" customHeight="1" spans="1:20">
      <c r="A107" s="43">
        <v>15027</v>
      </c>
      <c r="B107" s="78" t="s">
        <v>291</v>
      </c>
      <c r="C107" s="78"/>
      <c r="D107" s="43">
        <v>1</v>
      </c>
      <c r="E107" s="78" t="s">
        <v>54</v>
      </c>
      <c r="F107" s="44">
        <f t="shared" si="3"/>
        <v>2</v>
      </c>
      <c r="G107" s="85" t="s">
        <v>292</v>
      </c>
      <c r="H107" s="46" t="s">
        <v>18</v>
      </c>
      <c r="I107" s="47"/>
      <c r="J107" s="48" t="s">
        <v>42</v>
      </c>
      <c r="K107" s="86">
        <v>15027</v>
      </c>
      <c r="L107" s="87" t="s">
        <v>25</v>
      </c>
      <c r="M107" s="87" t="s">
        <v>26</v>
      </c>
      <c r="N107" s="14" t="s">
        <v>27</v>
      </c>
      <c r="O107" s="14" t="s">
        <v>28</v>
      </c>
      <c r="P107" s="51">
        <v>1100</v>
      </c>
      <c r="Q107" s="47">
        <f t="shared" si="2"/>
        <v>2200</v>
      </c>
      <c r="R107" s="47"/>
      <c r="S107" s="47"/>
      <c r="T107" s="47">
        <v>15027</v>
      </c>
    </row>
    <row r="108" customHeight="1" spans="1:20">
      <c r="A108" s="43">
        <v>15032</v>
      </c>
      <c r="B108" s="78" t="s">
        <v>293</v>
      </c>
      <c r="C108" s="78"/>
      <c r="D108" s="43">
        <f>D9</f>
        <v>28</v>
      </c>
      <c r="E108" s="78" t="s">
        <v>54</v>
      </c>
      <c r="F108" s="44">
        <f t="shared" si="3"/>
        <v>56</v>
      </c>
      <c r="G108" s="85" t="s">
        <v>294</v>
      </c>
      <c r="H108" s="46" t="s">
        <v>18</v>
      </c>
      <c r="I108" s="47"/>
      <c r="J108" s="48" t="s">
        <v>42</v>
      </c>
      <c r="K108" s="86">
        <v>15032</v>
      </c>
      <c r="L108" s="87" t="s">
        <v>25</v>
      </c>
      <c r="M108" s="87" t="s">
        <v>26</v>
      </c>
      <c r="N108" s="14" t="s">
        <v>27</v>
      </c>
      <c r="O108" s="14" t="s">
        <v>28</v>
      </c>
      <c r="P108" s="51">
        <v>80</v>
      </c>
      <c r="Q108" s="47">
        <f t="shared" si="2"/>
        <v>4480</v>
      </c>
      <c r="R108" s="47"/>
      <c r="S108" s="47"/>
      <c r="T108" s="47">
        <v>15032</v>
      </c>
    </row>
    <row r="109" customHeight="1" spans="1:20">
      <c r="A109" s="43">
        <v>15033</v>
      </c>
      <c r="B109" s="78" t="s">
        <v>295</v>
      </c>
      <c r="C109" s="78"/>
      <c r="D109" s="43">
        <v>1</v>
      </c>
      <c r="E109" s="78" t="s">
        <v>32</v>
      </c>
      <c r="F109" s="44">
        <f t="shared" si="3"/>
        <v>2</v>
      </c>
      <c r="G109" s="85" t="s">
        <v>296</v>
      </c>
      <c r="H109" s="46" t="s">
        <v>18</v>
      </c>
      <c r="I109" s="47"/>
      <c r="J109" s="48" t="s">
        <v>42</v>
      </c>
      <c r="K109" s="86">
        <v>15033</v>
      </c>
      <c r="L109" s="87" t="s">
        <v>25</v>
      </c>
      <c r="M109" s="87" t="s">
        <v>26</v>
      </c>
      <c r="N109" s="14" t="s">
        <v>27</v>
      </c>
      <c r="O109" s="14" t="s">
        <v>28</v>
      </c>
      <c r="P109" s="51">
        <v>300</v>
      </c>
      <c r="Q109" s="47">
        <f t="shared" si="2"/>
        <v>600</v>
      </c>
      <c r="R109" s="47"/>
      <c r="S109" s="47"/>
      <c r="T109" s="43">
        <v>15033</v>
      </c>
    </row>
    <row r="110" customHeight="1" spans="1:20">
      <c r="A110" s="6">
        <v>16</v>
      </c>
      <c r="B110" s="2" t="s">
        <v>297</v>
      </c>
      <c r="C110" s="2"/>
      <c r="D110" s="6"/>
      <c r="E110" s="2"/>
      <c r="F110" s="44">
        <f t="shared" si="3"/>
        <v>0</v>
      </c>
      <c r="G110" s="77"/>
      <c r="H110" s="46"/>
      <c r="I110" s="47"/>
      <c r="J110" s="48" t="s">
        <v>42</v>
      </c>
      <c r="K110" s="94"/>
      <c r="L110" s="95"/>
      <c r="M110" s="95"/>
      <c r="O110" s="14" t="s">
        <v>28</v>
      </c>
      <c r="P110" s="51"/>
      <c r="Q110" s="47">
        <f t="shared" si="2"/>
        <v>0</v>
      </c>
      <c r="R110" s="47"/>
      <c r="S110" s="47"/>
      <c r="T110" s="47"/>
    </row>
    <row r="111" customHeight="1" spans="1:20">
      <c r="A111" s="43">
        <v>16004</v>
      </c>
      <c r="B111" s="78" t="s">
        <v>298</v>
      </c>
      <c r="C111" s="78"/>
      <c r="D111" s="43">
        <v>1</v>
      </c>
      <c r="E111" s="78" t="s">
        <v>21</v>
      </c>
      <c r="F111" s="44">
        <f t="shared" si="3"/>
        <v>2</v>
      </c>
      <c r="G111" s="85" t="s">
        <v>299</v>
      </c>
      <c r="H111" s="46" t="s">
        <v>18</v>
      </c>
      <c r="I111" s="47"/>
      <c r="J111" s="48" t="s">
        <v>42</v>
      </c>
      <c r="K111" s="86">
        <v>16004</v>
      </c>
      <c r="L111" s="87" t="s">
        <v>25</v>
      </c>
      <c r="M111" s="87" t="s">
        <v>26</v>
      </c>
      <c r="N111" s="14" t="s">
        <v>27</v>
      </c>
      <c r="O111" s="14" t="s">
        <v>28</v>
      </c>
      <c r="P111" s="51">
        <v>12</v>
      </c>
      <c r="Q111" s="47">
        <f t="shared" si="2"/>
        <v>24</v>
      </c>
      <c r="R111" s="47"/>
      <c r="S111" s="47"/>
      <c r="T111" s="47">
        <v>16004</v>
      </c>
    </row>
    <row r="112" customHeight="1" spans="1:20">
      <c r="A112" s="43">
        <v>16009</v>
      </c>
      <c r="B112" s="78" t="s">
        <v>300</v>
      </c>
      <c r="C112" s="78"/>
      <c r="D112" s="43">
        <v>1</v>
      </c>
      <c r="E112" s="78" t="s">
        <v>54</v>
      </c>
      <c r="F112" s="44">
        <f t="shared" si="3"/>
        <v>2</v>
      </c>
      <c r="G112" s="85" t="s">
        <v>301</v>
      </c>
      <c r="H112" s="46" t="s">
        <v>18</v>
      </c>
      <c r="I112" s="47"/>
      <c r="J112" s="48" t="s">
        <v>42</v>
      </c>
      <c r="K112" s="86">
        <v>16009</v>
      </c>
      <c r="L112" s="87" t="s">
        <v>25</v>
      </c>
      <c r="M112" s="87" t="s">
        <v>26</v>
      </c>
      <c r="N112" s="14" t="s">
        <v>27</v>
      </c>
      <c r="O112" s="14" t="s">
        <v>28</v>
      </c>
      <c r="P112" s="51">
        <v>160</v>
      </c>
      <c r="Q112" s="47">
        <f t="shared" si="2"/>
        <v>320</v>
      </c>
      <c r="R112" s="47"/>
      <c r="S112" s="47"/>
      <c r="T112" s="47">
        <v>16009</v>
      </c>
    </row>
    <row r="113" customHeight="1" spans="1:20">
      <c r="A113" s="43">
        <v>16013</v>
      </c>
      <c r="B113" s="78" t="s">
        <v>302</v>
      </c>
      <c r="C113" s="78"/>
      <c r="D113" s="43">
        <v>1</v>
      </c>
      <c r="E113" s="78" t="s">
        <v>21</v>
      </c>
      <c r="F113" s="44">
        <f t="shared" si="3"/>
        <v>2</v>
      </c>
      <c r="G113" s="85" t="s">
        <v>303</v>
      </c>
      <c r="H113" s="46" t="s">
        <v>18</v>
      </c>
      <c r="I113" s="47"/>
      <c r="J113" s="48" t="s">
        <v>42</v>
      </c>
      <c r="K113" s="86">
        <v>16013</v>
      </c>
      <c r="L113" s="87" t="s">
        <v>25</v>
      </c>
      <c r="M113" s="87" t="s">
        <v>26</v>
      </c>
      <c r="N113" s="14" t="s">
        <v>27</v>
      </c>
      <c r="O113" s="14" t="s">
        <v>28</v>
      </c>
      <c r="P113" s="51">
        <v>30</v>
      </c>
      <c r="Q113" s="47">
        <f t="shared" si="2"/>
        <v>60</v>
      </c>
      <c r="R113" s="47"/>
      <c r="S113" s="47"/>
      <c r="T113" s="47">
        <v>16013</v>
      </c>
    </row>
    <row r="114" customHeight="1" spans="1:20">
      <c r="A114" s="43">
        <v>16030</v>
      </c>
      <c r="B114" s="78" t="s">
        <v>304</v>
      </c>
      <c r="C114" s="78"/>
      <c r="D114" s="43">
        <f>D9</f>
        <v>28</v>
      </c>
      <c r="E114" s="78" t="s">
        <v>21</v>
      </c>
      <c r="F114" s="44">
        <f t="shared" si="3"/>
        <v>56</v>
      </c>
      <c r="G114" s="85" t="s">
        <v>305</v>
      </c>
      <c r="H114" s="46" t="s">
        <v>18</v>
      </c>
      <c r="I114" s="47"/>
      <c r="J114" s="48" t="s">
        <v>42</v>
      </c>
      <c r="K114" s="86">
        <v>16030</v>
      </c>
      <c r="L114" s="87" t="s">
        <v>25</v>
      </c>
      <c r="M114" s="87" t="s">
        <v>26</v>
      </c>
      <c r="N114" s="14" t="s">
        <v>27</v>
      </c>
      <c r="O114" s="14" t="s">
        <v>28</v>
      </c>
      <c r="P114" s="51">
        <v>6</v>
      </c>
      <c r="Q114" s="47">
        <f t="shared" si="2"/>
        <v>336</v>
      </c>
      <c r="R114" s="47"/>
      <c r="S114" s="47"/>
      <c r="T114" s="47">
        <v>16030</v>
      </c>
    </row>
    <row r="115" customHeight="1" spans="1:20">
      <c r="A115" s="108" t="s">
        <v>306</v>
      </c>
      <c r="B115" s="2" t="s">
        <v>307</v>
      </c>
      <c r="C115" s="2"/>
      <c r="D115" s="6"/>
      <c r="E115" s="2"/>
      <c r="F115" s="44">
        <f t="shared" si="3"/>
        <v>0</v>
      </c>
      <c r="G115" s="77"/>
      <c r="H115" s="46"/>
      <c r="I115" s="47"/>
      <c r="J115" s="48" t="s">
        <v>42</v>
      </c>
      <c r="K115" s="94"/>
      <c r="L115" s="95"/>
      <c r="M115" s="95"/>
      <c r="O115" s="14" t="s">
        <v>28</v>
      </c>
      <c r="P115" s="51"/>
      <c r="Q115" s="47">
        <f t="shared" si="2"/>
        <v>0</v>
      </c>
      <c r="R115" s="47"/>
      <c r="S115" s="47"/>
      <c r="T115" s="47"/>
    </row>
    <row r="116" customHeight="1" spans="1:20">
      <c r="A116" s="6">
        <v>21</v>
      </c>
      <c r="B116" s="2" t="s">
        <v>308</v>
      </c>
      <c r="C116" s="2"/>
      <c r="D116" s="6"/>
      <c r="E116" s="2"/>
      <c r="F116" s="44">
        <f t="shared" si="3"/>
        <v>0</v>
      </c>
      <c r="G116" s="77"/>
      <c r="H116" s="46"/>
      <c r="I116" s="47"/>
      <c r="J116" s="48" t="s">
        <v>42</v>
      </c>
      <c r="K116" s="94"/>
      <c r="L116" s="95"/>
      <c r="M116" s="95"/>
      <c r="O116" s="14" t="s">
        <v>28</v>
      </c>
      <c r="P116" s="51"/>
      <c r="Q116" s="47">
        <f t="shared" si="2"/>
        <v>0</v>
      </c>
      <c r="R116" s="47"/>
      <c r="S116" s="47"/>
      <c r="T116" s="47"/>
    </row>
    <row r="117" customHeight="1" spans="1:20">
      <c r="A117" s="43">
        <v>21004</v>
      </c>
      <c r="B117" s="78" t="s">
        <v>309</v>
      </c>
      <c r="C117" s="78"/>
      <c r="D117" s="43">
        <v>2</v>
      </c>
      <c r="E117" s="78" t="s">
        <v>32</v>
      </c>
      <c r="F117" s="44">
        <f t="shared" si="3"/>
        <v>4</v>
      </c>
      <c r="G117" s="102" t="s">
        <v>310</v>
      </c>
      <c r="H117" s="46" t="s">
        <v>18</v>
      </c>
      <c r="I117" s="47"/>
      <c r="J117" s="48" t="s">
        <v>42</v>
      </c>
      <c r="K117" s="83">
        <v>21004</v>
      </c>
      <c r="L117" s="103" t="s">
        <v>25</v>
      </c>
      <c r="M117" s="103" t="s">
        <v>26</v>
      </c>
      <c r="N117" s="14" t="s">
        <v>27</v>
      </c>
      <c r="O117" s="14" t="s">
        <v>28</v>
      </c>
      <c r="P117" s="51">
        <v>10</v>
      </c>
      <c r="Q117" s="47">
        <f t="shared" si="2"/>
        <v>40</v>
      </c>
      <c r="R117" s="47"/>
      <c r="S117" s="47"/>
      <c r="T117" s="47">
        <v>21004</v>
      </c>
    </row>
    <row r="118" customHeight="1" spans="1:20">
      <c r="A118" s="43">
        <v>21005</v>
      </c>
      <c r="B118" s="78" t="s">
        <v>311</v>
      </c>
      <c r="C118" s="78"/>
      <c r="D118" s="43">
        <f>D9</f>
        <v>28</v>
      </c>
      <c r="E118" s="78" t="s">
        <v>32</v>
      </c>
      <c r="F118" s="44">
        <f t="shared" si="3"/>
        <v>56</v>
      </c>
      <c r="G118" s="85" t="s">
        <v>312</v>
      </c>
      <c r="H118" s="46" t="s">
        <v>18</v>
      </c>
      <c r="I118" s="47"/>
      <c r="J118" s="48" t="s">
        <v>42</v>
      </c>
      <c r="K118" s="86">
        <v>21005</v>
      </c>
      <c r="L118" s="87" t="s">
        <v>25</v>
      </c>
      <c r="M118" s="87" t="s">
        <v>26</v>
      </c>
      <c r="N118" s="14" t="s">
        <v>27</v>
      </c>
      <c r="O118" s="14" t="s">
        <v>28</v>
      </c>
      <c r="P118" s="51">
        <v>8</v>
      </c>
      <c r="Q118" s="47">
        <f t="shared" si="2"/>
        <v>448</v>
      </c>
      <c r="R118" s="47"/>
      <c r="S118" s="47"/>
      <c r="T118" s="47">
        <v>21005</v>
      </c>
    </row>
    <row r="119" customHeight="1" spans="1:20">
      <c r="A119" s="43">
        <v>21006</v>
      </c>
      <c r="B119" s="78" t="s">
        <v>313</v>
      </c>
      <c r="C119" s="78"/>
      <c r="D119" s="43">
        <v>2</v>
      </c>
      <c r="E119" s="78" t="s">
        <v>142</v>
      </c>
      <c r="F119" s="44">
        <f t="shared" si="3"/>
        <v>4</v>
      </c>
      <c r="G119" s="85" t="s">
        <v>314</v>
      </c>
      <c r="H119" s="46" t="s">
        <v>18</v>
      </c>
      <c r="I119" s="47"/>
      <c r="J119" s="48" t="s">
        <v>42</v>
      </c>
      <c r="K119" s="86">
        <v>21006</v>
      </c>
      <c r="L119" s="87" t="s">
        <v>25</v>
      </c>
      <c r="M119" s="87" t="s">
        <v>26</v>
      </c>
      <c r="N119" s="14" t="s">
        <v>27</v>
      </c>
      <c r="O119" s="14" t="s">
        <v>28</v>
      </c>
      <c r="P119" s="51">
        <v>6</v>
      </c>
      <c r="Q119" s="47">
        <f t="shared" si="2"/>
        <v>24</v>
      </c>
      <c r="R119" s="47"/>
      <c r="S119" s="47"/>
      <c r="T119" s="47">
        <v>21006</v>
      </c>
    </row>
    <row r="120" customHeight="1" spans="1:20">
      <c r="A120" s="43">
        <v>21006</v>
      </c>
      <c r="B120" s="78" t="s">
        <v>313</v>
      </c>
      <c r="C120" s="78"/>
      <c r="D120" s="43">
        <f>D9</f>
        <v>28</v>
      </c>
      <c r="E120" s="78" t="s">
        <v>161</v>
      </c>
      <c r="F120" s="44">
        <f t="shared" si="3"/>
        <v>56</v>
      </c>
      <c r="G120" s="85" t="s">
        <v>315</v>
      </c>
      <c r="H120" s="46" t="s">
        <v>18</v>
      </c>
      <c r="I120" s="47"/>
      <c r="J120" s="48" t="s">
        <v>42</v>
      </c>
      <c r="K120" s="86">
        <v>21006</v>
      </c>
      <c r="L120" s="87" t="s">
        <v>25</v>
      </c>
      <c r="M120" s="87" t="s">
        <v>26</v>
      </c>
      <c r="N120" s="14" t="s">
        <v>27</v>
      </c>
      <c r="O120" s="14" t="s">
        <v>28</v>
      </c>
      <c r="P120" s="51">
        <v>6</v>
      </c>
      <c r="Q120" s="47">
        <f t="shared" si="2"/>
        <v>336</v>
      </c>
      <c r="R120" s="47"/>
      <c r="S120" s="47"/>
      <c r="T120" s="47">
        <v>21006</v>
      </c>
    </row>
    <row r="121" customHeight="1" spans="1:20">
      <c r="A121" s="43">
        <v>21011</v>
      </c>
      <c r="B121" s="78" t="s">
        <v>316</v>
      </c>
      <c r="C121" s="78"/>
      <c r="D121" s="43">
        <v>1</v>
      </c>
      <c r="E121" s="78" t="s">
        <v>21</v>
      </c>
      <c r="F121" s="44">
        <f t="shared" si="3"/>
        <v>2</v>
      </c>
      <c r="G121" s="85" t="s">
        <v>317</v>
      </c>
      <c r="H121" s="46" t="s">
        <v>18</v>
      </c>
      <c r="I121" s="47"/>
      <c r="J121" s="48" t="s">
        <v>42</v>
      </c>
      <c r="K121" s="86">
        <v>21011</v>
      </c>
      <c r="L121" s="87" t="s">
        <v>25</v>
      </c>
      <c r="M121" s="87" t="s">
        <v>26</v>
      </c>
      <c r="N121" s="14" t="s">
        <v>27</v>
      </c>
      <c r="O121" s="14" t="s">
        <v>28</v>
      </c>
      <c r="P121" s="51">
        <v>45</v>
      </c>
      <c r="Q121" s="47">
        <f t="shared" si="2"/>
        <v>90</v>
      </c>
      <c r="R121" s="47"/>
      <c r="S121" s="47"/>
      <c r="T121" s="47">
        <v>21011</v>
      </c>
    </row>
    <row r="122" customHeight="1" spans="1:20">
      <c r="A122" s="43">
        <v>21024</v>
      </c>
      <c r="B122" s="78" t="s">
        <v>318</v>
      </c>
      <c r="C122" s="78"/>
      <c r="D122" s="43">
        <v>1</v>
      </c>
      <c r="E122" s="78" t="s">
        <v>54</v>
      </c>
      <c r="F122" s="44">
        <f t="shared" si="3"/>
        <v>2</v>
      </c>
      <c r="G122" s="102" t="s">
        <v>319</v>
      </c>
      <c r="H122" s="46" t="s">
        <v>18</v>
      </c>
      <c r="I122" s="47"/>
      <c r="J122" s="48" t="s">
        <v>42</v>
      </c>
      <c r="K122" s="83">
        <v>21024</v>
      </c>
      <c r="L122" s="103" t="s">
        <v>25</v>
      </c>
      <c r="M122" s="103" t="s">
        <v>26</v>
      </c>
      <c r="N122" s="14" t="s">
        <v>27</v>
      </c>
      <c r="O122" s="14" t="s">
        <v>28</v>
      </c>
      <c r="P122" s="51">
        <v>220</v>
      </c>
      <c r="Q122" s="47">
        <f t="shared" si="2"/>
        <v>440</v>
      </c>
      <c r="R122" s="47"/>
      <c r="S122" s="47"/>
      <c r="T122" s="47">
        <v>21024</v>
      </c>
    </row>
    <row r="123" customHeight="1" spans="1:20">
      <c r="A123" s="43">
        <v>21025</v>
      </c>
      <c r="B123" s="78" t="s">
        <v>320</v>
      </c>
      <c r="C123" s="78"/>
      <c r="D123" s="43">
        <v>1</v>
      </c>
      <c r="E123" s="78" t="s">
        <v>32</v>
      </c>
      <c r="F123" s="44">
        <f t="shared" si="3"/>
        <v>2</v>
      </c>
      <c r="G123" s="85" t="s">
        <v>321</v>
      </c>
      <c r="H123" s="46" t="s">
        <v>18</v>
      </c>
      <c r="I123" s="47"/>
      <c r="J123" s="48" t="s">
        <v>42</v>
      </c>
      <c r="K123" s="86">
        <v>21025</v>
      </c>
      <c r="L123" s="87" t="s">
        <v>25</v>
      </c>
      <c r="M123" s="87" t="s">
        <v>26</v>
      </c>
      <c r="N123" s="14" t="s">
        <v>27</v>
      </c>
      <c r="O123" s="14" t="s">
        <v>28</v>
      </c>
      <c r="P123" s="51">
        <v>35</v>
      </c>
      <c r="Q123" s="47">
        <f t="shared" si="2"/>
        <v>70</v>
      </c>
      <c r="R123" s="47"/>
      <c r="S123" s="47"/>
      <c r="T123" s="47">
        <v>21025</v>
      </c>
    </row>
    <row r="124" customHeight="1" spans="1:20">
      <c r="A124" s="43">
        <v>21026</v>
      </c>
      <c r="B124" s="78" t="s">
        <v>322</v>
      </c>
      <c r="C124" s="78"/>
      <c r="D124" s="43">
        <v>1</v>
      </c>
      <c r="E124" s="78" t="s">
        <v>32</v>
      </c>
      <c r="F124" s="44">
        <f t="shared" si="3"/>
        <v>2</v>
      </c>
      <c r="G124" s="85" t="s">
        <v>323</v>
      </c>
      <c r="H124" s="46" t="s">
        <v>18</v>
      </c>
      <c r="I124" s="47"/>
      <c r="J124" s="48" t="s">
        <v>42</v>
      </c>
      <c r="K124" s="86">
        <v>21026</v>
      </c>
      <c r="L124" s="87" t="s">
        <v>25</v>
      </c>
      <c r="M124" s="87" t="s">
        <v>26</v>
      </c>
      <c r="N124" s="14" t="s">
        <v>27</v>
      </c>
      <c r="O124" s="14" t="s">
        <v>28</v>
      </c>
      <c r="P124" s="51">
        <v>45</v>
      </c>
      <c r="Q124" s="47">
        <f t="shared" si="2"/>
        <v>90</v>
      </c>
      <c r="R124" s="47"/>
      <c r="S124" s="47"/>
      <c r="T124" s="47">
        <v>21026</v>
      </c>
    </row>
    <row r="125" customHeight="1" spans="1:20">
      <c r="A125" s="43">
        <v>21027</v>
      </c>
      <c r="B125" s="78" t="s">
        <v>324</v>
      </c>
      <c r="C125" s="78"/>
      <c r="D125" s="43">
        <f>D9</f>
        <v>28</v>
      </c>
      <c r="E125" s="78" t="s">
        <v>32</v>
      </c>
      <c r="F125" s="44">
        <f t="shared" si="3"/>
        <v>56</v>
      </c>
      <c r="G125" s="85" t="s">
        <v>325</v>
      </c>
      <c r="H125" s="46" t="s">
        <v>18</v>
      </c>
      <c r="I125" s="47"/>
      <c r="J125" s="48" t="s">
        <v>42</v>
      </c>
      <c r="K125" s="86">
        <v>21027</v>
      </c>
      <c r="L125" s="87" t="s">
        <v>25</v>
      </c>
      <c r="M125" s="87" t="s">
        <v>26</v>
      </c>
      <c r="N125" s="14" t="s">
        <v>27</v>
      </c>
      <c r="O125" s="14" t="s">
        <v>28</v>
      </c>
      <c r="P125" s="51">
        <v>33</v>
      </c>
      <c r="Q125" s="47">
        <f t="shared" si="2"/>
        <v>1848</v>
      </c>
      <c r="R125" s="47"/>
      <c r="S125" s="47"/>
      <c r="T125" s="47">
        <v>21027</v>
      </c>
    </row>
    <row r="126" customHeight="1" spans="1:20">
      <c r="A126" s="43">
        <v>21028</v>
      </c>
      <c r="B126" s="78" t="s">
        <v>326</v>
      </c>
      <c r="C126" s="78"/>
      <c r="D126" s="43">
        <v>1</v>
      </c>
      <c r="E126" s="78" t="s">
        <v>32</v>
      </c>
      <c r="F126" s="44">
        <f t="shared" si="3"/>
        <v>2</v>
      </c>
      <c r="G126" s="85" t="s">
        <v>327</v>
      </c>
      <c r="H126" s="46" t="s">
        <v>18</v>
      </c>
      <c r="I126" s="47"/>
      <c r="J126" s="48" t="s">
        <v>42</v>
      </c>
      <c r="K126" s="86">
        <v>21028</v>
      </c>
      <c r="L126" s="87" t="s">
        <v>25</v>
      </c>
      <c r="M126" s="87" t="s">
        <v>26</v>
      </c>
      <c r="N126" s="14" t="s">
        <v>27</v>
      </c>
      <c r="O126" s="14" t="s">
        <v>28</v>
      </c>
      <c r="P126" s="51">
        <v>180</v>
      </c>
      <c r="Q126" s="47">
        <f t="shared" si="2"/>
        <v>360</v>
      </c>
      <c r="R126" s="47"/>
      <c r="S126" s="47"/>
      <c r="T126" s="47">
        <v>21028</v>
      </c>
    </row>
    <row r="127" customHeight="1" spans="1:20">
      <c r="A127" s="43">
        <v>21029</v>
      </c>
      <c r="B127" s="78" t="s">
        <v>328</v>
      </c>
      <c r="C127" s="78"/>
      <c r="D127" s="43">
        <v>1</v>
      </c>
      <c r="E127" s="78" t="s">
        <v>32</v>
      </c>
      <c r="F127" s="44">
        <f t="shared" si="3"/>
        <v>2</v>
      </c>
      <c r="G127" s="102" t="s">
        <v>329</v>
      </c>
      <c r="H127" s="46" t="s">
        <v>18</v>
      </c>
      <c r="I127" s="47"/>
      <c r="J127" s="48" t="s">
        <v>42</v>
      </c>
      <c r="K127" s="83">
        <v>21029</v>
      </c>
      <c r="L127" s="103" t="s">
        <v>25</v>
      </c>
      <c r="M127" s="103" t="s">
        <v>26</v>
      </c>
      <c r="N127" s="14" t="s">
        <v>27</v>
      </c>
      <c r="O127" s="14" t="s">
        <v>28</v>
      </c>
      <c r="P127" s="51">
        <v>210</v>
      </c>
      <c r="Q127" s="47">
        <f t="shared" si="2"/>
        <v>420</v>
      </c>
      <c r="R127" s="47"/>
      <c r="S127" s="47"/>
      <c r="T127" s="47">
        <v>21029</v>
      </c>
    </row>
    <row r="128" customHeight="1" spans="1:20">
      <c r="A128" s="43">
        <v>21033</v>
      </c>
      <c r="B128" s="78" t="s">
        <v>330</v>
      </c>
      <c r="C128" s="78"/>
      <c r="D128" s="43">
        <v>2</v>
      </c>
      <c r="E128" s="78" t="s">
        <v>21</v>
      </c>
      <c r="F128" s="44">
        <f t="shared" si="3"/>
        <v>4</v>
      </c>
      <c r="G128" s="85" t="s">
        <v>331</v>
      </c>
      <c r="H128" s="46" t="s">
        <v>18</v>
      </c>
      <c r="I128" s="47"/>
      <c r="J128" s="48" t="s">
        <v>42</v>
      </c>
      <c r="K128" s="86">
        <v>21033</v>
      </c>
      <c r="L128" s="87" t="s">
        <v>25</v>
      </c>
      <c r="M128" s="87" t="s">
        <v>26</v>
      </c>
      <c r="N128" s="14" t="s">
        <v>27</v>
      </c>
      <c r="O128" s="14" t="s">
        <v>28</v>
      </c>
      <c r="P128" s="51">
        <v>45</v>
      </c>
      <c r="Q128" s="47">
        <f t="shared" si="2"/>
        <v>180</v>
      </c>
      <c r="R128" s="47"/>
      <c r="S128" s="47"/>
      <c r="T128" s="47">
        <v>21033</v>
      </c>
    </row>
    <row r="129" customHeight="1" spans="1:20">
      <c r="A129" s="43">
        <v>21034</v>
      </c>
      <c r="B129" s="78" t="s">
        <v>332</v>
      </c>
      <c r="C129" s="78"/>
      <c r="D129" s="43">
        <v>2</v>
      </c>
      <c r="E129" s="78" t="s">
        <v>32</v>
      </c>
      <c r="F129" s="44">
        <f t="shared" si="3"/>
        <v>4</v>
      </c>
      <c r="G129" s="104" t="s">
        <v>333</v>
      </c>
      <c r="H129" s="46" t="s">
        <v>18</v>
      </c>
      <c r="I129" s="47"/>
      <c r="J129" s="48" t="s">
        <v>42</v>
      </c>
      <c r="K129" s="105">
        <v>21034</v>
      </c>
      <c r="L129" s="106" t="s">
        <v>25</v>
      </c>
      <c r="M129" s="106" t="s">
        <v>26</v>
      </c>
      <c r="N129" s="14" t="s">
        <v>27</v>
      </c>
      <c r="O129" s="14" t="s">
        <v>28</v>
      </c>
      <c r="P129" s="51">
        <v>46</v>
      </c>
      <c r="Q129" s="47">
        <f t="shared" si="2"/>
        <v>184</v>
      </c>
      <c r="R129" s="47"/>
      <c r="S129" s="47"/>
      <c r="T129" s="47">
        <v>21034</v>
      </c>
    </row>
    <row r="130" customHeight="1" spans="1:20">
      <c r="A130" s="43">
        <v>21038</v>
      </c>
      <c r="B130" s="78" t="s">
        <v>334</v>
      </c>
      <c r="C130" s="78"/>
      <c r="D130" s="43">
        <v>1</v>
      </c>
      <c r="E130" s="78" t="s">
        <v>54</v>
      </c>
      <c r="F130" s="44">
        <f t="shared" si="3"/>
        <v>2</v>
      </c>
      <c r="G130" s="82" t="s">
        <v>335</v>
      </c>
      <c r="H130" s="46" t="s">
        <v>18</v>
      </c>
      <c r="I130" s="47"/>
      <c r="J130" s="48" t="s">
        <v>42</v>
      </c>
      <c r="K130" s="83">
        <v>21038</v>
      </c>
      <c r="L130" s="84" t="s">
        <v>25</v>
      </c>
      <c r="M130" s="84" t="s">
        <v>26</v>
      </c>
      <c r="N130" s="14" t="s">
        <v>27</v>
      </c>
      <c r="O130" s="14" t="s">
        <v>28</v>
      </c>
      <c r="P130" s="51">
        <v>80</v>
      </c>
      <c r="Q130" s="47">
        <f t="shared" si="2"/>
        <v>160</v>
      </c>
      <c r="R130" s="47"/>
      <c r="S130" s="47"/>
      <c r="T130" s="47">
        <v>21038</v>
      </c>
    </row>
    <row r="131" customHeight="1" spans="1:20">
      <c r="A131" s="43">
        <v>21039</v>
      </c>
      <c r="B131" s="78" t="s">
        <v>336</v>
      </c>
      <c r="C131" s="78"/>
      <c r="D131" s="43">
        <v>1</v>
      </c>
      <c r="E131" s="78" t="s">
        <v>32</v>
      </c>
      <c r="F131" s="44">
        <f t="shared" si="3"/>
        <v>2</v>
      </c>
      <c r="G131" s="85" t="s">
        <v>337</v>
      </c>
      <c r="H131" s="46" t="s">
        <v>18</v>
      </c>
      <c r="I131" s="47"/>
      <c r="J131" s="48" t="s">
        <v>42</v>
      </c>
      <c r="K131" s="86">
        <v>21039</v>
      </c>
      <c r="L131" s="87" t="s">
        <v>25</v>
      </c>
      <c r="M131" s="87" t="s">
        <v>26</v>
      </c>
      <c r="N131" s="14" t="s">
        <v>27</v>
      </c>
      <c r="O131" s="14" t="s">
        <v>28</v>
      </c>
      <c r="P131" s="51">
        <v>200</v>
      </c>
      <c r="Q131" s="47">
        <f t="shared" si="2"/>
        <v>400</v>
      </c>
      <c r="R131" s="47"/>
      <c r="S131" s="47"/>
      <c r="T131" s="47">
        <v>21039</v>
      </c>
    </row>
    <row r="132" customHeight="1" spans="1:20">
      <c r="A132" s="43">
        <v>21046</v>
      </c>
      <c r="B132" s="78" t="s">
        <v>338</v>
      </c>
      <c r="C132" s="78"/>
      <c r="D132" s="43">
        <v>1</v>
      </c>
      <c r="E132" s="78" t="s">
        <v>32</v>
      </c>
      <c r="F132" s="44">
        <f t="shared" si="3"/>
        <v>2</v>
      </c>
      <c r="G132" s="85" t="s">
        <v>339</v>
      </c>
      <c r="H132" s="46" t="s">
        <v>18</v>
      </c>
      <c r="I132" s="47"/>
      <c r="J132" s="48" t="s">
        <v>42</v>
      </c>
      <c r="K132" s="86">
        <v>21046</v>
      </c>
      <c r="L132" s="87" t="s">
        <v>25</v>
      </c>
      <c r="M132" s="87" t="s">
        <v>26</v>
      </c>
      <c r="N132" s="14" t="s">
        <v>27</v>
      </c>
      <c r="O132" s="14" t="s">
        <v>28</v>
      </c>
      <c r="P132" s="51">
        <v>60</v>
      </c>
      <c r="Q132" s="47">
        <f t="shared" ref="Q132:Q195" si="4">P132*F132</f>
        <v>120</v>
      </c>
      <c r="R132" s="47"/>
      <c r="S132" s="47"/>
      <c r="T132" s="47">
        <v>21046</v>
      </c>
    </row>
    <row r="133" customHeight="1" spans="1:20">
      <c r="A133" s="43">
        <v>21047</v>
      </c>
      <c r="B133" s="78" t="s">
        <v>340</v>
      </c>
      <c r="C133" s="78"/>
      <c r="D133" s="43">
        <v>1</v>
      </c>
      <c r="E133" s="78" t="s">
        <v>32</v>
      </c>
      <c r="F133" s="44">
        <f t="shared" si="3"/>
        <v>2</v>
      </c>
      <c r="G133" s="85" t="s">
        <v>341</v>
      </c>
      <c r="H133" s="46" t="s">
        <v>18</v>
      </c>
      <c r="I133" s="47"/>
      <c r="J133" s="48" t="s">
        <v>42</v>
      </c>
      <c r="K133" s="86">
        <v>21047</v>
      </c>
      <c r="L133" s="87" t="s">
        <v>25</v>
      </c>
      <c r="M133" s="87" t="s">
        <v>26</v>
      </c>
      <c r="N133" s="14" t="s">
        <v>27</v>
      </c>
      <c r="O133" s="14" t="s">
        <v>28</v>
      </c>
      <c r="P133" s="51">
        <v>160</v>
      </c>
      <c r="Q133" s="47">
        <f t="shared" si="4"/>
        <v>320</v>
      </c>
      <c r="R133" s="47"/>
      <c r="S133" s="47"/>
      <c r="T133" s="47">
        <v>21047</v>
      </c>
    </row>
    <row r="134" customHeight="1" spans="1:20">
      <c r="A134" s="43">
        <v>21049</v>
      </c>
      <c r="B134" s="78" t="s">
        <v>342</v>
      </c>
      <c r="C134" s="78"/>
      <c r="D134" s="43">
        <v>1</v>
      </c>
      <c r="E134" s="78" t="s">
        <v>32</v>
      </c>
      <c r="F134" s="44">
        <f t="shared" si="3"/>
        <v>2</v>
      </c>
      <c r="G134" s="85" t="s">
        <v>343</v>
      </c>
      <c r="H134" s="46" t="s">
        <v>18</v>
      </c>
      <c r="I134" s="47"/>
      <c r="J134" s="48" t="s">
        <v>42</v>
      </c>
      <c r="K134" s="86">
        <v>21049</v>
      </c>
      <c r="L134" s="87" t="s">
        <v>25</v>
      </c>
      <c r="M134" s="87" t="s">
        <v>26</v>
      </c>
      <c r="N134" s="14" t="s">
        <v>27</v>
      </c>
      <c r="O134" s="14" t="s">
        <v>28</v>
      </c>
      <c r="P134" s="51">
        <v>160</v>
      </c>
      <c r="Q134" s="47">
        <f t="shared" si="4"/>
        <v>320</v>
      </c>
      <c r="R134" s="47"/>
      <c r="S134" s="47"/>
      <c r="T134" s="47">
        <v>21049</v>
      </c>
    </row>
    <row r="135" customHeight="1" spans="1:20">
      <c r="A135" s="43">
        <v>21050</v>
      </c>
      <c r="B135" s="78" t="s">
        <v>344</v>
      </c>
      <c r="C135" s="78"/>
      <c r="D135" s="43">
        <v>1</v>
      </c>
      <c r="E135" s="78" t="s">
        <v>32</v>
      </c>
      <c r="F135" s="44">
        <f t="shared" si="3"/>
        <v>2</v>
      </c>
      <c r="G135" s="85" t="s">
        <v>345</v>
      </c>
      <c r="H135" s="46" t="s">
        <v>18</v>
      </c>
      <c r="I135" s="47"/>
      <c r="J135" s="48" t="s">
        <v>42</v>
      </c>
      <c r="K135" s="86">
        <v>21050</v>
      </c>
      <c r="L135" s="87" t="s">
        <v>25</v>
      </c>
      <c r="M135" s="87" t="s">
        <v>26</v>
      </c>
      <c r="N135" s="14" t="s">
        <v>27</v>
      </c>
      <c r="O135" s="14" t="s">
        <v>28</v>
      </c>
      <c r="P135" s="51">
        <v>120</v>
      </c>
      <c r="Q135" s="47">
        <f t="shared" si="4"/>
        <v>240</v>
      </c>
      <c r="R135" s="47"/>
      <c r="S135" s="47"/>
      <c r="T135" s="43">
        <v>21050</v>
      </c>
    </row>
    <row r="136" customHeight="1" spans="1:20">
      <c r="A136" s="43">
        <v>21051</v>
      </c>
      <c r="B136" s="78" t="s">
        <v>346</v>
      </c>
      <c r="C136" s="78"/>
      <c r="D136" s="43">
        <f>D9/2</f>
        <v>14</v>
      </c>
      <c r="E136" s="78" t="s">
        <v>32</v>
      </c>
      <c r="F136" s="44">
        <f t="shared" si="3"/>
        <v>28</v>
      </c>
      <c r="G136" s="82" t="s">
        <v>347</v>
      </c>
      <c r="H136" s="46" t="s">
        <v>18</v>
      </c>
      <c r="I136" s="47"/>
      <c r="J136" s="48" t="s">
        <v>42</v>
      </c>
      <c r="K136" s="83">
        <v>21051</v>
      </c>
      <c r="L136" s="84" t="s">
        <v>25</v>
      </c>
      <c r="M136" s="84" t="s">
        <v>26</v>
      </c>
      <c r="N136" s="14" t="s">
        <v>27</v>
      </c>
      <c r="O136" s="14" t="s">
        <v>28</v>
      </c>
      <c r="P136" s="51">
        <v>55</v>
      </c>
      <c r="Q136" s="47">
        <f t="shared" si="4"/>
        <v>1540</v>
      </c>
      <c r="R136" s="47"/>
      <c r="S136" s="47"/>
      <c r="T136" s="43">
        <v>21051</v>
      </c>
    </row>
    <row r="137" customHeight="1" spans="1:20">
      <c r="A137" s="43" t="s">
        <v>348</v>
      </c>
      <c r="B137" s="78" t="s">
        <v>349</v>
      </c>
      <c r="C137" s="78"/>
      <c r="D137" s="43">
        <f>D9/2</f>
        <v>14</v>
      </c>
      <c r="E137" s="78" t="s">
        <v>32</v>
      </c>
      <c r="F137" s="44">
        <f t="shared" ref="F137:F200" si="5">D137*2</f>
        <v>28</v>
      </c>
      <c r="G137" s="82" t="s">
        <v>347</v>
      </c>
      <c r="H137" s="46" t="s">
        <v>18</v>
      </c>
      <c r="I137" s="47"/>
      <c r="J137" s="48" t="s">
        <v>42</v>
      </c>
      <c r="K137" s="83" t="s">
        <v>348</v>
      </c>
      <c r="L137" s="84" t="s">
        <v>25</v>
      </c>
      <c r="M137" s="84" t="s">
        <v>26</v>
      </c>
      <c r="N137" s="14" t="s">
        <v>27</v>
      </c>
      <c r="O137" s="14" t="s">
        <v>28</v>
      </c>
      <c r="P137" s="51">
        <v>55</v>
      </c>
      <c r="Q137" s="47">
        <f t="shared" si="4"/>
        <v>1540</v>
      </c>
      <c r="R137" s="47"/>
      <c r="S137" s="47"/>
      <c r="T137" s="47">
        <v>21051</v>
      </c>
    </row>
    <row r="138" customHeight="1" spans="1:20">
      <c r="A138" s="43">
        <v>21053</v>
      </c>
      <c r="B138" s="78" t="s">
        <v>350</v>
      </c>
      <c r="C138" s="78"/>
      <c r="D138" s="43">
        <v>1</v>
      </c>
      <c r="E138" s="78" t="s">
        <v>32</v>
      </c>
      <c r="F138" s="44">
        <f t="shared" si="5"/>
        <v>2</v>
      </c>
      <c r="G138" s="109" t="s">
        <v>351</v>
      </c>
      <c r="H138" s="46" t="s">
        <v>18</v>
      </c>
      <c r="I138" s="47"/>
      <c r="J138" s="48" t="s">
        <v>42</v>
      </c>
      <c r="K138" s="110">
        <v>21053</v>
      </c>
      <c r="L138" s="111" t="s">
        <v>25</v>
      </c>
      <c r="M138" s="111" t="s">
        <v>26</v>
      </c>
      <c r="N138" s="14" t="s">
        <v>27</v>
      </c>
      <c r="O138" s="14" t="s">
        <v>28</v>
      </c>
      <c r="P138" s="51">
        <v>70</v>
      </c>
      <c r="Q138" s="47">
        <f t="shared" si="4"/>
        <v>140</v>
      </c>
      <c r="R138" s="47"/>
      <c r="S138" s="47"/>
      <c r="T138" s="47">
        <v>21053</v>
      </c>
    </row>
    <row r="139" customHeight="1" spans="1:20">
      <c r="A139" s="43">
        <v>21054</v>
      </c>
      <c r="B139" s="78" t="s">
        <v>352</v>
      </c>
      <c r="C139" s="78"/>
      <c r="D139" s="43">
        <f>D9/2</f>
        <v>14</v>
      </c>
      <c r="E139" s="78" t="s">
        <v>32</v>
      </c>
      <c r="F139" s="44">
        <f t="shared" si="5"/>
        <v>28</v>
      </c>
      <c r="G139" s="82" t="s">
        <v>353</v>
      </c>
      <c r="H139" s="46" t="s">
        <v>18</v>
      </c>
      <c r="I139" s="47"/>
      <c r="J139" s="48" t="s">
        <v>42</v>
      </c>
      <c r="K139" s="83">
        <v>21054</v>
      </c>
      <c r="L139" s="84" t="s">
        <v>25</v>
      </c>
      <c r="M139" s="84" t="s">
        <v>26</v>
      </c>
      <c r="N139" s="14" t="s">
        <v>27</v>
      </c>
      <c r="O139" s="14" t="s">
        <v>28</v>
      </c>
      <c r="P139" s="51">
        <v>46</v>
      </c>
      <c r="Q139" s="47">
        <f t="shared" si="4"/>
        <v>1288</v>
      </c>
      <c r="R139" s="47"/>
      <c r="S139" s="47"/>
      <c r="T139" s="47">
        <v>21054</v>
      </c>
    </row>
    <row r="140" customHeight="1" spans="1:20">
      <c r="A140" s="43">
        <v>21055</v>
      </c>
      <c r="B140" s="78" t="s">
        <v>354</v>
      </c>
      <c r="C140" s="78"/>
      <c r="D140" s="43">
        <f>D9/2</f>
        <v>14</v>
      </c>
      <c r="E140" s="78" t="s">
        <v>54</v>
      </c>
      <c r="F140" s="44">
        <f t="shared" si="5"/>
        <v>28</v>
      </c>
      <c r="G140" s="82" t="s">
        <v>355</v>
      </c>
      <c r="H140" s="46" t="s">
        <v>18</v>
      </c>
      <c r="I140" s="47"/>
      <c r="J140" s="48" t="s">
        <v>42</v>
      </c>
      <c r="K140" s="83">
        <v>21055</v>
      </c>
      <c r="L140" s="84" t="s">
        <v>25</v>
      </c>
      <c r="M140" s="84" t="s">
        <v>26</v>
      </c>
      <c r="N140" s="14" t="s">
        <v>27</v>
      </c>
      <c r="O140" s="14" t="s">
        <v>28</v>
      </c>
      <c r="P140" s="51">
        <v>240</v>
      </c>
      <c r="Q140" s="47">
        <f t="shared" si="4"/>
        <v>6720</v>
      </c>
      <c r="R140" s="47"/>
      <c r="S140" s="47"/>
      <c r="T140" s="47">
        <v>21055</v>
      </c>
    </row>
    <row r="141" customHeight="1" spans="1:20">
      <c r="A141" s="43">
        <v>21056</v>
      </c>
      <c r="B141" s="78" t="s">
        <v>356</v>
      </c>
      <c r="C141" s="78"/>
      <c r="D141" s="43">
        <f>D9/2</f>
        <v>14</v>
      </c>
      <c r="E141" s="78" t="s">
        <v>54</v>
      </c>
      <c r="F141" s="44">
        <f t="shared" si="5"/>
        <v>28</v>
      </c>
      <c r="G141" s="82" t="s">
        <v>357</v>
      </c>
      <c r="H141" s="46" t="s">
        <v>18</v>
      </c>
      <c r="I141" s="47"/>
      <c r="J141" s="48" t="s">
        <v>42</v>
      </c>
      <c r="K141" s="83">
        <v>21056</v>
      </c>
      <c r="L141" s="84" t="s">
        <v>25</v>
      </c>
      <c r="M141" s="84" t="s">
        <v>26</v>
      </c>
      <c r="N141" s="14" t="s">
        <v>27</v>
      </c>
      <c r="O141" s="14" t="s">
        <v>28</v>
      </c>
      <c r="P141" s="51">
        <v>160</v>
      </c>
      <c r="Q141" s="47">
        <f t="shared" si="4"/>
        <v>4480</v>
      </c>
      <c r="R141" s="47"/>
      <c r="S141" s="47"/>
      <c r="T141" s="47">
        <v>21056</v>
      </c>
    </row>
    <row r="142" customHeight="1" spans="1:20">
      <c r="A142" s="43">
        <v>21057</v>
      </c>
      <c r="B142" s="78" t="s">
        <v>358</v>
      </c>
      <c r="C142" s="78"/>
      <c r="D142" s="43">
        <f>D9/2</f>
        <v>14</v>
      </c>
      <c r="E142" s="78" t="s">
        <v>32</v>
      </c>
      <c r="F142" s="44">
        <f t="shared" si="5"/>
        <v>28</v>
      </c>
      <c r="G142" s="102" t="s">
        <v>359</v>
      </c>
      <c r="H142" s="46" t="s">
        <v>18</v>
      </c>
      <c r="I142" s="47"/>
      <c r="J142" s="48" t="s">
        <v>42</v>
      </c>
      <c r="K142" s="83">
        <v>21057</v>
      </c>
      <c r="L142" s="103" t="s">
        <v>25</v>
      </c>
      <c r="M142" s="103" t="s">
        <v>26</v>
      </c>
      <c r="N142" s="14" t="s">
        <v>27</v>
      </c>
      <c r="O142" s="14" t="s">
        <v>28</v>
      </c>
      <c r="P142" s="51">
        <v>160</v>
      </c>
      <c r="Q142" s="47">
        <f t="shared" si="4"/>
        <v>4480</v>
      </c>
      <c r="R142" s="47"/>
      <c r="S142" s="47"/>
      <c r="T142" s="47">
        <v>21057</v>
      </c>
    </row>
    <row r="143" customHeight="1" spans="1:20">
      <c r="A143" s="43">
        <v>21059</v>
      </c>
      <c r="B143" s="78" t="s">
        <v>360</v>
      </c>
      <c r="C143" s="78"/>
      <c r="D143" s="43">
        <v>1</v>
      </c>
      <c r="E143" s="78" t="s">
        <v>32</v>
      </c>
      <c r="F143" s="44">
        <f t="shared" si="5"/>
        <v>2</v>
      </c>
      <c r="G143" s="102" t="s">
        <v>361</v>
      </c>
      <c r="H143" s="46" t="s">
        <v>18</v>
      </c>
      <c r="I143" s="47"/>
      <c r="J143" s="48" t="s">
        <v>42</v>
      </c>
      <c r="K143" s="83">
        <v>21059</v>
      </c>
      <c r="L143" s="103" t="s">
        <v>25</v>
      </c>
      <c r="M143" s="103" t="s">
        <v>26</v>
      </c>
      <c r="N143" s="14" t="s">
        <v>27</v>
      </c>
      <c r="O143" s="14" t="s">
        <v>28</v>
      </c>
      <c r="P143" s="51">
        <v>145</v>
      </c>
      <c r="Q143" s="47">
        <f t="shared" si="4"/>
        <v>290</v>
      </c>
      <c r="R143" s="47"/>
      <c r="S143" s="47"/>
      <c r="T143" s="47">
        <v>21059</v>
      </c>
    </row>
    <row r="144" customHeight="1" spans="1:20">
      <c r="A144" s="43">
        <v>21060</v>
      </c>
      <c r="B144" s="78" t="s">
        <v>362</v>
      </c>
      <c r="C144" s="78"/>
      <c r="D144" s="43">
        <f>D9/2</f>
        <v>14</v>
      </c>
      <c r="E144" s="78" t="s">
        <v>32</v>
      </c>
      <c r="F144" s="44">
        <f t="shared" si="5"/>
        <v>28</v>
      </c>
      <c r="G144" s="102" t="s">
        <v>363</v>
      </c>
      <c r="H144" s="46" t="s">
        <v>18</v>
      </c>
      <c r="I144" s="47"/>
      <c r="J144" s="48" t="s">
        <v>42</v>
      </c>
      <c r="K144" s="83">
        <v>21060</v>
      </c>
      <c r="L144" s="103" t="s">
        <v>25</v>
      </c>
      <c r="M144" s="103" t="s">
        <v>26</v>
      </c>
      <c r="N144" s="14" t="s">
        <v>27</v>
      </c>
      <c r="O144" s="14" t="s">
        <v>28</v>
      </c>
      <c r="P144" s="51">
        <v>140</v>
      </c>
      <c r="Q144" s="47">
        <f t="shared" si="4"/>
        <v>3920</v>
      </c>
      <c r="R144" s="47"/>
      <c r="S144" s="47"/>
      <c r="T144" s="47">
        <v>21060</v>
      </c>
    </row>
    <row r="145" customHeight="1" spans="1:20">
      <c r="A145" s="43">
        <v>21061</v>
      </c>
      <c r="B145" s="78" t="s">
        <v>364</v>
      </c>
      <c r="C145" s="78"/>
      <c r="D145" s="43">
        <v>1</v>
      </c>
      <c r="E145" s="78" t="s">
        <v>32</v>
      </c>
      <c r="F145" s="44">
        <f t="shared" si="5"/>
        <v>2</v>
      </c>
      <c r="G145" s="102" t="s">
        <v>365</v>
      </c>
      <c r="H145" s="46" t="s">
        <v>18</v>
      </c>
      <c r="I145" s="47"/>
      <c r="J145" s="48" t="s">
        <v>42</v>
      </c>
      <c r="K145" s="83">
        <v>21061</v>
      </c>
      <c r="L145" s="103" t="s">
        <v>25</v>
      </c>
      <c r="M145" s="103" t="s">
        <v>26</v>
      </c>
      <c r="N145" s="14" t="s">
        <v>27</v>
      </c>
      <c r="O145" s="14" t="s">
        <v>28</v>
      </c>
      <c r="P145" s="51">
        <v>20</v>
      </c>
      <c r="Q145" s="47">
        <f t="shared" si="4"/>
        <v>40</v>
      </c>
      <c r="R145" s="47"/>
      <c r="S145" s="47"/>
      <c r="T145" s="47">
        <v>21061</v>
      </c>
    </row>
    <row r="146" customHeight="1" spans="1:20">
      <c r="A146" s="43">
        <v>21062</v>
      </c>
      <c r="B146" s="78" t="s">
        <v>366</v>
      </c>
      <c r="C146" s="78"/>
      <c r="D146" s="43">
        <v>1</v>
      </c>
      <c r="E146" s="78" t="s">
        <v>32</v>
      </c>
      <c r="F146" s="44">
        <f t="shared" si="5"/>
        <v>2</v>
      </c>
      <c r="G146" s="85" t="s">
        <v>367</v>
      </c>
      <c r="H146" s="46" t="s">
        <v>18</v>
      </c>
      <c r="I146" s="47"/>
      <c r="J146" s="48" t="s">
        <v>42</v>
      </c>
      <c r="K146" s="86">
        <v>21062</v>
      </c>
      <c r="L146" s="87" t="s">
        <v>25</v>
      </c>
      <c r="M146" s="87" t="s">
        <v>26</v>
      </c>
      <c r="N146" s="14" t="s">
        <v>27</v>
      </c>
      <c r="O146" s="14" t="s">
        <v>28</v>
      </c>
      <c r="P146" s="51">
        <v>90</v>
      </c>
      <c r="Q146" s="47">
        <f t="shared" si="4"/>
        <v>180</v>
      </c>
      <c r="R146" s="47"/>
      <c r="S146" s="47"/>
      <c r="T146" s="47">
        <v>21062</v>
      </c>
    </row>
    <row r="147" customHeight="1" spans="1:20">
      <c r="A147" s="43">
        <v>21062</v>
      </c>
      <c r="B147" s="78" t="s">
        <v>366</v>
      </c>
      <c r="C147" s="78"/>
      <c r="D147" s="43">
        <v>1</v>
      </c>
      <c r="E147" s="78" t="s">
        <v>32</v>
      </c>
      <c r="F147" s="44">
        <f t="shared" si="5"/>
        <v>2</v>
      </c>
      <c r="G147" s="85" t="s">
        <v>368</v>
      </c>
      <c r="H147" s="46" t="s">
        <v>18</v>
      </c>
      <c r="I147" s="47"/>
      <c r="J147" s="48" t="s">
        <v>42</v>
      </c>
      <c r="K147" s="86">
        <v>21062</v>
      </c>
      <c r="L147" s="87" t="s">
        <v>25</v>
      </c>
      <c r="M147" s="87" t="s">
        <v>26</v>
      </c>
      <c r="N147" s="14" t="s">
        <v>27</v>
      </c>
      <c r="O147" s="14" t="s">
        <v>28</v>
      </c>
      <c r="P147" s="51">
        <v>90</v>
      </c>
      <c r="Q147" s="47">
        <f t="shared" si="4"/>
        <v>180</v>
      </c>
      <c r="R147" s="47"/>
      <c r="S147" s="47"/>
      <c r="T147" s="47">
        <v>21062</v>
      </c>
    </row>
    <row r="148" customHeight="1" spans="1:20">
      <c r="A148" s="43">
        <v>21064</v>
      </c>
      <c r="B148" s="78" t="s">
        <v>369</v>
      </c>
      <c r="C148" s="78"/>
      <c r="D148" s="43">
        <v>1</v>
      </c>
      <c r="E148" s="78" t="s">
        <v>54</v>
      </c>
      <c r="F148" s="44">
        <f t="shared" si="5"/>
        <v>2</v>
      </c>
      <c r="G148" s="102" t="s">
        <v>370</v>
      </c>
      <c r="H148" s="46" t="s">
        <v>18</v>
      </c>
      <c r="I148" s="47"/>
      <c r="J148" s="48" t="s">
        <v>42</v>
      </c>
      <c r="K148" s="83">
        <v>21064</v>
      </c>
      <c r="L148" s="103" t="s">
        <v>25</v>
      </c>
      <c r="M148" s="103" t="s">
        <v>26</v>
      </c>
      <c r="N148" s="14" t="s">
        <v>27</v>
      </c>
      <c r="O148" s="14" t="s">
        <v>28</v>
      </c>
      <c r="P148" s="51">
        <v>160</v>
      </c>
      <c r="Q148" s="47">
        <f t="shared" si="4"/>
        <v>320</v>
      </c>
      <c r="R148" s="47"/>
      <c r="S148" s="47"/>
      <c r="T148" s="47">
        <v>21064</v>
      </c>
    </row>
    <row r="149" customHeight="1" spans="1:20">
      <c r="A149" s="43">
        <v>21065</v>
      </c>
      <c r="B149" s="78" t="s">
        <v>371</v>
      </c>
      <c r="C149" s="78"/>
      <c r="D149" s="43">
        <v>1</v>
      </c>
      <c r="E149" s="78" t="s">
        <v>21</v>
      </c>
      <c r="F149" s="44">
        <f t="shared" si="5"/>
        <v>2</v>
      </c>
      <c r="G149" s="85" t="s">
        <v>372</v>
      </c>
      <c r="H149" s="46" t="s">
        <v>18</v>
      </c>
      <c r="I149" s="47"/>
      <c r="J149" s="48" t="s">
        <v>42</v>
      </c>
      <c r="K149" s="86">
        <v>21065</v>
      </c>
      <c r="L149" s="87" t="s">
        <v>25</v>
      </c>
      <c r="M149" s="87" t="s">
        <v>26</v>
      </c>
      <c r="N149" s="14" t="s">
        <v>27</v>
      </c>
      <c r="O149" s="14" t="s">
        <v>28</v>
      </c>
      <c r="P149" s="51">
        <v>32</v>
      </c>
      <c r="Q149" s="47">
        <f t="shared" si="4"/>
        <v>64</v>
      </c>
      <c r="R149" s="47"/>
      <c r="S149" s="47"/>
      <c r="T149" s="47">
        <v>21065</v>
      </c>
    </row>
    <row r="150" customHeight="1" spans="1:20">
      <c r="A150" s="43">
        <v>21066</v>
      </c>
      <c r="B150" s="78" t="s">
        <v>373</v>
      </c>
      <c r="C150" s="78"/>
      <c r="D150" s="43">
        <f>D9</f>
        <v>28</v>
      </c>
      <c r="E150" s="78" t="s">
        <v>32</v>
      </c>
      <c r="F150" s="44">
        <f t="shared" si="5"/>
        <v>56</v>
      </c>
      <c r="G150" s="102" t="s">
        <v>374</v>
      </c>
      <c r="H150" s="46" t="s">
        <v>18</v>
      </c>
      <c r="I150" s="47"/>
      <c r="J150" s="48" t="s">
        <v>42</v>
      </c>
      <c r="K150" s="83">
        <v>21066</v>
      </c>
      <c r="L150" s="103" t="s">
        <v>25</v>
      </c>
      <c r="M150" s="103" t="s">
        <v>26</v>
      </c>
      <c r="N150" s="14" t="s">
        <v>27</v>
      </c>
      <c r="O150" s="14" t="s">
        <v>28</v>
      </c>
      <c r="P150" s="51">
        <v>36</v>
      </c>
      <c r="Q150" s="47">
        <f t="shared" si="4"/>
        <v>2016</v>
      </c>
      <c r="R150" s="47"/>
      <c r="S150" s="47"/>
      <c r="T150" s="47">
        <v>21066</v>
      </c>
    </row>
    <row r="151" customHeight="1" spans="1:20">
      <c r="A151" s="43">
        <v>21067</v>
      </c>
      <c r="B151" s="78" t="s">
        <v>375</v>
      </c>
      <c r="C151" s="78"/>
      <c r="D151" s="43">
        <f>D9</f>
        <v>28</v>
      </c>
      <c r="E151" s="78" t="s">
        <v>32</v>
      </c>
      <c r="F151" s="44">
        <f t="shared" si="5"/>
        <v>56</v>
      </c>
      <c r="G151" s="102" t="s">
        <v>376</v>
      </c>
      <c r="H151" s="46" t="s">
        <v>18</v>
      </c>
      <c r="I151" s="47"/>
      <c r="J151" s="48" t="s">
        <v>42</v>
      </c>
      <c r="K151" s="83">
        <v>21067</v>
      </c>
      <c r="L151" s="103" t="s">
        <v>25</v>
      </c>
      <c r="M151" s="103" t="s">
        <v>26</v>
      </c>
      <c r="N151" s="14" t="s">
        <v>27</v>
      </c>
      <c r="O151" s="14" t="s">
        <v>28</v>
      </c>
      <c r="P151" s="51">
        <v>45</v>
      </c>
      <c r="Q151" s="47">
        <f t="shared" si="4"/>
        <v>2520</v>
      </c>
      <c r="R151" s="47"/>
      <c r="S151" s="47"/>
      <c r="T151" s="47">
        <v>21067</v>
      </c>
    </row>
    <row r="152" customHeight="1" spans="1:20">
      <c r="A152" s="43">
        <v>21068</v>
      </c>
      <c r="B152" s="78" t="s">
        <v>377</v>
      </c>
      <c r="C152" s="78"/>
      <c r="D152" s="43">
        <f>D10</f>
        <v>1</v>
      </c>
      <c r="E152" s="78" t="s">
        <v>54</v>
      </c>
      <c r="F152" s="44">
        <f t="shared" si="5"/>
        <v>2</v>
      </c>
      <c r="G152" s="112" t="s">
        <v>378</v>
      </c>
      <c r="H152" s="46" t="s">
        <v>18</v>
      </c>
      <c r="I152" s="47"/>
      <c r="J152" s="48" t="s">
        <v>42</v>
      </c>
      <c r="K152" s="83">
        <v>21068</v>
      </c>
      <c r="L152" s="113" t="s">
        <v>25</v>
      </c>
      <c r="M152" s="113" t="s">
        <v>26</v>
      </c>
      <c r="N152" s="14" t="s">
        <v>27</v>
      </c>
      <c r="O152" s="14" t="s">
        <v>28</v>
      </c>
      <c r="P152" s="51">
        <v>20</v>
      </c>
      <c r="Q152" s="47">
        <f t="shared" si="4"/>
        <v>40</v>
      </c>
      <c r="R152" s="47"/>
      <c r="S152" s="47"/>
      <c r="T152" s="47">
        <v>21068</v>
      </c>
    </row>
    <row r="153" customHeight="1" spans="1:20">
      <c r="A153" s="43">
        <v>21069</v>
      </c>
      <c r="B153" s="78" t="s">
        <v>379</v>
      </c>
      <c r="C153" s="78"/>
      <c r="D153" s="43">
        <v>1</v>
      </c>
      <c r="E153" s="78" t="s">
        <v>54</v>
      </c>
      <c r="F153" s="44">
        <f t="shared" si="5"/>
        <v>2</v>
      </c>
      <c r="G153" s="102" t="s">
        <v>380</v>
      </c>
      <c r="H153" s="46" t="s">
        <v>18</v>
      </c>
      <c r="I153" s="47"/>
      <c r="J153" s="48" t="s">
        <v>42</v>
      </c>
      <c r="K153" s="83">
        <v>21069</v>
      </c>
      <c r="L153" s="103" t="s">
        <v>25</v>
      </c>
      <c r="M153" s="103" t="s">
        <v>26</v>
      </c>
      <c r="N153" s="14" t="s">
        <v>27</v>
      </c>
      <c r="O153" s="14" t="s">
        <v>28</v>
      </c>
      <c r="P153" s="51">
        <v>105</v>
      </c>
      <c r="Q153" s="47">
        <f t="shared" si="4"/>
        <v>210</v>
      </c>
      <c r="R153" s="47"/>
      <c r="S153" s="47"/>
      <c r="T153" s="47">
        <v>21069</v>
      </c>
    </row>
    <row r="154" customHeight="1" spans="1:20">
      <c r="A154" s="43">
        <v>21070</v>
      </c>
      <c r="B154" s="78" t="s">
        <v>381</v>
      </c>
      <c r="C154" s="78"/>
      <c r="D154" s="43">
        <v>1</v>
      </c>
      <c r="E154" s="78" t="s">
        <v>32</v>
      </c>
      <c r="F154" s="44">
        <f t="shared" si="5"/>
        <v>2</v>
      </c>
      <c r="G154" s="102" t="s">
        <v>382</v>
      </c>
      <c r="H154" s="46" t="s">
        <v>18</v>
      </c>
      <c r="I154" s="47"/>
      <c r="J154" s="48" t="s">
        <v>42</v>
      </c>
      <c r="K154" s="83">
        <v>21070</v>
      </c>
      <c r="L154" s="103" t="s">
        <v>25</v>
      </c>
      <c r="M154" s="103" t="s">
        <v>26</v>
      </c>
      <c r="N154" s="14" t="s">
        <v>27</v>
      </c>
      <c r="O154" s="14" t="s">
        <v>28</v>
      </c>
      <c r="P154" s="51">
        <v>260</v>
      </c>
      <c r="Q154" s="47">
        <f t="shared" si="4"/>
        <v>520</v>
      </c>
      <c r="R154" s="47"/>
      <c r="S154" s="47"/>
      <c r="T154" s="47">
        <v>21070</v>
      </c>
    </row>
    <row r="155" customHeight="1" spans="1:20">
      <c r="A155" s="43">
        <v>21071</v>
      </c>
      <c r="B155" s="78" t="s">
        <v>383</v>
      </c>
      <c r="C155" s="78"/>
      <c r="D155" s="43">
        <f>D9/2</f>
        <v>14</v>
      </c>
      <c r="E155" s="78" t="s">
        <v>32</v>
      </c>
      <c r="F155" s="44">
        <f t="shared" si="5"/>
        <v>28</v>
      </c>
      <c r="G155" s="82" t="s">
        <v>384</v>
      </c>
      <c r="H155" s="46" t="s">
        <v>18</v>
      </c>
      <c r="I155" s="47"/>
      <c r="J155" s="48" t="s">
        <v>42</v>
      </c>
      <c r="K155" s="83">
        <v>21071</v>
      </c>
      <c r="L155" s="84" t="s">
        <v>25</v>
      </c>
      <c r="M155" s="84" t="s">
        <v>26</v>
      </c>
      <c r="N155" s="14" t="s">
        <v>27</v>
      </c>
      <c r="O155" s="14" t="s">
        <v>28</v>
      </c>
      <c r="P155" s="51">
        <v>350</v>
      </c>
      <c r="Q155" s="47">
        <f t="shared" si="4"/>
        <v>9800</v>
      </c>
      <c r="R155" s="47"/>
      <c r="S155" s="47"/>
      <c r="T155" s="47">
        <v>21071</v>
      </c>
    </row>
    <row r="156" customHeight="1" spans="1:20">
      <c r="A156" s="43">
        <v>21072</v>
      </c>
      <c r="B156" s="78" t="s">
        <v>385</v>
      </c>
      <c r="C156" s="78"/>
      <c r="D156" s="43">
        <v>1</v>
      </c>
      <c r="E156" s="78" t="s">
        <v>54</v>
      </c>
      <c r="F156" s="44">
        <f t="shared" si="5"/>
        <v>2</v>
      </c>
      <c r="G156" s="85" t="s">
        <v>386</v>
      </c>
      <c r="H156" s="46" t="s">
        <v>18</v>
      </c>
      <c r="I156" s="47"/>
      <c r="J156" s="48" t="s">
        <v>42</v>
      </c>
      <c r="K156" s="86">
        <v>21072</v>
      </c>
      <c r="L156" s="87" t="s">
        <v>25</v>
      </c>
      <c r="M156" s="87" t="s">
        <v>26</v>
      </c>
      <c r="N156" s="14" t="s">
        <v>27</v>
      </c>
      <c r="O156" s="14" t="s">
        <v>28</v>
      </c>
      <c r="P156" s="51">
        <v>220</v>
      </c>
      <c r="Q156" s="47">
        <f t="shared" si="4"/>
        <v>440</v>
      </c>
      <c r="R156" s="47"/>
      <c r="S156" s="47"/>
      <c r="T156" s="47">
        <v>21072</v>
      </c>
    </row>
    <row r="157" customHeight="1" spans="1:20">
      <c r="A157" s="43">
        <v>21072</v>
      </c>
      <c r="B157" s="78" t="s">
        <v>385</v>
      </c>
      <c r="C157" s="78"/>
      <c r="D157" s="43">
        <v>1</v>
      </c>
      <c r="E157" s="78" t="s">
        <v>54</v>
      </c>
      <c r="F157" s="44">
        <f t="shared" si="5"/>
        <v>2</v>
      </c>
      <c r="G157" s="102" t="s">
        <v>387</v>
      </c>
      <c r="H157" s="46" t="s">
        <v>18</v>
      </c>
      <c r="I157" s="47"/>
      <c r="J157" s="48" t="s">
        <v>42</v>
      </c>
      <c r="K157" s="83">
        <v>21072</v>
      </c>
      <c r="L157" s="103" t="s">
        <v>25</v>
      </c>
      <c r="M157" s="103" t="s">
        <v>26</v>
      </c>
      <c r="N157" s="14" t="s">
        <v>27</v>
      </c>
      <c r="O157" s="14" t="s">
        <v>28</v>
      </c>
      <c r="P157" s="51">
        <v>220</v>
      </c>
      <c r="Q157" s="47">
        <f t="shared" si="4"/>
        <v>440</v>
      </c>
      <c r="R157" s="47"/>
      <c r="S157" s="47"/>
      <c r="T157" s="47">
        <v>21072</v>
      </c>
    </row>
    <row r="158" customHeight="1" spans="1:20">
      <c r="A158" s="43">
        <v>21074</v>
      </c>
      <c r="B158" s="78" t="s">
        <v>388</v>
      </c>
      <c r="C158" s="78"/>
      <c r="D158" s="43">
        <f>D9</f>
        <v>28</v>
      </c>
      <c r="E158" s="78" t="s">
        <v>54</v>
      </c>
      <c r="F158" s="44">
        <f t="shared" si="5"/>
        <v>56</v>
      </c>
      <c r="G158" s="85" t="s">
        <v>389</v>
      </c>
      <c r="H158" s="46" t="s">
        <v>18</v>
      </c>
      <c r="I158" s="47"/>
      <c r="J158" s="48" t="s">
        <v>42</v>
      </c>
      <c r="K158" s="86">
        <v>21074</v>
      </c>
      <c r="L158" s="87" t="s">
        <v>25</v>
      </c>
      <c r="M158" s="87" t="s">
        <v>26</v>
      </c>
      <c r="N158" s="14" t="s">
        <v>27</v>
      </c>
      <c r="O158" s="14" t="s">
        <v>28</v>
      </c>
      <c r="P158" s="51">
        <v>42</v>
      </c>
      <c r="Q158" s="47">
        <f t="shared" si="4"/>
        <v>2352</v>
      </c>
      <c r="R158" s="47"/>
      <c r="S158" s="47"/>
      <c r="T158" s="47">
        <v>21074</v>
      </c>
    </row>
    <row r="159" customHeight="1" spans="1:20">
      <c r="A159" s="43">
        <v>21076</v>
      </c>
      <c r="B159" s="78" t="s">
        <v>390</v>
      </c>
      <c r="C159" s="78"/>
      <c r="D159" s="43">
        <v>1</v>
      </c>
      <c r="E159" s="78" t="s">
        <v>32</v>
      </c>
      <c r="F159" s="44">
        <f t="shared" si="5"/>
        <v>2</v>
      </c>
      <c r="G159" s="82" t="s">
        <v>391</v>
      </c>
      <c r="H159" s="46" t="s">
        <v>18</v>
      </c>
      <c r="I159" s="47"/>
      <c r="J159" s="48" t="s">
        <v>42</v>
      </c>
      <c r="K159" s="83">
        <v>21076</v>
      </c>
      <c r="L159" s="84" t="s">
        <v>25</v>
      </c>
      <c r="M159" s="84" t="s">
        <v>26</v>
      </c>
      <c r="N159" s="14" t="s">
        <v>27</v>
      </c>
      <c r="O159" s="14" t="s">
        <v>28</v>
      </c>
      <c r="P159" s="51">
        <v>100</v>
      </c>
      <c r="Q159" s="47">
        <f t="shared" si="4"/>
        <v>200</v>
      </c>
      <c r="R159" s="47"/>
      <c r="S159" s="47"/>
      <c r="T159" s="47">
        <v>21076</v>
      </c>
    </row>
    <row r="160" customHeight="1" spans="1:20">
      <c r="A160" s="43">
        <v>21077</v>
      </c>
      <c r="B160" s="78" t="s">
        <v>392</v>
      </c>
      <c r="C160" s="78"/>
      <c r="D160" s="43">
        <v>1</v>
      </c>
      <c r="E160" s="78" t="s">
        <v>21</v>
      </c>
      <c r="F160" s="44">
        <f t="shared" si="5"/>
        <v>2</v>
      </c>
      <c r="G160" s="85" t="s">
        <v>393</v>
      </c>
      <c r="H160" s="46" t="s">
        <v>18</v>
      </c>
      <c r="I160" s="47"/>
      <c r="J160" s="48" t="s">
        <v>42</v>
      </c>
      <c r="K160" s="86">
        <v>21077</v>
      </c>
      <c r="L160" s="87" t="s">
        <v>25</v>
      </c>
      <c r="M160" s="87" t="s">
        <v>26</v>
      </c>
      <c r="N160" s="14" t="s">
        <v>27</v>
      </c>
      <c r="O160" s="14" t="s">
        <v>28</v>
      </c>
      <c r="P160" s="51">
        <v>40</v>
      </c>
      <c r="Q160" s="47">
        <f t="shared" si="4"/>
        <v>80</v>
      </c>
      <c r="R160" s="47"/>
      <c r="S160" s="47"/>
      <c r="T160" s="47">
        <v>21077</v>
      </c>
    </row>
    <row r="161" customHeight="1" spans="1:20">
      <c r="A161" s="43">
        <v>21078</v>
      </c>
      <c r="B161" s="78" t="s">
        <v>394</v>
      </c>
      <c r="C161" s="78"/>
      <c r="D161" s="43">
        <f>D9</f>
        <v>28</v>
      </c>
      <c r="E161" s="78" t="s">
        <v>21</v>
      </c>
      <c r="F161" s="44">
        <f t="shared" si="5"/>
        <v>56</v>
      </c>
      <c r="G161" s="85" t="s">
        <v>395</v>
      </c>
      <c r="H161" s="46" t="s">
        <v>18</v>
      </c>
      <c r="I161" s="47"/>
      <c r="J161" s="48" t="s">
        <v>42</v>
      </c>
      <c r="K161" s="86">
        <v>21078</v>
      </c>
      <c r="L161" s="87" t="s">
        <v>25</v>
      </c>
      <c r="M161" s="87" t="s">
        <v>26</v>
      </c>
      <c r="N161" s="14" t="s">
        <v>27</v>
      </c>
      <c r="O161" s="14" t="s">
        <v>28</v>
      </c>
      <c r="P161" s="51">
        <v>30</v>
      </c>
      <c r="Q161" s="47">
        <f t="shared" si="4"/>
        <v>1680</v>
      </c>
      <c r="R161" s="47"/>
      <c r="S161" s="47"/>
      <c r="T161" s="47">
        <v>21078</v>
      </c>
    </row>
    <row r="162" customHeight="1" spans="1:20">
      <c r="A162" s="43">
        <v>21079</v>
      </c>
      <c r="B162" s="78" t="s">
        <v>396</v>
      </c>
      <c r="C162" s="78"/>
      <c r="D162" s="43">
        <v>1</v>
      </c>
      <c r="E162" s="78" t="s">
        <v>32</v>
      </c>
      <c r="F162" s="44">
        <f t="shared" si="5"/>
        <v>2</v>
      </c>
      <c r="G162" s="82" t="s">
        <v>397</v>
      </c>
      <c r="H162" s="46" t="s">
        <v>18</v>
      </c>
      <c r="I162" s="47"/>
      <c r="J162" s="48" t="s">
        <v>42</v>
      </c>
      <c r="K162" s="83">
        <v>21079</v>
      </c>
      <c r="L162" s="84" t="s">
        <v>25</v>
      </c>
      <c r="M162" s="84" t="s">
        <v>26</v>
      </c>
      <c r="N162" s="14" t="s">
        <v>27</v>
      </c>
      <c r="O162" s="14" t="s">
        <v>28</v>
      </c>
      <c r="P162" s="51">
        <v>25</v>
      </c>
      <c r="Q162" s="47">
        <f t="shared" si="4"/>
        <v>50</v>
      </c>
      <c r="R162" s="47"/>
      <c r="S162" s="47"/>
      <c r="T162" s="47">
        <v>21079</v>
      </c>
    </row>
    <row r="163" customHeight="1" spans="1:20">
      <c r="A163" s="43">
        <v>21080</v>
      </c>
      <c r="B163" s="78" t="s">
        <v>398</v>
      </c>
      <c r="C163" s="78"/>
      <c r="D163" s="43">
        <v>1</v>
      </c>
      <c r="E163" s="78" t="s">
        <v>32</v>
      </c>
      <c r="F163" s="44">
        <f t="shared" si="5"/>
        <v>2</v>
      </c>
      <c r="G163" s="85" t="s">
        <v>399</v>
      </c>
      <c r="H163" s="46" t="s">
        <v>18</v>
      </c>
      <c r="I163" s="47"/>
      <c r="J163" s="48" t="s">
        <v>42</v>
      </c>
      <c r="K163" s="86">
        <v>21080</v>
      </c>
      <c r="L163" s="87" t="s">
        <v>25</v>
      </c>
      <c r="M163" s="87" t="s">
        <v>26</v>
      </c>
      <c r="N163" s="14" t="s">
        <v>27</v>
      </c>
      <c r="O163" s="14" t="s">
        <v>28</v>
      </c>
      <c r="P163" s="51">
        <v>3500</v>
      </c>
      <c r="Q163" s="47">
        <f t="shared" si="4"/>
        <v>7000</v>
      </c>
      <c r="R163" s="47"/>
      <c r="S163" s="47"/>
      <c r="T163" s="47">
        <v>21080</v>
      </c>
    </row>
    <row r="164" customHeight="1" spans="1:20">
      <c r="A164" s="43">
        <v>22</v>
      </c>
      <c r="B164" s="2" t="s">
        <v>400</v>
      </c>
      <c r="C164" s="2"/>
      <c r="D164" s="6"/>
      <c r="E164" s="2"/>
      <c r="F164" s="44">
        <f t="shared" si="5"/>
        <v>0</v>
      </c>
      <c r="G164" s="77"/>
      <c r="H164" s="46"/>
      <c r="I164" s="47"/>
      <c r="J164" s="48" t="s">
        <v>42</v>
      </c>
      <c r="K164" s="94"/>
      <c r="L164" s="95"/>
      <c r="M164" s="95"/>
      <c r="O164" s="14" t="s">
        <v>28</v>
      </c>
      <c r="P164" s="51"/>
      <c r="Q164" s="47">
        <f t="shared" si="4"/>
        <v>0</v>
      </c>
      <c r="R164" s="47"/>
      <c r="S164" s="47"/>
      <c r="T164" s="47"/>
    </row>
    <row r="165" customHeight="1" spans="1:20">
      <c r="A165" s="43">
        <v>22001</v>
      </c>
      <c r="B165" s="78" t="s">
        <v>401</v>
      </c>
      <c r="C165" s="78"/>
      <c r="D165" s="43">
        <f>D9</f>
        <v>28</v>
      </c>
      <c r="E165" s="78" t="s">
        <v>32</v>
      </c>
      <c r="F165" s="44">
        <f t="shared" si="5"/>
        <v>56</v>
      </c>
      <c r="G165" s="82" t="s">
        <v>402</v>
      </c>
      <c r="H165" s="46" t="s">
        <v>18</v>
      </c>
      <c r="I165" s="47"/>
      <c r="J165" s="48" t="s">
        <v>42</v>
      </c>
      <c r="K165" s="83">
        <v>22001</v>
      </c>
      <c r="L165" s="84" t="s">
        <v>25</v>
      </c>
      <c r="M165" s="84" t="s">
        <v>26</v>
      </c>
      <c r="N165" s="14" t="s">
        <v>27</v>
      </c>
      <c r="O165" s="14" t="s">
        <v>28</v>
      </c>
      <c r="P165" s="51">
        <v>21</v>
      </c>
      <c r="Q165" s="47">
        <f t="shared" si="4"/>
        <v>1176</v>
      </c>
      <c r="R165" s="47"/>
      <c r="S165" s="47"/>
      <c r="T165" s="47">
        <v>22001</v>
      </c>
    </row>
    <row r="166" customHeight="1" spans="1:20">
      <c r="A166" s="43">
        <v>22002</v>
      </c>
      <c r="B166" s="78" t="s">
        <v>401</v>
      </c>
      <c r="C166" s="78"/>
      <c r="D166" s="43">
        <f>D9</f>
        <v>28</v>
      </c>
      <c r="E166" s="78" t="s">
        <v>32</v>
      </c>
      <c r="F166" s="44">
        <f t="shared" si="5"/>
        <v>56</v>
      </c>
      <c r="G166" s="82" t="s">
        <v>403</v>
      </c>
      <c r="H166" s="46" t="s">
        <v>18</v>
      </c>
      <c r="I166" s="47"/>
      <c r="J166" s="48" t="s">
        <v>42</v>
      </c>
      <c r="K166" s="83">
        <v>22002</v>
      </c>
      <c r="L166" s="84" t="s">
        <v>25</v>
      </c>
      <c r="M166" s="84" t="s">
        <v>26</v>
      </c>
      <c r="N166" s="14" t="s">
        <v>27</v>
      </c>
      <c r="O166" s="14" t="s">
        <v>28</v>
      </c>
      <c r="P166" s="51">
        <v>21</v>
      </c>
      <c r="Q166" s="47">
        <f t="shared" si="4"/>
        <v>1176</v>
      </c>
      <c r="R166" s="47"/>
      <c r="S166" s="47"/>
      <c r="T166" s="47">
        <v>22001</v>
      </c>
    </row>
    <row r="167" customHeight="1" spans="1:20">
      <c r="A167" s="43">
        <v>22005</v>
      </c>
      <c r="B167" s="78" t="s">
        <v>404</v>
      </c>
      <c r="C167" s="78"/>
      <c r="D167" s="43">
        <v>1</v>
      </c>
      <c r="E167" s="78" t="s">
        <v>32</v>
      </c>
      <c r="F167" s="44">
        <f t="shared" si="5"/>
        <v>2</v>
      </c>
      <c r="G167" s="85" t="s">
        <v>405</v>
      </c>
      <c r="H167" s="46" t="s">
        <v>18</v>
      </c>
      <c r="I167" s="47"/>
      <c r="J167" s="48" t="s">
        <v>42</v>
      </c>
      <c r="K167" s="86">
        <v>22005</v>
      </c>
      <c r="L167" s="87" t="s">
        <v>25</v>
      </c>
      <c r="M167" s="87" t="s">
        <v>26</v>
      </c>
      <c r="N167" s="14" t="s">
        <v>27</v>
      </c>
      <c r="O167" s="14" t="s">
        <v>28</v>
      </c>
      <c r="P167" s="51">
        <v>95</v>
      </c>
      <c r="Q167" s="47">
        <f t="shared" si="4"/>
        <v>190</v>
      </c>
      <c r="R167" s="47"/>
      <c r="S167" s="47"/>
      <c r="T167" s="47">
        <v>22005</v>
      </c>
    </row>
    <row r="168" customHeight="1" spans="1:20">
      <c r="A168" s="43">
        <v>22009</v>
      </c>
      <c r="B168" s="78" t="s">
        <v>406</v>
      </c>
      <c r="C168" s="78"/>
      <c r="D168" s="43">
        <v>1</v>
      </c>
      <c r="E168" s="78" t="s">
        <v>54</v>
      </c>
      <c r="F168" s="44">
        <f t="shared" si="5"/>
        <v>2</v>
      </c>
      <c r="G168" s="85" t="s">
        <v>407</v>
      </c>
      <c r="H168" s="46" t="s">
        <v>18</v>
      </c>
      <c r="I168" s="47"/>
      <c r="J168" s="48" t="s">
        <v>42</v>
      </c>
      <c r="K168" s="86">
        <v>22009</v>
      </c>
      <c r="L168" s="87" t="s">
        <v>25</v>
      </c>
      <c r="M168" s="87" t="s">
        <v>26</v>
      </c>
      <c r="N168" s="14" t="s">
        <v>27</v>
      </c>
      <c r="O168" s="14" t="s">
        <v>28</v>
      </c>
      <c r="P168" s="51">
        <v>170</v>
      </c>
      <c r="Q168" s="47">
        <f t="shared" si="4"/>
        <v>340</v>
      </c>
      <c r="R168" s="47"/>
      <c r="S168" s="47"/>
      <c r="T168" s="47">
        <v>22009</v>
      </c>
    </row>
    <row r="169" customHeight="1" spans="1:20">
      <c r="A169" s="43">
        <v>22010</v>
      </c>
      <c r="B169" s="78" t="s">
        <v>408</v>
      </c>
      <c r="C169" s="78"/>
      <c r="D169" s="43">
        <v>1</v>
      </c>
      <c r="E169" s="78" t="s">
        <v>409</v>
      </c>
      <c r="F169" s="44">
        <f t="shared" si="5"/>
        <v>2</v>
      </c>
      <c r="G169" s="85" t="s">
        <v>410</v>
      </c>
      <c r="H169" s="46" t="s">
        <v>18</v>
      </c>
      <c r="I169" s="47"/>
      <c r="J169" s="48" t="s">
        <v>42</v>
      </c>
      <c r="K169" s="86">
        <v>22010</v>
      </c>
      <c r="L169" s="87" t="s">
        <v>25</v>
      </c>
      <c r="M169" s="87" t="s">
        <v>26</v>
      </c>
      <c r="N169" s="14" t="s">
        <v>27</v>
      </c>
      <c r="O169" s="14" t="s">
        <v>28</v>
      </c>
      <c r="P169" s="51">
        <v>60</v>
      </c>
      <c r="Q169" s="47">
        <f t="shared" si="4"/>
        <v>120</v>
      </c>
      <c r="R169" s="47"/>
      <c r="S169" s="47"/>
      <c r="T169" s="47">
        <v>22010</v>
      </c>
    </row>
    <row r="170" customHeight="1" spans="1:20">
      <c r="A170" s="43">
        <v>22012</v>
      </c>
      <c r="B170" s="78" t="s">
        <v>411</v>
      </c>
      <c r="C170" s="78"/>
      <c r="D170" s="43">
        <v>1</v>
      </c>
      <c r="E170" s="78" t="s">
        <v>54</v>
      </c>
      <c r="F170" s="44">
        <f t="shared" si="5"/>
        <v>2</v>
      </c>
      <c r="G170" s="82" t="s">
        <v>412</v>
      </c>
      <c r="H170" s="46" t="s">
        <v>18</v>
      </c>
      <c r="I170" s="47"/>
      <c r="J170" s="48" t="s">
        <v>42</v>
      </c>
      <c r="K170" s="83">
        <v>22012</v>
      </c>
      <c r="L170" s="84" t="s">
        <v>25</v>
      </c>
      <c r="M170" s="84" t="s">
        <v>26</v>
      </c>
      <c r="N170" s="14" t="s">
        <v>27</v>
      </c>
      <c r="O170" s="14" t="s">
        <v>28</v>
      </c>
      <c r="P170" s="51">
        <v>130</v>
      </c>
      <c r="Q170" s="47">
        <f t="shared" si="4"/>
        <v>260</v>
      </c>
      <c r="R170" s="47"/>
      <c r="S170" s="47"/>
      <c r="T170" s="47">
        <v>22012</v>
      </c>
    </row>
    <row r="171" customHeight="1" spans="1:20">
      <c r="A171" s="43">
        <v>22013</v>
      </c>
      <c r="B171" s="78" t="s">
        <v>413</v>
      </c>
      <c r="C171" s="78"/>
      <c r="D171" s="43">
        <v>1</v>
      </c>
      <c r="E171" s="78" t="s">
        <v>32</v>
      </c>
      <c r="F171" s="44">
        <f t="shared" si="5"/>
        <v>2</v>
      </c>
      <c r="G171" s="85" t="s">
        <v>414</v>
      </c>
      <c r="H171" s="46" t="s">
        <v>18</v>
      </c>
      <c r="I171" s="47"/>
      <c r="J171" s="48" t="s">
        <v>42</v>
      </c>
      <c r="K171" s="86">
        <v>22013</v>
      </c>
      <c r="L171" s="87" t="s">
        <v>25</v>
      </c>
      <c r="M171" s="87" t="s">
        <v>26</v>
      </c>
      <c r="N171" s="14" t="s">
        <v>27</v>
      </c>
      <c r="O171" s="14" t="s">
        <v>28</v>
      </c>
      <c r="P171" s="51">
        <v>150</v>
      </c>
      <c r="Q171" s="47">
        <f t="shared" si="4"/>
        <v>300</v>
      </c>
      <c r="R171" s="47"/>
      <c r="S171" s="47"/>
      <c r="T171" s="47">
        <v>22013</v>
      </c>
    </row>
    <row r="172" customHeight="1" spans="1:20">
      <c r="A172" s="43">
        <v>22014</v>
      </c>
      <c r="B172" s="78" t="s">
        <v>415</v>
      </c>
      <c r="C172" s="78"/>
      <c r="D172" s="43">
        <v>1</v>
      </c>
      <c r="E172" s="78" t="s">
        <v>21</v>
      </c>
      <c r="F172" s="44">
        <f t="shared" si="5"/>
        <v>2</v>
      </c>
      <c r="G172" s="85" t="s">
        <v>416</v>
      </c>
      <c r="H172" s="46" t="s">
        <v>18</v>
      </c>
      <c r="I172" s="47"/>
      <c r="J172" s="48" t="s">
        <v>42</v>
      </c>
      <c r="K172" s="86">
        <v>22014</v>
      </c>
      <c r="L172" s="87" t="s">
        <v>25</v>
      </c>
      <c r="M172" s="87" t="s">
        <v>26</v>
      </c>
      <c r="N172" s="14" t="s">
        <v>27</v>
      </c>
      <c r="O172" s="14" t="s">
        <v>28</v>
      </c>
      <c r="P172" s="51">
        <v>45</v>
      </c>
      <c r="Q172" s="47">
        <f t="shared" si="4"/>
        <v>90</v>
      </c>
      <c r="R172" s="47"/>
      <c r="S172" s="47"/>
      <c r="T172" s="47">
        <v>22014</v>
      </c>
    </row>
    <row r="173" customHeight="1" spans="1:20">
      <c r="A173" s="43">
        <v>22015</v>
      </c>
      <c r="B173" s="78" t="s">
        <v>417</v>
      </c>
      <c r="C173" s="78"/>
      <c r="D173" s="43">
        <v>1</v>
      </c>
      <c r="E173" s="78" t="s">
        <v>54</v>
      </c>
      <c r="F173" s="44">
        <f t="shared" si="5"/>
        <v>2</v>
      </c>
      <c r="G173" s="102" t="s">
        <v>418</v>
      </c>
      <c r="H173" s="46" t="s">
        <v>18</v>
      </c>
      <c r="I173" s="47"/>
      <c r="J173" s="48" t="s">
        <v>42</v>
      </c>
      <c r="K173" s="83">
        <v>22015</v>
      </c>
      <c r="L173" s="103" t="s">
        <v>25</v>
      </c>
      <c r="M173" s="103" t="s">
        <v>26</v>
      </c>
      <c r="N173" s="14" t="s">
        <v>27</v>
      </c>
      <c r="O173" s="14" t="s">
        <v>28</v>
      </c>
      <c r="P173" s="51">
        <v>230</v>
      </c>
      <c r="Q173" s="47">
        <f t="shared" si="4"/>
        <v>460</v>
      </c>
      <c r="R173" s="47"/>
      <c r="S173" s="47"/>
      <c r="T173" s="47">
        <v>22015</v>
      </c>
    </row>
    <row r="174" customHeight="1" spans="1:20">
      <c r="A174" s="43">
        <v>22016</v>
      </c>
      <c r="B174" s="78" t="s">
        <v>419</v>
      </c>
      <c r="C174" s="78"/>
      <c r="D174" s="43">
        <v>1</v>
      </c>
      <c r="E174" s="78" t="s">
        <v>32</v>
      </c>
      <c r="F174" s="44">
        <f t="shared" si="5"/>
        <v>2</v>
      </c>
      <c r="G174" s="82" t="s">
        <v>420</v>
      </c>
      <c r="H174" s="46" t="s">
        <v>18</v>
      </c>
      <c r="I174" s="47"/>
      <c r="J174" s="48" t="s">
        <v>42</v>
      </c>
      <c r="K174" s="83">
        <v>22016</v>
      </c>
      <c r="L174" s="84" t="s">
        <v>25</v>
      </c>
      <c r="M174" s="84" t="s">
        <v>26</v>
      </c>
      <c r="N174" s="14" t="s">
        <v>27</v>
      </c>
      <c r="O174" s="14" t="s">
        <v>28</v>
      </c>
      <c r="P174" s="51">
        <v>350</v>
      </c>
      <c r="Q174" s="47">
        <f t="shared" si="4"/>
        <v>700</v>
      </c>
      <c r="R174" s="47"/>
      <c r="S174" s="47"/>
      <c r="T174" s="47">
        <v>22016</v>
      </c>
    </row>
    <row r="175" customHeight="1" spans="1:20">
      <c r="A175" s="43">
        <v>22016</v>
      </c>
      <c r="B175" s="78" t="s">
        <v>419</v>
      </c>
      <c r="C175" s="78"/>
      <c r="D175" s="43">
        <v>4</v>
      </c>
      <c r="E175" s="78" t="s">
        <v>32</v>
      </c>
      <c r="F175" s="44">
        <f t="shared" si="5"/>
        <v>8</v>
      </c>
      <c r="G175" s="85" t="s">
        <v>421</v>
      </c>
      <c r="H175" s="46" t="s">
        <v>18</v>
      </c>
      <c r="I175" s="47"/>
      <c r="J175" s="48" t="s">
        <v>42</v>
      </c>
      <c r="K175" s="86">
        <v>22017</v>
      </c>
      <c r="L175" s="87" t="s">
        <v>422</v>
      </c>
      <c r="M175" s="87" t="s">
        <v>423</v>
      </c>
      <c r="N175" s="14" t="s">
        <v>27</v>
      </c>
      <c r="O175" s="14" t="s">
        <v>28</v>
      </c>
      <c r="P175" s="51">
        <v>120</v>
      </c>
      <c r="Q175" s="47">
        <f t="shared" si="4"/>
        <v>960</v>
      </c>
      <c r="R175" s="47"/>
      <c r="S175" s="47"/>
      <c r="T175" s="47">
        <v>22016</v>
      </c>
    </row>
    <row r="176" customHeight="1" spans="1:20">
      <c r="A176" s="43">
        <v>22018</v>
      </c>
      <c r="B176" s="78" t="s">
        <v>424</v>
      </c>
      <c r="C176" s="78"/>
      <c r="D176" s="43">
        <v>1</v>
      </c>
      <c r="E176" s="78" t="s">
        <v>32</v>
      </c>
      <c r="F176" s="44">
        <f t="shared" si="5"/>
        <v>2</v>
      </c>
      <c r="G176" s="85" t="s">
        <v>425</v>
      </c>
      <c r="H176" s="46" t="s">
        <v>18</v>
      </c>
      <c r="I176" s="47"/>
      <c r="J176" s="48" t="s">
        <v>42</v>
      </c>
      <c r="K176" s="86">
        <v>22018</v>
      </c>
      <c r="L176" s="87" t="s">
        <v>25</v>
      </c>
      <c r="M176" s="87" t="s">
        <v>26</v>
      </c>
      <c r="N176" s="14" t="s">
        <v>27</v>
      </c>
      <c r="O176" s="14" t="s">
        <v>28</v>
      </c>
      <c r="P176" s="51">
        <v>150</v>
      </c>
      <c r="Q176" s="47">
        <f t="shared" si="4"/>
        <v>300</v>
      </c>
      <c r="R176" s="47"/>
      <c r="S176" s="47"/>
      <c r="T176" s="47">
        <v>22018</v>
      </c>
    </row>
    <row r="177" customHeight="1" spans="1:20">
      <c r="A177" s="43">
        <v>22020</v>
      </c>
      <c r="B177" s="78" t="s">
        <v>426</v>
      </c>
      <c r="C177" s="78"/>
      <c r="D177" s="43">
        <v>1</v>
      </c>
      <c r="E177" s="78" t="s">
        <v>54</v>
      </c>
      <c r="F177" s="44">
        <f t="shared" si="5"/>
        <v>2</v>
      </c>
      <c r="G177" s="82" t="s">
        <v>427</v>
      </c>
      <c r="H177" s="46" t="s">
        <v>18</v>
      </c>
      <c r="I177" s="47"/>
      <c r="J177" s="48" t="s">
        <v>42</v>
      </c>
      <c r="K177" s="83">
        <v>22020</v>
      </c>
      <c r="L177" s="84" t="s">
        <v>25</v>
      </c>
      <c r="M177" s="84" t="s">
        <v>26</v>
      </c>
      <c r="N177" s="14" t="s">
        <v>27</v>
      </c>
      <c r="O177" s="14" t="s">
        <v>28</v>
      </c>
      <c r="P177" s="51">
        <v>200</v>
      </c>
      <c r="Q177" s="47">
        <f t="shared" si="4"/>
        <v>400</v>
      </c>
      <c r="R177" s="47"/>
      <c r="S177" s="47"/>
      <c r="T177" s="43">
        <v>22020</v>
      </c>
    </row>
    <row r="178" customHeight="1" spans="1:20">
      <c r="A178" s="43">
        <v>22021</v>
      </c>
      <c r="B178" s="78" t="s">
        <v>428</v>
      </c>
      <c r="C178" s="78"/>
      <c r="D178" s="43">
        <v>1</v>
      </c>
      <c r="E178" s="78" t="s">
        <v>54</v>
      </c>
      <c r="F178" s="44">
        <f t="shared" si="5"/>
        <v>2</v>
      </c>
      <c r="G178" s="85" t="s">
        <v>429</v>
      </c>
      <c r="H178" s="46" t="s">
        <v>18</v>
      </c>
      <c r="I178" s="47"/>
      <c r="J178" s="48" t="s">
        <v>42</v>
      </c>
      <c r="K178" s="86">
        <v>22021</v>
      </c>
      <c r="L178" s="87" t="s">
        <v>25</v>
      </c>
      <c r="M178" s="87" t="s">
        <v>26</v>
      </c>
      <c r="N178" s="14" t="s">
        <v>27</v>
      </c>
      <c r="O178" s="14" t="s">
        <v>28</v>
      </c>
      <c r="P178" s="51">
        <v>200</v>
      </c>
      <c r="Q178" s="47">
        <f t="shared" si="4"/>
        <v>400</v>
      </c>
      <c r="R178" s="47"/>
      <c r="S178" s="47"/>
      <c r="T178" s="47">
        <v>22021</v>
      </c>
    </row>
    <row r="179" customHeight="1" spans="1:20">
      <c r="A179" s="43">
        <v>22022</v>
      </c>
      <c r="B179" s="78" t="s">
        <v>430</v>
      </c>
      <c r="C179" s="78"/>
      <c r="D179" s="43">
        <v>1</v>
      </c>
      <c r="E179" s="78" t="s">
        <v>54</v>
      </c>
      <c r="F179" s="44">
        <f t="shared" si="5"/>
        <v>2</v>
      </c>
      <c r="G179" s="85" t="s">
        <v>431</v>
      </c>
      <c r="H179" s="46" t="s">
        <v>18</v>
      </c>
      <c r="I179" s="47"/>
      <c r="J179" s="48" t="s">
        <v>42</v>
      </c>
      <c r="K179" s="86">
        <v>22022</v>
      </c>
      <c r="L179" s="87" t="s">
        <v>25</v>
      </c>
      <c r="M179" s="87" t="s">
        <v>26</v>
      </c>
      <c r="N179" s="14" t="s">
        <v>27</v>
      </c>
      <c r="O179" s="14" t="s">
        <v>28</v>
      </c>
      <c r="P179" s="51">
        <v>200</v>
      </c>
      <c r="Q179" s="47">
        <f t="shared" si="4"/>
        <v>400</v>
      </c>
      <c r="R179" s="47"/>
      <c r="S179" s="47"/>
      <c r="T179" s="47">
        <v>22022</v>
      </c>
    </row>
    <row r="180" customHeight="1" spans="1:20">
      <c r="A180" s="43">
        <v>22023</v>
      </c>
      <c r="B180" s="78" t="s">
        <v>432</v>
      </c>
      <c r="C180" s="78"/>
      <c r="D180" s="43">
        <f>D9</f>
        <v>28</v>
      </c>
      <c r="E180" s="78" t="s">
        <v>142</v>
      </c>
      <c r="F180" s="44">
        <f t="shared" si="5"/>
        <v>56</v>
      </c>
      <c r="G180" s="82" t="s">
        <v>433</v>
      </c>
      <c r="H180" s="46" t="s">
        <v>18</v>
      </c>
      <c r="I180" s="47"/>
      <c r="J180" s="48" t="s">
        <v>42</v>
      </c>
      <c r="K180" s="83">
        <v>22023</v>
      </c>
      <c r="L180" s="84" t="s">
        <v>25</v>
      </c>
      <c r="M180" s="84" t="s">
        <v>26</v>
      </c>
      <c r="N180" s="14" t="s">
        <v>27</v>
      </c>
      <c r="O180" s="14" t="s">
        <v>28</v>
      </c>
      <c r="P180" s="51">
        <v>6</v>
      </c>
      <c r="Q180" s="47">
        <f t="shared" si="4"/>
        <v>336</v>
      </c>
      <c r="R180" s="47"/>
      <c r="S180" s="47"/>
      <c r="T180" s="47">
        <v>22023</v>
      </c>
    </row>
    <row r="181" customHeight="1" spans="1:20">
      <c r="A181" s="43">
        <v>22024</v>
      </c>
      <c r="B181" s="78" t="s">
        <v>434</v>
      </c>
      <c r="C181" s="78"/>
      <c r="D181" s="43">
        <v>1</v>
      </c>
      <c r="E181" s="78" t="s">
        <v>54</v>
      </c>
      <c r="F181" s="44">
        <f t="shared" si="5"/>
        <v>2</v>
      </c>
      <c r="G181" s="102" t="s">
        <v>435</v>
      </c>
      <c r="H181" s="46" t="s">
        <v>18</v>
      </c>
      <c r="I181" s="47"/>
      <c r="J181" s="48" t="s">
        <v>42</v>
      </c>
      <c r="K181" s="83">
        <v>22024</v>
      </c>
      <c r="L181" s="103" t="s">
        <v>25</v>
      </c>
      <c r="M181" s="103" t="s">
        <v>26</v>
      </c>
      <c r="N181" s="14" t="s">
        <v>27</v>
      </c>
      <c r="O181" s="14" t="s">
        <v>28</v>
      </c>
      <c r="P181" s="51">
        <v>120</v>
      </c>
      <c r="Q181" s="47">
        <f t="shared" si="4"/>
        <v>240</v>
      </c>
      <c r="R181" s="47"/>
      <c r="S181" s="47"/>
      <c r="T181" s="43">
        <v>22024</v>
      </c>
    </row>
    <row r="182" customHeight="1" spans="1:20">
      <c r="A182" s="43">
        <v>22025</v>
      </c>
      <c r="B182" s="78" t="s">
        <v>436</v>
      </c>
      <c r="C182" s="78"/>
      <c r="D182" s="43">
        <v>1</v>
      </c>
      <c r="E182" s="78" t="s">
        <v>32</v>
      </c>
      <c r="F182" s="44">
        <f t="shared" si="5"/>
        <v>2</v>
      </c>
      <c r="G182" s="85" t="s">
        <v>437</v>
      </c>
      <c r="H182" s="46" t="s">
        <v>18</v>
      </c>
      <c r="I182" s="47"/>
      <c r="J182" s="48" t="s">
        <v>42</v>
      </c>
      <c r="K182" s="86">
        <v>22025</v>
      </c>
      <c r="L182" s="87" t="s">
        <v>25</v>
      </c>
      <c r="M182" s="87" t="s">
        <v>26</v>
      </c>
      <c r="N182" s="14" t="s">
        <v>27</v>
      </c>
      <c r="O182" s="14" t="s">
        <v>28</v>
      </c>
      <c r="P182" s="51">
        <v>90</v>
      </c>
      <c r="Q182" s="47">
        <f t="shared" si="4"/>
        <v>180</v>
      </c>
      <c r="R182" s="47"/>
      <c r="S182" s="47"/>
      <c r="T182" s="47">
        <v>22025</v>
      </c>
    </row>
    <row r="183" customHeight="1" spans="1:20">
      <c r="A183" s="43">
        <v>22026</v>
      </c>
      <c r="B183" s="78" t="s">
        <v>438</v>
      </c>
      <c r="C183" s="78"/>
      <c r="D183" s="43">
        <v>1</v>
      </c>
      <c r="E183" s="78" t="s">
        <v>54</v>
      </c>
      <c r="F183" s="44">
        <f t="shared" si="5"/>
        <v>2</v>
      </c>
      <c r="G183" s="102" t="s">
        <v>439</v>
      </c>
      <c r="H183" s="46" t="s">
        <v>18</v>
      </c>
      <c r="I183" s="47"/>
      <c r="J183" s="48" t="s">
        <v>42</v>
      </c>
      <c r="K183" s="83">
        <v>22026</v>
      </c>
      <c r="L183" s="103" t="s">
        <v>25</v>
      </c>
      <c r="M183" s="103" t="s">
        <v>26</v>
      </c>
      <c r="N183" s="14" t="s">
        <v>27</v>
      </c>
      <c r="O183" s="14" t="s">
        <v>28</v>
      </c>
      <c r="P183" s="51">
        <v>90</v>
      </c>
      <c r="Q183" s="47">
        <f t="shared" si="4"/>
        <v>180</v>
      </c>
      <c r="R183" s="47"/>
      <c r="S183" s="47"/>
      <c r="T183" s="47">
        <v>22026</v>
      </c>
    </row>
    <row r="184" customHeight="1" spans="1:20">
      <c r="A184" s="43">
        <v>22027</v>
      </c>
      <c r="B184" s="78" t="s">
        <v>440</v>
      </c>
      <c r="C184" s="78"/>
      <c r="D184" s="43">
        <v>1</v>
      </c>
      <c r="E184" s="78" t="s">
        <v>54</v>
      </c>
      <c r="F184" s="44">
        <f t="shared" si="5"/>
        <v>2</v>
      </c>
      <c r="G184" s="102" t="s">
        <v>441</v>
      </c>
      <c r="H184" s="46" t="s">
        <v>18</v>
      </c>
      <c r="I184" s="47"/>
      <c r="J184" s="48" t="s">
        <v>42</v>
      </c>
      <c r="K184" s="83">
        <v>22027</v>
      </c>
      <c r="L184" s="103" t="s">
        <v>25</v>
      </c>
      <c r="M184" s="103" t="s">
        <v>26</v>
      </c>
      <c r="N184" s="14" t="s">
        <v>27</v>
      </c>
      <c r="O184" s="14" t="s">
        <v>28</v>
      </c>
      <c r="P184" s="51">
        <v>185</v>
      </c>
      <c r="Q184" s="47">
        <f t="shared" si="4"/>
        <v>370</v>
      </c>
      <c r="R184" s="47"/>
      <c r="S184" s="47"/>
      <c r="T184" s="47">
        <v>22027</v>
      </c>
    </row>
    <row r="185" customHeight="1" spans="1:20">
      <c r="A185" s="43">
        <v>22202</v>
      </c>
      <c r="B185" s="78" t="s">
        <v>442</v>
      </c>
      <c r="C185" s="78"/>
      <c r="D185" s="43">
        <v>4</v>
      </c>
      <c r="E185" s="78" t="s">
        <v>32</v>
      </c>
      <c r="F185" s="44">
        <f t="shared" si="5"/>
        <v>8</v>
      </c>
      <c r="G185" s="85" t="s">
        <v>443</v>
      </c>
      <c r="H185" s="46" t="s">
        <v>18</v>
      </c>
      <c r="I185" s="47"/>
      <c r="J185" s="48" t="s">
        <v>42</v>
      </c>
      <c r="K185" s="86">
        <v>22202</v>
      </c>
      <c r="L185" s="87" t="s">
        <v>25</v>
      </c>
      <c r="M185" s="87" t="s">
        <v>26</v>
      </c>
      <c r="N185" s="14" t="s">
        <v>27</v>
      </c>
      <c r="O185" s="14" t="s">
        <v>28</v>
      </c>
      <c r="P185" s="51">
        <v>25</v>
      </c>
      <c r="Q185" s="47">
        <f t="shared" si="4"/>
        <v>200</v>
      </c>
      <c r="R185" s="47"/>
      <c r="S185" s="47"/>
      <c r="T185" s="47">
        <v>22202</v>
      </c>
    </row>
    <row r="186" customHeight="1" spans="1:20">
      <c r="A186" s="43">
        <v>22203</v>
      </c>
      <c r="B186" s="78" t="s">
        <v>444</v>
      </c>
      <c r="C186" s="78"/>
      <c r="D186" s="43">
        <v>4</v>
      </c>
      <c r="E186" s="78" t="s">
        <v>21</v>
      </c>
      <c r="F186" s="44">
        <f t="shared" si="5"/>
        <v>8</v>
      </c>
      <c r="G186" s="85" t="s">
        <v>445</v>
      </c>
      <c r="H186" s="46" t="s">
        <v>18</v>
      </c>
      <c r="I186" s="47"/>
      <c r="J186" s="48" t="s">
        <v>42</v>
      </c>
      <c r="K186" s="86">
        <v>22203</v>
      </c>
      <c r="L186" s="87" t="s">
        <v>25</v>
      </c>
      <c r="M186" s="87" t="s">
        <v>26</v>
      </c>
      <c r="N186" s="14" t="s">
        <v>27</v>
      </c>
      <c r="O186" s="14" t="s">
        <v>28</v>
      </c>
      <c r="P186" s="51">
        <v>16</v>
      </c>
      <c r="Q186" s="47">
        <f t="shared" si="4"/>
        <v>128</v>
      </c>
      <c r="R186" s="47"/>
      <c r="S186" s="47"/>
      <c r="T186" s="47">
        <v>22203</v>
      </c>
    </row>
    <row r="187" customHeight="1" spans="1:20">
      <c r="A187" s="43">
        <v>22209</v>
      </c>
      <c r="B187" s="78" t="s">
        <v>446</v>
      </c>
      <c r="C187" s="78"/>
      <c r="D187" s="43">
        <v>1</v>
      </c>
      <c r="E187" s="78" t="s">
        <v>21</v>
      </c>
      <c r="F187" s="44">
        <f t="shared" si="5"/>
        <v>2</v>
      </c>
      <c r="G187" s="85" t="s">
        <v>447</v>
      </c>
      <c r="H187" s="46" t="s">
        <v>18</v>
      </c>
      <c r="I187" s="47"/>
      <c r="J187" s="48" t="s">
        <v>42</v>
      </c>
      <c r="K187" s="86">
        <v>22209</v>
      </c>
      <c r="L187" s="87" t="s">
        <v>25</v>
      </c>
      <c r="M187" s="87" t="s">
        <v>26</v>
      </c>
      <c r="N187" s="14" t="s">
        <v>27</v>
      </c>
      <c r="O187" s="14" t="s">
        <v>28</v>
      </c>
      <c r="P187" s="51">
        <v>9</v>
      </c>
      <c r="Q187" s="47">
        <f t="shared" si="4"/>
        <v>18</v>
      </c>
      <c r="R187" s="47"/>
      <c r="S187" s="47"/>
      <c r="T187" s="47">
        <v>22209</v>
      </c>
    </row>
    <row r="188" customHeight="1" spans="1:20">
      <c r="A188" s="43">
        <v>22210</v>
      </c>
      <c r="B188" s="78" t="s">
        <v>448</v>
      </c>
      <c r="C188" s="78"/>
      <c r="D188" s="43">
        <v>1</v>
      </c>
      <c r="E188" s="78" t="s">
        <v>32</v>
      </c>
      <c r="F188" s="44">
        <f t="shared" si="5"/>
        <v>2</v>
      </c>
      <c r="G188" s="85" t="s">
        <v>449</v>
      </c>
      <c r="H188" s="46" t="s">
        <v>18</v>
      </c>
      <c r="I188" s="47"/>
      <c r="J188" s="48" t="s">
        <v>42</v>
      </c>
      <c r="K188" s="86">
        <v>22210</v>
      </c>
      <c r="L188" s="87" t="s">
        <v>25</v>
      </c>
      <c r="M188" s="87" t="s">
        <v>26</v>
      </c>
      <c r="N188" s="14" t="s">
        <v>27</v>
      </c>
      <c r="O188" s="14" t="s">
        <v>28</v>
      </c>
      <c r="P188" s="51">
        <v>45</v>
      </c>
      <c r="Q188" s="47">
        <f t="shared" si="4"/>
        <v>90</v>
      </c>
      <c r="R188" s="47"/>
      <c r="S188" s="47"/>
      <c r="T188" s="47">
        <v>22210</v>
      </c>
    </row>
    <row r="189" customHeight="1" spans="1:20">
      <c r="A189" s="43">
        <v>22213</v>
      </c>
      <c r="B189" s="78" t="s">
        <v>450</v>
      </c>
      <c r="C189" s="78"/>
      <c r="D189" s="43">
        <v>1</v>
      </c>
      <c r="E189" s="78" t="s">
        <v>54</v>
      </c>
      <c r="F189" s="44">
        <f t="shared" si="5"/>
        <v>2</v>
      </c>
      <c r="G189" s="82" t="s">
        <v>451</v>
      </c>
      <c r="H189" s="46" t="s">
        <v>18</v>
      </c>
      <c r="I189" s="47"/>
      <c r="J189" s="48" t="s">
        <v>42</v>
      </c>
      <c r="K189" s="83">
        <v>22213</v>
      </c>
      <c r="L189" s="84" t="s">
        <v>25</v>
      </c>
      <c r="M189" s="84" t="s">
        <v>26</v>
      </c>
      <c r="N189" s="14" t="s">
        <v>27</v>
      </c>
      <c r="O189" s="14" t="s">
        <v>28</v>
      </c>
      <c r="P189" s="51">
        <v>30</v>
      </c>
      <c r="Q189" s="47">
        <f t="shared" si="4"/>
        <v>60</v>
      </c>
      <c r="R189" s="47"/>
      <c r="S189" s="47"/>
      <c r="T189" s="47">
        <v>22213</v>
      </c>
    </row>
    <row r="190" customHeight="1" spans="1:20">
      <c r="A190" s="43">
        <v>22215</v>
      </c>
      <c r="B190" s="78" t="s">
        <v>452</v>
      </c>
      <c r="C190" s="78"/>
      <c r="D190" s="43">
        <f>D9</f>
        <v>28</v>
      </c>
      <c r="E190" s="78" t="s">
        <v>32</v>
      </c>
      <c r="F190" s="44">
        <f t="shared" si="5"/>
        <v>56</v>
      </c>
      <c r="G190" s="82" t="s">
        <v>453</v>
      </c>
      <c r="H190" s="46" t="s">
        <v>18</v>
      </c>
      <c r="I190" s="47"/>
      <c r="J190" s="48" t="s">
        <v>42</v>
      </c>
      <c r="K190" s="83">
        <v>22215</v>
      </c>
      <c r="L190" s="84" t="s">
        <v>25</v>
      </c>
      <c r="M190" s="84" t="s">
        <v>26</v>
      </c>
      <c r="N190" s="14" t="s">
        <v>27</v>
      </c>
      <c r="O190" s="14" t="s">
        <v>28</v>
      </c>
      <c r="P190" s="51">
        <v>20</v>
      </c>
      <c r="Q190" s="47">
        <f t="shared" si="4"/>
        <v>1120</v>
      </c>
      <c r="R190" s="47"/>
      <c r="S190" s="47"/>
      <c r="T190" s="47">
        <v>22215</v>
      </c>
    </row>
    <row r="191" customHeight="1" spans="1:20">
      <c r="A191" s="43">
        <v>22216</v>
      </c>
      <c r="B191" s="78" t="s">
        <v>454</v>
      </c>
      <c r="C191" s="78"/>
      <c r="D191" s="43">
        <v>1</v>
      </c>
      <c r="E191" s="78" t="s">
        <v>21</v>
      </c>
      <c r="F191" s="44">
        <f t="shared" si="5"/>
        <v>2</v>
      </c>
      <c r="G191" s="85" t="s">
        <v>455</v>
      </c>
      <c r="H191" s="46" t="s">
        <v>18</v>
      </c>
      <c r="I191" s="47"/>
      <c r="J191" s="48" t="s">
        <v>42</v>
      </c>
      <c r="K191" s="86">
        <v>22216</v>
      </c>
      <c r="L191" s="87" t="s">
        <v>25</v>
      </c>
      <c r="M191" s="87" t="s">
        <v>26</v>
      </c>
      <c r="N191" s="14" t="s">
        <v>27</v>
      </c>
      <c r="O191" s="14" t="s">
        <v>28</v>
      </c>
      <c r="P191" s="51">
        <v>20</v>
      </c>
      <c r="Q191" s="47">
        <f t="shared" si="4"/>
        <v>40</v>
      </c>
      <c r="R191" s="47"/>
      <c r="S191" s="47"/>
      <c r="T191" s="47">
        <v>22216</v>
      </c>
    </row>
    <row r="192" customHeight="1" spans="1:20">
      <c r="A192" s="43">
        <v>22217</v>
      </c>
      <c r="B192" s="78" t="s">
        <v>456</v>
      </c>
      <c r="C192" s="78"/>
      <c r="D192" s="43">
        <v>1</v>
      </c>
      <c r="E192" s="78" t="s">
        <v>32</v>
      </c>
      <c r="F192" s="44">
        <f t="shared" si="5"/>
        <v>2</v>
      </c>
      <c r="G192" s="85" t="s">
        <v>457</v>
      </c>
      <c r="H192" s="46" t="s">
        <v>18</v>
      </c>
      <c r="I192" s="47"/>
      <c r="J192" s="48" t="s">
        <v>42</v>
      </c>
      <c r="K192" s="86">
        <v>22217</v>
      </c>
      <c r="L192" s="87" t="s">
        <v>25</v>
      </c>
      <c r="M192" s="87" t="s">
        <v>26</v>
      </c>
      <c r="N192" s="14" t="s">
        <v>27</v>
      </c>
      <c r="O192" s="14" t="s">
        <v>28</v>
      </c>
      <c r="P192" s="51">
        <v>14</v>
      </c>
      <c r="Q192" s="47">
        <f t="shared" si="4"/>
        <v>28</v>
      </c>
      <c r="R192" s="47"/>
      <c r="S192" s="47"/>
      <c r="T192" s="47">
        <v>22217</v>
      </c>
    </row>
    <row r="193" customHeight="1" spans="1:20">
      <c r="A193" s="43">
        <v>22218</v>
      </c>
      <c r="B193" s="78" t="s">
        <v>458</v>
      </c>
      <c r="C193" s="78"/>
      <c r="D193" s="43">
        <f>D9</f>
        <v>28</v>
      </c>
      <c r="E193" s="78" t="s">
        <v>32</v>
      </c>
      <c r="F193" s="44">
        <f t="shared" si="5"/>
        <v>56</v>
      </c>
      <c r="G193" s="85" t="s">
        <v>457</v>
      </c>
      <c r="H193" s="46" t="s">
        <v>18</v>
      </c>
      <c r="I193" s="47"/>
      <c r="J193" s="48" t="s">
        <v>42</v>
      </c>
      <c r="K193" s="86">
        <v>22218</v>
      </c>
      <c r="L193" s="87" t="s">
        <v>25</v>
      </c>
      <c r="M193" s="87" t="s">
        <v>26</v>
      </c>
      <c r="N193" s="14" t="s">
        <v>27</v>
      </c>
      <c r="O193" s="14" t="s">
        <v>28</v>
      </c>
      <c r="P193" s="51">
        <v>14</v>
      </c>
      <c r="Q193" s="47">
        <f t="shared" si="4"/>
        <v>784</v>
      </c>
      <c r="R193" s="47"/>
      <c r="S193" s="47"/>
      <c r="T193" s="47">
        <v>22218</v>
      </c>
    </row>
    <row r="194" customHeight="1" spans="1:20">
      <c r="A194" s="43">
        <v>22219</v>
      </c>
      <c r="B194" s="78" t="s">
        <v>459</v>
      </c>
      <c r="C194" s="78"/>
      <c r="D194" s="43">
        <v>1</v>
      </c>
      <c r="E194" s="78" t="s">
        <v>32</v>
      </c>
      <c r="F194" s="44">
        <f t="shared" si="5"/>
        <v>2</v>
      </c>
      <c r="G194" s="85" t="s">
        <v>460</v>
      </c>
      <c r="H194" s="46" t="s">
        <v>18</v>
      </c>
      <c r="I194" s="47"/>
      <c r="J194" s="48" t="s">
        <v>42</v>
      </c>
      <c r="K194" s="86">
        <v>22219</v>
      </c>
      <c r="L194" s="87" t="s">
        <v>25</v>
      </c>
      <c r="M194" s="87" t="s">
        <v>26</v>
      </c>
      <c r="N194" s="14" t="s">
        <v>27</v>
      </c>
      <c r="O194" s="14" t="s">
        <v>28</v>
      </c>
      <c r="P194" s="51">
        <v>12</v>
      </c>
      <c r="Q194" s="47">
        <f t="shared" si="4"/>
        <v>24</v>
      </c>
      <c r="R194" s="47"/>
      <c r="S194" s="47"/>
      <c r="T194" s="47">
        <v>22219</v>
      </c>
    </row>
    <row r="195" customHeight="1" spans="1:20">
      <c r="A195" s="43">
        <v>22220</v>
      </c>
      <c r="B195" s="78" t="s">
        <v>461</v>
      </c>
      <c r="C195" s="78"/>
      <c r="D195" s="43">
        <v>1</v>
      </c>
      <c r="E195" s="78" t="s">
        <v>54</v>
      </c>
      <c r="F195" s="44">
        <f t="shared" si="5"/>
        <v>2</v>
      </c>
      <c r="G195" s="85" t="s">
        <v>462</v>
      </c>
      <c r="H195" s="46" t="s">
        <v>18</v>
      </c>
      <c r="I195" s="47"/>
      <c r="J195" s="48" t="s">
        <v>42</v>
      </c>
      <c r="K195" s="86">
        <v>22220</v>
      </c>
      <c r="L195" s="87" t="s">
        <v>25</v>
      </c>
      <c r="M195" s="87" t="s">
        <v>26</v>
      </c>
      <c r="N195" s="14" t="s">
        <v>27</v>
      </c>
      <c r="O195" s="14" t="s">
        <v>28</v>
      </c>
      <c r="P195" s="51">
        <v>175</v>
      </c>
      <c r="Q195" s="47">
        <f t="shared" si="4"/>
        <v>350</v>
      </c>
      <c r="R195" s="47"/>
      <c r="S195" s="47"/>
      <c r="T195" s="47">
        <v>22220</v>
      </c>
    </row>
    <row r="196" customHeight="1" spans="1:20">
      <c r="A196" s="43">
        <v>22222</v>
      </c>
      <c r="B196" s="78" t="s">
        <v>463</v>
      </c>
      <c r="C196" s="78"/>
      <c r="D196" s="43">
        <f>D9</f>
        <v>28</v>
      </c>
      <c r="E196" s="78" t="s">
        <v>32</v>
      </c>
      <c r="F196" s="44">
        <f t="shared" si="5"/>
        <v>56</v>
      </c>
      <c r="G196" s="85" t="s">
        <v>464</v>
      </c>
      <c r="H196" s="46" t="s">
        <v>18</v>
      </c>
      <c r="I196" s="47"/>
      <c r="J196" s="48" t="s">
        <v>42</v>
      </c>
      <c r="K196" s="86">
        <v>22222</v>
      </c>
      <c r="L196" s="87" t="s">
        <v>25</v>
      </c>
      <c r="M196" s="87" t="s">
        <v>26</v>
      </c>
      <c r="N196" s="14" t="s">
        <v>27</v>
      </c>
      <c r="O196" s="14" t="s">
        <v>28</v>
      </c>
      <c r="P196" s="51">
        <v>14</v>
      </c>
      <c r="Q196" s="47">
        <f t="shared" ref="Q196:Q259" si="6">P196*F196</f>
        <v>784</v>
      </c>
      <c r="R196" s="47"/>
      <c r="S196" s="47"/>
      <c r="T196" s="47">
        <v>22222</v>
      </c>
    </row>
    <row r="197" customHeight="1" spans="1:20">
      <c r="A197" s="43">
        <v>22223</v>
      </c>
      <c r="B197" s="78" t="s">
        <v>465</v>
      </c>
      <c r="C197" s="78"/>
      <c r="D197" s="43">
        <v>1</v>
      </c>
      <c r="E197" s="78" t="s">
        <v>32</v>
      </c>
      <c r="F197" s="44">
        <f t="shared" si="5"/>
        <v>2</v>
      </c>
      <c r="G197" s="82" t="s">
        <v>466</v>
      </c>
      <c r="H197" s="46" t="s">
        <v>18</v>
      </c>
      <c r="I197" s="47"/>
      <c r="J197" s="48" t="s">
        <v>42</v>
      </c>
      <c r="K197" s="83">
        <v>22223</v>
      </c>
      <c r="L197" s="84" t="s">
        <v>25</v>
      </c>
      <c r="M197" s="84" t="s">
        <v>26</v>
      </c>
      <c r="N197" s="14" t="s">
        <v>27</v>
      </c>
      <c r="O197" s="14" t="s">
        <v>28</v>
      </c>
      <c r="P197" s="114">
        <v>85</v>
      </c>
      <c r="Q197" s="47">
        <f t="shared" si="6"/>
        <v>170</v>
      </c>
      <c r="R197" s="47"/>
      <c r="S197" s="47"/>
      <c r="T197" s="43">
        <v>22223</v>
      </c>
    </row>
    <row r="198" customHeight="1" spans="1:20">
      <c r="A198" s="43">
        <v>22224</v>
      </c>
      <c r="B198" s="78" t="s">
        <v>467</v>
      </c>
      <c r="C198" s="78"/>
      <c r="D198" s="43">
        <v>1</v>
      </c>
      <c r="E198" s="78" t="s">
        <v>32</v>
      </c>
      <c r="F198" s="44">
        <f t="shared" si="5"/>
        <v>2</v>
      </c>
      <c r="G198" s="85" t="s">
        <v>468</v>
      </c>
      <c r="H198" s="46" t="s">
        <v>18</v>
      </c>
      <c r="I198" s="47"/>
      <c r="J198" s="48" t="s">
        <v>42</v>
      </c>
      <c r="K198" s="86">
        <v>22224</v>
      </c>
      <c r="L198" s="87" t="s">
        <v>25</v>
      </c>
      <c r="M198" s="87" t="s">
        <v>26</v>
      </c>
      <c r="N198" s="14" t="s">
        <v>27</v>
      </c>
      <c r="O198" s="14" t="s">
        <v>28</v>
      </c>
      <c r="P198" s="114">
        <v>115</v>
      </c>
      <c r="Q198" s="47">
        <f t="shared" si="6"/>
        <v>230</v>
      </c>
      <c r="R198" s="47"/>
      <c r="S198" s="47"/>
      <c r="T198" s="43">
        <v>22224</v>
      </c>
    </row>
    <row r="199" customHeight="1" spans="1:20">
      <c r="A199" s="43">
        <v>22225</v>
      </c>
      <c r="B199" s="78" t="s">
        <v>469</v>
      </c>
      <c r="C199" s="78"/>
      <c r="D199" s="43">
        <v>1</v>
      </c>
      <c r="E199" s="78" t="s">
        <v>32</v>
      </c>
      <c r="F199" s="44">
        <f t="shared" si="5"/>
        <v>2</v>
      </c>
      <c r="G199" s="85" t="s">
        <v>470</v>
      </c>
      <c r="H199" s="46" t="s">
        <v>18</v>
      </c>
      <c r="I199" s="47"/>
      <c r="J199" s="48" t="s">
        <v>42</v>
      </c>
      <c r="K199" s="86">
        <v>22225</v>
      </c>
      <c r="L199" s="87" t="s">
        <v>25</v>
      </c>
      <c r="M199" s="87" t="s">
        <v>26</v>
      </c>
      <c r="N199" s="14" t="s">
        <v>27</v>
      </c>
      <c r="O199" s="14" t="s">
        <v>28</v>
      </c>
      <c r="P199" s="51">
        <v>120</v>
      </c>
      <c r="Q199" s="47">
        <f t="shared" si="6"/>
        <v>240</v>
      </c>
      <c r="R199" s="47"/>
      <c r="S199" s="47"/>
      <c r="T199" s="47">
        <v>22225</v>
      </c>
    </row>
    <row r="200" customHeight="1" spans="1:20">
      <c r="A200" s="43">
        <v>22227</v>
      </c>
      <c r="B200" s="78" t="s">
        <v>471</v>
      </c>
      <c r="C200" s="78"/>
      <c r="D200" s="43">
        <v>2</v>
      </c>
      <c r="E200" s="78" t="s">
        <v>32</v>
      </c>
      <c r="F200" s="44">
        <f t="shared" si="5"/>
        <v>4</v>
      </c>
      <c r="G200" s="82" t="s">
        <v>472</v>
      </c>
      <c r="H200" s="46" t="s">
        <v>18</v>
      </c>
      <c r="I200" s="47"/>
      <c r="J200" s="48" t="s">
        <v>42</v>
      </c>
      <c r="K200" s="83">
        <v>22227</v>
      </c>
      <c r="L200" s="84" t="s">
        <v>25</v>
      </c>
      <c r="M200" s="84" t="s">
        <v>26</v>
      </c>
      <c r="N200" s="14" t="s">
        <v>27</v>
      </c>
      <c r="O200" s="14" t="s">
        <v>28</v>
      </c>
      <c r="P200" s="51">
        <v>90</v>
      </c>
      <c r="Q200" s="47">
        <f t="shared" si="6"/>
        <v>360</v>
      </c>
      <c r="R200" s="47"/>
      <c r="S200" s="47"/>
      <c r="T200" s="47">
        <v>22227</v>
      </c>
    </row>
    <row r="201" customHeight="1" spans="1:20">
      <c r="A201" s="6">
        <v>23</v>
      </c>
      <c r="B201" s="2" t="s">
        <v>473</v>
      </c>
      <c r="C201" s="2"/>
      <c r="D201" s="6"/>
      <c r="E201" s="2"/>
      <c r="F201" s="44">
        <f t="shared" ref="F201:F264" si="7">D201*2</f>
        <v>0</v>
      </c>
      <c r="G201" s="77"/>
      <c r="H201" s="46"/>
      <c r="I201" s="47"/>
      <c r="J201" s="48" t="s">
        <v>42</v>
      </c>
      <c r="K201" s="94"/>
      <c r="L201" s="95"/>
      <c r="M201" s="95"/>
      <c r="O201" s="14" t="s">
        <v>28</v>
      </c>
      <c r="P201" s="51"/>
      <c r="Q201" s="47">
        <f t="shared" si="6"/>
        <v>0</v>
      </c>
      <c r="R201" s="47"/>
      <c r="S201" s="47"/>
      <c r="T201" s="47"/>
    </row>
    <row r="202" customHeight="1" spans="1:20">
      <c r="A202" s="43">
        <v>23001</v>
      </c>
      <c r="B202" s="78" t="s">
        <v>474</v>
      </c>
      <c r="C202" s="78"/>
      <c r="D202" s="43">
        <v>1</v>
      </c>
      <c r="E202" s="78" t="s">
        <v>409</v>
      </c>
      <c r="F202" s="44">
        <f t="shared" si="7"/>
        <v>2</v>
      </c>
      <c r="G202" s="115" t="s">
        <v>475</v>
      </c>
      <c r="H202" s="46" t="s">
        <v>18</v>
      </c>
      <c r="I202" s="47"/>
      <c r="J202" s="48" t="s">
        <v>42</v>
      </c>
      <c r="K202" s="86">
        <v>23001</v>
      </c>
      <c r="L202" s="86" t="s">
        <v>25</v>
      </c>
      <c r="M202" s="86" t="s">
        <v>26</v>
      </c>
      <c r="N202" s="14" t="s">
        <v>27</v>
      </c>
      <c r="O202" s="14" t="s">
        <v>28</v>
      </c>
      <c r="P202" s="51">
        <v>6.5</v>
      </c>
      <c r="Q202" s="47">
        <f t="shared" si="6"/>
        <v>13</v>
      </c>
      <c r="R202" s="47"/>
      <c r="S202" s="47"/>
      <c r="T202" s="47">
        <v>23001</v>
      </c>
    </row>
    <row r="203" customHeight="1" spans="1:20">
      <c r="A203" s="43">
        <v>23003</v>
      </c>
      <c r="B203" s="78" t="s">
        <v>476</v>
      </c>
      <c r="C203" s="78"/>
      <c r="D203" s="43">
        <v>1</v>
      </c>
      <c r="E203" s="78" t="s">
        <v>409</v>
      </c>
      <c r="F203" s="44">
        <f t="shared" si="7"/>
        <v>2</v>
      </c>
      <c r="G203" s="115" t="s">
        <v>477</v>
      </c>
      <c r="H203" s="46" t="s">
        <v>18</v>
      </c>
      <c r="I203" s="47"/>
      <c r="J203" s="48" t="s">
        <v>42</v>
      </c>
      <c r="K203" s="86">
        <v>23003</v>
      </c>
      <c r="L203" s="86" t="s">
        <v>25</v>
      </c>
      <c r="M203" s="86" t="s">
        <v>26</v>
      </c>
      <c r="N203" s="14" t="s">
        <v>27</v>
      </c>
      <c r="O203" s="14" t="s">
        <v>28</v>
      </c>
      <c r="P203" s="51">
        <v>6.5</v>
      </c>
      <c r="Q203" s="47">
        <f t="shared" si="6"/>
        <v>13</v>
      </c>
      <c r="R203" s="47"/>
      <c r="S203" s="47"/>
      <c r="T203" s="47">
        <v>23003</v>
      </c>
    </row>
    <row r="204" customHeight="1" spans="1:20">
      <c r="A204" s="43">
        <v>23005</v>
      </c>
      <c r="B204" s="78" t="s">
        <v>478</v>
      </c>
      <c r="C204" s="78"/>
      <c r="D204" s="43">
        <v>1</v>
      </c>
      <c r="E204" s="78" t="s">
        <v>409</v>
      </c>
      <c r="F204" s="44">
        <f t="shared" si="7"/>
        <v>2</v>
      </c>
      <c r="G204" s="85" t="s">
        <v>479</v>
      </c>
      <c r="H204" s="46" t="s">
        <v>18</v>
      </c>
      <c r="I204" s="47"/>
      <c r="J204" s="48" t="s">
        <v>42</v>
      </c>
      <c r="K204" s="86">
        <v>23005</v>
      </c>
      <c r="L204" s="87" t="s">
        <v>25</v>
      </c>
      <c r="M204" s="87" t="s">
        <v>26</v>
      </c>
      <c r="N204" s="14" t="s">
        <v>27</v>
      </c>
      <c r="O204" s="14" t="s">
        <v>28</v>
      </c>
      <c r="P204" s="51">
        <v>15</v>
      </c>
      <c r="Q204" s="47">
        <f t="shared" si="6"/>
        <v>30</v>
      </c>
      <c r="R204" s="47"/>
      <c r="S204" s="47"/>
      <c r="T204" s="47">
        <v>23005</v>
      </c>
    </row>
    <row r="205" customHeight="1" spans="1:20">
      <c r="A205" s="43">
        <v>23005</v>
      </c>
      <c r="B205" s="78" t="s">
        <v>478</v>
      </c>
      <c r="C205" s="78"/>
      <c r="D205" s="43">
        <f>D9</f>
        <v>28</v>
      </c>
      <c r="E205" s="78" t="s">
        <v>409</v>
      </c>
      <c r="F205" s="44">
        <f t="shared" si="7"/>
        <v>56</v>
      </c>
      <c r="G205" s="85" t="s">
        <v>480</v>
      </c>
      <c r="H205" s="46" t="s">
        <v>18</v>
      </c>
      <c r="I205" s="47"/>
      <c r="J205" s="48" t="s">
        <v>42</v>
      </c>
      <c r="K205" s="86">
        <v>23005</v>
      </c>
      <c r="L205" s="87" t="s">
        <v>25</v>
      </c>
      <c r="M205" s="87" t="s">
        <v>26</v>
      </c>
      <c r="N205" s="14" t="s">
        <v>27</v>
      </c>
      <c r="O205" s="14" t="s">
        <v>28</v>
      </c>
      <c r="P205" s="51">
        <v>15</v>
      </c>
      <c r="Q205" s="47">
        <f t="shared" si="6"/>
        <v>840</v>
      </c>
      <c r="R205" s="47"/>
      <c r="S205" s="47"/>
      <c r="T205" s="47">
        <v>23005</v>
      </c>
    </row>
    <row r="206" customHeight="1" spans="1:20">
      <c r="A206" s="43">
        <v>23007</v>
      </c>
      <c r="B206" s="78" t="s">
        <v>481</v>
      </c>
      <c r="C206" s="78"/>
      <c r="D206" s="43">
        <v>1</v>
      </c>
      <c r="E206" s="78" t="s">
        <v>409</v>
      </c>
      <c r="F206" s="44">
        <f t="shared" si="7"/>
        <v>2</v>
      </c>
      <c r="G206" s="82" t="s">
        <v>482</v>
      </c>
      <c r="H206" s="46" t="s">
        <v>18</v>
      </c>
      <c r="I206" s="47"/>
      <c r="J206" s="48" t="s">
        <v>42</v>
      </c>
      <c r="K206" s="83">
        <v>23007</v>
      </c>
      <c r="L206" s="84" t="s">
        <v>25</v>
      </c>
      <c r="M206" s="84" t="s">
        <v>26</v>
      </c>
      <c r="N206" s="14" t="s">
        <v>27</v>
      </c>
      <c r="O206" s="14" t="s">
        <v>28</v>
      </c>
      <c r="P206" s="51">
        <v>75</v>
      </c>
      <c r="Q206" s="47">
        <f t="shared" si="6"/>
        <v>150</v>
      </c>
      <c r="R206" s="47"/>
      <c r="S206" s="47"/>
      <c r="T206" s="43">
        <v>23007</v>
      </c>
    </row>
    <row r="207" customHeight="1" spans="1:20">
      <c r="A207" s="43">
        <v>23008</v>
      </c>
      <c r="B207" s="78" t="s">
        <v>483</v>
      </c>
      <c r="C207" s="78"/>
      <c r="D207" s="43">
        <v>10</v>
      </c>
      <c r="E207" s="78" t="s">
        <v>54</v>
      </c>
      <c r="F207" s="44">
        <f t="shared" si="7"/>
        <v>20</v>
      </c>
      <c r="G207" s="102" t="s">
        <v>484</v>
      </c>
      <c r="H207" s="46" t="s">
        <v>18</v>
      </c>
      <c r="I207" s="47"/>
      <c r="J207" s="48" t="s">
        <v>42</v>
      </c>
      <c r="K207" s="83">
        <v>23008</v>
      </c>
      <c r="L207" s="103" t="s">
        <v>25</v>
      </c>
      <c r="M207" s="103" t="s">
        <v>26</v>
      </c>
      <c r="N207" s="14" t="s">
        <v>27</v>
      </c>
      <c r="O207" s="14" t="s">
        <v>28</v>
      </c>
      <c r="P207" s="51">
        <v>95</v>
      </c>
      <c r="Q207" s="47">
        <f t="shared" si="6"/>
        <v>1900</v>
      </c>
      <c r="R207" s="47"/>
      <c r="S207" s="47"/>
      <c r="T207" s="47">
        <v>23008</v>
      </c>
    </row>
    <row r="208" customHeight="1" spans="1:20">
      <c r="A208" s="43">
        <v>23009</v>
      </c>
      <c r="B208" s="78" t="s">
        <v>485</v>
      </c>
      <c r="C208" s="78"/>
      <c r="D208" s="43">
        <v>1</v>
      </c>
      <c r="E208" s="78" t="s">
        <v>486</v>
      </c>
      <c r="F208" s="44">
        <f t="shared" si="7"/>
        <v>2</v>
      </c>
      <c r="G208" s="82" t="s">
        <v>487</v>
      </c>
      <c r="H208" s="46" t="s">
        <v>18</v>
      </c>
      <c r="I208" s="47"/>
      <c r="J208" s="48" t="s">
        <v>42</v>
      </c>
      <c r="K208" s="83">
        <v>23009</v>
      </c>
      <c r="L208" s="84" t="s">
        <v>25</v>
      </c>
      <c r="M208" s="84" t="s">
        <v>26</v>
      </c>
      <c r="N208" s="14" t="s">
        <v>27</v>
      </c>
      <c r="O208" s="14" t="s">
        <v>28</v>
      </c>
      <c r="P208" s="51">
        <v>35</v>
      </c>
      <c r="Q208" s="47">
        <f t="shared" si="6"/>
        <v>70</v>
      </c>
      <c r="R208" s="47"/>
      <c r="S208" s="47"/>
      <c r="T208" s="47">
        <v>23009</v>
      </c>
    </row>
    <row r="209" customHeight="1" spans="1:20">
      <c r="A209" s="43">
        <v>23010</v>
      </c>
      <c r="B209" s="78" t="s">
        <v>488</v>
      </c>
      <c r="C209" s="78"/>
      <c r="D209" s="43">
        <v>100</v>
      </c>
      <c r="E209" s="78" t="s">
        <v>21</v>
      </c>
      <c r="F209" s="44">
        <f t="shared" si="7"/>
        <v>200</v>
      </c>
      <c r="G209" s="85" t="s">
        <v>489</v>
      </c>
      <c r="H209" s="46" t="s">
        <v>18</v>
      </c>
      <c r="I209" s="47"/>
      <c r="J209" s="48" t="s">
        <v>42</v>
      </c>
      <c r="K209" s="86">
        <v>23010</v>
      </c>
      <c r="L209" s="87" t="s">
        <v>25</v>
      </c>
      <c r="M209" s="87" t="s">
        <v>26</v>
      </c>
      <c r="N209" s="14" t="s">
        <v>27</v>
      </c>
      <c r="O209" s="14" t="s">
        <v>28</v>
      </c>
      <c r="P209" s="51">
        <v>1.5</v>
      </c>
      <c r="Q209" s="47">
        <f t="shared" si="6"/>
        <v>300</v>
      </c>
      <c r="R209" s="47"/>
      <c r="S209" s="47"/>
      <c r="T209" s="47">
        <v>23010</v>
      </c>
    </row>
    <row r="210" customHeight="1" spans="1:20">
      <c r="A210" s="43">
        <v>23011</v>
      </c>
      <c r="B210" s="78" t="s">
        <v>490</v>
      </c>
      <c r="C210" s="78"/>
      <c r="D210" s="43">
        <v>100</v>
      </c>
      <c r="E210" s="78" t="s">
        <v>21</v>
      </c>
      <c r="F210" s="44">
        <f t="shared" si="7"/>
        <v>200</v>
      </c>
      <c r="G210" s="85" t="s">
        <v>491</v>
      </c>
      <c r="H210" s="46" t="s">
        <v>18</v>
      </c>
      <c r="I210" s="47"/>
      <c r="J210" s="48" t="s">
        <v>42</v>
      </c>
      <c r="K210" s="86">
        <v>23011</v>
      </c>
      <c r="L210" s="87" t="s">
        <v>25</v>
      </c>
      <c r="M210" s="87" t="s">
        <v>26</v>
      </c>
      <c r="N210" s="14" t="s">
        <v>27</v>
      </c>
      <c r="O210" s="14" t="s">
        <v>28</v>
      </c>
      <c r="P210" s="51">
        <v>2.5</v>
      </c>
      <c r="Q210" s="47">
        <f t="shared" si="6"/>
        <v>500</v>
      </c>
      <c r="R210" s="47"/>
      <c r="S210" s="47"/>
      <c r="T210" s="47">
        <v>23011</v>
      </c>
    </row>
    <row r="211" customHeight="1" spans="1:20">
      <c r="A211" s="43">
        <v>23012</v>
      </c>
      <c r="B211" s="78" t="s">
        <v>492</v>
      </c>
      <c r="C211" s="78"/>
      <c r="D211" s="43">
        <f>D9</f>
        <v>28</v>
      </c>
      <c r="E211" s="78" t="s">
        <v>21</v>
      </c>
      <c r="F211" s="44">
        <f t="shared" si="7"/>
        <v>56</v>
      </c>
      <c r="G211" s="85" t="s">
        <v>493</v>
      </c>
      <c r="H211" s="46" t="s">
        <v>18</v>
      </c>
      <c r="I211" s="47"/>
      <c r="J211" s="48" t="s">
        <v>42</v>
      </c>
      <c r="K211" s="86">
        <v>23012</v>
      </c>
      <c r="L211" s="87" t="s">
        <v>25</v>
      </c>
      <c r="M211" s="87" t="s">
        <v>26</v>
      </c>
      <c r="N211" s="14" t="s">
        <v>27</v>
      </c>
      <c r="O211" s="14" t="s">
        <v>28</v>
      </c>
      <c r="P211" s="51">
        <v>15</v>
      </c>
      <c r="Q211" s="47">
        <f t="shared" si="6"/>
        <v>840</v>
      </c>
      <c r="R211" s="47"/>
      <c r="S211" s="47"/>
      <c r="T211" s="47">
        <v>23013</v>
      </c>
    </row>
    <row r="212" customHeight="1" spans="1:20">
      <c r="A212" s="43">
        <v>23012</v>
      </c>
      <c r="B212" s="78" t="s">
        <v>492</v>
      </c>
      <c r="C212" s="78"/>
      <c r="D212" s="43">
        <f>D9</f>
        <v>28</v>
      </c>
      <c r="E212" s="78" t="s">
        <v>21</v>
      </c>
      <c r="F212" s="44">
        <f t="shared" si="7"/>
        <v>56</v>
      </c>
      <c r="G212" s="85" t="s">
        <v>494</v>
      </c>
      <c r="H212" s="46" t="s">
        <v>18</v>
      </c>
      <c r="I212" s="47"/>
      <c r="J212" s="48" t="s">
        <v>42</v>
      </c>
      <c r="K212" s="86">
        <v>23012</v>
      </c>
      <c r="L212" s="87" t="s">
        <v>25</v>
      </c>
      <c r="M212" s="87" t="s">
        <v>26</v>
      </c>
      <c r="N212" s="14" t="s">
        <v>27</v>
      </c>
      <c r="O212" s="14" t="s">
        <v>28</v>
      </c>
      <c r="P212" s="51">
        <v>20</v>
      </c>
      <c r="Q212" s="47">
        <f t="shared" si="6"/>
        <v>1120</v>
      </c>
      <c r="R212" s="47"/>
      <c r="S212" s="47"/>
      <c r="T212" s="47">
        <v>23013</v>
      </c>
    </row>
    <row r="213" customHeight="1" spans="1:20">
      <c r="A213" s="43">
        <v>23012</v>
      </c>
      <c r="B213" s="78" t="s">
        <v>492</v>
      </c>
      <c r="C213" s="78"/>
      <c r="D213" s="43">
        <v>1</v>
      </c>
      <c r="E213" s="78" t="s">
        <v>21</v>
      </c>
      <c r="F213" s="44">
        <f t="shared" si="7"/>
        <v>2</v>
      </c>
      <c r="G213" s="85" t="s">
        <v>495</v>
      </c>
      <c r="H213" s="46" t="s">
        <v>18</v>
      </c>
      <c r="I213" s="47"/>
      <c r="J213" s="48" t="s">
        <v>42</v>
      </c>
      <c r="K213" s="86">
        <v>23012</v>
      </c>
      <c r="L213" s="87" t="s">
        <v>25</v>
      </c>
      <c r="M213" s="87" t="s">
        <v>26</v>
      </c>
      <c r="N213" s="14" t="s">
        <v>27</v>
      </c>
      <c r="O213" s="14" t="s">
        <v>28</v>
      </c>
      <c r="P213" s="51">
        <v>80</v>
      </c>
      <c r="Q213" s="47">
        <f t="shared" si="6"/>
        <v>160</v>
      </c>
      <c r="R213" s="47"/>
      <c r="S213" s="47"/>
      <c r="T213" s="47">
        <v>23013</v>
      </c>
    </row>
    <row r="214" customHeight="1" spans="1:20">
      <c r="A214" s="43">
        <v>23019</v>
      </c>
      <c r="B214" s="78" t="s">
        <v>496</v>
      </c>
      <c r="C214" s="78"/>
      <c r="D214" s="43">
        <v>1</v>
      </c>
      <c r="E214" s="78" t="s">
        <v>54</v>
      </c>
      <c r="F214" s="44">
        <f t="shared" si="7"/>
        <v>2</v>
      </c>
      <c r="G214" s="82" t="s">
        <v>497</v>
      </c>
      <c r="H214" s="46" t="s">
        <v>18</v>
      </c>
      <c r="I214" s="47"/>
      <c r="J214" s="48" t="s">
        <v>42</v>
      </c>
      <c r="K214" s="83">
        <v>23019</v>
      </c>
      <c r="L214" s="84" t="s">
        <v>25</v>
      </c>
      <c r="M214" s="84" t="s">
        <v>26</v>
      </c>
      <c r="N214" s="14" t="s">
        <v>27</v>
      </c>
      <c r="O214" s="14" t="s">
        <v>28</v>
      </c>
      <c r="P214" s="51">
        <v>45</v>
      </c>
      <c r="Q214" s="47">
        <f t="shared" si="6"/>
        <v>90</v>
      </c>
      <c r="R214" s="47"/>
      <c r="S214" s="47"/>
      <c r="T214" s="47">
        <v>23019</v>
      </c>
    </row>
    <row r="215" customHeight="1" spans="1:20">
      <c r="A215" s="43">
        <v>23024</v>
      </c>
      <c r="B215" s="78" t="s">
        <v>498</v>
      </c>
      <c r="C215" s="78"/>
      <c r="D215" s="43">
        <f>D9</f>
        <v>28</v>
      </c>
      <c r="E215" s="78" t="s">
        <v>54</v>
      </c>
      <c r="F215" s="44">
        <f t="shared" si="7"/>
        <v>56</v>
      </c>
      <c r="G215" s="85" t="s">
        <v>499</v>
      </c>
      <c r="H215" s="46" t="s">
        <v>18</v>
      </c>
      <c r="I215" s="47"/>
      <c r="J215" s="48" t="s">
        <v>42</v>
      </c>
      <c r="K215" s="86">
        <v>23024</v>
      </c>
      <c r="L215" s="87" t="s">
        <v>25</v>
      </c>
      <c r="M215" s="87" t="s">
        <v>26</v>
      </c>
      <c r="N215" s="14" t="s">
        <v>27</v>
      </c>
      <c r="O215" s="14" t="s">
        <v>28</v>
      </c>
      <c r="P215" s="51">
        <v>20</v>
      </c>
      <c r="Q215" s="47">
        <f t="shared" si="6"/>
        <v>1120</v>
      </c>
      <c r="R215" s="47"/>
      <c r="S215" s="47"/>
      <c r="T215" s="47">
        <v>23024</v>
      </c>
    </row>
    <row r="216" customHeight="1" spans="1:20">
      <c r="A216" s="43">
        <v>23025</v>
      </c>
      <c r="B216" s="78" t="s">
        <v>500</v>
      </c>
      <c r="C216" s="78"/>
      <c r="D216" s="43">
        <v>1</v>
      </c>
      <c r="E216" s="78" t="s">
        <v>32</v>
      </c>
      <c r="F216" s="44">
        <f t="shared" si="7"/>
        <v>2</v>
      </c>
      <c r="G216" s="85" t="s">
        <v>501</v>
      </c>
      <c r="H216" s="46" t="s">
        <v>18</v>
      </c>
      <c r="I216" s="47"/>
      <c r="J216" s="48" t="s">
        <v>42</v>
      </c>
      <c r="K216" s="86">
        <v>23025</v>
      </c>
      <c r="L216" s="87" t="s">
        <v>25</v>
      </c>
      <c r="M216" s="87" t="s">
        <v>26</v>
      </c>
      <c r="N216" s="14" t="s">
        <v>27</v>
      </c>
      <c r="O216" s="14" t="s">
        <v>28</v>
      </c>
      <c r="P216" s="51">
        <v>210</v>
      </c>
      <c r="Q216" s="47">
        <f t="shared" si="6"/>
        <v>420</v>
      </c>
      <c r="R216" s="47"/>
      <c r="S216" s="47"/>
      <c r="T216" s="47">
        <v>23030</v>
      </c>
    </row>
    <row r="217" customHeight="1" spans="1:20">
      <c r="A217" s="43">
        <v>23026</v>
      </c>
      <c r="B217" s="78" t="s">
        <v>502</v>
      </c>
      <c r="C217" s="78"/>
      <c r="D217" s="43">
        <f>D9</f>
        <v>28</v>
      </c>
      <c r="E217" s="78" t="s">
        <v>32</v>
      </c>
      <c r="F217" s="44">
        <f t="shared" si="7"/>
        <v>56</v>
      </c>
      <c r="G217" s="85" t="s">
        <v>503</v>
      </c>
      <c r="H217" s="46" t="s">
        <v>18</v>
      </c>
      <c r="I217" s="47"/>
      <c r="J217" s="48" t="s">
        <v>42</v>
      </c>
      <c r="K217" s="86">
        <v>23026</v>
      </c>
      <c r="L217" s="87" t="s">
        <v>25</v>
      </c>
      <c r="M217" s="87" t="s">
        <v>26</v>
      </c>
      <c r="N217" s="14" t="s">
        <v>27</v>
      </c>
      <c r="O217" s="14" t="s">
        <v>28</v>
      </c>
      <c r="P217" s="51">
        <v>108</v>
      </c>
      <c r="Q217" s="47">
        <f t="shared" si="6"/>
        <v>6048</v>
      </c>
      <c r="R217" s="47"/>
      <c r="S217" s="47"/>
      <c r="T217" s="47">
        <v>23032</v>
      </c>
    </row>
    <row r="218" customHeight="1" spans="1:20">
      <c r="A218" s="43">
        <v>23033</v>
      </c>
      <c r="B218" s="78" t="s">
        <v>504</v>
      </c>
      <c r="C218" s="78"/>
      <c r="D218" s="43">
        <f>D9</f>
        <v>28</v>
      </c>
      <c r="E218" s="78" t="s">
        <v>21</v>
      </c>
      <c r="F218" s="44">
        <f t="shared" si="7"/>
        <v>56</v>
      </c>
      <c r="G218" s="85" t="s">
        <v>505</v>
      </c>
      <c r="H218" s="46" t="s">
        <v>18</v>
      </c>
      <c r="I218" s="47"/>
      <c r="J218" s="48" t="s">
        <v>42</v>
      </c>
      <c r="K218" s="86">
        <v>23033</v>
      </c>
      <c r="L218" s="87" t="s">
        <v>25</v>
      </c>
      <c r="M218" s="87" t="s">
        <v>26</v>
      </c>
      <c r="N218" s="14" t="s">
        <v>27</v>
      </c>
      <c r="O218" s="14" t="s">
        <v>28</v>
      </c>
      <c r="P218" s="51">
        <v>3.5</v>
      </c>
      <c r="Q218" s="47">
        <f t="shared" si="6"/>
        <v>196</v>
      </c>
      <c r="R218" s="47"/>
      <c r="S218" s="47"/>
      <c r="T218" s="47">
        <v>23033</v>
      </c>
    </row>
    <row r="219" customHeight="1" spans="1:20">
      <c r="A219" s="43">
        <v>23034</v>
      </c>
      <c r="B219" s="78" t="s">
        <v>506</v>
      </c>
      <c r="C219" s="78"/>
      <c r="D219" s="43">
        <f>D9</f>
        <v>28</v>
      </c>
      <c r="E219" s="78" t="s">
        <v>21</v>
      </c>
      <c r="F219" s="44">
        <f t="shared" si="7"/>
        <v>56</v>
      </c>
      <c r="G219" s="85" t="s">
        <v>507</v>
      </c>
      <c r="H219" s="46" t="s">
        <v>18</v>
      </c>
      <c r="I219" s="47"/>
      <c r="J219" s="48" t="s">
        <v>42</v>
      </c>
      <c r="K219" s="86">
        <v>23034</v>
      </c>
      <c r="L219" s="87" t="s">
        <v>25</v>
      </c>
      <c r="M219" s="87" t="s">
        <v>26</v>
      </c>
      <c r="N219" s="14" t="s">
        <v>27</v>
      </c>
      <c r="O219" s="14" t="s">
        <v>28</v>
      </c>
      <c r="P219" s="51">
        <v>5.5</v>
      </c>
      <c r="Q219" s="47">
        <f t="shared" si="6"/>
        <v>308</v>
      </c>
      <c r="R219" s="47"/>
      <c r="S219" s="47"/>
      <c r="T219" s="47">
        <v>23034</v>
      </c>
    </row>
    <row r="220" customHeight="1" spans="1:20">
      <c r="A220" s="43">
        <v>23035</v>
      </c>
      <c r="B220" s="78" t="s">
        <v>508</v>
      </c>
      <c r="C220" s="78"/>
      <c r="D220" s="43">
        <v>1</v>
      </c>
      <c r="E220" s="78" t="s">
        <v>32</v>
      </c>
      <c r="F220" s="44">
        <f t="shared" si="7"/>
        <v>2</v>
      </c>
      <c r="G220" s="91" t="s">
        <v>509</v>
      </c>
      <c r="H220" s="46" t="s">
        <v>18</v>
      </c>
      <c r="I220" s="47"/>
      <c r="J220" s="48" t="s">
        <v>42</v>
      </c>
      <c r="K220" s="92">
        <v>23035</v>
      </c>
      <c r="L220" s="93" t="s">
        <v>25</v>
      </c>
      <c r="M220" s="93" t="s">
        <v>26</v>
      </c>
      <c r="N220" s="14" t="s">
        <v>27</v>
      </c>
      <c r="O220" s="14" t="s">
        <v>28</v>
      </c>
      <c r="P220" s="51">
        <v>38</v>
      </c>
      <c r="Q220" s="47">
        <f t="shared" si="6"/>
        <v>76</v>
      </c>
      <c r="R220" s="47"/>
      <c r="S220" s="47"/>
      <c r="T220" s="47">
        <v>23035</v>
      </c>
    </row>
    <row r="221" customHeight="1" spans="1:20">
      <c r="A221" s="43">
        <v>23037</v>
      </c>
      <c r="B221" s="78" t="s">
        <v>510</v>
      </c>
      <c r="C221" s="78"/>
      <c r="D221" s="43">
        <v>1</v>
      </c>
      <c r="E221" s="78" t="s">
        <v>32</v>
      </c>
      <c r="F221" s="44">
        <f t="shared" si="7"/>
        <v>2</v>
      </c>
      <c r="G221" s="85" t="s">
        <v>511</v>
      </c>
      <c r="H221" s="46" t="s">
        <v>18</v>
      </c>
      <c r="I221" s="47"/>
      <c r="J221" s="48" t="s">
        <v>42</v>
      </c>
      <c r="K221" s="86">
        <v>23037</v>
      </c>
      <c r="L221" s="87" t="s">
        <v>130</v>
      </c>
      <c r="M221" s="87" t="s">
        <v>131</v>
      </c>
      <c r="N221" s="14" t="s">
        <v>27</v>
      </c>
      <c r="O221" s="14" t="s">
        <v>28</v>
      </c>
      <c r="P221" s="51">
        <v>150</v>
      </c>
      <c r="Q221" s="47">
        <f t="shared" si="6"/>
        <v>300</v>
      </c>
      <c r="R221" s="47"/>
      <c r="S221" s="47"/>
      <c r="T221" s="47">
        <v>23037</v>
      </c>
    </row>
    <row r="222" customHeight="1" spans="1:20">
      <c r="A222" s="43">
        <v>23040</v>
      </c>
      <c r="B222" s="78" t="s">
        <v>512</v>
      </c>
      <c r="C222" s="78"/>
      <c r="D222" s="43">
        <v>1</v>
      </c>
      <c r="E222" s="78" t="s">
        <v>54</v>
      </c>
      <c r="F222" s="44">
        <f t="shared" si="7"/>
        <v>2</v>
      </c>
      <c r="G222" s="85" t="s">
        <v>513</v>
      </c>
      <c r="H222" s="46" t="s">
        <v>18</v>
      </c>
      <c r="I222" s="47"/>
      <c r="J222" s="48" t="s">
        <v>42</v>
      </c>
      <c r="K222" s="86">
        <v>23040</v>
      </c>
      <c r="L222" s="87" t="s">
        <v>25</v>
      </c>
      <c r="M222" s="87" t="s">
        <v>26</v>
      </c>
      <c r="N222" s="14" t="s">
        <v>27</v>
      </c>
      <c r="O222" s="14" t="s">
        <v>28</v>
      </c>
      <c r="P222" s="51">
        <v>470</v>
      </c>
      <c r="Q222" s="47">
        <f t="shared" si="6"/>
        <v>940</v>
      </c>
      <c r="R222" s="47"/>
      <c r="S222" s="47"/>
      <c r="T222" s="47">
        <v>23040</v>
      </c>
    </row>
    <row r="223" customHeight="1" spans="1:20">
      <c r="A223" s="43">
        <v>23041</v>
      </c>
      <c r="B223" s="78" t="s">
        <v>514</v>
      </c>
      <c r="C223" s="78"/>
      <c r="D223" s="43">
        <v>1</v>
      </c>
      <c r="E223" s="78" t="s">
        <v>21</v>
      </c>
      <c r="F223" s="44">
        <f t="shared" si="7"/>
        <v>2</v>
      </c>
      <c r="G223" s="85" t="s">
        <v>515</v>
      </c>
      <c r="H223" s="46" t="s">
        <v>18</v>
      </c>
      <c r="I223" s="47"/>
      <c r="J223" s="48" t="s">
        <v>42</v>
      </c>
      <c r="K223" s="86">
        <v>23041</v>
      </c>
      <c r="L223" s="87" t="s">
        <v>25</v>
      </c>
      <c r="M223" s="87" t="s">
        <v>26</v>
      </c>
      <c r="N223" s="14" t="s">
        <v>27</v>
      </c>
      <c r="O223" s="14" t="s">
        <v>28</v>
      </c>
      <c r="P223" s="51">
        <v>25</v>
      </c>
      <c r="Q223" s="47">
        <f t="shared" si="6"/>
        <v>50</v>
      </c>
      <c r="R223" s="47"/>
      <c r="S223" s="47"/>
      <c r="T223" s="47">
        <v>23041</v>
      </c>
    </row>
    <row r="224" customHeight="1" spans="1:20">
      <c r="A224" s="43">
        <v>23042</v>
      </c>
      <c r="B224" s="78" t="s">
        <v>516</v>
      </c>
      <c r="C224" s="78"/>
      <c r="D224" s="43">
        <v>1</v>
      </c>
      <c r="E224" s="78" t="s">
        <v>21</v>
      </c>
      <c r="F224" s="44">
        <f t="shared" si="7"/>
        <v>2</v>
      </c>
      <c r="G224" s="85" t="s">
        <v>517</v>
      </c>
      <c r="H224" s="46" t="s">
        <v>18</v>
      </c>
      <c r="I224" s="47"/>
      <c r="J224" s="48" t="s">
        <v>42</v>
      </c>
      <c r="K224" s="86">
        <v>23042</v>
      </c>
      <c r="L224" s="87" t="s">
        <v>25</v>
      </c>
      <c r="M224" s="87" t="s">
        <v>26</v>
      </c>
      <c r="N224" s="14" t="s">
        <v>27</v>
      </c>
      <c r="O224" s="14" t="s">
        <v>28</v>
      </c>
      <c r="P224" s="51">
        <v>5</v>
      </c>
      <c r="Q224" s="47">
        <f t="shared" si="6"/>
        <v>10</v>
      </c>
      <c r="R224" s="47"/>
      <c r="S224" s="47"/>
      <c r="T224" s="47">
        <v>23042</v>
      </c>
    </row>
    <row r="225" customHeight="1" spans="1:20">
      <c r="A225" s="43">
        <v>23043</v>
      </c>
      <c r="B225" s="78" t="s">
        <v>518</v>
      </c>
      <c r="C225" s="78"/>
      <c r="D225" s="43">
        <v>1</v>
      </c>
      <c r="E225" s="78" t="s">
        <v>21</v>
      </c>
      <c r="F225" s="44">
        <f t="shared" si="7"/>
        <v>2</v>
      </c>
      <c r="G225" s="85" t="s">
        <v>519</v>
      </c>
      <c r="H225" s="46" t="s">
        <v>18</v>
      </c>
      <c r="I225" s="47"/>
      <c r="J225" s="48" t="s">
        <v>42</v>
      </c>
      <c r="K225" s="86">
        <v>23043</v>
      </c>
      <c r="L225" s="87" t="s">
        <v>25</v>
      </c>
      <c r="M225" s="87" t="s">
        <v>26</v>
      </c>
      <c r="N225" s="14" t="s">
        <v>27</v>
      </c>
      <c r="O225" s="14" t="s">
        <v>28</v>
      </c>
      <c r="P225" s="51">
        <v>5</v>
      </c>
      <c r="Q225" s="47">
        <f t="shared" si="6"/>
        <v>10</v>
      </c>
      <c r="R225" s="47"/>
      <c r="S225" s="47"/>
      <c r="T225" s="47">
        <v>23043</v>
      </c>
    </row>
    <row r="226" customHeight="1" spans="1:20">
      <c r="A226" s="43">
        <v>23044</v>
      </c>
      <c r="B226" s="78" t="s">
        <v>520</v>
      </c>
      <c r="C226" s="78"/>
      <c r="D226" s="43">
        <v>1</v>
      </c>
      <c r="E226" s="78" t="s">
        <v>409</v>
      </c>
      <c r="F226" s="44">
        <f t="shared" si="7"/>
        <v>2</v>
      </c>
      <c r="G226" s="85" t="s">
        <v>521</v>
      </c>
      <c r="H226" s="46" t="s">
        <v>18</v>
      </c>
      <c r="I226" s="47"/>
      <c r="J226" s="48" t="s">
        <v>42</v>
      </c>
      <c r="K226" s="86">
        <v>23044</v>
      </c>
      <c r="L226" s="87" t="s">
        <v>25</v>
      </c>
      <c r="M226" s="87" t="s">
        <v>26</v>
      </c>
      <c r="N226" s="14" t="s">
        <v>27</v>
      </c>
      <c r="O226" s="14" t="s">
        <v>28</v>
      </c>
      <c r="P226" s="51">
        <v>8</v>
      </c>
      <c r="Q226" s="47">
        <f t="shared" si="6"/>
        <v>16</v>
      </c>
      <c r="R226" s="47"/>
      <c r="S226" s="47"/>
      <c r="T226" s="47">
        <v>23044</v>
      </c>
    </row>
    <row r="227" customHeight="1" spans="1:20">
      <c r="A227" s="43">
        <v>23045</v>
      </c>
      <c r="B227" s="78" t="s">
        <v>522</v>
      </c>
      <c r="C227" s="78"/>
      <c r="D227" s="43">
        <v>1</v>
      </c>
      <c r="E227" s="78" t="s">
        <v>21</v>
      </c>
      <c r="F227" s="44">
        <f t="shared" si="7"/>
        <v>2</v>
      </c>
      <c r="G227" s="85" t="s">
        <v>523</v>
      </c>
      <c r="H227" s="46" t="s">
        <v>18</v>
      </c>
      <c r="I227" s="47"/>
      <c r="J227" s="48" t="s">
        <v>42</v>
      </c>
      <c r="K227" s="86">
        <v>23045</v>
      </c>
      <c r="L227" s="87" t="s">
        <v>25</v>
      </c>
      <c r="M227" s="87" t="s">
        <v>26</v>
      </c>
      <c r="N227" s="14" t="s">
        <v>27</v>
      </c>
      <c r="O227" s="14" t="s">
        <v>28</v>
      </c>
      <c r="P227" s="51">
        <v>35</v>
      </c>
      <c r="Q227" s="47">
        <f t="shared" si="6"/>
        <v>70</v>
      </c>
      <c r="R227" s="47"/>
      <c r="S227" s="47"/>
      <c r="T227" s="47">
        <v>23045</v>
      </c>
    </row>
    <row r="228" customHeight="1" spans="1:20">
      <c r="A228" s="43">
        <v>23046</v>
      </c>
      <c r="B228" s="78" t="s">
        <v>524</v>
      </c>
      <c r="C228" s="78"/>
      <c r="D228" s="43">
        <v>1</v>
      </c>
      <c r="E228" s="78" t="s">
        <v>21</v>
      </c>
      <c r="F228" s="44">
        <f t="shared" si="7"/>
        <v>2</v>
      </c>
      <c r="G228" s="85" t="s">
        <v>525</v>
      </c>
      <c r="H228" s="46" t="s">
        <v>18</v>
      </c>
      <c r="I228" s="47"/>
      <c r="J228" s="48" t="s">
        <v>42</v>
      </c>
      <c r="K228" s="86">
        <v>23046</v>
      </c>
      <c r="L228" s="87" t="s">
        <v>25</v>
      </c>
      <c r="M228" s="87" t="s">
        <v>26</v>
      </c>
      <c r="N228" s="14" t="s">
        <v>27</v>
      </c>
      <c r="O228" s="14" t="s">
        <v>28</v>
      </c>
      <c r="P228" s="51">
        <v>48</v>
      </c>
      <c r="Q228" s="47">
        <f t="shared" si="6"/>
        <v>96</v>
      </c>
      <c r="R228" s="47"/>
      <c r="S228" s="47"/>
      <c r="T228" s="47">
        <v>23046</v>
      </c>
    </row>
    <row r="229" customHeight="1" spans="1:20">
      <c r="A229" s="43">
        <v>23047</v>
      </c>
      <c r="B229" s="78" t="s">
        <v>526</v>
      </c>
      <c r="C229" s="78"/>
      <c r="D229" s="43">
        <v>1</v>
      </c>
      <c r="E229" s="78" t="s">
        <v>54</v>
      </c>
      <c r="F229" s="44">
        <f t="shared" si="7"/>
        <v>2</v>
      </c>
      <c r="G229" s="85" t="s">
        <v>527</v>
      </c>
      <c r="H229" s="46" t="s">
        <v>18</v>
      </c>
      <c r="I229" s="47"/>
      <c r="J229" s="48" t="s">
        <v>42</v>
      </c>
      <c r="K229" s="86">
        <v>23047</v>
      </c>
      <c r="L229" s="87" t="s">
        <v>25</v>
      </c>
      <c r="M229" s="87" t="s">
        <v>26</v>
      </c>
      <c r="N229" s="14" t="s">
        <v>27</v>
      </c>
      <c r="O229" s="14" t="s">
        <v>28</v>
      </c>
      <c r="P229" s="51">
        <v>60</v>
      </c>
      <c r="Q229" s="47">
        <f t="shared" si="6"/>
        <v>120</v>
      </c>
      <c r="R229" s="47"/>
      <c r="S229" s="47"/>
      <c r="T229" s="47">
        <v>23047</v>
      </c>
    </row>
    <row r="230" customHeight="1" spans="1:20">
      <c r="A230" s="43">
        <v>23048</v>
      </c>
      <c r="B230" s="78" t="s">
        <v>528</v>
      </c>
      <c r="C230" s="78"/>
      <c r="D230" s="43">
        <v>9</v>
      </c>
      <c r="E230" s="78" t="s">
        <v>32</v>
      </c>
      <c r="F230" s="44">
        <f t="shared" si="7"/>
        <v>18</v>
      </c>
      <c r="G230" s="85" t="s">
        <v>529</v>
      </c>
      <c r="H230" s="46" t="s">
        <v>18</v>
      </c>
      <c r="I230" s="47"/>
      <c r="J230" s="48" t="s">
        <v>42</v>
      </c>
      <c r="K230" s="86">
        <v>23048</v>
      </c>
      <c r="L230" s="87" t="s">
        <v>25</v>
      </c>
      <c r="M230" s="87" t="s">
        <v>26</v>
      </c>
      <c r="N230" s="14" t="s">
        <v>27</v>
      </c>
      <c r="O230" s="14" t="s">
        <v>28</v>
      </c>
      <c r="P230" s="51">
        <v>180</v>
      </c>
      <c r="Q230" s="47">
        <f t="shared" si="6"/>
        <v>3240</v>
      </c>
      <c r="R230" s="47"/>
      <c r="S230" s="47"/>
      <c r="T230" s="47">
        <v>23048</v>
      </c>
    </row>
    <row r="231" customHeight="1" spans="1:20">
      <c r="A231" s="43">
        <v>23049</v>
      </c>
      <c r="B231" s="78" t="s">
        <v>530</v>
      </c>
      <c r="C231" s="78"/>
      <c r="D231" s="43">
        <v>1</v>
      </c>
      <c r="E231" s="78" t="s">
        <v>21</v>
      </c>
      <c r="F231" s="44">
        <f t="shared" si="7"/>
        <v>2</v>
      </c>
      <c r="G231" s="85" t="s">
        <v>531</v>
      </c>
      <c r="H231" s="46" t="s">
        <v>18</v>
      </c>
      <c r="I231" s="47"/>
      <c r="J231" s="48" t="s">
        <v>42</v>
      </c>
      <c r="K231" s="86">
        <v>23049</v>
      </c>
      <c r="L231" s="87" t="s">
        <v>25</v>
      </c>
      <c r="M231" s="87" t="s">
        <v>26</v>
      </c>
      <c r="N231" s="14" t="s">
        <v>27</v>
      </c>
      <c r="O231" s="14" t="s">
        <v>28</v>
      </c>
      <c r="P231" s="51">
        <v>55</v>
      </c>
      <c r="Q231" s="47">
        <f t="shared" si="6"/>
        <v>110</v>
      </c>
      <c r="R231" s="47"/>
      <c r="S231" s="47"/>
      <c r="T231" s="47">
        <v>23049</v>
      </c>
    </row>
    <row r="232" customHeight="1" spans="1:20">
      <c r="A232" s="43">
        <v>23050</v>
      </c>
      <c r="B232" s="78" t="s">
        <v>532</v>
      </c>
      <c r="C232" s="78"/>
      <c r="D232" s="43">
        <v>1</v>
      </c>
      <c r="E232" s="78" t="s">
        <v>32</v>
      </c>
      <c r="F232" s="44">
        <f t="shared" si="7"/>
        <v>2</v>
      </c>
      <c r="G232" s="85" t="s">
        <v>533</v>
      </c>
      <c r="H232" s="46" t="s">
        <v>18</v>
      </c>
      <c r="I232" s="47"/>
      <c r="J232" s="48" t="s">
        <v>42</v>
      </c>
      <c r="K232" s="86">
        <v>23050</v>
      </c>
      <c r="L232" s="87" t="s">
        <v>25</v>
      </c>
      <c r="M232" s="87" t="s">
        <v>26</v>
      </c>
      <c r="N232" s="14" t="s">
        <v>27</v>
      </c>
      <c r="O232" s="14" t="s">
        <v>28</v>
      </c>
      <c r="P232" s="51">
        <v>120</v>
      </c>
      <c r="Q232" s="47">
        <f t="shared" si="6"/>
        <v>240</v>
      </c>
      <c r="R232" s="47"/>
      <c r="S232" s="47"/>
      <c r="T232" s="47">
        <v>23050</v>
      </c>
    </row>
    <row r="233" customHeight="1" spans="1:20">
      <c r="A233" s="43">
        <v>23051</v>
      </c>
      <c r="B233" s="78" t="s">
        <v>534</v>
      </c>
      <c r="C233" s="78"/>
      <c r="D233" s="43">
        <f>D9</f>
        <v>28</v>
      </c>
      <c r="E233" s="78" t="s">
        <v>32</v>
      </c>
      <c r="F233" s="44">
        <f t="shared" si="7"/>
        <v>56</v>
      </c>
      <c r="G233" s="102" t="s">
        <v>535</v>
      </c>
      <c r="H233" s="46" t="s">
        <v>18</v>
      </c>
      <c r="I233" s="47"/>
      <c r="J233" s="48" t="s">
        <v>42</v>
      </c>
      <c r="K233" s="83">
        <v>23051</v>
      </c>
      <c r="L233" s="103" t="s">
        <v>25</v>
      </c>
      <c r="M233" s="103" t="s">
        <v>26</v>
      </c>
      <c r="N233" s="14" t="s">
        <v>27</v>
      </c>
      <c r="O233" s="14" t="s">
        <v>28</v>
      </c>
      <c r="P233" s="51">
        <v>85</v>
      </c>
      <c r="Q233" s="47">
        <f t="shared" si="6"/>
        <v>4760</v>
      </c>
      <c r="R233" s="47"/>
      <c r="S233" s="47"/>
      <c r="T233" s="47">
        <v>23051</v>
      </c>
    </row>
    <row r="234" customHeight="1" spans="1:20">
      <c r="A234" s="43">
        <v>23052</v>
      </c>
      <c r="B234" s="78" t="s">
        <v>536</v>
      </c>
      <c r="C234" s="78"/>
      <c r="D234" s="43">
        <v>1</v>
      </c>
      <c r="E234" s="78" t="s">
        <v>54</v>
      </c>
      <c r="F234" s="44">
        <f t="shared" si="7"/>
        <v>2</v>
      </c>
      <c r="G234" s="82" t="s">
        <v>537</v>
      </c>
      <c r="H234" s="46" t="s">
        <v>18</v>
      </c>
      <c r="I234" s="47"/>
      <c r="J234" s="48" t="s">
        <v>42</v>
      </c>
      <c r="K234" s="83">
        <v>23052</v>
      </c>
      <c r="L234" s="84" t="s">
        <v>538</v>
      </c>
      <c r="M234" s="84" t="s">
        <v>539</v>
      </c>
      <c r="N234" s="14" t="s">
        <v>27</v>
      </c>
      <c r="O234" s="14" t="s">
        <v>28</v>
      </c>
      <c r="P234" s="51">
        <v>290</v>
      </c>
      <c r="Q234" s="47">
        <f t="shared" si="6"/>
        <v>580</v>
      </c>
      <c r="R234" s="47"/>
      <c r="S234" s="47"/>
      <c r="T234" s="47">
        <v>23052</v>
      </c>
    </row>
    <row r="235" customHeight="1" spans="1:20">
      <c r="A235" s="43">
        <v>23053</v>
      </c>
      <c r="B235" s="78" t="s">
        <v>540</v>
      </c>
      <c r="C235" s="78"/>
      <c r="D235" s="43">
        <v>2</v>
      </c>
      <c r="E235" s="78" t="s">
        <v>32</v>
      </c>
      <c r="F235" s="44">
        <f t="shared" si="7"/>
        <v>4</v>
      </c>
      <c r="G235" s="85" t="s">
        <v>541</v>
      </c>
      <c r="H235" s="46" t="s">
        <v>18</v>
      </c>
      <c r="I235" s="47"/>
      <c r="J235" s="48" t="s">
        <v>42</v>
      </c>
      <c r="K235" s="86">
        <v>23053</v>
      </c>
      <c r="L235" s="87" t="s">
        <v>25</v>
      </c>
      <c r="M235" s="87" t="s">
        <v>26</v>
      </c>
      <c r="N235" s="14" t="s">
        <v>27</v>
      </c>
      <c r="O235" s="14" t="s">
        <v>28</v>
      </c>
      <c r="P235" s="51">
        <v>45</v>
      </c>
      <c r="Q235" s="47">
        <f t="shared" si="6"/>
        <v>180</v>
      </c>
      <c r="R235" s="47"/>
      <c r="S235" s="47"/>
      <c r="T235" s="47">
        <v>23053</v>
      </c>
    </row>
    <row r="236" customHeight="1" spans="1:20">
      <c r="A236" s="43">
        <v>23054</v>
      </c>
      <c r="B236" s="78" t="s">
        <v>542</v>
      </c>
      <c r="C236" s="78"/>
      <c r="D236" s="43">
        <v>1</v>
      </c>
      <c r="E236" s="78" t="s">
        <v>32</v>
      </c>
      <c r="F236" s="44">
        <f t="shared" si="7"/>
        <v>2</v>
      </c>
      <c r="G236" s="85" t="s">
        <v>543</v>
      </c>
      <c r="H236" s="46" t="s">
        <v>18</v>
      </c>
      <c r="I236" s="47"/>
      <c r="J236" s="48" t="s">
        <v>42</v>
      </c>
      <c r="K236" s="86">
        <v>23054</v>
      </c>
      <c r="L236" s="87" t="s">
        <v>25</v>
      </c>
      <c r="M236" s="87" t="s">
        <v>26</v>
      </c>
      <c r="N236" s="14" t="s">
        <v>27</v>
      </c>
      <c r="O236" s="14" t="s">
        <v>28</v>
      </c>
      <c r="P236" s="51">
        <v>100</v>
      </c>
      <c r="Q236" s="47">
        <f t="shared" si="6"/>
        <v>200</v>
      </c>
      <c r="R236" s="47"/>
      <c r="S236" s="47"/>
      <c r="T236" s="47">
        <v>23054</v>
      </c>
    </row>
    <row r="237" customHeight="1" spans="1:20">
      <c r="A237" s="43">
        <v>23055</v>
      </c>
      <c r="B237" s="78" t="s">
        <v>544</v>
      </c>
      <c r="C237" s="78"/>
      <c r="D237" s="43">
        <f>D9</f>
        <v>28</v>
      </c>
      <c r="E237" s="78" t="s">
        <v>32</v>
      </c>
      <c r="F237" s="44">
        <f t="shared" si="7"/>
        <v>56</v>
      </c>
      <c r="G237" s="85" t="s">
        <v>545</v>
      </c>
      <c r="H237" s="46" t="s">
        <v>18</v>
      </c>
      <c r="I237" s="47"/>
      <c r="J237" s="48" t="s">
        <v>42</v>
      </c>
      <c r="K237" s="86">
        <v>23055</v>
      </c>
      <c r="L237" s="87" t="s">
        <v>25</v>
      </c>
      <c r="M237" s="87" t="s">
        <v>26</v>
      </c>
      <c r="N237" s="14" t="s">
        <v>27</v>
      </c>
      <c r="O237" s="14" t="s">
        <v>28</v>
      </c>
      <c r="P237" s="51">
        <v>35</v>
      </c>
      <c r="Q237" s="47">
        <f t="shared" si="6"/>
        <v>1960</v>
      </c>
      <c r="R237" s="47"/>
      <c r="S237" s="47"/>
      <c r="T237" s="47">
        <v>23055</v>
      </c>
    </row>
    <row r="238" customHeight="1" spans="1:20">
      <c r="A238" s="43">
        <v>23056</v>
      </c>
      <c r="B238" s="78" t="s">
        <v>546</v>
      </c>
      <c r="C238" s="78"/>
      <c r="D238" s="43">
        <v>1</v>
      </c>
      <c r="E238" s="78" t="s">
        <v>32</v>
      </c>
      <c r="F238" s="44">
        <f t="shared" si="7"/>
        <v>2</v>
      </c>
      <c r="G238" s="85" t="s">
        <v>547</v>
      </c>
      <c r="H238" s="46" t="s">
        <v>18</v>
      </c>
      <c r="I238" s="47"/>
      <c r="J238" s="48" t="s">
        <v>42</v>
      </c>
      <c r="K238" s="86">
        <v>23056</v>
      </c>
      <c r="L238" s="87" t="s">
        <v>25</v>
      </c>
      <c r="M238" s="87" t="s">
        <v>26</v>
      </c>
      <c r="N238" s="14" t="s">
        <v>27</v>
      </c>
      <c r="O238" s="14" t="s">
        <v>28</v>
      </c>
      <c r="P238" s="51">
        <v>45</v>
      </c>
      <c r="Q238" s="47">
        <f t="shared" si="6"/>
        <v>90</v>
      </c>
      <c r="R238" s="47"/>
      <c r="S238" s="47"/>
      <c r="T238" s="47">
        <v>23056</v>
      </c>
    </row>
    <row r="239" customHeight="1" spans="1:20">
      <c r="A239" s="43">
        <v>23057</v>
      </c>
      <c r="B239" s="78" t="s">
        <v>548</v>
      </c>
      <c r="C239" s="78"/>
      <c r="D239" s="43">
        <v>1</v>
      </c>
      <c r="E239" s="78" t="s">
        <v>32</v>
      </c>
      <c r="F239" s="44">
        <f t="shared" si="7"/>
        <v>2</v>
      </c>
      <c r="G239" s="82" t="s">
        <v>549</v>
      </c>
      <c r="H239" s="46" t="s">
        <v>18</v>
      </c>
      <c r="I239" s="47"/>
      <c r="J239" s="48" t="s">
        <v>42</v>
      </c>
      <c r="K239" s="83">
        <v>23057</v>
      </c>
      <c r="L239" s="84" t="s">
        <v>25</v>
      </c>
      <c r="M239" s="84" t="s">
        <v>26</v>
      </c>
      <c r="N239" s="14" t="s">
        <v>27</v>
      </c>
      <c r="O239" s="14" t="s">
        <v>28</v>
      </c>
      <c r="P239" s="51">
        <v>310</v>
      </c>
      <c r="Q239" s="47">
        <f t="shared" si="6"/>
        <v>620</v>
      </c>
      <c r="R239" s="47"/>
      <c r="S239" s="47"/>
      <c r="T239" s="47">
        <v>23057</v>
      </c>
    </row>
    <row r="240" customHeight="1" spans="1:20">
      <c r="A240" s="43">
        <v>23058</v>
      </c>
      <c r="B240" s="78" t="s">
        <v>550</v>
      </c>
      <c r="C240" s="78"/>
      <c r="D240" s="43">
        <v>1</v>
      </c>
      <c r="E240" s="78" t="s">
        <v>32</v>
      </c>
      <c r="F240" s="44">
        <f t="shared" si="7"/>
        <v>2</v>
      </c>
      <c r="G240" s="85" t="s">
        <v>551</v>
      </c>
      <c r="H240" s="46" t="s">
        <v>18</v>
      </c>
      <c r="I240" s="47"/>
      <c r="J240" s="48" t="s">
        <v>42</v>
      </c>
      <c r="K240" s="86">
        <v>23058</v>
      </c>
      <c r="L240" s="87" t="s">
        <v>25</v>
      </c>
      <c r="M240" s="87" t="s">
        <v>26</v>
      </c>
      <c r="N240" s="14" t="s">
        <v>27</v>
      </c>
      <c r="O240" s="14" t="s">
        <v>28</v>
      </c>
      <c r="P240" s="51">
        <v>45</v>
      </c>
      <c r="Q240" s="47">
        <f t="shared" si="6"/>
        <v>90</v>
      </c>
      <c r="R240" s="47"/>
      <c r="S240" s="47"/>
      <c r="T240" s="47">
        <v>23058</v>
      </c>
    </row>
    <row r="241" customHeight="1" spans="1:20">
      <c r="A241" s="43">
        <v>23059</v>
      </c>
      <c r="B241" s="78" t="s">
        <v>552</v>
      </c>
      <c r="C241" s="78"/>
      <c r="D241" s="43">
        <v>1</v>
      </c>
      <c r="E241" s="78" t="s">
        <v>32</v>
      </c>
      <c r="F241" s="44">
        <f t="shared" si="7"/>
        <v>2</v>
      </c>
      <c r="G241" s="85" t="s">
        <v>553</v>
      </c>
      <c r="H241" s="46" t="s">
        <v>18</v>
      </c>
      <c r="I241" s="47"/>
      <c r="J241" s="48" t="s">
        <v>42</v>
      </c>
      <c r="K241" s="86">
        <v>23059</v>
      </c>
      <c r="L241" s="87" t="s">
        <v>25</v>
      </c>
      <c r="M241" s="87" t="s">
        <v>26</v>
      </c>
      <c r="N241" s="14" t="s">
        <v>27</v>
      </c>
      <c r="O241" s="14" t="s">
        <v>28</v>
      </c>
      <c r="P241" s="51">
        <v>45</v>
      </c>
      <c r="Q241" s="47">
        <f t="shared" si="6"/>
        <v>90</v>
      </c>
      <c r="R241" s="47"/>
      <c r="S241" s="47"/>
      <c r="T241" s="43">
        <v>23059</v>
      </c>
    </row>
    <row r="242" customHeight="1" spans="1:20">
      <c r="A242" s="43">
        <v>23060</v>
      </c>
      <c r="B242" s="78" t="s">
        <v>554</v>
      </c>
      <c r="C242" s="78"/>
      <c r="D242" s="43">
        <v>2</v>
      </c>
      <c r="E242" s="78" t="s">
        <v>21</v>
      </c>
      <c r="F242" s="44">
        <f t="shared" si="7"/>
        <v>4</v>
      </c>
      <c r="G242" s="85" t="s">
        <v>555</v>
      </c>
      <c r="H242" s="46" t="s">
        <v>18</v>
      </c>
      <c r="I242" s="47"/>
      <c r="J242" s="48" t="s">
        <v>42</v>
      </c>
      <c r="K242" s="86">
        <v>23060</v>
      </c>
      <c r="L242" s="87" t="s">
        <v>25</v>
      </c>
      <c r="M242" s="87" t="s">
        <v>26</v>
      </c>
      <c r="N242" s="14" t="s">
        <v>27</v>
      </c>
      <c r="O242" s="14" t="s">
        <v>28</v>
      </c>
      <c r="P242" s="51">
        <v>35</v>
      </c>
      <c r="Q242" s="47">
        <f t="shared" si="6"/>
        <v>140</v>
      </c>
      <c r="R242" s="47"/>
      <c r="S242" s="47"/>
      <c r="T242" s="47">
        <v>23060</v>
      </c>
    </row>
    <row r="243" customHeight="1" spans="1:20">
      <c r="A243" s="43">
        <v>23062</v>
      </c>
      <c r="B243" s="78" t="s">
        <v>556</v>
      </c>
      <c r="C243" s="78"/>
      <c r="D243" s="43">
        <v>1</v>
      </c>
      <c r="E243" s="78" t="s">
        <v>21</v>
      </c>
      <c r="F243" s="44">
        <f t="shared" si="7"/>
        <v>2</v>
      </c>
      <c r="G243" s="102" t="s">
        <v>557</v>
      </c>
      <c r="H243" s="46" t="s">
        <v>18</v>
      </c>
      <c r="I243" s="47"/>
      <c r="J243" s="48" t="s">
        <v>42</v>
      </c>
      <c r="K243" s="83">
        <v>23062</v>
      </c>
      <c r="L243" s="103" t="s">
        <v>25</v>
      </c>
      <c r="M243" s="103" t="s">
        <v>26</v>
      </c>
      <c r="N243" s="14" t="s">
        <v>27</v>
      </c>
      <c r="O243" s="14" t="s">
        <v>28</v>
      </c>
      <c r="P243" s="51">
        <v>60</v>
      </c>
      <c r="Q243" s="47">
        <f t="shared" si="6"/>
        <v>120</v>
      </c>
      <c r="R243" s="47"/>
      <c r="S243" s="47"/>
      <c r="T243" s="47">
        <v>23062</v>
      </c>
    </row>
    <row r="244" customHeight="1" spans="1:20">
      <c r="A244" s="6">
        <v>24</v>
      </c>
      <c r="B244" s="2" t="s">
        <v>558</v>
      </c>
      <c r="C244" s="2"/>
      <c r="D244" s="6"/>
      <c r="E244" s="2"/>
      <c r="F244" s="44">
        <f t="shared" si="7"/>
        <v>0</v>
      </c>
      <c r="G244" s="77"/>
      <c r="H244" s="46"/>
      <c r="I244" s="47"/>
      <c r="J244" s="48" t="s">
        <v>42</v>
      </c>
      <c r="K244" s="94"/>
      <c r="L244" s="95"/>
      <c r="M244" s="95"/>
      <c r="O244" s="14" t="s">
        <v>28</v>
      </c>
      <c r="P244" s="51"/>
      <c r="Q244" s="47">
        <f t="shared" si="6"/>
        <v>0</v>
      </c>
      <c r="R244" s="47"/>
      <c r="S244" s="47"/>
      <c r="T244" s="47"/>
    </row>
    <row r="245" customHeight="1" spans="1:20">
      <c r="A245" s="43">
        <v>24001</v>
      </c>
      <c r="B245" s="78" t="s">
        <v>559</v>
      </c>
      <c r="C245" s="78"/>
      <c r="D245" s="43">
        <f>D9</f>
        <v>28</v>
      </c>
      <c r="E245" s="78" t="s">
        <v>409</v>
      </c>
      <c r="F245" s="44">
        <f t="shared" si="7"/>
        <v>56</v>
      </c>
      <c r="G245" s="85" t="s">
        <v>560</v>
      </c>
      <c r="H245" s="46" t="s">
        <v>18</v>
      </c>
      <c r="I245" s="47"/>
      <c r="J245" s="48" t="s">
        <v>42</v>
      </c>
      <c r="K245" s="86">
        <v>24001</v>
      </c>
      <c r="L245" s="87" t="s">
        <v>25</v>
      </c>
      <c r="M245" s="87" t="s">
        <v>26</v>
      </c>
      <c r="N245" s="14" t="s">
        <v>27</v>
      </c>
      <c r="O245" s="14" t="s">
        <v>28</v>
      </c>
      <c r="P245" s="51">
        <v>26</v>
      </c>
      <c r="Q245" s="47">
        <f t="shared" si="6"/>
        <v>1456</v>
      </c>
      <c r="R245" s="47"/>
      <c r="S245" s="47"/>
      <c r="T245" s="47">
        <v>24001</v>
      </c>
    </row>
    <row r="246" customHeight="1" spans="1:20">
      <c r="A246" s="43">
        <v>24002</v>
      </c>
      <c r="B246" s="78" t="s">
        <v>561</v>
      </c>
      <c r="C246" s="78"/>
      <c r="D246" s="43">
        <f>D9</f>
        <v>28</v>
      </c>
      <c r="E246" s="78" t="s">
        <v>21</v>
      </c>
      <c r="F246" s="44">
        <f t="shared" si="7"/>
        <v>56</v>
      </c>
      <c r="G246" s="85" t="s">
        <v>562</v>
      </c>
      <c r="H246" s="46" t="s">
        <v>18</v>
      </c>
      <c r="I246" s="47"/>
      <c r="J246" s="48" t="s">
        <v>42</v>
      </c>
      <c r="K246" s="86">
        <v>24002</v>
      </c>
      <c r="L246" s="87" t="s">
        <v>25</v>
      </c>
      <c r="M246" s="87" t="s">
        <v>26</v>
      </c>
      <c r="N246" s="14" t="s">
        <v>27</v>
      </c>
      <c r="O246" s="14" t="s">
        <v>28</v>
      </c>
      <c r="P246" s="51">
        <v>24</v>
      </c>
      <c r="Q246" s="47">
        <f t="shared" si="6"/>
        <v>1344</v>
      </c>
      <c r="R246" s="47"/>
      <c r="S246" s="47"/>
      <c r="T246" s="47">
        <v>24002</v>
      </c>
    </row>
    <row r="247" customHeight="1" spans="1:20">
      <c r="A247" s="43">
        <v>24003</v>
      </c>
      <c r="B247" s="78" t="s">
        <v>563</v>
      </c>
      <c r="C247" s="78"/>
      <c r="D247" s="43">
        <v>1</v>
      </c>
      <c r="E247" s="78" t="s">
        <v>32</v>
      </c>
      <c r="F247" s="44">
        <f t="shared" si="7"/>
        <v>2</v>
      </c>
      <c r="G247" s="85" t="s">
        <v>564</v>
      </c>
      <c r="H247" s="46" t="s">
        <v>18</v>
      </c>
      <c r="I247" s="47"/>
      <c r="J247" s="48" t="s">
        <v>42</v>
      </c>
      <c r="K247" s="86">
        <v>24003</v>
      </c>
      <c r="L247" s="87" t="s">
        <v>25</v>
      </c>
      <c r="M247" s="87" t="s">
        <v>26</v>
      </c>
      <c r="N247" s="14" t="s">
        <v>27</v>
      </c>
      <c r="O247" s="14" t="s">
        <v>28</v>
      </c>
      <c r="P247" s="51">
        <v>32</v>
      </c>
      <c r="Q247" s="47">
        <f t="shared" si="6"/>
        <v>64</v>
      </c>
      <c r="R247" s="47"/>
      <c r="S247" s="47"/>
      <c r="T247" s="47">
        <v>24003</v>
      </c>
    </row>
    <row r="248" customHeight="1" spans="1:20">
      <c r="A248" s="43">
        <v>24004</v>
      </c>
      <c r="B248" s="78" t="s">
        <v>565</v>
      </c>
      <c r="C248" s="78"/>
      <c r="D248" s="43">
        <v>1</v>
      </c>
      <c r="E248" s="78" t="s">
        <v>32</v>
      </c>
      <c r="F248" s="44">
        <f t="shared" si="7"/>
        <v>2</v>
      </c>
      <c r="G248" s="85" t="s">
        <v>566</v>
      </c>
      <c r="H248" s="46" t="s">
        <v>18</v>
      </c>
      <c r="I248" s="47"/>
      <c r="J248" s="48" t="s">
        <v>42</v>
      </c>
      <c r="K248" s="86">
        <v>24004</v>
      </c>
      <c r="L248" s="87" t="s">
        <v>25</v>
      </c>
      <c r="M248" s="87" t="s">
        <v>26</v>
      </c>
      <c r="N248" s="14" t="s">
        <v>27</v>
      </c>
      <c r="O248" s="14" t="s">
        <v>28</v>
      </c>
      <c r="P248" s="51">
        <v>75</v>
      </c>
      <c r="Q248" s="47">
        <f t="shared" si="6"/>
        <v>150</v>
      </c>
      <c r="R248" s="47"/>
      <c r="S248" s="47"/>
      <c r="T248" s="47">
        <v>24004</v>
      </c>
    </row>
    <row r="249" customHeight="1" spans="1:20">
      <c r="A249" s="43">
        <v>24005</v>
      </c>
      <c r="B249" s="78" t="s">
        <v>567</v>
      </c>
      <c r="C249" s="78"/>
      <c r="D249" s="43">
        <v>1</v>
      </c>
      <c r="E249" s="78" t="s">
        <v>32</v>
      </c>
      <c r="F249" s="44">
        <f t="shared" si="7"/>
        <v>2</v>
      </c>
      <c r="G249" s="102" t="s">
        <v>568</v>
      </c>
      <c r="H249" s="46" t="s">
        <v>18</v>
      </c>
      <c r="I249" s="47"/>
      <c r="J249" s="48" t="s">
        <v>42</v>
      </c>
      <c r="K249" s="83">
        <v>24005</v>
      </c>
      <c r="L249" s="103" t="s">
        <v>25</v>
      </c>
      <c r="M249" s="103" t="s">
        <v>26</v>
      </c>
      <c r="N249" s="14" t="s">
        <v>27</v>
      </c>
      <c r="O249" s="14" t="s">
        <v>28</v>
      </c>
      <c r="P249" s="51">
        <v>36</v>
      </c>
      <c r="Q249" s="47">
        <f t="shared" si="6"/>
        <v>72</v>
      </c>
      <c r="R249" s="47"/>
      <c r="S249" s="47"/>
      <c r="T249" s="47">
        <v>24005</v>
      </c>
    </row>
    <row r="250" customHeight="1" spans="1:20">
      <c r="A250" s="43">
        <v>24006</v>
      </c>
      <c r="B250" s="78" t="s">
        <v>569</v>
      </c>
      <c r="C250" s="78"/>
      <c r="D250" s="43">
        <v>2</v>
      </c>
      <c r="E250" s="78" t="s">
        <v>32</v>
      </c>
      <c r="F250" s="44">
        <f t="shared" si="7"/>
        <v>4</v>
      </c>
      <c r="G250" s="85" t="s">
        <v>570</v>
      </c>
      <c r="H250" s="46" t="s">
        <v>18</v>
      </c>
      <c r="I250" s="47"/>
      <c r="J250" s="48" t="s">
        <v>42</v>
      </c>
      <c r="K250" s="86">
        <v>24006</v>
      </c>
      <c r="L250" s="87" t="s">
        <v>25</v>
      </c>
      <c r="M250" s="87" t="s">
        <v>26</v>
      </c>
      <c r="N250" s="14" t="s">
        <v>27</v>
      </c>
      <c r="O250" s="14" t="s">
        <v>28</v>
      </c>
      <c r="P250" s="51">
        <v>45</v>
      </c>
      <c r="Q250" s="47">
        <f t="shared" si="6"/>
        <v>180</v>
      </c>
      <c r="R250" s="47"/>
      <c r="S250" s="47"/>
      <c r="T250" s="47">
        <v>24006</v>
      </c>
    </row>
    <row r="251" customHeight="1" spans="1:20">
      <c r="A251" s="43">
        <v>24007</v>
      </c>
      <c r="B251" s="78" t="s">
        <v>571</v>
      </c>
      <c r="C251" s="78"/>
      <c r="D251" s="43">
        <v>2</v>
      </c>
      <c r="E251" s="78" t="s">
        <v>32</v>
      </c>
      <c r="F251" s="44">
        <f t="shared" si="7"/>
        <v>4</v>
      </c>
      <c r="G251" s="85" t="s">
        <v>572</v>
      </c>
      <c r="H251" s="46" t="s">
        <v>18</v>
      </c>
      <c r="I251" s="47"/>
      <c r="J251" s="48" t="s">
        <v>42</v>
      </c>
      <c r="K251" s="86">
        <v>24007</v>
      </c>
      <c r="L251" s="87" t="s">
        <v>25</v>
      </c>
      <c r="M251" s="87" t="s">
        <v>26</v>
      </c>
      <c r="N251" s="14" t="s">
        <v>27</v>
      </c>
      <c r="O251" s="14" t="s">
        <v>28</v>
      </c>
      <c r="P251" s="51">
        <v>6</v>
      </c>
      <c r="Q251" s="47">
        <f t="shared" si="6"/>
        <v>24</v>
      </c>
      <c r="R251" s="47"/>
      <c r="S251" s="47"/>
      <c r="T251" s="47">
        <v>24007</v>
      </c>
    </row>
    <row r="252" customHeight="1" spans="1:20">
      <c r="A252" s="43">
        <v>24008</v>
      </c>
      <c r="B252" s="78" t="s">
        <v>573</v>
      </c>
      <c r="C252" s="78"/>
      <c r="D252" s="43">
        <v>5</v>
      </c>
      <c r="E252" s="78" t="s">
        <v>409</v>
      </c>
      <c r="F252" s="44">
        <f t="shared" si="7"/>
        <v>10</v>
      </c>
      <c r="G252" s="85" t="s">
        <v>574</v>
      </c>
      <c r="H252" s="46" t="s">
        <v>18</v>
      </c>
      <c r="I252" s="47"/>
      <c r="J252" s="48" t="s">
        <v>42</v>
      </c>
      <c r="K252" s="86">
        <v>24008</v>
      </c>
      <c r="L252" s="87" t="s">
        <v>25</v>
      </c>
      <c r="M252" s="87" t="s">
        <v>26</v>
      </c>
      <c r="N252" s="14" t="s">
        <v>27</v>
      </c>
      <c r="O252" s="14" t="s">
        <v>28</v>
      </c>
      <c r="P252" s="51">
        <v>4</v>
      </c>
      <c r="Q252" s="47">
        <f t="shared" si="6"/>
        <v>40</v>
      </c>
      <c r="R252" s="47"/>
      <c r="S252" s="47"/>
      <c r="T252" s="47">
        <v>24008</v>
      </c>
    </row>
    <row r="253" customHeight="1" spans="1:20">
      <c r="A253" s="43">
        <v>24009</v>
      </c>
      <c r="B253" s="78" t="s">
        <v>575</v>
      </c>
      <c r="C253" s="78"/>
      <c r="D253" s="43">
        <v>1</v>
      </c>
      <c r="E253" s="78" t="s">
        <v>32</v>
      </c>
      <c r="F253" s="44">
        <f t="shared" si="7"/>
        <v>2</v>
      </c>
      <c r="G253" s="82" t="s">
        <v>576</v>
      </c>
      <c r="H253" s="46" t="s">
        <v>18</v>
      </c>
      <c r="I253" s="47"/>
      <c r="J253" s="48" t="s">
        <v>42</v>
      </c>
      <c r="K253" s="83">
        <v>24009</v>
      </c>
      <c r="L253" s="84" t="s">
        <v>25</v>
      </c>
      <c r="M253" s="84" t="s">
        <v>26</v>
      </c>
      <c r="N253" s="14" t="s">
        <v>27</v>
      </c>
      <c r="O253" s="14" t="s">
        <v>28</v>
      </c>
      <c r="P253" s="51">
        <v>25</v>
      </c>
      <c r="Q253" s="47">
        <f t="shared" si="6"/>
        <v>50</v>
      </c>
      <c r="R253" s="47"/>
      <c r="S253" s="47"/>
      <c r="T253" s="47">
        <v>24009</v>
      </c>
    </row>
    <row r="254" customHeight="1" spans="1:20">
      <c r="A254" s="43">
        <v>24010</v>
      </c>
      <c r="B254" s="78" t="s">
        <v>577</v>
      </c>
      <c r="C254" s="78"/>
      <c r="D254" s="43">
        <f>D9</f>
        <v>28</v>
      </c>
      <c r="E254" s="78" t="s">
        <v>32</v>
      </c>
      <c r="F254" s="44">
        <f t="shared" si="7"/>
        <v>56</v>
      </c>
      <c r="G254" s="82" t="s">
        <v>578</v>
      </c>
      <c r="H254" s="46" t="s">
        <v>18</v>
      </c>
      <c r="I254" s="47"/>
      <c r="J254" s="48" t="s">
        <v>42</v>
      </c>
      <c r="K254" s="83">
        <v>24010</v>
      </c>
      <c r="L254" s="84" t="s">
        <v>25</v>
      </c>
      <c r="M254" s="84" t="s">
        <v>26</v>
      </c>
      <c r="N254" s="14" t="s">
        <v>27</v>
      </c>
      <c r="O254" s="14" t="s">
        <v>28</v>
      </c>
      <c r="P254" s="51">
        <v>12</v>
      </c>
      <c r="Q254" s="47">
        <f t="shared" si="6"/>
        <v>672</v>
      </c>
      <c r="R254" s="47"/>
      <c r="S254" s="47"/>
      <c r="T254" s="47">
        <v>24010</v>
      </c>
    </row>
    <row r="255" customHeight="1" spans="1:20">
      <c r="A255" s="43">
        <v>24014</v>
      </c>
      <c r="B255" s="78" t="s">
        <v>579</v>
      </c>
      <c r="C255" s="78"/>
      <c r="D255" s="43">
        <v>1</v>
      </c>
      <c r="E255" s="78" t="s">
        <v>21</v>
      </c>
      <c r="F255" s="44">
        <f t="shared" si="7"/>
        <v>2</v>
      </c>
      <c r="G255" s="102" t="s">
        <v>580</v>
      </c>
      <c r="H255" s="46" t="s">
        <v>18</v>
      </c>
      <c r="I255" s="47"/>
      <c r="J255" s="48" t="s">
        <v>42</v>
      </c>
      <c r="K255" s="83">
        <v>24014</v>
      </c>
      <c r="L255" s="103" t="s">
        <v>25</v>
      </c>
      <c r="M255" s="103" t="s">
        <v>26</v>
      </c>
      <c r="N255" s="14" t="s">
        <v>27</v>
      </c>
      <c r="O255" s="14" t="s">
        <v>28</v>
      </c>
      <c r="P255" s="51">
        <v>45</v>
      </c>
      <c r="Q255" s="47">
        <f t="shared" si="6"/>
        <v>90</v>
      </c>
      <c r="R255" s="47"/>
      <c r="S255" s="47"/>
      <c r="T255" s="47">
        <v>24014</v>
      </c>
    </row>
    <row r="256" customHeight="1" spans="1:20">
      <c r="A256" s="43">
        <v>24017</v>
      </c>
      <c r="B256" s="78" t="s">
        <v>581</v>
      </c>
      <c r="C256" s="78"/>
      <c r="D256" s="43">
        <f>D9</f>
        <v>28</v>
      </c>
      <c r="E256" s="78" t="s">
        <v>21</v>
      </c>
      <c r="F256" s="44">
        <f t="shared" si="7"/>
        <v>56</v>
      </c>
      <c r="G256" s="85" t="s">
        <v>582</v>
      </c>
      <c r="H256" s="46" t="s">
        <v>18</v>
      </c>
      <c r="I256" s="47"/>
      <c r="J256" s="48" t="s">
        <v>42</v>
      </c>
      <c r="K256" s="86">
        <v>24017</v>
      </c>
      <c r="L256" s="87" t="s">
        <v>25</v>
      </c>
      <c r="M256" s="87" t="s">
        <v>26</v>
      </c>
      <c r="N256" s="14" t="s">
        <v>27</v>
      </c>
      <c r="O256" s="14" t="s">
        <v>28</v>
      </c>
      <c r="P256" s="51">
        <v>21.5</v>
      </c>
      <c r="Q256" s="47">
        <f t="shared" si="6"/>
        <v>1204</v>
      </c>
      <c r="R256" s="47"/>
      <c r="S256" s="47"/>
      <c r="T256" s="47">
        <v>24017</v>
      </c>
    </row>
    <row r="257" customHeight="1" spans="1:20">
      <c r="A257" s="43">
        <v>24019</v>
      </c>
      <c r="B257" s="78" t="s">
        <v>583</v>
      </c>
      <c r="C257" s="78"/>
      <c r="D257" s="43">
        <v>1</v>
      </c>
      <c r="E257" s="78" t="s">
        <v>21</v>
      </c>
      <c r="F257" s="44">
        <f t="shared" si="7"/>
        <v>2</v>
      </c>
      <c r="G257" s="85" t="s">
        <v>584</v>
      </c>
      <c r="H257" s="46" t="s">
        <v>18</v>
      </c>
      <c r="I257" s="47"/>
      <c r="J257" s="48" t="s">
        <v>42</v>
      </c>
      <c r="K257" s="86">
        <v>24019</v>
      </c>
      <c r="L257" s="87" t="s">
        <v>25</v>
      </c>
      <c r="M257" s="87" t="s">
        <v>26</v>
      </c>
      <c r="N257" s="14" t="s">
        <v>27</v>
      </c>
      <c r="O257" s="14" t="s">
        <v>28</v>
      </c>
      <c r="P257" s="51">
        <v>95</v>
      </c>
      <c r="Q257" s="47">
        <f t="shared" si="6"/>
        <v>190</v>
      </c>
      <c r="R257" s="47"/>
      <c r="S257" s="47"/>
      <c r="T257" s="47">
        <v>24019</v>
      </c>
    </row>
    <row r="258" customHeight="1" spans="1:20">
      <c r="A258" s="43">
        <v>24021</v>
      </c>
      <c r="B258" s="78" t="s">
        <v>585</v>
      </c>
      <c r="C258" s="78"/>
      <c r="D258" s="43">
        <v>1</v>
      </c>
      <c r="E258" s="78" t="s">
        <v>21</v>
      </c>
      <c r="F258" s="44">
        <f t="shared" si="7"/>
        <v>2</v>
      </c>
      <c r="G258" s="85" t="s">
        <v>586</v>
      </c>
      <c r="H258" s="46" t="s">
        <v>18</v>
      </c>
      <c r="I258" s="47"/>
      <c r="J258" s="48" t="s">
        <v>42</v>
      </c>
      <c r="K258" s="86">
        <v>24021</v>
      </c>
      <c r="L258" s="87" t="s">
        <v>587</v>
      </c>
      <c r="M258" s="87" t="s">
        <v>588</v>
      </c>
      <c r="N258" s="14" t="s">
        <v>27</v>
      </c>
      <c r="O258" s="14" t="s">
        <v>28</v>
      </c>
      <c r="P258" s="51">
        <v>155</v>
      </c>
      <c r="Q258" s="47">
        <f t="shared" si="6"/>
        <v>310</v>
      </c>
      <c r="R258" s="47"/>
      <c r="S258" s="47"/>
      <c r="T258" s="47">
        <v>24021</v>
      </c>
    </row>
    <row r="259" customHeight="1" spans="1:20">
      <c r="A259" s="43">
        <v>24021</v>
      </c>
      <c r="B259" s="78" t="s">
        <v>585</v>
      </c>
      <c r="C259" s="78"/>
      <c r="D259" s="43">
        <v>1</v>
      </c>
      <c r="E259" s="78" t="s">
        <v>221</v>
      </c>
      <c r="F259" s="44">
        <f t="shared" si="7"/>
        <v>2</v>
      </c>
      <c r="G259" s="85" t="s">
        <v>589</v>
      </c>
      <c r="H259" s="46" t="s">
        <v>18</v>
      </c>
      <c r="I259" s="47"/>
      <c r="J259" s="48" t="s">
        <v>42</v>
      </c>
      <c r="K259" s="86">
        <v>24021</v>
      </c>
      <c r="L259" s="87" t="s">
        <v>587</v>
      </c>
      <c r="M259" s="87" t="s">
        <v>588</v>
      </c>
      <c r="N259" s="14" t="s">
        <v>27</v>
      </c>
      <c r="O259" s="14" t="s">
        <v>28</v>
      </c>
      <c r="P259" s="51">
        <v>155</v>
      </c>
      <c r="Q259" s="47">
        <f t="shared" si="6"/>
        <v>310</v>
      </c>
      <c r="R259" s="47"/>
      <c r="S259" s="47"/>
      <c r="T259" s="47">
        <v>24021</v>
      </c>
    </row>
    <row r="260" customHeight="1" spans="1:20">
      <c r="A260" s="43">
        <v>24021</v>
      </c>
      <c r="B260" s="78" t="s">
        <v>585</v>
      </c>
      <c r="C260" s="78"/>
      <c r="D260" s="43">
        <v>1</v>
      </c>
      <c r="E260" s="78" t="s">
        <v>221</v>
      </c>
      <c r="F260" s="44">
        <f t="shared" si="7"/>
        <v>2</v>
      </c>
      <c r="G260" s="85" t="s">
        <v>590</v>
      </c>
      <c r="H260" s="46" t="s">
        <v>18</v>
      </c>
      <c r="I260" s="47"/>
      <c r="J260" s="48" t="s">
        <v>42</v>
      </c>
      <c r="K260" s="86">
        <v>24021</v>
      </c>
      <c r="L260" s="87" t="s">
        <v>587</v>
      </c>
      <c r="M260" s="87" t="s">
        <v>588</v>
      </c>
      <c r="N260" s="14" t="s">
        <v>27</v>
      </c>
      <c r="O260" s="14" t="s">
        <v>28</v>
      </c>
      <c r="P260" s="51">
        <v>155</v>
      </c>
      <c r="Q260" s="47">
        <f t="shared" ref="Q260:Q323" si="8">P260*F260</f>
        <v>310</v>
      </c>
      <c r="R260" s="47"/>
      <c r="S260" s="47"/>
      <c r="T260" s="47">
        <v>24021</v>
      </c>
    </row>
    <row r="261" customHeight="1" spans="1:20">
      <c r="A261" s="43">
        <v>24021</v>
      </c>
      <c r="B261" s="78" t="s">
        <v>585</v>
      </c>
      <c r="C261" s="78"/>
      <c r="D261" s="43">
        <v>1</v>
      </c>
      <c r="E261" s="78" t="s">
        <v>221</v>
      </c>
      <c r="F261" s="44">
        <f t="shared" si="7"/>
        <v>2</v>
      </c>
      <c r="G261" s="85" t="s">
        <v>591</v>
      </c>
      <c r="H261" s="46" t="s">
        <v>18</v>
      </c>
      <c r="I261" s="47"/>
      <c r="J261" s="48" t="s">
        <v>42</v>
      </c>
      <c r="K261" s="86">
        <v>24021</v>
      </c>
      <c r="L261" s="87" t="s">
        <v>587</v>
      </c>
      <c r="M261" s="87" t="s">
        <v>588</v>
      </c>
      <c r="N261" s="14" t="s">
        <v>27</v>
      </c>
      <c r="O261" s="14" t="s">
        <v>28</v>
      </c>
      <c r="P261" s="51">
        <v>155</v>
      </c>
      <c r="Q261" s="47">
        <f t="shared" si="8"/>
        <v>310</v>
      </c>
      <c r="R261" s="47"/>
      <c r="S261" s="47"/>
      <c r="T261" s="47">
        <v>24021</v>
      </c>
    </row>
    <row r="262" customHeight="1" spans="1:20">
      <c r="A262" s="43">
        <v>24022</v>
      </c>
      <c r="B262" s="78" t="s">
        <v>592</v>
      </c>
      <c r="C262" s="78"/>
      <c r="D262" s="43">
        <v>1</v>
      </c>
      <c r="E262" s="78" t="s">
        <v>54</v>
      </c>
      <c r="F262" s="44">
        <f t="shared" si="7"/>
        <v>2</v>
      </c>
      <c r="G262" s="85" t="s">
        <v>593</v>
      </c>
      <c r="H262" s="46" t="s">
        <v>18</v>
      </c>
      <c r="I262" s="47"/>
      <c r="J262" s="48" t="s">
        <v>42</v>
      </c>
      <c r="K262" s="86">
        <v>24022</v>
      </c>
      <c r="L262" s="87" t="s">
        <v>25</v>
      </c>
      <c r="M262" s="87" t="s">
        <v>26</v>
      </c>
      <c r="N262" s="14" t="s">
        <v>27</v>
      </c>
      <c r="O262" s="14" t="s">
        <v>28</v>
      </c>
      <c r="P262" s="51">
        <v>290</v>
      </c>
      <c r="Q262" s="47">
        <f t="shared" si="8"/>
        <v>580</v>
      </c>
      <c r="R262" s="47"/>
      <c r="S262" s="47"/>
      <c r="T262" s="47">
        <v>24022</v>
      </c>
    </row>
    <row r="263" customHeight="1" spans="1:20">
      <c r="A263" s="43">
        <v>24027</v>
      </c>
      <c r="B263" s="78" t="s">
        <v>594</v>
      </c>
      <c r="C263" s="78"/>
      <c r="D263" s="43">
        <v>1</v>
      </c>
      <c r="E263" s="78" t="s">
        <v>54</v>
      </c>
      <c r="F263" s="44">
        <f t="shared" si="7"/>
        <v>2</v>
      </c>
      <c r="G263" s="85" t="s">
        <v>595</v>
      </c>
      <c r="H263" s="46" t="s">
        <v>18</v>
      </c>
      <c r="I263" s="47"/>
      <c r="J263" s="48" t="s">
        <v>42</v>
      </c>
      <c r="K263" s="86">
        <v>24027</v>
      </c>
      <c r="L263" s="87" t="s">
        <v>25</v>
      </c>
      <c r="M263" s="87" t="s">
        <v>26</v>
      </c>
      <c r="N263" s="14" t="s">
        <v>27</v>
      </c>
      <c r="O263" s="14" t="s">
        <v>28</v>
      </c>
      <c r="P263" s="51">
        <v>300</v>
      </c>
      <c r="Q263" s="47">
        <f t="shared" si="8"/>
        <v>600</v>
      </c>
      <c r="R263" s="47"/>
      <c r="S263" s="47"/>
      <c r="T263" s="47">
        <v>24027</v>
      </c>
    </row>
    <row r="264" customHeight="1" spans="1:20">
      <c r="A264" s="43">
        <v>24028</v>
      </c>
      <c r="B264" s="78" t="s">
        <v>596</v>
      </c>
      <c r="C264" s="78"/>
      <c r="D264" s="43">
        <f>D9/2</f>
        <v>14</v>
      </c>
      <c r="E264" s="78" t="s">
        <v>54</v>
      </c>
      <c r="F264" s="44">
        <f t="shared" si="7"/>
        <v>28</v>
      </c>
      <c r="G264" s="85" t="s">
        <v>597</v>
      </c>
      <c r="H264" s="46" t="s">
        <v>18</v>
      </c>
      <c r="I264" s="47"/>
      <c r="J264" s="48" t="s">
        <v>42</v>
      </c>
      <c r="K264" s="86">
        <v>24028</v>
      </c>
      <c r="L264" s="87" t="s">
        <v>25</v>
      </c>
      <c r="M264" s="87" t="s">
        <v>26</v>
      </c>
      <c r="N264" s="14" t="s">
        <v>27</v>
      </c>
      <c r="O264" s="14" t="s">
        <v>28</v>
      </c>
      <c r="P264" s="51">
        <v>90</v>
      </c>
      <c r="Q264" s="47">
        <f t="shared" si="8"/>
        <v>2520</v>
      </c>
      <c r="R264" s="47"/>
      <c r="S264" s="47"/>
      <c r="T264" s="47">
        <v>24029</v>
      </c>
    </row>
    <row r="265" customHeight="1" spans="1:20">
      <c r="A265" s="43">
        <v>24029</v>
      </c>
      <c r="B265" s="78" t="s">
        <v>598</v>
      </c>
      <c r="C265" s="78"/>
      <c r="D265" s="43">
        <v>1</v>
      </c>
      <c r="E265" s="78" t="s">
        <v>54</v>
      </c>
      <c r="F265" s="44">
        <f t="shared" ref="F265:F328" si="9">D265*2</f>
        <v>2</v>
      </c>
      <c r="G265" s="85" t="s">
        <v>599</v>
      </c>
      <c r="H265" s="46" t="s">
        <v>18</v>
      </c>
      <c r="I265" s="47"/>
      <c r="J265" s="48" t="s">
        <v>42</v>
      </c>
      <c r="K265" s="86">
        <v>24029</v>
      </c>
      <c r="L265" s="87" t="s">
        <v>25</v>
      </c>
      <c r="M265" s="87" t="s">
        <v>26</v>
      </c>
      <c r="N265" s="14" t="s">
        <v>27</v>
      </c>
      <c r="O265" s="14" t="s">
        <v>28</v>
      </c>
      <c r="P265" s="51">
        <v>350</v>
      </c>
      <c r="Q265" s="47">
        <f t="shared" si="8"/>
        <v>700</v>
      </c>
      <c r="R265" s="47"/>
      <c r="S265" s="47"/>
      <c r="T265" s="47">
        <v>24028</v>
      </c>
    </row>
    <row r="266" customHeight="1" spans="1:20">
      <c r="A266" s="43" t="s">
        <v>600</v>
      </c>
      <c r="B266" s="78" t="s">
        <v>601</v>
      </c>
      <c r="C266" s="78"/>
      <c r="D266" s="43">
        <v>1</v>
      </c>
      <c r="E266" s="78" t="s">
        <v>21</v>
      </c>
      <c r="F266" s="44">
        <f t="shared" si="9"/>
        <v>2</v>
      </c>
      <c r="G266" s="85" t="s">
        <v>602</v>
      </c>
      <c r="H266" s="46" t="s">
        <v>18</v>
      </c>
      <c r="I266" s="47"/>
      <c r="J266" s="48" t="s">
        <v>42</v>
      </c>
      <c r="K266" s="86" t="s">
        <v>600</v>
      </c>
      <c r="L266" s="87" t="s">
        <v>25</v>
      </c>
      <c r="M266" s="87" t="s">
        <v>26</v>
      </c>
      <c r="N266" s="14" t="s">
        <v>27</v>
      </c>
      <c r="O266" s="14" t="s">
        <v>28</v>
      </c>
      <c r="P266" s="51">
        <v>40</v>
      </c>
      <c r="Q266" s="47">
        <f t="shared" si="8"/>
        <v>80</v>
      </c>
      <c r="R266" s="47"/>
      <c r="S266" s="47"/>
      <c r="T266" s="47">
        <v>24030</v>
      </c>
    </row>
    <row r="267" customHeight="1" spans="1:20">
      <c r="A267" s="43" t="s">
        <v>603</v>
      </c>
      <c r="B267" s="78" t="s">
        <v>604</v>
      </c>
      <c r="C267" s="78"/>
      <c r="D267" s="43">
        <v>1</v>
      </c>
      <c r="E267" s="78" t="s">
        <v>21</v>
      </c>
      <c r="F267" s="44">
        <f t="shared" si="9"/>
        <v>2</v>
      </c>
      <c r="G267" s="85" t="s">
        <v>605</v>
      </c>
      <c r="H267" s="46" t="s">
        <v>18</v>
      </c>
      <c r="I267" s="47"/>
      <c r="J267" s="48" t="s">
        <v>42</v>
      </c>
      <c r="K267" s="86" t="s">
        <v>603</v>
      </c>
      <c r="L267" s="87" t="s">
        <v>25</v>
      </c>
      <c r="M267" s="87" t="s">
        <v>26</v>
      </c>
      <c r="N267" s="14" t="s">
        <v>27</v>
      </c>
      <c r="O267" s="14" t="s">
        <v>28</v>
      </c>
      <c r="P267" s="51">
        <v>36</v>
      </c>
      <c r="Q267" s="47">
        <f t="shared" si="8"/>
        <v>72</v>
      </c>
      <c r="R267" s="47"/>
      <c r="S267" s="47"/>
      <c r="T267" s="47">
        <v>24031</v>
      </c>
    </row>
    <row r="268" customHeight="1" spans="1:20">
      <c r="A268" s="43" t="s">
        <v>606</v>
      </c>
      <c r="B268" s="78" t="s">
        <v>607</v>
      </c>
      <c r="C268" s="78"/>
      <c r="D268" s="43">
        <v>2</v>
      </c>
      <c r="E268" s="78" t="s">
        <v>21</v>
      </c>
      <c r="F268" s="44">
        <f t="shared" si="9"/>
        <v>4</v>
      </c>
      <c r="G268" s="85" t="s">
        <v>608</v>
      </c>
      <c r="H268" s="46" t="s">
        <v>18</v>
      </c>
      <c r="I268" s="47"/>
      <c r="J268" s="48" t="s">
        <v>42</v>
      </c>
      <c r="K268" s="86" t="s">
        <v>606</v>
      </c>
      <c r="L268" s="87" t="s">
        <v>25</v>
      </c>
      <c r="M268" s="87" t="s">
        <v>26</v>
      </c>
      <c r="N268" s="14" t="s">
        <v>27</v>
      </c>
      <c r="O268" s="14" t="s">
        <v>28</v>
      </c>
      <c r="P268" s="51">
        <v>32</v>
      </c>
      <c r="Q268" s="47">
        <f t="shared" si="8"/>
        <v>128</v>
      </c>
      <c r="R268" s="47"/>
      <c r="S268" s="47"/>
      <c r="T268" s="47">
        <v>24032</v>
      </c>
    </row>
    <row r="269" customHeight="1" spans="1:20">
      <c r="A269" s="43" t="s">
        <v>609</v>
      </c>
      <c r="B269" s="78" t="s">
        <v>610</v>
      </c>
      <c r="C269" s="78"/>
      <c r="D269" s="43">
        <v>1</v>
      </c>
      <c r="E269" s="78" t="s">
        <v>32</v>
      </c>
      <c r="F269" s="44">
        <f t="shared" si="9"/>
        <v>2</v>
      </c>
      <c r="G269" s="85" t="s">
        <v>611</v>
      </c>
      <c r="H269" s="46" t="s">
        <v>18</v>
      </c>
      <c r="I269" s="47"/>
      <c r="J269" s="48" t="s">
        <v>42</v>
      </c>
      <c r="K269" s="86" t="s">
        <v>609</v>
      </c>
      <c r="L269" s="87" t="s">
        <v>25</v>
      </c>
      <c r="M269" s="87" t="s">
        <v>26</v>
      </c>
      <c r="N269" s="14" t="s">
        <v>27</v>
      </c>
      <c r="O269" s="14" t="s">
        <v>28</v>
      </c>
      <c r="P269" s="51">
        <v>240</v>
      </c>
      <c r="Q269" s="47">
        <f t="shared" si="8"/>
        <v>480</v>
      </c>
      <c r="R269" s="47"/>
      <c r="S269" s="47"/>
      <c r="T269" s="47">
        <v>24033</v>
      </c>
    </row>
    <row r="270" customHeight="1" spans="1:20">
      <c r="A270" s="43">
        <v>24034</v>
      </c>
      <c r="B270" s="78" t="s">
        <v>612</v>
      </c>
      <c r="C270" s="78"/>
      <c r="D270" s="43">
        <v>1</v>
      </c>
      <c r="E270" s="78" t="s">
        <v>32</v>
      </c>
      <c r="F270" s="44">
        <f t="shared" si="9"/>
        <v>2</v>
      </c>
      <c r="G270" s="85" t="s">
        <v>613</v>
      </c>
      <c r="H270" s="46" t="s">
        <v>18</v>
      </c>
      <c r="I270" s="47"/>
      <c r="J270" s="48" t="s">
        <v>42</v>
      </c>
      <c r="K270" s="86">
        <v>24034</v>
      </c>
      <c r="L270" s="87" t="s">
        <v>25</v>
      </c>
      <c r="M270" s="87" t="s">
        <v>26</v>
      </c>
      <c r="N270" s="14" t="s">
        <v>27</v>
      </c>
      <c r="O270" s="14" t="s">
        <v>28</v>
      </c>
      <c r="P270" s="51">
        <v>310</v>
      </c>
      <c r="Q270" s="47">
        <f t="shared" si="8"/>
        <v>620</v>
      </c>
      <c r="R270" s="47"/>
      <c r="S270" s="47"/>
      <c r="T270" s="47">
        <v>24034</v>
      </c>
    </row>
    <row r="271" customHeight="1" spans="1:20">
      <c r="A271" s="43">
        <v>24035</v>
      </c>
      <c r="B271" s="78" t="s">
        <v>614</v>
      </c>
      <c r="C271" s="78"/>
      <c r="D271" s="43">
        <v>1</v>
      </c>
      <c r="E271" s="78" t="s">
        <v>32</v>
      </c>
      <c r="F271" s="44">
        <f t="shared" si="9"/>
        <v>2</v>
      </c>
      <c r="G271" s="85" t="s">
        <v>615</v>
      </c>
      <c r="H271" s="46" t="s">
        <v>18</v>
      </c>
      <c r="I271" s="47"/>
      <c r="J271" s="48" t="s">
        <v>42</v>
      </c>
      <c r="K271" s="86">
        <v>24035</v>
      </c>
      <c r="L271" s="87" t="s">
        <v>538</v>
      </c>
      <c r="M271" s="87" t="s">
        <v>539</v>
      </c>
      <c r="N271" s="14" t="s">
        <v>27</v>
      </c>
      <c r="O271" s="14" t="s">
        <v>28</v>
      </c>
      <c r="P271" s="51">
        <v>75</v>
      </c>
      <c r="Q271" s="47">
        <f t="shared" si="8"/>
        <v>150</v>
      </c>
      <c r="R271" s="47"/>
      <c r="S271" s="47"/>
      <c r="T271" s="47">
        <v>24035</v>
      </c>
    </row>
    <row r="272" customHeight="1" spans="1:20">
      <c r="A272" s="43">
        <v>24036</v>
      </c>
      <c r="B272" s="78" t="s">
        <v>616</v>
      </c>
      <c r="C272" s="78"/>
      <c r="D272" s="43">
        <f>D9</f>
        <v>28</v>
      </c>
      <c r="E272" s="78" t="s">
        <v>32</v>
      </c>
      <c r="F272" s="44">
        <f t="shared" si="9"/>
        <v>56</v>
      </c>
      <c r="G272" s="85" t="s">
        <v>617</v>
      </c>
      <c r="H272" s="46" t="s">
        <v>18</v>
      </c>
      <c r="I272" s="47"/>
      <c r="J272" s="48" t="s">
        <v>42</v>
      </c>
      <c r="K272" s="86">
        <v>24036</v>
      </c>
      <c r="L272" s="87" t="s">
        <v>25</v>
      </c>
      <c r="M272" s="87" t="s">
        <v>26</v>
      </c>
      <c r="N272" s="14" t="s">
        <v>27</v>
      </c>
      <c r="O272" s="14" t="s">
        <v>28</v>
      </c>
      <c r="P272" s="51">
        <v>20</v>
      </c>
      <c r="Q272" s="47">
        <f t="shared" si="8"/>
        <v>1120</v>
      </c>
      <c r="R272" s="47"/>
      <c r="S272" s="47"/>
      <c r="T272" s="47">
        <v>24036</v>
      </c>
    </row>
    <row r="273" customHeight="1" spans="1:20">
      <c r="A273" s="43">
        <v>24037</v>
      </c>
      <c r="B273" s="78" t="s">
        <v>618</v>
      </c>
      <c r="C273" s="78"/>
      <c r="D273" s="43">
        <v>1</v>
      </c>
      <c r="E273" s="78" t="s">
        <v>54</v>
      </c>
      <c r="F273" s="44">
        <f t="shared" si="9"/>
        <v>2</v>
      </c>
      <c r="G273" s="85" t="s">
        <v>619</v>
      </c>
      <c r="H273" s="46" t="s">
        <v>18</v>
      </c>
      <c r="I273" s="47"/>
      <c r="J273" s="48" t="s">
        <v>42</v>
      </c>
      <c r="K273" s="86">
        <v>24037</v>
      </c>
      <c r="L273" s="87" t="s">
        <v>25</v>
      </c>
      <c r="M273" s="87" t="s">
        <v>26</v>
      </c>
      <c r="N273" s="14" t="s">
        <v>27</v>
      </c>
      <c r="O273" s="14" t="s">
        <v>28</v>
      </c>
      <c r="P273" s="51">
        <v>150</v>
      </c>
      <c r="Q273" s="47">
        <f t="shared" si="8"/>
        <v>300</v>
      </c>
      <c r="R273" s="47"/>
      <c r="S273" s="47"/>
      <c r="T273" s="47">
        <v>24037</v>
      </c>
    </row>
    <row r="274" customHeight="1" spans="1:20">
      <c r="A274" s="43">
        <v>24038</v>
      </c>
      <c r="B274" s="78" t="s">
        <v>620</v>
      </c>
      <c r="C274" s="78"/>
      <c r="D274" s="43">
        <v>1</v>
      </c>
      <c r="E274" s="78" t="s">
        <v>32</v>
      </c>
      <c r="F274" s="44">
        <f t="shared" si="9"/>
        <v>2</v>
      </c>
      <c r="G274" s="85" t="s">
        <v>621</v>
      </c>
      <c r="H274" s="46" t="s">
        <v>18</v>
      </c>
      <c r="I274" s="47"/>
      <c r="J274" s="48" t="s">
        <v>42</v>
      </c>
      <c r="K274" s="86">
        <v>24038</v>
      </c>
      <c r="L274" s="87" t="s">
        <v>25</v>
      </c>
      <c r="M274" s="87" t="s">
        <v>26</v>
      </c>
      <c r="N274" s="14" t="s">
        <v>27</v>
      </c>
      <c r="O274" s="14" t="s">
        <v>28</v>
      </c>
      <c r="P274" s="51">
        <v>500</v>
      </c>
      <c r="Q274" s="47">
        <f t="shared" si="8"/>
        <v>1000</v>
      </c>
      <c r="R274" s="47"/>
      <c r="S274" s="47"/>
      <c r="T274" s="47">
        <v>24038</v>
      </c>
    </row>
    <row r="275" customHeight="1" spans="1:20">
      <c r="A275" s="43">
        <v>24039</v>
      </c>
      <c r="B275" s="78" t="s">
        <v>622</v>
      </c>
      <c r="C275" s="78"/>
      <c r="D275" s="43">
        <v>1</v>
      </c>
      <c r="E275" s="78" t="s">
        <v>32</v>
      </c>
      <c r="F275" s="44">
        <f t="shared" si="9"/>
        <v>2</v>
      </c>
      <c r="G275" s="102" t="s">
        <v>623</v>
      </c>
      <c r="H275" s="46" t="s">
        <v>18</v>
      </c>
      <c r="I275" s="47"/>
      <c r="J275" s="48" t="s">
        <v>42</v>
      </c>
      <c r="K275" s="83">
        <v>24039</v>
      </c>
      <c r="L275" s="103" t="s">
        <v>25</v>
      </c>
      <c r="M275" s="103" t="s">
        <v>26</v>
      </c>
      <c r="N275" s="14" t="s">
        <v>27</v>
      </c>
      <c r="O275" s="14" t="s">
        <v>28</v>
      </c>
      <c r="P275" s="51">
        <v>16</v>
      </c>
      <c r="Q275" s="47">
        <f t="shared" si="8"/>
        <v>32</v>
      </c>
      <c r="R275" s="47"/>
      <c r="S275" s="47"/>
      <c r="T275" s="47">
        <v>24039</v>
      </c>
    </row>
    <row r="276" customHeight="1" spans="1:20">
      <c r="A276" s="43">
        <v>24040</v>
      </c>
      <c r="B276" s="78" t="s">
        <v>624</v>
      </c>
      <c r="C276" s="78"/>
      <c r="D276" s="43">
        <v>1</v>
      </c>
      <c r="E276" s="78" t="s">
        <v>32</v>
      </c>
      <c r="F276" s="44">
        <f t="shared" si="9"/>
        <v>2</v>
      </c>
      <c r="G276" s="85" t="s">
        <v>625</v>
      </c>
      <c r="H276" s="46" t="s">
        <v>18</v>
      </c>
      <c r="I276" s="47"/>
      <c r="J276" s="48" t="s">
        <v>42</v>
      </c>
      <c r="K276" s="86">
        <v>24040</v>
      </c>
      <c r="L276" s="87" t="s">
        <v>25</v>
      </c>
      <c r="M276" s="87" t="s">
        <v>26</v>
      </c>
      <c r="N276" s="14" t="s">
        <v>27</v>
      </c>
      <c r="O276" s="14" t="s">
        <v>28</v>
      </c>
      <c r="P276" s="51">
        <v>120</v>
      </c>
      <c r="Q276" s="47">
        <f t="shared" si="8"/>
        <v>240</v>
      </c>
      <c r="R276" s="47"/>
      <c r="S276" s="47"/>
      <c r="T276" s="47">
        <v>24040</v>
      </c>
    </row>
    <row r="277" customHeight="1" spans="1:20">
      <c r="A277" s="43">
        <v>24041</v>
      </c>
      <c r="B277" s="78" t="s">
        <v>626</v>
      </c>
      <c r="C277" s="78"/>
      <c r="D277" s="43">
        <f>D9</f>
        <v>28</v>
      </c>
      <c r="E277" s="78" t="s">
        <v>32</v>
      </c>
      <c r="F277" s="44">
        <f t="shared" si="9"/>
        <v>56</v>
      </c>
      <c r="G277" s="85" t="s">
        <v>627</v>
      </c>
      <c r="H277" s="46" t="s">
        <v>18</v>
      </c>
      <c r="I277" s="47"/>
      <c r="J277" s="48" t="s">
        <v>42</v>
      </c>
      <c r="K277" s="86">
        <v>24041</v>
      </c>
      <c r="L277" s="87" t="s">
        <v>25</v>
      </c>
      <c r="M277" s="87" t="s">
        <v>26</v>
      </c>
      <c r="N277" s="14" t="s">
        <v>27</v>
      </c>
      <c r="O277" s="14" t="s">
        <v>28</v>
      </c>
      <c r="P277" s="51">
        <v>15</v>
      </c>
      <c r="Q277" s="47">
        <f t="shared" si="8"/>
        <v>840</v>
      </c>
      <c r="R277" s="47"/>
      <c r="S277" s="47"/>
      <c r="T277" s="47">
        <v>24041</v>
      </c>
    </row>
    <row r="278" customHeight="1" spans="1:20">
      <c r="A278" s="43">
        <v>24042</v>
      </c>
      <c r="B278" s="78" t="s">
        <v>628</v>
      </c>
      <c r="C278" s="78"/>
      <c r="D278" s="43">
        <v>1</v>
      </c>
      <c r="E278" s="78" t="s">
        <v>32</v>
      </c>
      <c r="F278" s="44">
        <f t="shared" si="9"/>
        <v>2</v>
      </c>
      <c r="G278" s="85" t="s">
        <v>629</v>
      </c>
      <c r="H278" s="46" t="s">
        <v>18</v>
      </c>
      <c r="I278" s="47"/>
      <c r="J278" s="48" t="s">
        <v>42</v>
      </c>
      <c r="K278" s="86">
        <v>24042</v>
      </c>
      <c r="L278" s="87" t="s">
        <v>25</v>
      </c>
      <c r="M278" s="87" t="s">
        <v>26</v>
      </c>
      <c r="N278" s="14" t="s">
        <v>27</v>
      </c>
      <c r="O278" s="14" t="s">
        <v>28</v>
      </c>
      <c r="P278" s="51">
        <v>95</v>
      </c>
      <c r="Q278" s="47">
        <f t="shared" si="8"/>
        <v>190</v>
      </c>
      <c r="R278" s="47"/>
      <c r="S278" s="47"/>
      <c r="T278" s="47">
        <v>24042</v>
      </c>
    </row>
    <row r="279" customHeight="1" spans="1:20">
      <c r="A279" s="43">
        <v>24044</v>
      </c>
      <c r="B279" s="78" t="s">
        <v>630</v>
      </c>
      <c r="C279" s="78"/>
      <c r="D279" s="43">
        <v>1</v>
      </c>
      <c r="E279" s="78" t="s">
        <v>32</v>
      </c>
      <c r="F279" s="44">
        <f t="shared" si="9"/>
        <v>2</v>
      </c>
      <c r="G279" s="85" t="s">
        <v>631</v>
      </c>
      <c r="H279" s="46" t="s">
        <v>18</v>
      </c>
      <c r="I279" s="47"/>
      <c r="J279" s="48" t="s">
        <v>42</v>
      </c>
      <c r="K279" s="86">
        <v>24044</v>
      </c>
      <c r="L279" s="87" t="s">
        <v>25</v>
      </c>
      <c r="M279" s="87" t="s">
        <v>26</v>
      </c>
      <c r="N279" s="14" t="s">
        <v>27</v>
      </c>
      <c r="O279" s="14" t="s">
        <v>28</v>
      </c>
      <c r="P279" s="51">
        <v>150</v>
      </c>
      <c r="Q279" s="47">
        <f t="shared" si="8"/>
        <v>300</v>
      </c>
      <c r="R279" s="47"/>
      <c r="S279" s="47"/>
      <c r="T279" s="47">
        <v>24044</v>
      </c>
    </row>
    <row r="280" customHeight="1" spans="1:20">
      <c r="A280" s="43">
        <v>24045</v>
      </c>
      <c r="B280" s="78" t="s">
        <v>632</v>
      </c>
      <c r="C280" s="78"/>
      <c r="D280" s="43">
        <v>1</v>
      </c>
      <c r="E280" s="78" t="s">
        <v>54</v>
      </c>
      <c r="F280" s="44">
        <f t="shared" si="9"/>
        <v>2</v>
      </c>
      <c r="G280" s="85" t="s">
        <v>633</v>
      </c>
      <c r="H280" s="46" t="s">
        <v>18</v>
      </c>
      <c r="I280" s="47"/>
      <c r="J280" s="48" t="s">
        <v>42</v>
      </c>
      <c r="K280" s="86">
        <v>24045</v>
      </c>
      <c r="L280" s="87" t="s">
        <v>25</v>
      </c>
      <c r="M280" s="87" t="s">
        <v>26</v>
      </c>
      <c r="N280" s="14" t="s">
        <v>27</v>
      </c>
      <c r="O280" s="14" t="s">
        <v>28</v>
      </c>
      <c r="P280" s="51">
        <v>290</v>
      </c>
      <c r="Q280" s="47">
        <f t="shared" si="8"/>
        <v>580</v>
      </c>
      <c r="R280" s="47"/>
      <c r="S280" s="47"/>
      <c r="T280" s="47">
        <v>24045</v>
      </c>
    </row>
    <row r="281" customHeight="1" spans="1:20">
      <c r="A281" s="43">
        <v>24046</v>
      </c>
      <c r="B281" s="78" t="s">
        <v>634</v>
      </c>
      <c r="C281" s="78"/>
      <c r="D281" s="43">
        <v>1</v>
      </c>
      <c r="E281" s="78" t="s">
        <v>54</v>
      </c>
      <c r="F281" s="44">
        <f t="shared" si="9"/>
        <v>2</v>
      </c>
      <c r="G281" s="85" t="s">
        <v>635</v>
      </c>
      <c r="H281" s="46" t="s">
        <v>18</v>
      </c>
      <c r="I281" s="47"/>
      <c r="J281" s="48" t="s">
        <v>42</v>
      </c>
      <c r="K281" s="86">
        <v>24046</v>
      </c>
      <c r="L281" s="87" t="s">
        <v>25</v>
      </c>
      <c r="M281" s="87" t="s">
        <v>26</v>
      </c>
      <c r="N281" s="14" t="s">
        <v>27</v>
      </c>
      <c r="O281" s="14" t="s">
        <v>28</v>
      </c>
      <c r="P281" s="51">
        <v>175</v>
      </c>
      <c r="Q281" s="47">
        <f t="shared" si="8"/>
        <v>350</v>
      </c>
      <c r="R281" s="47"/>
      <c r="S281" s="47"/>
      <c r="T281" s="47">
        <v>24046</v>
      </c>
    </row>
    <row r="282" customHeight="1" spans="1:20">
      <c r="A282" s="43">
        <v>24047</v>
      </c>
      <c r="B282" s="78" t="s">
        <v>636</v>
      </c>
      <c r="C282" s="78"/>
      <c r="D282" s="43">
        <v>1</v>
      </c>
      <c r="E282" s="78" t="s">
        <v>54</v>
      </c>
      <c r="F282" s="44">
        <f t="shared" si="9"/>
        <v>2</v>
      </c>
      <c r="G282" s="85" t="s">
        <v>637</v>
      </c>
      <c r="H282" s="46" t="s">
        <v>18</v>
      </c>
      <c r="I282" s="47"/>
      <c r="J282" s="48" t="s">
        <v>42</v>
      </c>
      <c r="K282" s="86">
        <v>24047</v>
      </c>
      <c r="L282" s="87" t="s">
        <v>25</v>
      </c>
      <c r="M282" s="87" t="s">
        <v>26</v>
      </c>
      <c r="N282" s="14" t="s">
        <v>27</v>
      </c>
      <c r="O282" s="14" t="s">
        <v>28</v>
      </c>
      <c r="P282" s="51">
        <v>178</v>
      </c>
      <c r="Q282" s="47">
        <f t="shared" si="8"/>
        <v>356</v>
      </c>
      <c r="R282" s="47"/>
      <c r="S282" s="47"/>
      <c r="T282" s="47">
        <v>24047</v>
      </c>
    </row>
    <row r="283" customHeight="1" spans="1:20">
      <c r="A283" s="43">
        <v>24048</v>
      </c>
      <c r="B283" s="78" t="s">
        <v>638</v>
      </c>
      <c r="C283" s="78"/>
      <c r="D283" s="43">
        <v>1</v>
      </c>
      <c r="E283" s="78" t="s">
        <v>54</v>
      </c>
      <c r="F283" s="44">
        <f t="shared" si="9"/>
        <v>2</v>
      </c>
      <c r="G283" s="85" t="s">
        <v>639</v>
      </c>
      <c r="H283" s="46" t="s">
        <v>18</v>
      </c>
      <c r="I283" s="47"/>
      <c r="J283" s="48" t="s">
        <v>42</v>
      </c>
      <c r="K283" s="86">
        <v>24048</v>
      </c>
      <c r="L283" s="87" t="s">
        <v>25</v>
      </c>
      <c r="M283" s="87" t="s">
        <v>26</v>
      </c>
      <c r="N283" s="14" t="s">
        <v>27</v>
      </c>
      <c r="O283" s="14" t="s">
        <v>28</v>
      </c>
      <c r="P283" s="51">
        <v>210</v>
      </c>
      <c r="Q283" s="47">
        <f t="shared" si="8"/>
        <v>420</v>
      </c>
      <c r="R283" s="47"/>
      <c r="S283" s="47"/>
      <c r="T283" s="47">
        <v>24048</v>
      </c>
    </row>
    <row r="284" customHeight="1" spans="1:20">
      <c r="A284" s="43">
        <v>24049</v>
      </c>
      <c r="B284" s="78" t="s">
        <v>640</v>
      </c>
      <c r="C284" s="78"/>
      <c r="D284" s="43">
        <f>D9*2</f>
        <v>56</v>
      </c>
      <c r="E284" s="78" t="s">
        <v>32</v>
      </c>
      <c r="F284" s="44">
        <f t="shared" si="9"/>
        <v>112</v>
      </c>
      <c r="G284" s="85" t="s">
        <v>641</v>
      </c>
      <c r="H284" s="46" t="s">
        <v>18</v>
      </c>
      <c r="I284" s="47"/>
      <c r="J284" s="48" t="s">
        <v>42</v>
      </c>
      <c r="K284" s="86">
        <v>24049</v>
      </c>
      <c r="L284" s="87" t="s">
        <v>25</v>
      </c>
      <c r="M284" s="87" t="s">
        <v>26</v>
      </c>
      <c r="N284" s="14" t="s">
        <v>27</v>
      </c>
      <c r="O284" s="14" t="s">
        <v>28</v>
      </c>
      <c r="P284" s="51">
        <v>30</v>
      </c>
      <c r="Q284" s="47">
        <f t="shared" si="8"/>
        <v>3360</v>
      </c>
      <c r="R284" s="47"/>
      <c r="S284" s="47"/>
      <c r="T284" s="47">
        <v>24049</v>
      </c>
    </row>
    <row r="285" customHeight="1" spans="1:20">
      <c r="A285" s="43">
        <v>24050</v>
      </c>
      <c r="B285" s="78" t="s">
        <v>642</v>
      </c>
      <c r="C285" s="78"/>
      <c r="D285" s="43">
        <v>1</v>
      </c>
      <c r="E285" s="78" t="s">
        <v>54</v>
      </c>
      <c r="F285" s="44">
        <f t="shared" si="9"/>
        <v>2</v>
      </c>
      <c r="G285" s="85" t="s">
        <v>643</v>
      </c>
      <c r="H285" s="46" t="s">
        <v>18</v>
      </c>
      <c r="I285" s="47"/>
      <c r="J285" s="48" t="s">
        <v>42</v>
      </c>
      <c r="K285" s="86">
        <v>24050</v>
      </c>
      <c r="L285" s="87" t="s">
        <v>25</v>
      </c>
      <c r="M285" s="87" t="s">
        <v>26</v>
      </c>
      <c r="N285" s="14" t="s">
        <v>27</v>
      </c>
      <c r="O285" s="14" t="s">
        <v>28</v>
      </c>
      <c r="P285" s="51">
        <v>300</v>
      </c>
      <c r="Q285" s="47">
        <f t="shared" si="8"/>
        <v>600</v>
      </c>
      <c r="R285" s="47"/>
      <c r="S285" s="47"/>
      <c r="T285" s="47">
        <v>24050</v>
      </c>
    </row>
    <row r="286" customHeight="1" spans="1:20">
      <c r="A286" s="43">
        <v>24051</v>
      </c>
      <c r="B286" s="78" t="s">
        <v>644</v>
      </c>
      <c r="C286" s="78"/>
      <c r="D286" s="43">
        <v>1</v>
      </c>
      <c r="E286" s="78" t="s">
        <v>32</v>
      </c>
      <c r="F286" s="44">
        <f t="shared" si="9"/>
        <v>2</v>
      </c>
      <c r="G286" s="102" t="s">
        <v>645</v>
      </c>
      <c r="H286" s="46" t="s">
        <v>18</v>
      </c>
      <c r="I286" s="47"/>
      <c r="J286" s="48" t="s">
        <v>42</v>
      </c>
      <c r="K286" s="83">
        <v>24051</v>
      </c>
      <c r="L286" s="103" t="s">
        <v>25</v>
      </c>
      <c r="M286" s="103" t="s">
        <v>26</v>
      </c>
      <c r="N286" s="14" t="s">
        <v>27</v>
      </c>
      <c r="O286" s="14" t="s">
        <v>28</v>
      </c>
      <c r="P286" s="51">
        <v>120</v>
      </c>
      <c r="Q286" s="47">
        <f t="shared" si="8"/>
        <v>240</v>
      </c>
      <c r="R286" s="47"/>
      <c r="S286" s="47"/>
      <c r="T286" s="47">
        <v>24051</v>
      </c>
    </row>
    <row r="287" customHeight="1" spans="1:20">
      <c r="A287" s="43">
        <v>24053</v>
      </c>
      <c r="B287" s="78" t="s">
        <v>646</v>
      </c>
      <c r="C287" s="78"/>
      <c r="D287" s="43">
        <v>1</v>
      </c>
      <c r="E287" s="78" t="s">
        <v>54</v>
      </c>
      <c r="F287" s="44">
        <f t="shared" si="9"/>
        <v>2</v>
      </c>
      <c r="G287" s="85" t="s">
        <v>647</v>
      </c>
      <c r="H287" s="46" t="s">
        <v>18</v>
      </c>
      <c r="I287" s="47"/>
      <c r="J287" s="48" t="s">
        <v>42</v>
      </c>
      <c r="K287" s="86">
        <v>24053</v>
      </c>
      <c r="L287" s="87" t="s">
        <v>25</v>
      </c>
      <c r="M287" s="87" t="s">
        <v>26</v>
      </c>
      <c r="N287" s="14" t="s">
        <v>27</v>
      </c>
      <c r="O287" s="14" t="s">
        <v>28</v>
      </c>
      <c r="P287" s="51">
        <v>980</v>
      </c>
      <c r="Q287" s="47">
        <f t="shared" si="8"/>
        <v>1960</v>
      </c>
      <c r="R287" s="47"/>
      <c r="S287" s="47"/>
      <c r="T287" s="47">
        <v>24053</v>
      </c>
    </row>
    <row r="288" customHeight="1" spans="1:20">
      <c r="A288" s="43">
        <v>24054</v>
      </c>
      <c r="B288" s="78" t="s">
        <v>648</v>
      </c>
      <c r="C288" s="78"/>
      <c r="D288" s="43">
        <v>1</v>
      </c>
      <c r="E288" s="78" t="s">
        <v>54</v>
      </c>
      <c r="F288" s="44">
        <f t="shared" si="9"/>
        <v>2</v>
      </c>
      <c r="G288" s="85" t="s">
        <v>649</v>
      </c>
      <c r="H288" s="46" t="s">
        <v>18</v>
      </c>
      <c r="I288" s="47"/>
      <c r="J288" s="48" t="s">
        <v>42</v>
      </c>
      <c r="K288" s="86">
        <v>24054</v>
      </c>
      <c r="L288" s="87" t="s">
        <v>281</v>
      </c>
      <c r="M288" s="87" t="s">
        <v>282</v>
      </c>
      <c r="N288" s="14" t="s">
        <v>27</v>
      </c>
      <c r="O288" s="14" t="s">
        <v>28</v>
      </c>
      <c r="P288" s="51">
        <v>1000</v>
      </c>
      <c r="Q288" s="47">
        <f t="shared" si="8"/>
        <v>2000</v>
      </c>
      <c r="R288" s="47"/>
      <c r="S288" s="47"/>
      <c r="T288" s="47">
        <v>24054</v>
      </c>
    </row>
    <row r="289" customHeight="1" spans="1:20">
      <c r="A289" s="43">
        <v>24055</v>
      </c>
      <c r="B289" s="78" t="s">
        <v>650</v>
      </c>
      <c r="C289" s="78"/>
      <c r="D289" s="43">
        <f>D9/2</f>
        <v>14</v>
      </c>
      <c r="E289" s="78" t="s">
        <v>32</v>
      </c>
      <c r="F289" s="44">
        <f t="shared" si="9"/>
        <v>28</v>
      </c>
      <c r="G289" s="85" t="s">
        <v>651</v>
      </c>
      <c r="H289" s="46" t="s">
        <v>18</v>
      </c>
      <c r="I289" s="47"/>
      <c r="J289" s="48" t="s">
        <v>42</v>
      </c>
      <c r="K289" s="86">
        <v>24055</v>
      </c>
      <c r="L289" s="87" t="s">
        <v>25</v>
      </c>
      <c r="M289" s="87" t="s">
        <v>26</v>
      </c>
      <c r="N289" s="14" t="s">
        <v>27</v>
      </c>
      <c r="O289" s="14" t="s">
        <v>28</v>
      </c>
      <c r="P289" s="51">
        <v>95</v>
      </c>
      <c r="Q289" s="47">
        <f t="shared" si="8"/>
        <v>2660</v>
      </c>
      <c r="R289" s="47"/>
      <c r="S289" s="47"/>
      <c r="T289" s="47">
        <v>24055</v>
      </c>
    </row>
    <row r="290" customHeight="1" spans="1:20">
      <c r="A290" s="43">
        <v>24056</v>
      </c>
      <c r="B290" s="78" t="s">
        <v>652</v>
      </c>
      <c r="C290" s="78"/>
      <c r="D290" s="43">
        <f>D9</f>
        <v>28</v>
      </c>
      <c r="E290" s="78" t="s">
        <v>32</v>
      </c>
      <c r="F290" s="44">
        <f t="shared" si="9"/>
        <v>56</v>
      </c>
      <c r="G290" s="85" t="s">
        <v>653</v>
      </c>
      <c r="H290" s="46" t="s">
        <v>18</v>
      </c>
      <c r="I290" s="47"/>
      <c r="J290" s="48" t="s">
        <v>42</v>
      </c>
      <c r="K290" s="86">
        <v>24056</v>
      </c>
      <c r="L290" s="87" t="s">
        <v>25</v>
      </c>
      <c r="M290" s="87" t="s">
        <v>26</v>
      </c>
      <c r="N290" s="14" t="s">
        <v>27</v>
      </c>
      <c r="O290" s="14" t="s">
        <v>28</v>
      </c>
      <c r="P290" s="51">
        <v>12</v>
      </c>
      <c r="Q290" s="47">
        <f t="shared" si="8"/>
        <v>672</v>
      </c>
      <c r="R290" s="47"/>
      <c r="S290" s="47"/>
      <c r="T290" s="47">
        <v>24056</v>
      </c>
    </row>
    <row r="291" customHeight="1" spans="1:20">
      <c r="A291" s="43">
        <v>24057</v>
      </c>
      <c r="B291" s="78" t="s">
        <v>654</v>
      </c>
      <c r="C291" s="78"/>
      <c r="D291" s="43">
        <v>1</v>
      </c>
      <c r="E291" s="78" t="s">
        <v>32</v>
      </c>
      <c r="F291" s="44">
        <f t="shared" si="9"/>
        <v>2</v>
      </c>
      <c r="G291" s="102" t="s">
        <v>655</v>
      </c>
      <c r="H291" s="46" t="s">
        <v>18</v>
      </c>
      <c r="I291" s="47"/>
      <c r="J291" s="48" t="s">
        <v>42</v>
      </c>
      <c r="K291" s="83">
        <v>24057</v>
      </c>
      <c r="L291" s="103" t="s">
        <v>587</v>
      </c>
      <c r="M291" s="103" t="s">
        <v>588</v>
      </c>
      <c r="N291" s="14" t="s">
        <v>27</v>
      </c>
      <c r="O291" s="14" t="s">
        <v>28</v>
      </c>
      <c r="P291" s="51">
        <v>200</v>
      </c>
      <c r="Q291" s="47">
        <f t="shared" si="8"/>
        <v>400</v>
      </c>
      <c r="R291" s="47"/>
      <c r="S291" s="47"/>
      <c r="T291" s="47">
        <v>24057</v>
      </c>
    </row>
    <row r="292" customHeight="1" spans="1:20">
      <c r="A292" s="43">
        <v>24059</v>
      </c>
      <c r="B292" s="78" t="s">
        <v>656</v>
      </c>
      <c r="C292" s="78"/>
      <c r="D292" s="43">
        <v>1</v>
      </c>
      <c r="E292" s="78" t="s">
        <v>54</v>
      </c>
      <c r="F292" s="44">
        <f t="shared" si="9"/>
        <v>2</v>
      </c>
      <c r="G292" s="85" t="s">
        <v>657</v>
      </c>
      <c r="H292" s="46" t="s">
        <v>18</v>
      </c>
      <c r="I292" s="47"/>
      <c r="J292" s="48" t="s">
        <v>42</v>
      </c>
      <c r="K292" s="86">
        <v>24059</v>
      </c>
      <c r="L292" s="87" t="s">
        <v>25</v>
      </c>
      <c r="M292" s="87" t="s">
        <v>26</v>
      </c>
      <c r="N292" s="14" t="s">
        <v>27</v>
      </c>
      <c r="O292" s="14" t="s">
        <v>28</v>
      </c>
      <c r="P292" s="51">
        <v>135</v>
      </c>
      <c r="Q292" s="47">
        <f t="shared" si="8"/>
        <v>270</v>
      </c>
      <c r="R292" s="47"/>
      <c r="S292" s="47"/>
      <c r="T292" s="47">
        <v>24059</v>
      </c>
    </row>
    <row r="293" customHeight="1" spans="1:20">
      <c r="A293" s="43">
        <v>24060</v>
      </c>
      <c r="B293" s="78" t="s">
        <v>658</v>
      </c>
      <c r="C293" s="78"/>
      <c r="D293" s="43">
        <v>1</v>
      </c>
      <c r="E293" s="78" t="s">
        <v>54</v>
      </c>
      <c r="F293" s="44">
        <f t="shared" si="9"/>
        <v>2</v>
      </c>
      <c r="G293" s="85" t="s">
        <v>659</v>
      </c>
      <c r="H293" s="46" t="s">
        <v>18</v>
      </c>
      <c r="I293" s="47"/>
      <c r="J293" s="48" t="s">
        <v>42</v>
      </c>
      <c r="K293" s="86">
        <v>24060</v>
      </c>
      <c r="L293" s="87" t="s">
        <v>25</v>
      </c>
      <c r="M293" s="87" t="s">
        <v>26</v>
      </c>
      <c r="N293" s="14" t="s">
        <v>27</v>
      </c>
      <c r="O293" s="14" t="s">
        <v>28</v>
      </c>
      <c r="P293" s="51">
        <v>200</v>
      </c>
      <c r="Q293" s="47">
        <f t="shared" si="8"/>
        <v>400</v>
      </c>
      <c r="R293" s="47"/>
      <c r="S293" s="47"/>
      <c r="T293" s="47">
        <v>24060</v>
      </c>
    </row>
    <row r="294" customHeight="1" spans="1:20">
      <c r="A294" s="43">
        <v>24061</v>
      </c>
      <c r="B294" s="78" t="s">
        <v>660</v>
      </c>
      <c r="C294" s="78"/>
      <c r="D294" s="43">
        <v>1</v>
      </c>
      <c r="E294" s="78" t="s">
        <v>54</v>
      </c>
      <c r="F294" s="44">
        <f t="shared" si="9"/>
        <v>2</v>
      </c>
      <c r="G294" s="85" t="s">
        <v>661</v>
      </c>
      <c r="H294" s="46" t="s">
        <v>18</v>
      </c>
      <c r="I294" s="47"/>
      <c r="J294" s="48" t="s">
        <v>42</v>
      </c>
      <c r="K294" s="86">
        <v>24061</v>
      </c>
      <c r="L294" s="87" t="s">
        <v>25</v>
      </c>
      <c r="M294" s="87" t="s">
        <v>26</v>
      </c>
      <c r="N294" s="14" t="s">
        <v>27</v>
      </c>
      <c r="O294" s="14" t="s">
        <v>28</v>
      </c>
      <c r="P294" s="51">
        <v>180</v>
      </c>
      <c r="Q294" s="47">
        <f t="shared" si="8"/>
        <v>360</v>
      </c>
      <c r="R294" s="47"/>
      <c r="S294" s="47"/>
      <c r="T294" s="47">
        <v>24061</v>
      </c>
    </row>
    <row r="295" customHeight="1" spans="1:20">
      <c r="A295" s="43">
        <v>24062</v>
      </c>
      <c r="B295" s="78" t="s">
        <v>662</v>
      </c>
      <c r="C295" s="78"/>
      <c r="D295" s="43">
        <v>1</v>
      </c>
      <c r="E295" s="78" t="s">
        <v>32</v>
      </c>
      <c r="F295" s="44">
        <f t="shared" si="9"/>
        <v>2</v>
      </c>
      <c r="G295" s="85" t="s">
        <v>663</v>
      </c>
      <c r="H295" s="46" t="s">
        <v>18</v>
      </c>
      <c r="I295" s="47"/>
      <c r="J295" s="48" t="s">
        <v>42</v>
      </c>
      <c r="K295" s="86">
        <v>24062</v>
      </c>
      <c r="L295" s="87" t="s">
        <v>25</v>
      </c>
      <c r="M295" s="87" t="s">
        <v>26</v>
      </c>
      <c r="N295" s="14" t="s">
        <v>27</v>
      </c>
      <c r="O295" s="14" t="s">
        <v>28</v>
      </c>
      <c r="P295" s="51">
        <v>340</v>
      </c>
      <c r="Q295" s="47">
        <f t="shared" si="8"/>
        <v>680</v>
      </c>
      <c r="R295" s="47"/>
      <c r="S295" s="47"/>
      <c r="T295" s="47">
        <v>24062</v>
      </c>
    </row>
    <row r="296" customHeight="1" spans="1:20">
      <c r="A296" s="43">
        <v>24063</v>
      </c>
      <c r="B296" s="78" t="s">
        <v>664</v>
      </c>
      <c r="C296" s="78"/>
      <c r="D296" s="43">
        <v>1</v>
      </c>
      <c r="E296" s="78" t="s">
        <v>32</v>
      </c>
      <c r="F296" s="44">
        <f t="shared" si="9"/>
        <v>2</v>
      </c>
      <c r="G296" s="85" t="s">
        <v>665</v>
      </c>
      <c r="H296" s="46" t="s">
        <v>18</v>
      </c>
      <c r="I296" s="47"/>
      <c r="J296" s="48" t="s">
        <v>42</v>
      </c>
      <c r="K296" s="86">
        <v>24063</v>
      </c>
      <c r="L296" s="87" t="s">
        <v>25</v>
      </c>
      <c r="M296" s="87" t="s">
        <v>26</v>
      </c>
      <c r="N296" s="14" t="s">
        <v>27</v>
      </c>
      <c r="O296" s="14" t="s">
        <v>28</v>
      </c>
      <c r="P296" s="51">
        <v>1500</v>
      </c>
      <c r="Q296" s="47">
        <f t="shared" si="8"/>
        <v>3000</v>
      </c>
      <c r="R296" s="47"/>
      <c r="S296" s="47"/>
      <c r="T296" s="47">
        <v>24063</v>
      </c>
    </row>
    <row r="297" customHeight="1" spans="1:20">
      <c r="A297" s="43">
        <v>24064</v>
      </c>
      <c r="B297" s="78" t="s">
        <v>666</v>
      </c>
      <c r="C297" s="78"/>
      <c r="D297" s="43">
        <v>1</v>
      </c>
      <c r="E297" s="78" t="s">
        <v>54</v>
      </c>
      <c r="F297" s="44">
        <f t="shared" si="9"/>
        <v>2</v>
      </c>
      <c r="G297" s="85" t="s">
        <v>667</v>
      </c>
      <c r="H297" s="46" t="s">
        <v>18</v>
      </c>
      <c r="I297" s="47"/>
      <c r="J297" s="48" t="s">
        <v>42</v>
      </c>
      <c r="K297" s="86">
        <v>24064</v>
      </c>
      <c r="L297" s="87" t="s">
        <v>25</v>
      </c>
      <c r="M297" s="87" t="s">
        <v>26</v>
      </c>
      <c r="N297" s="14" t="s">
        <v>27</v>
      </c>
      <c r="O297" s="14" t="s">
        <v>28</v>
      </c>
      <c r="P297" s="51">
        <v>1800</v>
      </c>
      <c r="Q297" s="47">
        <f t="shared" si="8"/>
        <v>3600</v>
      </c>
      <c r="R297" s="47"/>
      <c r="S297" s="47"/>
      <c r="T297" s="47">
        <v>24064</v>
      </c>
    </row>
    <row r="298" customHeight="1" spans="1:20">
      <c r="A298" s="43">
        <v>24065</v>
      </c>
      <c r="B298" s="78" t="s">
        <v>668</v>
      </c>
      <c r="C298" s="78"/>
      <c r="D298" s="43">
        <v>1</v>
      </c>
      <c r="E298" s="78" t="s">
        <v>54</v>
      </c>
      <c r="F298" s="44">
        <f t="shared" si="9"/>
        <v>2</v>
      </c>
      <c r="G298" s="85" t="s">
        <v>669</v>
      </c>
      <c r="H298" s="46" t="s">
        <v>18</v>
      </c>
      <c r="I298" s="47"/>
      <c r="J298" s="48" t="s">
        <v>42</v>
      </c>
      <c r="K298" s="86">
        <v>24065</v>
      </c>
      <c r="L298" s="87" t="s">
        <v>670</v>
      </c>
      <c r="M298" s="87" t="s">
        <v>671</v>
      </c>
      <c r="N298" s="14" t="s">
        <v>27</v>
      </c>
      <c r="O298" s="14" t="s">
        <v>28</v>
      </c>
      <c r="P298" s="51">
        <v>2200</v>
      </c>
      <c r="Q298" s="47">
        <f t="shared" si="8"/>
        <v>4400</v>
      </c>
      <c r="R298" s="47"/>
      <c r="S298" s="47"/>
      <c r="T298" s="47">
        <v>24065</v>
      </c>
    </row>
    <row r="299" customHeight="1" spans="1:20">
      <c r="A299" s="43">
        <v>24066</v>
      </c>
      <c r="B299" s="78" t="s">
        <v>672</v>
      </c>
      <c r="C299" s="78"/>
      <c r="D299" s="43">
        <v>1</v>
      </c>
      <c r="E299" s="78" t="s">
        <v>54</v>
      </c>
      <c r="F299" s="44">
        <f t="shared" si="9"/>
        <v>2</v>
      </c>
      <c r="G299" s="85" t="s">
        <v>673</v>
      </c>
      <c r="H299" s="46" t="s">
        <v>18</v>
      </c>
      <c r="I299" s="47"/>
      <c r="J299" s="48" t="s">
        <v>42</v>
      </c>
      <c r="K299" s="86">
        <v>24066</v>
      </c>
      <c r="L299" s="87" t="s">
        <v>25</v>
      </c>
      <c r="M299" s="87" t="s">
        <v>26</v>
      </c>
      <c r="N299" s="14" t="s">
        <v>27</v>
      </c>
      <c r="O299" s="14" t="s">
        <v>28</v>
      </c>
      <c r="P299" s="51">
        <v>85</v>
      </c>
      <c r="Q299" s="47">
        <f t="shared" si="8"/>
        <v>170</v>
      </c>
      <c r="R299" s="47"/>
      <c r="S299" s="47"/>
      <c r="T299" s="47">
        <v>24066</v>
      </c>
    </row>
    <row r="300" customHeight="1" spans="1:20">
      <c r="A300" s="43">
        <v>24067</v>
      </c>
      <c r="B300" s="78" t="s">
        <v>674</v>
      </c>
      <c r="C300" s="78"/>
      <c r="D300" s="43">
        <v>2</v>
      </c>
      <c r="E300" s="78" t="s">
        <v>54</v>
      </c>
      <c r="F300" s="44">
        <f t="shared" si="9"/>
        <v>4</v>
      </c>
      <c r="G300" s="102" t="s">
        <v>675</v>
      </c>
      <c r="H300" s="46" t="s">
        <v>18</v>
      </c>
      <c r="I300" s="47"/>
      <c r="J300" s="48" t="s">
        <v>42</v>
      </c>
      <c r="K300" s="83">
        <v>24067</v>
      </c>
      <c r="L300" s="103" t="s">
        <v>25</v>
      </c>
      <c r="M300" s="103" t="s">
        <v>26</v>
      </c>
      <c r="N300" s="14" t="s">
        <v>27</v>
      </c>
      <c r="O300" s="14" t="s">
        <v>28</v>
      </c>
      <c r="P300" s="51">
        <v>85</v>
      </c>
      <c r="Q300" s="47">
        <f t="shared" si="8"/>
        <v>340</v>
      </c>
      <c r="R300" s="47"/>
      <c r="S300" s="47"/>
      <c r="T300" s="47">
        <v>24067</v>
      </c>
    </row>
    <row r="301" customHeight="1" spans="1:20">
      <c r="A301" s="6">
        <v>25</v>
      </c>
      <c r="B301" s="2" t="s">
        <v>676</v>
      </c>
      <c r="C301" s="2"/>
      <c r="D301" s="6"/>
      <c r="E301" s="2"/>
      <c r="F301" s="44">
        <f t="shared" si="9"/>
        <v>0</v>
      </c>
      <c r="G301" s="77"/>
      <c r="H301" s="46"/>
      <c r="I301" s="47"/>
      <c r="J301" s="48" t="s">
        <v>42</v>
      </c>
      <c r="K301" s="94"/>
      <c r="L301" s="95"/>
      <c r="M301" s="95"/>
      <c r="O301" s="14" t="s">
        <v>28</v>
      </c>
      <c r="P301" s="51"/>
      <c r="Q301" s="47">
        <f t="shared" si="8"/>
        <v>0</v>
      </c>
      <c r="R301" s="47"/>
      <c r="S301" s="47"/>
      <c r="T301" s="47"/>
    </row>
    <row r="302" customHeight="1" spans="1:20">
      <c r="A302" s="43">
        <v>25001</v>
      </c>
      <c r="B302" s="78" t="s">
        <v>677</v>
      </c>
      <c r="C302" s="78"/>
      <c r="D302" s="43">
        <v>1</v>
      </c>
      <c r="E302" s="78" t="s">
        <v>32</v>
      </c>
      <c r="F302" s="44">
        <f t="shared" si="9"/>
        <v>2</v>
      </c>
      <c r="G302" s="104" t="s">
        <v>678</v>
      </c>
      <c r="H302" s="46" t="s">
        <v>18</v>
      </c>
      <c r="I302" s="47"/>
      <c r="J302" s="48" t="s">
        <v>42</v>
      </c>
      <c r="K302" s="105">
        <v>25001</v>
      </c>
      <c r="L302" s="106" t="s">
        <v>25</v>
      </c>
      <c r="M302" s="106" t="s">
        <v>26</v>
      </c>
      <c r="N302" s="14" t="s">
        <v>27</v>
      </c>
      <c r="O302" s="14" t="s">
        <v>28</v>
      </c>
      <c r="P302" s="51">
        <v>225</v>
      </c>
      <c r="Q302" s="47">
        <f t="shared" si="8"/>
        <v>450</v>
      </c>
      <c r="R302" s="47"/>
      <c r="S302" s="47"/>
      <c r="T302" s="47">
        <v>25001</v>
      </c>
    </row>
    <row r="303" customHeight="1" spans="1:20">
      <c r="A303" s="43">
        <v>25002</v>
      </c>
      <c r="B303" s="78" t="s">
        <v>679</v>
      </c>
      <c r="C303" s="78"/>
      <c r="D303" s="43">
        <v>1</v>
      </c>
      <c r="E303" s="78" t="s">
        <v>21</v>
      </c>
      <c r="F303" s="44">
        <f t="shared" si="9"/>
        <v>2</v>
      </c>
      <c r="G303" s="85" t="s">
        <v>680</v>
      </c>
      <c r="H303" s="46" t="s">
        <v>18</v>
      </c>
      <c r="I303" s="47"/>
      <c r="J303" s="48" t="s">
        <v>42</v>
      </c>
      <c r="K303" s="86">
        <v>25002</v>
      </c>
      <c r="L303" s="87" t="s">
        <v>25</v>
      </c>
      <c r="M303" s="87" t="s">
        <v>26</v>
      </c>
      <c r="N303" s="14" t="s">
        <v>27</v>
      </c>
      <c r="O303" s="14" t="s">
        <v>28</v>
      </c>
      <c r="P303" s="51">
        <v>9</v>
      </c>
      <c r="Q303" s="47">
        <f t="shared" si="8"/>
        <v>18</v>
      </c>
      <c r="R303" s="47"/>
      <c r="S303" s="47"/>
      <c r="T303" s="47">
        <v>25002</v>
      </c>
    </row>
    <row r="304" customHeight="1" spans="1:20">
      <c r="A304" s="43">
        <v>25003</v>
      </c>
      <c r="B304" s="78" t="s">
        <v>681</v>
      </c>
      <c r="C304" s="78"/>
      <c r="D304" s="43">
        <v>1</v>
      </c>
      <c r="E304" s="78" t="s">
        <v>21</v>
      </c>
      <c r="F304" s="44">
        <f t="shared" si="9"/>
        <v>2</v>
      </c>
      <c r="G304" s="85" t="s">
        <v>682</v>
      </c>
      <c r="H304" s="46" t="s">
        <v>18</v>
      </c>
      <c r="I304" s="47"/>
      <c r="J304" s="48" t="s">
        <v>42</v>
      </c>
      <c r="K304" s="86">
        <v>25003</v>
      </c>
      <c r="L304" s="87" t="s">
        <v>25</v>
      </c>
      <c r="M304" s="87" t="s">
        <v>26</v>
      </c>
      <c r="N304" s="14" t="s">
        <v>27</v>
      </c>
      <c r="O304" s="14" t="s">
        <v>28</v>
      </c>
      <c r="P304" s="51">
        <v>9</v>
      </c>
      <c r="Q304" s="47">
        <f t="shared" si="8"/>
        <v>18</v>
      </c>
      <c r="R304" s="47"/>
      <c r="S304" s="47"/>
      <c r="T304" s="47">
        <v>25003</v>
      </c>
    </row>
    <row r="305" customHeight="1" spans="1:20">
      <c r="A305" s="43">
        <v>25004</v>
      </c>
      <c r="B305" s="78" t="s">
        <v>683</v>
      </c>
      <c r="C305" s="78"/>
      <c r="D305" s="43">
        <v>28</v>
      </c>
      <c r="E305" s="78" t="s">
        <v>47</v>
      </c>
      <c r="F305" s="44">
        <f t="shared" si="9"/>
        <v>56</v>
      </c>
      <c r="G305" s="85" t="s">
        <v>684</v>
      </c>
      <c r="H305" s="46" t="s">
        <v>18</v>
      </c>
      <c r="I305" s="47"/>
      <c r="J305" s="48" t="s">
        <v>42</v>
      </c>
      <c r="K305" s="86">
        <v>25004</v>
      </c>
      <c r="L305" s="87" t="s">
        <v>25</v>
      </c>
      <c r="M305" s="87" t="s">
        <v>26</v>
      </c>
      <c r="N305" s="14" t="s">
        <v>27</v>
      </c>
      <c r="O305" s="14" t="s">
        <v>28</v>
      </c>
      <c r="P305" s="51">
        <v>6</v>
      </c>
      <c r="Q305" s="47">
        <f t="shared" si="8"/>
        <v>336</v>
      </c>
      <c r="R305" s="47"/>
      <c r="S305" s="47"/>
      <c r="T305" s="47">
        <v>25004</v>
      </c>
    </row>
    <row r="306" customHeight="1" spans="1:20">
      <c r="A306" s="43">
        <v>25005</v>
      </c>
      <c r="B306" s="78" t="s">
        <v>685</v>
      </c>
      <c r="C306" s="78"/>
      <c r="D306" s="43">
        <v>28</v>
      </c>
      <c r="E306" s="78" t="s">
        <v>32</v>
      </c>
      <c r="F306" s="44">
        <f t="shared" si="9"/>
        <v>56</v>
      </c>
      <c r="G306" s="85" t="s">
        <v>686</v>
      </c>
      <c r="H306" s="46" t="s">
        <v>18</v>
      </c>
      <c r="I306" s="47"/>
      <c r="J306" s="48" t="s">
        <v>42</v>
      </c>
      <c r="K306" s="86">
        <v>25005</v>
      </c>
      <c r="L306" s="87" t="s">
        <v>25</v>
      </c>
      <c r="M306" s="87" t="s">
        <v>26</v>
      </c>
      <c r="N306" s="14" t="s">
        <v>27</v>
      </c>
      <c r="O306" s="14" t="s">
        <v>28</v>
      </c>
      <c r="P306" s="51">
        <v>58</v>
      </c>
      <c r="Q306" s="47">
        <f t="shared" si="8"/>
        <v>3248</v>
      </c>
      <c r="R306" s="47"/>
      <c r="S306" s="47"/>
      <c r="T306" s="47">
        <v>25005</v>
      </c>
    </row>
    <row r="307" customHeight="1" spans="1:20">
      <c r="A307" s="43">
        <v>25007</v>
      </c>
      <c r="B307" s="78" t="s">
        <v>687</v>
      </c>
      <c r="C307" s="78"/>
      <c r="D307" s="43">
        <v>2</v>
      </c>
      <c r="E307" s="78" t="s">
        <v>21</v>
      </c>
      <c r="F307" s="44">
        <f t="shared" si="9"/>
        <v>4</v>
      </c>
      <c r="G307" s="82" t="s">
        <v>688</v>
      </c>
      <c r="H307" s="46" t="s">
        <v>18</v>
      </c>
      <c r="I307" s="47"/>
      <c r="J307" s="48" t="s">
        <v>42</v>
      </c>
      <c r="K307" s="83">
        <v>25007</v>
      </c>
      <c r="L307" s="84" t="s">
        <v>25</v>
      </c>
      <c r="M307" s="84" t="s">
        <v>26</v>
      </c>
      <c r="N307" s="14" t="s">
        <v>27</v>
      </c>
      <c r="O307" s="14" t="s">
        <v>28</v>
      </c>
      <c r="P307" s="51">
        <v>13</v>
      </c>
      <c r="Q307" s="47">
        <f t="shared" si="8"/>
        <v>52</v>
      </c>
      <c r="R307" s="47"/>
      <c r="S307" s="47"/>
      <c r="T307" s="47">
        <v>25007</v>
      </c>
    </row>
    <row r="308" customHeight="1" spans="1:20">
      <c r="A308" s="43">
        <v>25008</v>
      </c>
      <c r="B308" s="78" t="s">
        <v>689</v>
      </c>
      <c r="C308" s="78"/>
      <c r="D308" s="43">
        <v>1</v>
      </c>
      <c r="E308" s="78" t="s">
        <v>32</v>
      </c>
      <c r="F308" s="44">
        <f t="shared" si="9"/>
        <v>2</v>
      </c>
      <c r="G308" s="85" t="s">
        <v>690</v>
      </c>
      <c r="H308" s="46" t="s">
        <v>18</v>
      </c>
      <c r="I308" s="47"/>
      <c r="J308" s="48" t="s">
        <v>42</v>
      </c>
      <c r="K308" s="86">
        <v>25008</v>
      </c>
      <c r="L308" s="87" t="s">
        <v>25</v>
      </c>
      <c r="M308" s="87" t="s">
        <v>26</v>
      </c>
      <c r="N308" s="14" t="s">
        <v>27</v>
      </c>
      <c r="O308" s="14" t="s">
        <v>28</v>
      </c>
      <c r="P308" s="51">
        <v>35</v>
      </c>
      <c r="Q308" s="47">
        <f t="shared" si="8"/>
        <v>70</v>
      </c>
      <c r="R308" s="47"/>
      <c r="S308" s="47"/>
      <c r="T308" s="47">
        <v>25008</v>
      </c>
    </row>
    <row r="309" customHeight="1" spans="1:20">
      <c r="A309" s="43">
        <v>25009</v>
      </c>
      <c r="B309" s="78" t="s">
        <v>691</v>
      </c>
      <c r="C309" s="78"/>
      <c r="D309" s="43">
        <v>9</v>
      </c>
      <c r="E309" s="78" t="s">
        <v>32</v>
      </c>
      <c r="F309" s="44">
        <f t="shared" si="9"/>
        <v>18</v>
      </c>
      <c r="G309" s="85" t="s">
        <v>692</v>
      </c>
      <c r="H309" s="46" t="s">
        <v>18</v>
      </c>
      <c r="I309" s="47"/>
      <c r="J309" s="48" t="s">
        <v>42</v>
      </c>
      <c r="K309" s="86">
        <v>25009</v>
      </c>
      <c r="L309" s="87" t="s">
        <v>25</v>
      </c>
      <c r="M309" s="87" t="s">
        <v>26</v>
      </c>
      <c r="N309" s="14" t="s">
        <v>27</v>
      </c>
      <c r="O309" s="14" t="s">
        <v>28</v>
      </c>
      <c r="P309" s="51">
        <v>18</v>
      </c>
      <c r="Q309" s="47">
        <f t="shared" si="8"/>
        <v>324</v>
      </c>
      <c r="R309" s="47"/>
      <c r="S309" s="47"/>
      <c r="T309" s="47">
        <v>25009</v>
      </c>
    </row>
    <row r="310" customHeight="1" spans="1:20">
      <c r="A310" s="43">
        <v>25015</v>
      </c>
      <c r="B310" s="78" t="s">
        <v>693</v>
      </c>
      <c r="C310" s="78"/>
      <c r="D310" s="43">
        <f>D9</f>
        <v>28</v>
      </c>
      <c r="E310" s="78" t="s">
        <v>32</v>
      </c>
      <c r="F310" s="44">
        <f t="shared" si="9"/>
        <v>56</v>
      </c>
      <c r="G310" s="85" t="s">
        <v>694</v>
      </c>
      <c r="H310" s="46" t="s">
        <v>18</v>
      </c>
      <c r="I310" s="47"/>
      <c r="J310" s="48" t="s">
        <v>42</v>
      </c>
      <c r="K310" s="86">
        <v>25015</v>
      </c>
      <c r="L310" s="87" t="s">
        <v>25</v>
      </c>
      <c r="M310" s="87" t="s">
        <v>26</v>
      </c>
      <c r="N310" s="14" t="s">
        <v>27</v>
      </c>
      <c r="O310" s="14" t="s">
        <v>28</v>
      </c>
      <c r="P310" s="51">
        <v>30</v>
      </c>
      <c r="Q310" s="47">
        <f t="shared" si="8"/>
        <v>1680</v>
      </c>
      <c r="R310" s="47"/>
      <c r="S310" s="47"/>
      <c r="T310" s="47">
        <v>25015</v>
      </c>
    </row>
    <row r="311" customHeight="1" spans="1:20">
      <c r="A311" s="43">
        <v>25016</v>
      </c>
      <c r="B311" s="78" t="s">
        <v>695</v>
      </c>
      <c r="C311" s="78"/>
      <c r="D311" s="43">
        <v>1</v>
      </c>
      <c r="E311" s="78" t="s">
        <v>32</v>
      </c>
      <c r="F311" s="44">
        <f t="shared" si="9"/>
        <v>2</v>
      </c>
      <c r="G311" s="85" t="s">
        <v>696</v>
      </c>
      <c r="H311" s="46" t="s">
        <v>18</v>
      </c>
      <c r="I311" s="47"/>
      <c r="J311" s="48" t="s">
        <v>42</v>
      </c>
      <c r="K311" s="86">
        <v>25016</v>
      </c>
      <c r="L311" s="87" t="s">
        <v>25</v>
      </c>
      <c r="M311" s="87" t="s">
        <v>26</v>
      </c>
      <c r="N311" s="14" t="s">
        <v>27</v>
      </c>
      <c r="O311" s="14" t="s">
        <v>28</v>
      </c>
      <c r="P311" s="51">
        <v>420</v>
      </c>
      <c r="Q311" s="47">
        <f t="shared" si="8"/>
        <v>840</v>
      </c>
      <c r="R311" s="47"/>
      <c r="S311" s="47"/>
      <c r="T311" s="47">
        <v>25016</v>
      </c>
    </row>
    <row r="312" customHeight="1" spans="1:20">
      <c r="A312" s="43">
        <v>25017</v>
      </c>
      <c r="B312" s="78" t="s">
        <v>697</v>
      </c>
      <c r="C312" s="78"/>
      <c r="D312" s="43">
        <v>1</v>
      </c>
      <c r="E312" s="78" t="s">
        <v>54</v>
      </c>
      <c r="F312" s="44">
        <f t="shared" si="9"/>
        <v>2</v>
      </c>
      <c r="G312" s="85" t="s">
        <v>698</v>
      </c>
      <c r="H312" s="46" t="s">
        <v>18</v>
      </c>
      <c r="I312" s="47"/>
      <c r="J312" s="48" t="s">
        <v>42</v>
      </c>
      <c r="K312" s="86">
        <v>25017</v>
      </c>
      <c r="L312" s="87" t="s">
        <v>25</v>
      </c>
      <c r="M312" s="87" t="s">
        <v>26</v>
      </c>
      <c r="N312" s="14" t="s">
        <v>27</v>
      </c>
      <c r="O312" s="14" t="s">
        <v>28</v>
      </c>
      <c r="P312" s="51">
        <v>998</v>
      </c>
      <c r="Q312" s="47">
        <f t="shared" si="8"/>
        <v>1996</v>
      </c>
      <c r="R312" s="47"/>
      <c r="S312" s="47"/>
      <c r="T312" s="47">
        <v>25017</v>
      </c>
    </row>
    <row r="313" customHeight="1" spans="1:20">
      <c r="A313" s="43">
        <v>25018</v>
      </c>
      <c r="B313" s="78" t="s">
        <v>699</v>
      </c>
      <c r="C313" s="78"/>
      <c r="D313" s="43">
        <v>16</v>
      </c>
      <c r="E313" s="78" t="s">
        <v>32</v>
      </c>
      <c r="F313" s="44">
        <f t="shared" si="9"/>
        <v>32</v>
      </c>
      <c r="G313" s="85" t="s">
        <v>700</v>
      </c>
      <c r="H313" s="46" t="s">
        <v>18</v>
      </c>
      <c r="I313" s="47"/>
      <c r="J313" s="48" t="s">
        <v>42</v>
      </c>
      <c r="K313" s="86">
        <v>25018</v>
      </c>
      <c r="L313" s="87" t="s">
        <v>25</v>
      </c>
      <c r="M313" s="87" t="s">
        <v>26</v>
      </c>
      <c r="N313" s="14" t="s">
        <v>27</v>
      </c>
      <c r="O313" s="14" t="s">
        <v>28</v>
      </c>
      <c r="P313" s="51">
        <v>65</v>
      </c>
      <c r="Q313" s="47">
        <f t="shared" si="8"/>
        <v>2080</v>
      </c>
      <c r="R313" s="47"/>
      <c r="S313" s="47"/>
      <c r="T313" s="47">
        <v>25018</v>
      </c>
    </row>
    <row r="314" customHeight="1" spans="1:20">
      <c r="A314" s="43">
        <v>25020</v>
      </c>
      <c r="B314" s="78" t="s">
        <v>701</v>
      </c>
      <c r="C314" s="78"/>
      <c r="D314" s="43">
        <f>D9</f>
        <v>28</v>
      </c>
      <c r="E314" s="78" t="s">
        <v>54</v>
      </c>
      <c r="F314" s="44">
        <f t="shared" si="9"/>
        <v>56</v>
      </c>
      <c r="G314" s="85" t="s">
        <v>702</v>
      </c>
      <c r="H314" s="46" t="s">
        <v>18</v>
      </c>
      <c r="I314" s="47"/>
      <c r="J314" s="48" t="s">
        <v>42</v>
      </c>
      <c r="K314" s="86">
        <v>25020</v>
      </c>
      <c r="L314" s="87" t="s">
        <v>25</v>
      </c>
      <c r="M314" s="87" t="s">
        <v>26</v>
      </c>
      <c r="N314" s="14" t="s">
        <v>27</v>
      </c>
      <c r="O314" s="14" t="s">
        <v>28</v>
      </c>
      <c r="P314" s="51">
        <v>135</v>
      </c>
      <c r="Q314" s="47">
        <f t="shared" si="8"/>
        <v>7560</v>
      </c>
      <c r="R314" s="47"/>
      <c r="S314" s="47"/>
      <c r="T314" s="47">
        <v>25020</v>
      </c>
    </row>
    <row r="315" customHeight="1" spans="1:20">
      <c r="A315" s="43">
        <v>25021</v>
      </c>
      <c r="B315" s="78" t="s">
        <v>703</v>
      </c>
      <c r="C315" s="78"/>
      <c r="D315" s="43">
        <v>1</v>
      </c>
      <c r="E315" s="78" t="s">
        <v>21</v>
      </c>
      <c r="F315" s="44">
        <f t="shared" si="9"/>
        <v>2</v>
      </c>
      <c r="G315" s="85" t="s">
        <v>704</v>
      </c>
      <c r="H315" s="46" t="s">
        <v>18</v>
      </c>
      <c r="I315" s="47"/>
      <c r="J315" s="48" t="s">
        <v>42</v>
      </c>
      <c r="K315" s="86">
        <v>25021</v>
      </c>
      <c r="L315" s="87" t="s">
        <v>25</v>
      </c>
      <c r="M315" s="87" t="s">
        <v>26</v>
      </c>
      <c r="N315" s="14" t="s">
        <v>27</v>
      </c>
      <c r="O315" s="14" t="s">
        <v>28</v>
      </c>
      <c r="P315" s="51">
        <v>18</v>
      </c>
      <c r="Q315" s="47">
        <f t="shared" si="8"/>
        <v>36</v>
      </c>
      <c r="R315" s="47"/>
      <c r="S315" s="47"/>
      <c r="T315" s="47">
        <v>25021</v>
      </c>
    </row>
    <row r="316" customHeight="1" spans="1:20">
      <c r="A316" s="43">
        <v>260</v>
      </c>
      <c r="B316" s="78" t="s">
        <v>705</v>
      </c>
      <c r="C316" s="78"/>
      <c r="D316" s="43">
        <v>1</v>
      </c>
      <c r="E316" s="78" t="s">
        <v>54</v>
      </c>
      <c r="F316" s="44">
        <f t="shared" si="9"/>
        <v>2</v>
      </c>
      <c r="G316" s="85" t="s">
        <v>706</v>
      </c>
      <c r="H316" s="46" t="s">
        <v>18</v>
      </c>
      <c r="I316" s="47"/>
      <c r="J316" s="48" t="s">
        <v>42</v>
      </c>
      <c r="K316" s="86" t="s">
        <v>707</v>
      </c>
      <c r="L316" s="87" t="s">
        <v>25</v>
      </c>
      <c r="M316" s="87" t="s">
        <v>26</v>
      </c>
      <c r="N316" s="14" t="s">
        <v>27</v>
      </c>
      <c r="O316" s="14" t="s">
        <v>28</v>
      </c>
      <c r="P316" s="51">
        <v>220</v>
      </c>
      <c r="Q316" s="47">
        <f t="shared" si="8"/>
        <v>440</v>
      </c>
      <c r="R316" s="47"/>
      <c r="S316" s="47"/>
      <c r="T316" s="47">
        <v>25022</v>
      </c>
    </row>
    <row r="317" customHeight="1" spans="1:20">
      <c r="A317" s="43">
        <v>25023</v>
      </c>
      <c r="B317" s="78" t="s">
        <v>708</v>
      </c>
      <c r="C317" s="78"/>
      <c r="D317" s="43">
        <v>16</v>
      </c>
      <c r="E317" s="78" t="s">
        <v>32</v>
      </c>
      <c r="F317" s="44">
        <f t="shared" si="9"/>
        <v>32</v>
      </c>
      <c r="G317" s="85" t="s">
        <v>709</v>
      </c>
      <c r="H317" s="46" t="s">
        <v>18</v>
      </c>
      <c r="I317" s="47"/>
      <c r="J317" s="48" t="s">
        <v>42</v>
      </c>
      <c r="K317" s="86">
        <v>25023</v>
      </c>
      <c r="L317" s="87" t="s">
        <v>25</v>
      </c>
      <c r="M317" s="87" t="s">
        <v>26</v>
      </c>
      <c r="N317" s="14" t="s">
        <v>27</v>
      </c>
      <c r="O317" s="14" t="s">
        <v>28</v>
      </c>
      <c r="P317" s="51">
        <v>24</v>
      </c>
      <c r="Q317" s="47">
        <f t="shared" si="8"/>
        <v>768</v>
      </c>
      <c r="R317" s="47"/>
      <c r="S317" s="47"/>
      <c r="T317" s="47">
        <v>25023</v>
      </c>
    </row>
    <row r="318" customHeight="1" spans="1:20">
      <c r="A318" s="43">
        <v>25101</v>
      </c>
      <c r="B318" s="78" t="s">
        <v>710</v>
      </c>
      <c r="C318" s="78"/>
      <c r="D318" s="43">
        <v>1</v>
      </c>
      <c r="E318" s="78" t="s">
        <v>32</v>
      </c>
      <c r="F318" s="44">
        <f t="shared" si="9"/>
        <v>2</v>
      </c>
      <c r="G318" s="85" t="s">
        <v>711</v>
      </c>
      <c r="H318" s="46" t="s">
        <v>18</v>
      </c>
      <c r="I318" s="47"/>
      <c r="J318" s="48" t="s">
        <v>42</v>
      </c>
      <c r="K318" s="86">
        <v>25101</v>
      </c>
      <c r="L318" s="87" t="s">
        <v>25</v>
      </c>
      <c r="M318" s="87" t="s">
        <v>26</v>
      </c>
      <c r="N318" s="14" t="s">
        <v>27</v>
      </c>
      <c r="O318" s="14" t="s">
        <v>28</v>
      </c>
      <c r="P318" s="51">
        <v>115</v>
      </c>
      <c r="Q318" s="47">
        <f t="shared" si="8"/>
        <v>230</v>
      </c>
      <c r="R318" s="47"/>
      <c r="S318" s="47"/>
      <c r="T318" s="47">
        <v>25101</v>
      </c>
    </row>
    <row r="319" customHeight="1" spans="1:20">
      <c r="A319" s="43">
        <v>25102</v>
      </c>
      <c r="B319" s="78" t="s">
        <v>712</v>
      </c>
      <c r="C319" s="78"/>
      <c r="D319" s="43">
        <v>1</v>
      </c>
      <c r="E319" s="78" t="s">
        <v>32</v>
      </c>
      <c r="F319" s="44">
        <f t="shared" si="9"/>
        <v>2</v>
      </c>
      <c r="G319" s="85" t="s">
        <v>713</v>
      </c>
      <c r="H319" s="46" t="s">
        <v>18</v>
      </c>
      <c r="I319" s="47"/>
      <c r="J319" s="48" t="s">
        <v>42</v>
      </c>
      <c r="K319" s="86">
        <v>25102</v>
      </c>
      <c r="L319" s="87" t="s">
        <v>25</v>
      </c>
      <c r="M319" s="87" t="s">
        <v>26</v>
      </c>
      <c r="N319" s="14" t="s">
        <v>27</v>
      </c>
      <c r="O319" s="14" t="s">
        <v>28</v>
      </c>
      <c r="P319" s="51">
        <v>115</v>
      </c>
      <c r="Q319" s="47">
        <f t="shared" si="8"/>
        <v>230</v>
      </c>
      <c r="R319" s="47"/>
      <c r="S319" s="47"/>
      <c r="T319" s="47">
        <v>25102</v>
      </c>
    </row>
    <row r="320" customHeight="1" spans="1:20">
      <c r="A320" s="43">
        <v>25103</v>
      </c>
      <c r="B320" s="78" t="s">
        <v>714</v>
      </c>
      <c r="C320" s="78"/>
      <c r="D320" s="43">
        <f>D9</f>
        <v>28</v>
      </c>
      <c r="E320" s="78" t="s">
        <v>32</v>
      </c>
      <c r="F320" s="44">
        <f t="shared" si="9"/>
        <v>56</v>
      </c>
      <c r="G320" s="85" t="s">
        <v>715</v>
      </c>
      <c r="H320" s="46" t="s">
        <v>18</v>
      </c>
      <c r="I320" s="47"/>
      <c r="J320" s="48" t="s">
        <v>42</v>
      </c>
      <c r="K320" s="86">
        <v>25103</v>
      </c>
      <c r="L320" s="87" t="s">
        <v>25</v>
      </c>
      <c r="M320" s="87" t="s">
        <v>26</v>
      </c>
      <c r="N320" s="14" t="s">
        <v>27</v>
      </c>
      <c r="O320" s="14" t="s">
        <v>28</v>
      </c>
      <c r="P320" s="51">
        <v>30</v>
      </c>
      <c r="Q320" s="47">
        <f t="shared" si="8"/>
        <v>1680</v>
      </c>
      <c r="R320" s="47"/>
      <c r="S320" s="47"/>
      <c r="T320" s="47">
        <v>25103</v>
      </c>
    </row>
    <row r="321" customHeight="1" spans="1:20">
      <c r="A321" s="43">
        <v>25106</v>
      </c>
      <c r="B321" s="78" t="s">
        <v>716</v>
      </c>
      <c r="C321" s="78"/>
      <c r="D321" s="43">
        <v>3</v>
      </c>
      <c r="E321" s="78" t="s">
        <v>54</v>
      </c>
      <c r="F321" s="44">
        <f t="shared" si="9"/>
        <v>6</v>
      </c>
      <c r="G321" s="77" t="s">
        <v>717</v>
      </c>
      <c r="H321" s="46" t="s">
        <v>18</v>
      </c>
      <c r="I321" s="47"/>
      <c r="J321" s="48" t="s">
        <v>42</v>
      </c>
      <c r="K321" s="86">
        <v>25106</v>
      </c>
      <c r="L321" s="87" t="s">
        <v>25</v>
      </c>
      <c r="M321" s="87" t="s">
        <v>26</v>
      </c>
      <c r="N321" s="14" t="s">
        <v>27</v>
      </c>
      <c r="O321" s="14" t="s">
        <v>28</v>
      </c>
      <c r="P321" s="51">
        <v>335</v>
      </c>
      <c r="Q321" s="47">
        <f t="shared" si="8"/>
        <v>2010</v>
      </c>
      <c r="R321" s="47"/>
      <c r="S321" s="47"/>
      <c r="T321" s="47">
        <v>25106</v>
      </c>
    </row>
    <row r="322" customHeight="1" spans="1:20">
      <c r="A322" s="43">
        <v>25107</v>
      </c>
      <c r="B322" s="78" t="s">
        <v>718</v>
      </c>
      <c r="C322" s="78"/>
      <c r="D322" s="43">
        <v>1</v>
      </c>
      <c r="E322" s="78" t="s">
        <v>32</v>
      </c>
      <c r="F322" s="44">
        <f t="shared" si="9"/>
        <v>2</v>
      </c>
      <c r="G322" s="85" t="s">
        <v>719</v>
      </c>
      <c r="H322" s="46" t="s">
        <v>18</v>
      </c>
      <c r="I322" s="47"/>
      <c r="J322" s="48" t="s">
        <v>42</v>
      </c>
      <c r="K322" s="86">
        <v>25107</v>
      </c>
      <c r="L322" s="87" t="s">
        <v>587</v>
      </c>
      <c r="M322" s="87" t="s">
        <v>588</v>
      </c>
      <c r="N322" s="14" t="s">
        <v>27</v>
      </c>
      <c r="O322" s="14" t="s">
        <v>28</v>
      </c>
      <c r="P322" s="51">
        <v>300</v>
      </c>
      <c r="Q322" s="47">
        <f t="shared" si="8"/>
        <v>600</v>
      </c>
      <c r="R322" s="47"/>
      <c r="S322" s="47"/>
      <c r="T322" s="47">
        <v>25107</v>
      </c>
    </row>
    <row r="323" customHeight="1" spans="1:20">
      <c r="A323" s="43">
        <v>25108</v>
      </c>
      <c r="B323" s="78" t="s">
        <v>720</v>
      </c>
      <c r="C323" s="78"/>
      <c r="D323" s="43">
        <v>1</v>
      </c>
      <c r="E323" s="78" t="s">
        <v>54</v>
      </c>
      <c r="F323" s="44">
        <f t="shared" si="9"/>
        <v>2</v>
      </c>
      <c r="G323" s="85" t="s">
        <v>721</v>
      </c>
      <c r="H323" s="46" t="s">
        <v>18</v>
      </c>
      <c r="I323" s="47"/>
      <c r="J323" s="48" t="s">
        <v>42</v>
      </c>
      <c r="K323" s="86">
        <v>25108</v>
      </c>
      <c r="L323" s="87" t="s">
        <v>25</v>
      </c>
      <c r="M323" s="87" t="s">
        <v>26</v>
      </c>
      <c r="N323" s="14" t="s">
        <v>27</v>
      </c>
      <c r="O323" s="14" t="s">
        <v>28</v>
      </c>
      <c r="P323" s="51">
        <v>160</v>
      </c>
      <c r="Q323" s="47">
        <f t="shared" si="8"/>
        <v>320</v>
      </c>
      <c r="R323" s="47"/>
      <c r="S323" s="47"/>
      <c r="T323" s="47">
        <v>25108</v>
      </c>
    </row>
    <row r="324" customHeight="1" spans="1:20">
      <c r="A324" s="43">
        <v>25109</v>
      </c>
      <c r="B324" s="78" t="s">
        <v>722</v>
      </c>
      <c r="C324" s="78"/>
      <c r="D324" s="43">
        <v>1</v>
      </c>
      <c r="E324" s="78" t="s">
        <v>54</v>
      </c>
      <c r="F324" s="44">
        <f t="shared" si="9"/>
        <v>2</v>
      </c>
      <c r="G324" s="85" t="s">
        <v>723</v>
      </c>
      <c r="H324" s="46" t="s">
        <v>18</v>
      </c>
      <c r="I324" s="47"/>
      <c r="J324" s="48" t="s">
        <v>42</v>
      </c>
      <c r="K324" s="86">
        <v>25109</v>
      </c>
      <c r="L324" s="87" t="s">
        <v>25</v>
      </c>
      <c r="M324" s="87" t="s">
        <v>26</v>
      </c>
      <c r="N324" s="14" t="s">
        <v>27</v>
      </c>
      <c r="O324" s="14" t="s">
        <v>28</v>
      </c>
      <c r="P324" s="51">
        <v>340</v>
      </c>
      <c r="Q324" s="47">
        <f t="shared" ref="Q324:Q387" si="10">P324*F324</f>
        <v>680</v>
      </c>
      <c r="R324" s="47"/>
      <c r="S324" s="47"/>
      <c r="T324" s="47">
        <v>3001</v>
      </c>
    </row>
    <row r="325" customHeight="1" spans="1:20">
      <c r="A325" s="43">
        <v>25109</v>
      </c>
      <c r="B325" s="78" t="s">
        <v>722</v>
      </c>
      <c r="C325" s="78"/>
      <c r="D325" s="43">
        <v>1</v>
      </c>
      <c r="E325" s="78" t="s">
        <v>54</v>
      </c>
      <c r="F325" s="44">
        <f t="shared" si="9"/>
        <v>2</v>
      </c>
      <c r="G325" s="85" t="s">
        <v>724</v>
      </c>
      <c r="H325" s="46" t="s">
        <v>18</v>
      </c>
      <c r="I325" s="47"/>
      <c r="J325" s="48" t="s">
        <v>42</v>
      </c>
      <c r="K325" s="86">
        <v>25109</v>
      </c>
      <c r="L325" s="87" t="s">
        <v>25</v>
      </c>
      <c r="M325" s="87" t="s">
        <v>26</v>
      </c>
      <c r="N325" s="14" t="s">
        <v>27</v>
      </c>
      <c r="O325" s="14" t="s">
        <v>28</v>
      </c>
      <c r="P325" s="51">
        <v>340</v>
      </c>
      <c r="Q325" s="47">
        <f t="shared" si="10"/>
        <v>680</v>
      </c>
      <c r="R325" s="47"/>
      <c r="S325" s="47"/>
      <c r="T325" s="47">
        <v>3001</v>
      </c>
    </row>
    <row r="326" customHeight="1" spans="1:20">
      <c r="A326" s="43">
        <v>25111</v>
      </c>
      <c r="B326" s="78" t="s">
        <v>725</v>
      </c>
      <c r="C326" s="78"/>
      <c r="D326" s="43">
        <v>1</v>
      </c>
      <c r="E326" s="78" t="s">
        <v>54</v>
      </c>
      <c r="F326" s="44">
        <f t="shared" si="9"/>
        <v>2</v>
      </c>
      <c r="G326" s="85" t="s">
        <v>726</v>
      </c>
      <c r="H326" s="46" t="s">
        <v>18</v>
      </c>
      <c r="I326" s="47"/>
      <c r="J326" s="48" t="s">
        <v>42</v>
      </c>
      <c r="K326" s="86">
        <v>25111</v>
      </c>
      <c r="L326" s="87" t="s">
        <v>25</v>
      </c>
      <c r="M326" s="87" t="s">
        <v>26</v>
      </c>
      <c r="N326" s="14" t="s">
        <v>27</v>
      </c>
      <c r="O326" s="14" t="s">
        <v>28</v>
      </c>
      <c r="P326" s="51">
        <v>40</v>
      </c>
      <c r="Q326" s="47">
        <f t="shared" si="10"/>
        <v>80</v>
      </c>
      <c r="R326" s="47"/>
      <c r="S326" s="47"/>
      <c r="T326" s="47">
        <v>25111</v>
      </c>
    </row>
    <row r="327" customHeight="1" spans="1:20">
      <c r="A327" s="43">
        <v>25112</v>
      </c>
      <c r="B327" s="78" t="s">
        <v>727</v>
      </c>
      <c r="C327" s="78"/>
      <c r="D327" s="43">
        <v>1</v>
      </c>
      <c r="E327" s="78" t="s">
        <v>54</v>
      </c>
      <c r="F327" s="44">
        <f t="shared" si="9"/>
        <v>2</v>
      </c>
      <c r="G327" s="85" t="s">
        <v>728</v>
      </c>
      <c r="H327" s="46" t="s">
        <v>18</v>
      </c>
      <c r="I327" s="47"/>
      <c r="J327" s="48" t="s">
        <v>42</v>
      </c>
      <c r="K327" s="86">
        <v>25112</v>
      </c>
      <c r="L327" s="87" t="s">
        <v>25</v>
      </c>
      <c r="M327" s="87" t="s">
        <v>26</v>
      </c>
      <c r="N327" s="14" t="s">
        <v>27</v>
      </c>
      <c r="O327" s="14" t="s">
        <v>28</v>
      </c>
      <c r="P327" s="51">
        <v>1500</v>
      </c>
      <c r="Q327" s="47">
        <f t="shared" si="10"/>
        <v>3000</v>
      </c>
      <c r="R327" s="47"/>
      <c r="S327" s="47"/>
      <c r="T327" s="47">
        <v>25112</v>
      </c>
    </row>
    <row r="328" customHeight="1" spans="1:20">
      <c r="A328" s="43">
        <v>25113</v>
      </c>
      <c r="B328" s="78" t="s">
        <v>729</v>
      </c>
      <c r="C328" s="78"/>
      <c r="D328" s="43">
        <v>1</v>
      </c>
      <c r="E328" s="78" t="s">
        <v>54</v>
      </c>
      <c r="F328" s="44">
        <f t="shared" si="9"/>
        <v>2</v>
      </c>
      <c r="G328" s="85" t="s">
        <v>730</v>
      </c>
      <c r="H328" s="46" t="s">
        <v>18</v>
      </c>
      <c r="I328" s="47"/>
      <c r="J328" s="48" t="s">
        <v>42</v>
      </c>
      <c r="K328" s="86">
        <v>25113</v>
      </c>
      <c r="L328" s="87" t="s">
        <v>25</v>
      </c>
      <c r="M328" s="87" t="s">
        <v>26</v>
      </c>
      <c r="N328" s="14" t="s">
        <v>27</v>
      </c>
      <c r="O328" s="14" t="s">
        <v>28</v>
      </c>
      <c r="P328" s="51">
        <v>480</v>
      </c>
      <c r="Q328" s="47">
        <f t="shared" si="10"/>
        <v>960</v>
      </c>
      <c r="R328" s="47"/>
      <c r="S328" s="47"/>
      <c r="T328" s="47">
        <v>25113</v>
      </c>
    </row>
    <row r="329" customHeight="1" spans="1:20">
      <c r="A329" s="43" t="s">
        <v>731</v>
      </c>
      <c r="B329" s="78" t="s">
        <v>732</v>
      </c>
      <c r="C329" s="78"/>
      <c r="D329" s="43">
        <v>1</v>
      </c>
      <c r="E329" s="78" t="s">
        <v>54</v>
      </c>
      <c r="F329" s="44">
        <f t="shared" ref="F329:F392" si="11">D329*2</f>
        <v>2</v>
      </c>
      <c r="G329" s="85" t="s">
        <v>733</v>
      </c>
      <c r="H329" s="46" t="s">
        <v>18</v>
      </c>
      <c r="I329" s="47"/>
      <c r="J329" s="48" t="s">
        <v>42</v>
      </c>
      <c r="K329" s="86" t="s">
        <v>731</v>
      </c>
      <c r="L329" s="87" t="s">
        <v>25</v>
      </c>
      <c r="M329" s="87" t="s">
        <v>26</v>
      </c>
      <c r="N329" s="14" t="s">
        <v>27</v>
      </c>
      <c r="O329" s="14" t="s">
        <v>28</v>
      </c>
      <c r="P329" s="51">
        <v>660</v>
      </c>
      <c r="Q329" s="47">
        <f t="shared" si="10"/>
        <v>1320</v>
      </c>
      <c r="R329" s="47"/>
      <c r="S329" s="47"/>
      <c r="T329" s="47">
        <v>25114</v>
      </c>
    </row>
    <row r="330" customHeight="1" spans="1:20">
      <c r="A330" s="43">
        <v>25115</v>
      </c>
      <c r="B330" s="78" t="s">
        <v>734</v>
      </c>
      <c r="C330" s="78"/>
      <c r="D330" s="43">
        <v>1</v>
      </c>
      <c r="E330" s="78" t="s">
        <v>54</v>
      </c>
      <c r="F330" s="44">
        <f t="shared" si="11"/>
        <v>2</v>
      </c>
      <c r="G330" s="85" t="s">
        <v>735</v>
      </c>
      <c r="H330" s="46" t="s">
        <v>18</v>
      </c>
      <c r="I330" s="47"/>
      <c r="J330" s="48" t="s">
        <v>42</v>
      </c>
      <c r="K330" s="86">
        <v>25115</v>
      </c>
      <c r="L330" s="87" t="s">
        <v>25</v>
      </c>
      <c r="M330" s="87" t="s">
        <v>26</v>
      </c>
      <c r="N330" s="14" t="s">
        <v>27</v>
      </c>
      <c r="O330" s="14" t="s">
        <v>28</v>
      </c>
      <c r="P330" s="51">
        <v>660</v>
      </c>
      <c r="Q330" s="47">
        <f t="shared" si="10"/>
        <v>1320</v>
      </c>
      <c r="R330" s="47"/>
      <c r="S330" s="47"/>
      <c r="T330" s="116" t="s">
        <v>736</v>
      </c>
    </row>
    <row r="331" customHeight="1" spans="1:20">
      <c r="A331" s="43">
        <v>25116</v>
      </c>
      <c r="B331" s="78" t="s">
        <v>737</v>
      </c>
      <c r="C331" s="78"/>
      <c r="D331" s="43">
        <v>1</v>
      </c>
      <c r="E331" s="78" t="s">
        <v>54</v>
      </c>
      <c r="F331" s="44">
        <f t="shared" si="11"/>
        <v>2</v>
      </c>
      <c r="G331" s="85" t="s">
        <v>738</v>
      </c>
      <c r="H331" s="46" t="s">
        <v>18</v>
      </c>
      <c r="I331" s="47"/>
      <c r="J331" s="48" t="s">
        <v>42</v>
      </c>
      <c r="K331" s="86">
        <v>25116</v>
      </c>
      <c r="L331" s="87" t="s">
        <v>739</v>
      </c>
      <c r="M331" s="87" t="s">
        <v>740</v>
      </c>
      <c r="N331" s="14" t="s">
        <v>27</v>
      </c>
      <c r="O331" s="14" t="s">
        <v>28</v>
      </c>
      <c r="P331" s="51">
        <v>600</v>
      </c>
      <c r="Q331" s="47">
        <f t="shared" si="10"/>
        <v>1200</v>
      </c>
      <c r="R331" s="47"/>
      <c r="S331" s="47"/>
      <c r="T331" s="47">
        <v>25116</v>
      </c>
    </row>
    <row r="332" customHeight="1" spans="1:20">
      <c r="A332" s="75" t="s">
        <v>103</v>
      </c>
      <c r="B332" s="2" t="s">
        <v>741</v>
      </c>
      <c r="C332" s="2"/>
      <c r="D332" s="6"/>
      <c r="E332" s="2"/>
      <c r="F332" s="44">
        <f t="shared" si="11"/>
        <v>0</v>
      </c>
      <c r="G332" s="77"/>
      <c r="H332" s="46"/>
      <c r="I332" s="47"/>
      <c r="J332" s="48" t="s">
        <v>42</v>
      </c>
      <c r="K332" s="94"/>
      <c r="L332" s="95"/>
      <c r="M332" s="95"/>
      <c r="O332" s="14" t="s">
        <v>28</v>
      </c>
      <c r="P332" s="51"/>
      <c r="Q332" s="47">
        <f t="shared" si="10"/>
        <v>0</v>
      </c>
      <c r="R332" s="47"/>
      <c r="S332" s="47"/>
      <c r="T332" s="47"/>
    </row>
    <row r="333" customHeight="1" spans="1:20">
      <c r="A333" s="6">
        <v>31</v>
      </c>
      <c r="B333" s="2" t="s">
        <v>742</v>
      </c>
      <c r="C333" s="2"/>
      <c r="D333" s="6"/>
      <c r="E333" s="2"/>
      <c r="F333" s="44">
        <f t="shared" si="11"/>
        <v>0</v>
      </c>
      <c r="G333" s="77"/>
      <c r="H333" s="46"/>
      <c r="I333" s="47"/>
      <c r="J333" s="48" t="s">
        <v>42</v>
      </c>
      <c r="K333" s="94"/>
      <c r="L333" s="95"/>
      <c r="M333" s="95"/>
      <c r="O333" s="14" t="s">
        <v>28</v>
      </c>
      <c r="P333" s="51"/>
      <c r="Q333" s="47">
        <f t="shared" si="10"/>
        <v>0</v>
      </c>
      <c r="R333" s="47"/>
      <c r="S333" s="47"/>
      <c r="T333" s="47"/>
    </row>
    <row r="334" customHeight="1" spans="1:20">
      <c r="A334" s="43">
        <v>31005</v>
      </c>
      <c r="B334" s="78" t="s">
        <v>743</v>
      </c>
      <c r="C334" s="78"/>
      <c r="D334" s="43">
        <v>1</v>
      </c>
      <c r="E334" s="78" t="s">
        <v>21</v>
      </c>
      <c r="F334" s="44">
        <f t="shared" si="11"/>
        <v>2</v>
      </c>
      <c r="G334" s="82" t="s">
        <v>744</v>
      </c>
      <c r="H334" s="46" t="s">
        <v>18</v>
      </c>
      <c r="I334" s="47"/>
      <c r="J334" s="48" t="s">
        <v>42</v>
      </c>
      <c r="K334" s="83">
        <v>31005</v>
      </c>
      <c r="L334" s="84" t="s">
        <v>25</v>
      </c>
      <c r="M334" s="84" t="s">
        <v>26</v>
      </c>
      <c r="N334" s="14" t="s">
        <v>27</v>
      </c>
      <c r="O334" s="14" t="s">
        <v>28</v>
      </c>
      <c r="P334" s="51">
        <v>165</v>
      </c>
      <c r="Q334" s="47">
        <f t="shared" si="10"/>
        <v>330</v>
      </c>
      <c r="R334" s="47"/>
      <c r="S334" s="47"/>
      <c r="T334" s="47">
        <v>31005</v>
      </c>
    </row>
    <row r="335" customHeight="1" spans="1:20">
      <c r="A335" s="43">
        <v>31008</v>
      </c>
      <c r="B335" s="78" t="s">
        <v>745</v>
      </c>
      <c r="C335" s="78"/>
      <c r="D335" s="43">
        <v>1</v>
      </c>
      <c r="E335" s="78" t="s">
        <v>21</v>
      </c>
      <c r="F335" s="44">
        <f t="shared" si="11"/>
        <v>2</v>
      </c>
      <c r="G335" s="85" t="s">
        <v>746</v>
      </c>
      <c r="H335" s="46" t="s">
        <v>18</v>
      </c>
      <c r="I335" s="47"/>
      <c r="J335" s="48" t="s">
        <v>42</v>
      </c>
      <c r="K335" s="86">
        <v>31008</v>
      </c>
      <c r="L335" s="87" t="s">
        <v>25</v>
      </c>
      <c r="M335" s="87" t="s">
        <v>26</v>
      </c>
      <c r="N335" s="14" t="s">
        <v>27</v>
      </c>
      <c r="O335" s="14" t="s">
        <v>28</v>
      </c>
      <c r="P335" s="51">
        <v>48</v>
      </c>
      <c r="Q335" s="47">
        <f t="shared" si="10"/>
        <v>96</v>
      </c>
      <c r="R335" s="47"/>
      <c r="S335" s="47"/>
      <c r="T335" s="47">
        <v>31008</v>
      </c>
    </row>
    <row r="336" customHeight="1" spans="1:20">
      <c r="A336" s="43">
        <v>31009</v>
      </c>
      <c r="B336" s="78" t="s">
        <v>747</v>
      </c>
      <c r="C336" s="78"/>
      <c r="D336" s="43">
        <v>1</v>
      </c>
      <c r="E336" s="78" t="s">
        <v>21</v>
      </c>
      <c r="F336" s="44">
        <f t="shared" si="11"/>
        <v>2</v>
      </c>
      <c r="G336" s="82" t="s">
        <v>748</v>
      </c>
      <c r="H336" s="46" t="s">
        <v>18</v>
      </c>
      <c r="I336" s="47"/>
      <c r="J336" s="48" t="s">
        <v>42</v>
      </c>
      <c r="K336" s="83">
        <v>31009</v>
      </c>
      <c r="L336" s="84" t="s">
        <v>25</v>
      </c>
      <c r="M336" s="84" t="s">
        <v>26</v>
      </c>
      <c r="N336" s="14" t="s">
        <v>27</v>
      </c>
      <c r="O336" s="14" t="s">
        <v>28</v>
      </c>
      <c r="P336" s="51">
        <v>48</v>
      </c>
      <c r="Q336" s="47">
        <f t="shared" si="10"/>
        <v>96</v>
      </c>
      <c r="R336" s="47"/>
      <c r="S336" s="47"/>
      <c r="T336" s="47">
        <v>31009</v>
      </c>
    </row>
    <row r="337" customHeight="1" spans="1:20">
      <c r="A337" s="43">
        <v>31010</v>
      </c>
      <c r="B337" s="78" t="s">
        <v>749</v>
      </c>
      <c r="C337" s="78"/>
      <c r="D337" s="43">
        <v>1</v>
      </c>
      <c r="E337" s="78" t="s">
        <v>32</v>
      </c>
      <c r="F337" s="44">
        <f t="shared" si="11"/>
        <v>2</v>
      </c>
      <c r="G337" s="82" t="s">
        <v>750</v>
      </c>
      <c r="H337" s="46" t="s">
        <v>18</v>
      </c>
      <c r="I337" s="47"/>
      <c r="J337" s="48" t="s">
        <v>42</v>
      </c>
      <c r="K337" s="83">
        <v>31010</v>
      </c>
      <c r="L337" s="84" t="s">
        <v>25</v>
      </c>
      <c r="M337" s="84" t="s">
        <v>26</v>
      </c>
      <c r="N337" s="14" t="s">
        <v>27</v>
      </c>
      <c r="O337" s="14" t="s">
        <v>28</v>
      </c>
      <c r="P337" s="51">
        <v>15</v>
      </c>
      <c r="Q337" s="47">
        <f t="shared" si="10"/>
        <v>30</v>
      </c>
      <c r="R337" s="47"/>
      <c r="S337" s="47"/>
      <c r="T337" s="47">
        <v>31010</v>
      </c>
    </row>
    <row r="338" customHeight="1" spans="1:20">
      <c r="A338" s="43">
        <v>31013</v>
      </c>
      <c r="B338" s="78" t="s">
        <v>751</v>
      </c>
      <c r="C338" s="78"/>
      <c r="D338" s="43">
        <v>1</v>
      </c>
      <c r="E338" s="78" t="s">
        <v>32</v>
      </c>
      <c r="F338" s="44">
        <f t="shared" si="11"/>
        <v>2</v>
      </c>
      <c r="G338" s="85" t="s">
        <v>752</v>
      </c>
      <c r="H338" s="46" t="s">
        <v>18</v>
      </c>
      <c r="I338" s="47"/>
      <c r="J338" s="48" t="s">
        <v>42</v>
      </c>
      <c r="K338" s="86">
        <v>31013</v>
      </c>
      <c r="L338" s="87" t="s">
        <v>25</v>
      </c>
      <c r="M338" s="87" t="s">
        <v>26</v>
      </c>
      <c r="N338" s="14" t="s">
        <v>27</v>
      </c>
      <c r="O338" s="14" t="s">
        <v>28</v>
      </c>
      <c r="P338" s="51">
        <v>65</v>
      </c>
      <c r="Q338" s="47">
        <f t="shared" si="10"/>
        <v>130</v>
      </c>
      <c r="R338" s="47"/>
      <c r="S338" s="47"/>
      <c r="T338" s="47">
        <v>31013</v>
      </c>
    </row>
    <row r="339" customHeight="1" spans="1:20">
      <c r="A339" s="43">
        <v>31014</v>
      </c>
      <c r="B339" s="78" t="s">
        <v>753</v>
      </c>
      <c r="C339" s="78"/>
      <c r="D339" s="43">
        <v>1</v>
      </c>
      <c r="E339" s="78" t="s">
        <v>32</v>
      </c>
      <c r="F339" s="44">
        <f t="shared" si="11"/>
        <v>2</v>
      </c>
      <c r="G339" s="85" t="s">
        <v>754</v>
      </c>
      <c r="H339" s="46" t="s">
        <v>18</v>
      </c>
      <c r="I339" s="47"/>
      <c r="J339" s="48" t="s">
        <v>42</v>
      </c>
      <c r="K339" s="86">
        <v>31014</v>
      </c>
      <c r="L339" s="87" t="s">
        <v>25</v>
      </c>
      <c r="M339" s="87" t="s">
        <v>26</v>
      </c>
      <c r="N339" s="14" t="s">
        <v>27</v>
      </c>
      <c r="O339" s="14" t="s">
        <v>28</v>
      </c>
      <c r="P339" s="51">
        <v>65</v>
      </c>
      <c r="Q339" s="47">
        <f t="shared" si="10"/>
        <v>130</v>
      </c>
      <c r="R339" s="47"/>
      <c r="S339" s="47"/>
      <c r="T339" s="47">
        <v>31014</v>
      </c>
    </row>
    <row r="340" customHeight="1" spans="1:20">
      <c r="A340" s="43">
        <v>31017</v>
      </c>
      <c r="B340" s="78" t="s">
        <v>755</v>
      </c>
      <c r="C340" s="78"/>
      <c r="D340" s="43">
        <v>1</v>
      </c>
      <c r="E340" s="78" t="s">
        <v>54</v>
      </c>
      <c r="F340" s="44">
        <f t="shared" si="11"/>
        <v>2</v>
      </c>
      <c r="G340" s="82" t="s">
        <v>756</v>
      </c>
      <c r="H340" s="46" t="s">
        <v>18</v>
      </c>
      <c r="I340" s="47"/>
      <c r="J340" s="48" t="s">
        <v>42</v>
      </c>
      <c r="K340" s="83">
        <v>31017</v>
      </c>
      <c r="L340" s="84" t="s">
        <v>25</v>
      </c>
      <c r="M340" s="84" t="s">
        <v>26</v>
      </c>
      <c r="N340" s="14" t="s">
        <v>27</v>
      </c>
      <c r="O340" s="14" t="s">
        <v>28</v>
      </c>
      <c r="P340" s="51">
        <v>160</v>
      </c>
      <c r="Q340" s="47">
        <f t="shared" si="10"/>
        <v>320</v>
      </c>
      <c r="R340" s="47"/>
      <c r="S340" s="47"/>
      <c r="T340" s="47">
        <v>31017</v>
      </c>
    </row>
    <row r="341" customHeight="1" spans="1:20">
      <c r="A341" s="43">
        <v>31018</v>
      </c>
      <c r="B341" s="78" t="s">
        <v>757</v>
      </c>
      <c r="C341" s="78"/>
      <c r="D341" s="43">
        <v>1</v>
      </c>
      <c r="E341" s="78" t="s">
        <v>54</v>
      </c>
      <c r="F341" s="44">
        <f t="shared" si="11"/>
        <v>2</v>
      </c>
      <c r="G341" s="82" t="s">
        <v>758</v>
      </c>
      <c r="H341" s="46" t="s">
        <v>18</v>
      </c>
      <c r="I341" s="47"/>
      <c r="J341" s="48" t="s">
        <v>42</v>
      </c>
      <c r="K341" s="83">
        <v>31018</v>
      </c>
      <c r="L341" s="84" t="s">
        <v>25</v>
      </c>
      <c r="M341" s="84" t="s">
        <v>26</v>
      </c>
      <c r="N341" s="14" t="s">
        <v>27</v>
      </c>
      <c r="O341" s="14" t="s">
        <v>28</v>
      </c>
      <c r="P341" s="51">
        <v>130</v>
      </c>
      <c r="Q341" s="47">
        <f t="shared" si="10"/>
        <v>260</v>
      </c>
      <c r="R341" s="47"/>
      <c r="S341" s="47"/>
      <c r="T341" s="47">
        <v>31018</v>
      </c>
    </row>
    <row r="342" customHeight="1" spans="1:20">
      <c r="A342" s="43">
        <v>31019</v>
      </c>
      <c r="B342" s="78" t="s">
        <v>759</v>
      </c>
      <c r="C342" s="78"/>
      <c r="D342" s="43">
        <v>1</v>
      </c>
      <c r="E342" s="78" t="s">
        <v>54</v>
      </c>
      <c r="F342" s="44">
        <f t="shared" si="11"/>
        <v>2</v>
      </c>
      <c r="G342" s="82" t="s">
        <v>760</v>
      </c>
      <c r="H342" s="46" t="s">
        <v>18</v>
      </c>
      <c r="I342" s="47"/>
      <c r="J342" s="48" t="s">
        <v>42</v>
      </c>
      <c r="K342" s="83">
        <v>31019</v>
      </c>
      <c r="L342" s="84" t="s">
        <v>25</v>
      </c>
      <c r="M342" s="84" t="s">
        <v>26</v>
      </c>
      <c r="N342" s="14" t="s">
        <v>27</v>
      </c>
      <c r="O342" s="14" t="s">
        <v>28</v>
      </c>
      <c r="P342" s="51">
        <v>130</v>
      </c>
      <c r="Q342" s="47">
        <f t="shared" si="10"/>
        <v>260</v>
      </c>
      <c r="R342" s="47"/>
      <c r="S342" s="47"/>
      <c r="T342" s="47">
        <v>31019</v>
      </c>
    </row>
    <row r="343" customHeight="1" spans="1:20">
      <c r="A343" s="43">
        <v>31020</v>
      </c>
      <c r="B343" s="78" t="s">
        <v>761</v>
      </c>
      <c r="C343" s="78"/>
      <c r="D343" s="43">
        <v>1</v>
      </c>
      <c r="E343" s="78" t="s">
        <v>32</v>
      </c>
      <c r="F343" s="44">
        <f t="shared" si="11"/>
        <v>2</v>
      </c>
      <c r="G343" s="82" t="s">
        <v>762</v>
      </c>
      <c r="H343" s="46" t="s">
        <v>18</v>
      </c>
      <c r="I343" s="47"/>
      <c r="J343" s="48" t="s">
        <v>42</v>
      </c>
      <c r="K343" s="83">
        <v>31020</v>
      </c>
      <c r="L343" s="84" t="s">
        <v>25</v>
      </c>
      <c r="M343" s="84" t="s">
        <v>26</v>
      </c>
      <c r="N343" s="14" t="s">
        <v>27</v>
      </c>
      <c r="O343" s="14" t="s">
        <v>28</v>
      </c>
      <c r="P343" s="51">
        <v>130</v>
      </c>
      <c r="Q343" s="47">
        <f t="shared" si="10"/>
        <v>260</v>
      </c>
      <c r="R343" s="47"/>
      <c r="S343" s="47"/>
      <c r="T343" s="47">
        <v>31020</v>
      </c>
    </row>
    <row r="344" customHeight="1" spans="1:20">
      <c r="A344" s="43">
        <v>31021</v>
      </c>
      <c r="B344" s="78" t="s">
        <v>763</v>
      </c>
      <c r="C344" s="78"/>
      <c r="D344" s="43">
        <v>1</v>
      </c>
      <c r="E344" s="78" t="s">
        <v>54</v>
      </c>
      <c r="F344" s="44">
        <f t="shared" si="11"/>
        <v>2</v>
      </c>
      <c r="G344" s="85" t="s">
        <v>764</v>
      </c>
      <c r="H344" s="46" t="s">
        <v>18</v>
      </c>
      <c r="I344" s="47"/>
      <c r="J344" s="48" t="s">
        <v>42</v>
      </c>
      <c r="K344" s="86">
        <v>31021</v>
      </c>
      <c r="L344" s="87" t="s">
        <v>25</v>
      </c>
      <c r="M344" s="87" t="s">
        <v>26</v>
      </c>
      <c r="N344" s="14" t="s">
        <v>27</v>
      </c>
      <c r="O344" s="14" t="s">
        <v>28</v>
      </c>
      <c r="P344" s="51">
        <v>140</v>
      </c>
      <c r="Q344" s="47">
        <f t="shared" si="10"/>
        <v>280</v>
      </c>
      <c r="R344" s="47"/>
      <c r="S344" s="47"/>
      <c r="T344" s="47">
        <v>31021</v>
      </c>
    </row>
    <row r="345" customHeight="1" spans="1:20">
      <c r="A345" s="43">
        <v>31022</v>
      </c>
      <c r="B345" s="78" t="s">
        <v>765</v>
      </c>
      <c r="C345" s="78"/>
      <c r="D345" s="43">
        <v>1</v>
      </c>
      <c r="E345" s="78" t="s">
        <v>54</v>
      </c>
      <c r="F345" s="44">
        <f t="shared" si="11"/>
        <v>2</v>
      </c>
      <c r="G345" s="85" t="s">
        <v>766</v>
      </c>
      <c r="H345" s="46" t="s">
        <v>18</v>
      </c>
      <c r="I345" s="47"/>
      <c r="J345" s="48" t="s">
        <v>42</v>
      </c>
      <c r="K345" s="86">
        <v>31022</v>
      </c>
      <c r="L345" s="87" t="s">
        <v>25</v>
      </c>
      <c r="M345" s="87" t="s">
        <v>26</v>
      </c>
      <c r="N345" s="14" t="s">
        <v>27</v>
      </c>
      <c r="O345" s="14" t="s">
        <v>28</v>
      </c>
      <c r="P345" s="51">
        <v>140</v>
      </c>
      <c r="Q345" s="47">
        <f t="shared" si="10"/>
        <v>280</v>
      </c>
      <c r="R345" s="47"/>
      <c r="S345" s="47"/>
      <c r="T345" s="47">
        <v>31022</v>
      </c>
    </row>
    <row r="346" customHeight="1" spans="1:20">
      <c r="A346" s="43">
        <v>31024</v>
      </c>
      <c r="B346" s="78" t="s">
        <v>767</v>
      </c>
      <c r="C346" s="78"/>
      <c r="D346" s="43">
        <v>1</v>
      </c>
      <c r="E346" s="78" t="s">
        <v>32</v>
      </c>
      <c r="F346" s="44">
        <f t="shared" si="11"/>
        <v>2</v>
      </c>
      <c r="G346" s="85" t="s">
        <v>768</v>
      </c>
      <c r="H346" s="46" t="s">
        <v>18</v>
      </c>
      <c r="I346" s="47"/>
      <c r="J346" s="48" t="s">
        <v>42</v>
      </c>
      <c r="K346" s="86">
        <v>31024</v>
      </c>
      <c r="L346" s="87" t="s">
        <v>25</v>
      </c>
      <c r="M346" s="87" t="s">
        <v>26</v>
      </c>
      <c r="N346" s="14" t="s">
        <v>27</v>
      </c>
      <c r="O346" s="14" t="s">
        <v>28</v>
      </c>
      <c r="P346" s="51">
        <v>180</v>
      </c>
      <c r="Q346" s="47">
        <f t="shared" si="10"/>
        <v>360</v>
      </c>
      <c r="R346" s="47"/>
      <c r="S346" s="47"/>
      <c r="T346" s="47">
        <v>31024</v>
      </c>
    </row>
    <row r="347" customHeight="1" spans="1:20">
      <c r="A347" s="43">
        <v>31032</v>
      </c>
      <c r="B347" s="78" t="s">
        <v>769</v>
      </c>
      <c r="C347" s="78"/>
      <c r="D347" s="43">
        <v>1</v>
      </c>
      <c r="E347" s="78" t="s">
        <v>54</v>
      </c>
      <c r="F347" s="44">
        <f t="shared" si="11"/>
        <v>2</v>
      </c>
      <c r="G347" s="85" t="s">
        <v>770</v>
      </c>
      <c r="H347" s="46" t="s">
        <v>18</v>
      </c>
      <c r="I347" s="47"/>
      <c r="J347" s="48" t="s">
        <v>42</v>
      </c>
      <c r="K347" s="86">
        <v>31032</v>
      </c>
      <c r="L347" s="87" t="s">
        <v>25</v>
      </c>
      <c r="M347" s="87" t="s">
        <v>26</v>
      </c>
      <c r="N347" s="14" t="s">
        <v>27</v>
      </c>
      <c r="O347" s="14" t="s">
        <v>28</v>
      </c>
      <c r="P347" s="51">
        <v>175</v>
      </c>
      <c r="Q347" s="47">
        <f t="shared" si="10"/>
        <v>350</v>
      </c>
      <c r="R347" s="47"/>
      <c r="S347" s="47"/>
      <c r="T347" s="47">
        <v>31032</v>
      </c>
    </row>
    <row r="348" customHeight="1" spans="1:20">
      <c r="A348" s="43">
        <v>31037</v>
      </c>
      <c r="B348" s="78" t="s">
        <v>771</v>
      </c>
      <c r="C348" s="78"/>
      <c r="D348" s="43">
        <v>1</v>
      </c>
      <c r="E348" s="78" t="s">
        <v>54</v>
      </c>
      <c r="F348" s="44">
        <f t="shared" si="11"/>
        <v>2</v>
      </c>
      <c r="G348" s="85" t="s">
        <v>772</v>
      </c>
      <c r="H348" s="46" t="s">
        <v>18</v>
      </c>
      <c r="I348" s="47"/>
      <c r="J348" s="48" t="s">
        <v>42</v>
      </c>
      <c r="K348" s="86">
        <v>31037</v>
      </c>
      <c r="L348" s="87" t="s">
        <v>25</v>
      </c>
      <c r="M348" s="87" t="s">
        <v>26</v>
      </c>
      <c r="N348" s="14" t="s">
        <v>27</v>
      </c>
      <c r="O348" s="14" t="s">
        <v>28</v>
      </c>
      <c r="P348" s="51">
        <v>120</v>
      </c>
      <c r="Q348" s="47">
        <f t="shared" si="10"/>
        <v>240</v>
      </c>
      <c r="R348" s="47"/>
      <c r="S348" s="47"/>
      <c r="T348" s="47">
        <v>31037</v>
      </c>
    </row>
    <row r="349" customHeight="1" spans="1:20">
      <c r="A349" s="43">
        <v>31038</v>
      </c>
      <c r="B349" s="78" t="s">
        <v>773</v>
      </c>
      <c r="C349" s="78"/>
      <c r="D349" s="43">
        <v>1</v>
      </c>
      <c r="E349" s="78" t="s">
        <v>32</v>
      </c>
      <c r="F349" s="44">
        <f t="shared" si="11"/>
        <v>2</v>
      </c>
      <c r="G349" s="85" t="s">
        <v>774</v>
      </c>
      <c r="H349" s="46" t="s">
        <v>18</v>
      </c>
      <c r="I349" s="47"/>
      <c r="J349" s="48" t="s">
        <v>42</v>
      </c>
      <c r="K349" s="86">
        <v>31038</v>
      </c>
      <c r="L349" s="87" t="s">
        <v>25</v>
      </c>
      <c r="M349" s="87" t="s">
        <v>26</v>
      </c>
      <c r="N349" s="14" t="s">
        <v>27</v>
      </c>
      <c r="O349" s="14" t="s">
        <v>28</v>
      </c>
      <c r="P349" s="51">
        <v>120</v>
      </c>
      <c r="Q349" s="47">
        <f t="shared" si="10"/>
        <v>240</v>
      </c>
      <c r="R349" s="47"/>
      <c r="S349" s="47"/>
      <c r="T349" s="47">
        <v>31038</v>
      </c>
    </row>
    <row r="350" customHeight="1" spans="1:20">
      <c r="A350" s="75" t="s">
        <v>775</v>
      </c>
      <c r="B350" s="2" t="s">
        <v>776</v>
      </c>
      <c r="C350" s="2"/>
      <c r="D350" s="6"/>
      <c r="E350" s="2"/>
      <c r="F350" s="44">
        <f t="shared" si="11"/>
        <v>0</v>
      </c>
      <c r="G350" s="77"/>
      <c r="H350" s="46"/>
      <c r="I350" s="47"/>
      <c r="J350" s="48" t="s">
        <v>42</v>
      </c>
      <c r="K350" s="94"/>
      <c r="L350" s="95"/>
      <c r="M350" s="95"/>
      <c r="O350" s="14" t="s">
        <v>28</v>
      </c>
      <c r="P350" s="51"/>
      <c r="Q350" s="47">
        <f t="shared" si="10"/>
        <v>0</v>
      </c>
      <c r="R350" s="47"/>
      <c r="S350" s="47"/>
      <c r="T350" s="47"/>
    </row>
    <row r="351" customHeight="1" spans="1:20">
      <c r="A351" s="6">
        <v>60</v>
      </c>
      <c r="B351" s="2" t="s">
        <v>777</v>
      </c>
      <c r="C351" s="2"/>
      <c r="D351" s="6"/>
      <c r="E351" s="2"/>
      <c r="F351" s="44">
        <f t="shared" si="11"/>
        <v>0</v>
      </c>
      <c r="G351" s="77"/>
      <c r="H351" s="46"/>
      <c r="I351" s="47"/>
      <c r="J351" s="48" t="s">
        <v>42</v>
      </c>
      <c r="K351" s="94"/>
      <c r="L351" s="95"/>
      <c r="M351" s="95"/>
      <c r="O351" s="14" t="s">
        <v>28</v>
      </c>
      <c r="P351" s="51"/>
      <c r="Q351" s="47">
        <f t="shared" si="10"/>
        <v>0</v>
      </c>
      <c r="R351" s="47"/>
      <c r="S351" s="47"/>
      <c r="T351" s="47"/>
    </row>
    <row r="352" customHeight="1" spans="1:20">
      <c r="A352" s="43">
        <v>60001</v>
      </c>
      <c r="B352" s="78" t="s">
        <v>778</v>
      </c>
      <c r="C352" s="78"/>
      <c r="D352" s="43">
        <v>2</v>
      </c>
      <c r="E352" s="78" t="s">
        <v>21</v>
      </c>
      <c r="F352" s="44">
        <f t="shared" si="11"/>
        <v>4</v>
      </c>
      <c r="G352" s="85" t="s">
        <v>779</v>
      </c>
      <c r="H352" s="46" t="s">
        <v>18</v>
      </c>
      <c r="I352" s="47"/>
      <c r="J352" s="48" t="s">
        <v>42</v>
      </c>
      <c r="K352" s="86">
        <v>60001</v>
      </c>
      <c r="L352" s="87" t="s">
        <v>780</v>
      </c>
      <c r="M352" s="87" t="s">
        <v>781</v>
      </c>
      <c r="N352" s="14" t="s">
        <v>27</v>
      </c>
      <c r="O352" s="14" t="s">
        <v>28</v>
      </c>
      <c r="P352" s="51">
        <v>3.5</v>
      </c>
      <c r="Q352" s="47">
        <f t="shared" si="10"/>
        <v>14</v>
      </c>
      <c r="R352" s="47"/>
      <c r="S352" s="47"/>
      <c r="T352" s="43">
        <v>60001</v>
      </c>
    </row>
    <row r="353" customHeight="1" spans="1:20">
      <c r="A353" s="43">
        <v>60003</v>
      </c>
      <c r="B353" s="78" t="s">
        <v>778</v>
      </c>
      <c r="C353" s="78"/>
      <c r="D353" s="43">
        <v>2</v>
      </c>
      <c r="E353" s="78" t="s">
        <v>21</v>
      </c>
      <c r="F353" s="44">
        <f t="shared" si="11"/>
        <v>4</v>
      </c>
      <c r="G353" s="85" t="s">
        <v>782</v>
      </c>
      <c r="H353" s="46" t="s">
        <v>18</v>
      </c>
      <c r="I353" s="47"/>
      <c r="J353" s="48" t="s">
        <v>42</v>
      </c>
      <c r="K353" s="86">
        <v>60003</v>
      </c>
      <c r="L353" s="87" t="s">
        <v>780</v>
      </c>
      <c r="M353" s="87" t="s">
        <v>781</v>
      </c>
      <c r="N353" s="14" t="s">
        <v>27</v>
      </c>
      <c r="O353" s="14" t="s">
        <v>28</v>
      </c>
      <c r="P353" s="51">
        <v>4.5</v>
      </c>
      <c r="Q353" s="47">
        <f t="shared" si="10"/>
        <v>18</v>
      </c>
      <c r="R353" s="47"/>
      <c r="S353" s="47"/>
      <c r="T353" s="43">
        <v>60003</v>
      </c>
    </row>
    <row r="354" customHeight="1" spans="1:20">
      <c r="A354" s="43">
        <v>60004</v>
      </c>
      <c r="B354" s="78" t="s">
        <v>778</v>
      </c>
      <c r="C354" s="78"/>
      <c r="D354" s="43">
        <v>100</v>
      </c>
      <c r="E354" s="78" t="s">
        <v>21</v>
      </c>
      <c r="F354" s="44">
        <f t="shared" si="11"/>
        <v>200</v>
      </c>
      <c r="G354" s="85" t="s">
        <v>783</v>
      </c>
      <c r="H354" s="46" t="s">
        <v>18</v>
      </c>
      <c r="I354" s="47"/>
      <c r="J354" s="48" t="s">
        <v>42</v>
      </c>
      <c r="K354" s="86">
        <v>60004</v>
      </c>
      <c r="L354" s="87" t="s">
        <v>780</v>
      </c>
      <c r="M354" s="87" t="s">
        <v>781</v>
      </c>
      <c r="N354" s="14" t="s">
        <v>27</v>
      </c>
      <c r="O354" s="14" t="s">
        <v>28</v>
      </c>
      <c r="P354" s="51">
        <v>7</v>
      </c>
      <c r="Q354" s="47">
        <f t="shared" si="10"/>
        <v>1400</v>
      </c>
      <c r="R354" s="47"/>
      <c r="S354" s="47"/>
      <c r="T354" s="43">
        <v>60004</v>
      </c>
    </row>
    <row r="355" customHeight="1" spans="1:20">
      <c r="A355" s="43">
        <v>60012</v>
      </c>
      <c r="B355" s="78" t="s">
        <v>784</v>
      </c>
      <c r="C355" s="78"/>
      <c r="D355" s="43">
        <v>2</v>
      </c>
      <c r="E355" s="78" t="s">
        <v>21</v>
      </c>
      <c r="F355" s="44">
        <f t="shared" si="11"/>
        <v>4</v>
      </c>
      <c r="G355" s="85" t="s">
        <v>785</v>
      </c>
      <c r="H355" s="46" t="s">
        <v>18</v>
      </c>
      <c r="I355" s="47"/>
      <c r="J355" s="48" t="s">
        <v>42</v>
      </c>
      <c r="K355" s="86">
        <v>60012</v>
      </c>
      <c r="L355" s="87" t="s">
        <v>780</v>
      </c>
      <c r="M355" s="87" t="s">
        <v>781</v>
      </c>
      <c r="N355" s="14" t="s">
        <v>27</v>
      </c>
      <c r="O355" s="14" t="s">
        <v>28</v>
      </c>
      <c r="P355" s="51">
        <v>11</v>
      </c>
      <c r="Q355" s="47">
        <f t="shared" si="10"/>
        <v>44</v>
      </c>
      <c r="R355" s="47"/>
      <c r="S355" s="47"/>
      <c r="T355" s="43">
        <v>60012</v>
      </c>
    </row>
    <row r="356" customHeight="1" spans="1:20">
      <c r="A356" s="6">
        <v>61</v>
      </c>
      <c r="B356" s="2" t="s">
        <v>786</v>
      </c>
      <c r="C356" s="2"/>
      <c r="D356" s="6"/>
      <c r="E356" s="2"/>
      <c r="F356" s="44">
        <f t="shared" si="11"/>
        <v>0</v>
      </c>
      <c r="G356" s="77"/>
      <c r="H356" s="46"/>
      <c r="I356" s="47"/>
      <c r="J356" s="48" t="s">
        <v>42</v>
      </c>
      <c r="K356" s="94"/>
      <c r="L356" s="95"/>
      <c r="M356" s="95"/>
      <c r="O356" s="14" t="s">
        <v>28</v>
      </c>
      <c r="P356" s="51"/>
      <c r="Q356" s="47">
        <f t="shared" si="10"/>
        <v>0</v>
      </c>
      <c r="R356" s="47"/>
      <c r="S356" s="47"/>
      <c r="T356" s="47"/>
    </row>
    <row r="357" ht="54" customHeight="1" spans="1:20">
      <c r="A357" s="43">
        <v>61002</v>
      </c>
      <c r="B357" s="78" t="s">
        <v>787</v>
      </c>
      <c r="C357" s="78"/>
      <c r="D357" s="43">
        <f>D9*20</f>
        <v>560</v>
      </c>
      <c r="E357" s="78" t="s">
        <v>221</v>
      </c>
      <c r="F357" s="44">
        <f t="shared" si="11"/>
        <v>1120</v>
      </c>
      <c r="G357" s="85" t="s">
        <v>788</v>
      </c>
      <c r="H357" s="46" t="s">
        <v>18</v>
      </c>
      <c r="I357" s="47"/>
      <c r="J357" s="48" t="s">
        <v>42</v>
      </c>
      <c r="K357" s="86">
        <v>61002</v>
      </c>
      <c r="L357" s="87" t="s">
        <v>780</v>
      </c>
      <c r="M357" s="87" t="s">
        <v>781</v>
      </c>
      <c r="N357" s="14" t="s">
        <v>27</v>
      </c>
      <c r="O357" s="14" t="s">
        <v>28</v>
      </c>
      <c r="P357" s="51">
        <v>0.7</v>
      </c>
      <c r="Q357" s="47">
        <f t="shared" si="10"/>
        <v>784</v>
      </c>
      <c r="R357" s="47"/>
      <c r="S357" s="47"/>
      <c r="T357" s="43">
        <v>61002</v>
      </c>
    </row>
    <row r="358" ht="53" customHeight="1" spans="1:20">
      <c r="A358" s="43">
        <v>61005</v>
      </c>
      <c r="B358" s="78" t="s">
        <v>787</v>
      </c>
      <c r="C358" s="78"/>
      <c r="D358" s="43">
        <f>D9*20</f>
        <v>560</v>
      </c>
      <c r="E358" s="78" t="s">
        <v>221</v>
      </c>
      <c r="F358" s="44">
        <f t="shared" si="11"/>
        <v>1120</v>
      </c>
      <c r="G358" s="85" t="s">
        <v>789</v>
      </c>
      <c r="H358" s="46" t="s">
        <v>18</v>
      </c>
      <c r="I358" s="47"/>
      <c r="J358" s="48" t="s">
        <v>42</v>
      </c>
      <c r="K358" s="86">
        <v>61005</v>
      </c>
      <c r="L358" s="87" t="s">
        <v>780</v>
      </c>
      <c r="M358" s="87" t="s">
        <v>781</v>
      </c>
      <c r="N358" s="14" t="s">
        <v>27</v>
      </c>
      <c r="O358" s="14" t="s">
        <v>28</v>
      </c>
      <c r="P358" s="51">
        <v>2</v>
      </c>
      <c r="Q358" s="47">
        <f t="shared" si="10"/>
        <v>2240</v>
      </c>
      <c r="R358" s="47"/>
      <c r="S358" s="47"/>
      <c r="T358" s="43">
        <v>61005</v>
      </c>
    </row>
    <row r="359" customHeight="1" spans="1:20">
      <c r="A359" s="43">
        <v>61025</v>
      </c>
      <c r="B359" s="78" t="s">
        <v>790</v>
      </c>
      <c r="C359" s="78"/>
      <c r="D359" s="43">
        <v>100</v>
      </c>
      <c r="E359" s="78" t="s">
        <v>21</v>
      </c>
      <c r="F359" s="44">
        <f t="shared" si="11"/>
        <v>200</v>
      </c>
      <c r="G359" s="85" t="s">
        <v>791</v>
      </c>
      <c r="H359" s="46" t="s">
        <v>18</v>
      </c>
      <c r="I359" s="47"/>
      <c r="J359" s="48" t="s">
        <v>42</v>
      </c>
      <c r="K359" s="86">
        <v>61023</v>
      </c>
      <c r="L359" s="87" t="s">
        <v>780</v>
      </c>
      <c r="M359" s="87" t="s">
        <v>781</v>
      </c>
      <c r="N359" s="14" t="s">
        <v>27</v>
      </c>
      <c r="O359" s="14" t="s">
        <v>28</v>
      </c>
      <c r="P359" s="51">
        <v>5</v>
      </c>
      <c r="Q359" s="47">
        <f t="shared" si="10"/>
        <v>1000</v>
      </c>
      <c r="R359" s="47"/>
      <c r="S359" s="47"/>
      <c r="T359" s="43">
        <v>61025</v>
      </c>
    </row>
    <row r="360" customHeight="1" spans="1:20">
      <c r="A360" s="43">
        <v>61026</v>
      </c>
      <c r="B360" s="78" t="s">
        <v>790</v>
      </c>
      <c r="C360" s="78"/>
      <c r="D360" s="43">
        <v>10</v>
      </c>
      <c r="E360" s="78" t="s">
        <v>21</v>
      </c>
      <c r="F360" s="44">
        <f t="shared" si="11"/>
        <v>20</v>
      </c>
      <c r="G360" s="85" t="s">
        <v>792</v>
      </c>
      <c r="H360" s="46" t="s">
        <v>18</v>
      </c>
      <c r="I360" s="47"/>
      <c r="J360" s="48" t="s">
        <v>42</v>
      </c>
      <c r="K360" s="86">
        <v>61024</v>
      </c>
      <c r="L360" s="87" t="s">
        <v>780</v>
      </c>
      <c r="M360" s="87" t="s">
        <v>781</v>
      </c>
      <c r="N360" s="14" t="s">
        <v>27</v>
      </c>
      <c r="O360" s="14" t="s">
        <v>28</v>
      </c>
      <c r="P360" s="51">
        <v>8</v>
      </c>
      <c r="Q360" s="47">
        <f t="shared" si="10"/>
        <v>160</v>
      </c>
      <c r="R360" s="47"/>
      <c r="S360" s="47"/>
      <c r="T360" s="43">
        <v>61026</v>
      </c>
    </row>
    <row r="361" customHeight="1" spans="1:20">
      <c r="A361" s="43">
        <v>61035</v>
      </c>
      <c r="B361" s="78" t="s">
        <v>793</v>
      </c>
      <c r="C361" s="78"/>
      <c r="D361" s="43">
        <v>5</v>
      </c>
      <c r="E361" s="78" t="s">
        <v>21</v>
      </c>
      <c r="F361" s="44">
        <f t="shared" si="11"/>
        <v>10</v>
      </c>
      <c r="G361" s="85" t="s">
        <v>794</v>
      </c>
      <c r="H361" s="46" t="s">
        <v>18</v>
      </c>
      <c r="I361" s="47"/>
      <c r="J361" s="48" t="s">
        <v>42</v>
      </c>
      <c r="K361" s="86" t="s">
        <v>795</v>
      </c>
      <c r="L361" s="87" t="s">
        <v>780</v>
      </c>
      <c r="M361" s="87" t="s">
        <v>781</v>
      </c>
      <c r="N361" s="14" t="s">
        <v>27</v>
      </c>
      <c r="O361" s="14" t="s">
        <v>28</v>
      </c>
      <c r="P361" s="51">
        <v>15</v>
      </c>
      <c r="Q361" s="47">
        <f t="shared" si="10"/>
        <v>150</v>
      </c>
      <c r="R361" s="47"/>
      <c r="S361" s="47"/>
      <c r="T361" s="43">
        <v>61035</v>
      </c>
    </row>
    <row r="362" customHeight="1" spans="1:20">
      <c r="A362" s="43">
        <v>61036</v>
      </c>
      <c r="B362" s="78" t="s">
        <v>793</v>
      </c>
      <c r="C362" s="78"/>
      <c r="D362" s="43">
        <v>5</v>
      </c>
      <c r="E362" s="78" t="s">
        <v>21</v>
      </c>
      <c r="F362" s="44">
        <f t="shared" si="11"/>
        <v>10</v>
      </c>
      <c r="G362" s="85" t="s">
        <v>796</v>
      </c>
      <c r="H362" s="46" t="s">
        <v>18</v>
      </c>
      <c r="I362" s="47"/>
      <c r="J362" s="48" t="s">
        <v>42</v>
      </c>
      <c r="K362" s="86" t="s">
        <v>797</v>
      </c>
      <c r="L362" s="87" t="s">
        <v>780</v>
      </c>
      <c r="M362" s="87" t="s">
        <v>781</v>
      </c>
      <c r="N362" s="14" t="s">
        <v>27</v>
      </c>
      <c r="O362" s="14" t="s">
        <v>28</v>
      </c>
      <c r="P362" s="51">
        <v>13</v>
      </c>
      <c r="Q362" s="47">
        <f t="shared" si="10"/>
        <v>130</v>
      </c>
      <c r="R362" s="47"/>
      <c r="S362" s="47"/>
      <c r="T362" s="43">
        <v>61036</v>
      </c>
    </row>
    <row r="363" customHeight="1" spans="1:20">
      <c r="A363" s="6">
        <v>62</v>
      </c>
      <c r="B363" s="2" t="s">
        <v>38</v>
      </c>
      <c r="C363" s="2"/>
      <c r="D363" s="6"/>
      <c r="E363" s="2"/>
      <c r="F363" s="44">
        <f t="shared" si="11"/>
        <v>0</v>
      </c>
      <c r="G363" s="77"/>
      <c r="H363" s="46"/>
      <c r="I363" s="47"/>
      <c r="J363" s="48"/>
      <c r="K363" s="94"/>
      <c r="L363" s="95"/>
      <c r="M363" s="95"/>
      <c r="O363" s="14" t="s">
        <v>28</v>
      </c>
      <c r="P363" s="51"/>
      <c r="Q363" s="47">
        <f t="shared" si="10"/>
        <v>0</v>
      </c>
      <c r="R363" s="47"/>
      <c r="S363" s="47"/>
      <c r="T363" s="47"/>
    </row>
    <row r="364" customHeight="1" spans="1:20">
      <c r="A364" s="43">
        <v>62001</v>
      </c>
      <c r="B364" s="78" t="s">
        <v>798</v>
      </c>
      <c r="C364" s="78"/>
      <c r="D364" s="43">
        <v>100</v>
      </c>
      <c r="E364" s="78" t="s">
        <v>21</v>
      </c>
      <c r="F364" s="44">
        <f t="shared" si="11"/>
        <v>200</v>
      </c>
      <c r="G364" s="85" t="s">
        <v>799</v>
      </c>
      <c r="H364" s="46" t="s">
        <v>18</v>
      </c>
      <c r="I364" s="47"/>
      <c r="J364" s="48" t="s">
        <v>42</v>
      </c>
      <c r="K364" s="86">
        <v>62001</v>
      </c>
      <c r="L364" s="87" t="s">
        <v>780</v>
      </c>
      <c r="M364" s="87" t="s">
        <v>781</v>
      </c>
      <c r="N364" s="14" t="s">
        <v>27</v>
      </c>
      <c r="O364" s="14" t="s">
        <v>28</v>
      </c>
      <c r="P364" s="51">
        <v>2.5</v>
      </c>
      <c r="Q364" s="47">
        <f t="shared" si="10"/>
        <v>500</v>
      </c>
      <c r="R364" s="47"/>
      <c r="S364" s="47"/>
      <c r="T364" s="47"/>
    </row>
    <row r="365" customHeight="1" spans="1:20">
      <c r="A365" s="43">
        <v>62032</v>
      </c>
      <c r="B365" s="78" t="s">
        <v>800</v>
      </c>
      <c r="C365" s="78"/>
      <c r="D365" s="43">
        <v>5</v>
      </c>
      <c r="E365" s="78" t="s">
        <v>21</v>
      </c>
      <c r="F365" s="44">
        <f t="shared" si="11"/>
        <v>10</v>
      </c>
      <c r="G365" s="85" t="s">
        <v>801</v>
      </c>
      <c r="H365" s="46" t="s">
        <v>18</v>
      </c>
      <c r="I365" s="47"/>
      <c r="J365" s="48" t="s">
        <v>42</v>
      </c>
      <c r="K365" s="86">
        <v>62032</v>
      </c>
      <c r="L365" s="87" t="s">
        <v>780</v>
      </c>
      <c r="M365" s="87" t="s">
        <v>781</v>
      </c>
      <c r="N365" s="14" t="s">
        <v>27</v>
      </c>
      <c r="O365" s="14" t="s">
        <v>28</v>
      </c>
      <c r="P365" s="51">
        <v>6</v>
      </c>
      <c r="Q365" s="47">
        <f t="shared" si="10"/>
        <v>60</v>
      </c>
      <c r="R365" s="47"/>
      <c r="S365" s="47"/>
      <c r="T365" s="47"/>
    </row>
    <row r="366" customHeight="1" spans="1:20">
      <c r="A366" s="43">
        <v>62035</v>
      </c>
      <c r="B366" s="78" t="s">
        <v>802</v>
      </c>
      <c r="C366" s="78"/>
      <c r="D366" s="43">
        <v>1</v>
      </c>
      <c r="E366" s="78" t="s">
        <v>21</v>
      </c>
      <c r="F366" s="44">
        <f t="shared" si="11"/>
        <v>2</v>
      </c>
      <c r="G366" s="85" t="s">
        <v>803</v>
      </c>
      <c r="H366" s="46" t="s">
        <v>18</v>
      </c>
      <c r="I366" s="47"/>
      <c r="J366" s="48" t="s">
        <v>42</v>
      </c>
      <c r="K366" s="86">
        <v>62035</v>
      </c>
      <c r="L366" s="87" t="s">
        <v>780</v>
      </c>
      <c r="M366" s="87" t="s">
        <v>781</v>
      </c>
      <c r="N366" s="14" t="s">
        <v>27</v>
      </c>
      <c r="O366" s="14" t="s">
        <v>28</v>
      </c>
      <c r="P366" s="51">
        <v>14</v>
      </c>
      <c r="Q366" s="47">
        <f t="shared" si="10"/>
        <v>28</v>
      </c>
      <c r="R366" s="47"/>
      <c r="S366" s="47"/>
      <c r="T366" s="47"/>
    </row>
    <row r="367" customHeight="1" spans="1:20">
      <c r="A367" s="43">
        <v>62070</v>
      </c>
      <c r="B367" s="78" t="s">
        <v>804</v>
      </c>
      <c r="C367" s="78"/>
      <c r="D367" s="43">
        <v>2</v>
      </c>
      <c r="E367" s="78" t="s">
        <v>221</v>
      </c>
      <c r="F367" s="44">
        <f t="shared" si="11"/>
        <v>4</v>
      </c>
      <c r="G367" s="85" t="s">
        <v>805</v>
      </c>
      <c r="H367" s="46" t="s">
        <v>18</v>
      </c>
      <c r="I367" s="47"/>
      <c r="J367" s="48" t="s">
        <v>42</v>
      </c>
      <c r="K367" s="86">
        <v>62070</v>
      </c>
      <c r="L367" s="87" t="s">
        <v>780</v>
      </c>
      <c r="M367" s="87" t="s">
        <v>781</v>
      </c>
      <c r="N367" s="14" t="s">
        <v>27</v>
      </c>
      <c r="O367" s="14" t="s">
        <v>28</v>
      </c>
      <c r="P367" s="51">
        <v>1</v>
      </c>
      <c r="Q367" s="47">
        <f t="shared" si="10"/>
        <v>4</v>
      </c>
      <c r="R367" s="47"/>
      <c r="S367" s="47"/>
      <c r="T367" s="47"/>
    </row>
    <row r="368" customHeight="1" spans="1:20">
      <c r="A368" s="43">
        <v>62071</v>
      </c>
      <c r="B368" s="78" t="s">
        <v>806</v>
      </c>
      <c r="C368" s="78"/>
      <c r="D368" s="43">
        <v>5</v>
      </c>
      <c r="E368" s="78" t="s">
        <v>21</v>
      </c>
      <c r="F368" s="44">
        <f t="shared" si="11"/>
        <v>10</v>
      </c>
      <c r="G368" s="85" t="s">
        <v>807</v>
      </c>
      <c r="H368" s="46" t="s">
        <v>18</v>
      </c>
      <c r="I368" s="47"/>
      <c r="J368" s="48" t="s">
        <v>42</v>
      </c>
      <c r="K368" s="86">
        <v>62071</v>
      </c>
      <c r="L368" s="87" t="s">
        <v>780</v>
      </c>
      <c r="M368" s="87" t="s">
        <v>781</v>
      </c>
      <c r="N368" s="14" t="s">
        <v>27</v>
      </c>
      <c r="O368" s="14" t="s">
        <v>28</v>
      </c>
      <c r="P368" s="51">
        <v>1</v>
      </c>
      <c r="Q368" s="47">
        <f t="shared" si="10"/>
        <v>10</v>
      </c>
      <c r="R368" s="47"/>
      <c r="S368" s="47"/>
      <c r="T368" s="47"/>
    </row>
    <row r="369" customHeight="1" spans="1:20">
      <c r="A369" s="43">
        <v>62096</v>
      </c>
      <c r="B369" s="78" t="s">
        <v>808</v>
      </c>
      <c r="C369" s="78"/>
      <c r="D369" s="43">
        <v>2</v>
      </c>
      <c r="E369" s="78" t="s">
        <v>221</v>
      </c>
      <c r="F369" s="44">
        <f t="shared" si="11"/>
        <v>4</v>
      </c>
      <c r="G369" s="85" t="s">
        <v>809</v>
      </c>
      <c r="H369" s="46" t="s">
        <v>18</v>
      </c>
      <c r="I369" s="47"/>
      <c r="J369" s="48" t="s">
        <v>42</v>
      </c>
      <c r="K369" s="86">
        <v>62096</v>
      </c>
      <c r="L369" s="87" t="s">
        <v>780</v>
      </c>
      <c r="M369" s="87" t="s">
        <v>781</v>
      </c>
      <c r="N369" s="14" t="s">
        <v>27</v>
      </c>
      <c r="O369" s="14" t="s">
        <v>28</v>
      </c>
      <c r="P369" s="51">
        <v>10</v>
      </c>
      <c r="Q369" s="47">
        <f t="shared" si="10"/>
        <v>40</v>
      </c>
      <c r="R369" s="47"/>
      <c r="S369" s="47"/>
      <c r="T369" s="47"/>
    </row>
    <row r="370" customHeight="1" spans="1:20">
      <c r="A370" s="6">
        <v>64</v>
      </c>
      <c r="B370" s="2" t="s">
        <v>810</v>
      </c>
      <c r="C370" s="2"/>
      <c r="D370" s="6"/>
      <c r="E370" s="2"/>
      <c r="F370" s="44">
        <f t="shared" si="11"/>
        <v>0</v>
      </c>
      <c r="G370" s="77"/>
      <c r="H370" s="46"/>
      <c r="I370" s="47"/>
      <c r="J370" s="48" t="s">
        <v>42</v>
      </c>
      <c r="K370" s="94"/>
      <c r="L370" s="95"/>
      <c r="M370" s="95"/>
      <c r="O370" s="14" t="s">
        <v>28</v>
      </c>
      <c r="P370" s="51"/>
      <c r="Q370" s="47">
        <f t="shared" si="10"/>
        <v>0</v>
      </c>
      <c r="R370" s="47"/>
      <c r="S370" s="47"/>
      <c r="T370" s="47"/>
    </row>
    <row r="371" customHeight="1" spans="1:20">
      <c r="A371" s="43">
        <v>64005</v>
      </c>
      <c r="B371" s="78" t="s">
        <v>811</v>
      </c>
      <c r="C371" s="78"/>
      <c r="D371" s="43">
        <v>5</v>
      </c>
      <c r="E371" s="78" t="s">
        <v>221</v>
      </c>
      <c r="F371" s="44">
        <f t="shared" si="11"/>
        <v>10</v>
      </c>
      <c r="G371" s="85" t="s">
        <v>812</v>
      </c>
      <c r="H371" s="46" t="s">
        <v>18</v>
      </c>
      <c r="I371" s="47"/>
      <c r="J371" s="48" t="s">
        <v>42</v>
      </c>
      <c r="K371" s="86">
        <v>64005</v>
      </c>
      <c r="L371" s="87" t="s">
        <v>780</v>
      </c>
      <c r="M371" s="87" t="s">
        <v>781</v>
      </c>
      <c r="N371" s="14" t="s">
        <v>27</v>
      </c>
      <c r="O371" s="14" t="s">
        <v>28</v>
      </c>
      <c r="P371" s="51">
        <v>2.5</v>
      </c>
      <c r="Q371" s="47">
        <f t="shared" si="10"/>
        <v>25</v>
      </c>
      <c r="R371" s="47"/>
      <c r="S371" s="47"/>
      <c r="T371" s="47"/>
    </row>
    <row r="372" customHeight="1" spans="1:20">
      <c r="A372" s="43"/>
      <c r="B372" s="78" t="s">
        <v>813</v>
      </c>
      <c r="C372" s="78"/>
      <c r="D372" s="43">
        <v>100</v>
      </c>
      <c r="E372" s="78" t="s">
        <v>21</v>
      </c>
      <c r="F372" s="44">
        <f t="shared" si="11"/>
        <v>200</v>
      </c>
      <c r="G372" s="85" t="s">
        <v>814</v>
      </c>
      <c r="H372" s="46" t="s">
        <v>18</v>
      </c>
      <c r="I372" s="47"/>
      <c r="J372" s="48" t="s">
        <v>42</v>
      </c>
      <c r="K372" s="86">
        <v>82014</v>
      </c>
      <c r="L372" s="87" t="s">
        <v>780</v>
      </c>
      <c r="M372" s="87" t="s">
        <v>781</v>
      </c>
      <c r="N372" s="14" t="s">
        <v>27</v>
      </c>
      <c r="O372" s="14" t="s">
        <v>28</v>
      </c>
      <c r="P372" s="51">
        <v>1.4</v>
      </c>
      <c r="Q372" s="47">
        <f t="shared" si="10"/>
        <v>280</v>
      </c>
      <c r="R372" s="47"/>
      <c r="S372" s="47"/>
      <c r="T372" s="47"/>
    </row>
    <row r="373" customHeight="1" spans="1:20">
      <c r="A373" s="43">
        <v>64051</v>
      </c>
      <c r="B373" s="78" t="s">
        <v>815</v>
      </c>
      <c r="C373" s="78"/>
      <c r="D373" s="43">
        <v>1.5</v>
      </c>
      <c r="E373" s="78" t="s">
        <v>816</v>
      </c>
      <c r="F373" s="44">
        <f t="shared" si="11"/>
        <v>3</v>
      </c>
      <c r="G373" s="85" t="s">
        <v>817</v>
      </c>
      <c r="H373" s="46" t="s">
        <v>18</v>
      </c>
      <c r="I373" s="47"/>
      <c r="J373" s="48" t="s">
        <v>42</v>
      </c>
      <c r="K373" s="86">
        <v>64051</v>
      </c>
      <c r="L373" s="87" t="s">
        <v>780</v>
      </c>
      <c r="M373" s="87" t="s">
        <v>781</v>
      </c>
      <c r="N373" s="14" t="s">
        <v>27</v>
      </c>
      <c r="O373" s="14" t="s">
        <v>28</v>
      </c>
      <c r="P373" s="51">
        <v>12</v>
      </c>
      <c r="Q373" s="47">
        <f t="shared" si="10"/>
        <v>36</v>
      </c>
      <c r="R373" s="47"/>
      <c r="S373" s="47"/>
      <c r="T373" s="47"/>
    </row>
    <row r="374" customHeight="1" spans="1:20">
      <c r="A374" s="43">
        <v>64063</v>
      </c>
      <c r="B374" s="78" t="s">
        <v>818</v>
      </c>
      <c r="C374" s="78"/>
      <c r="D374" s="43">
        <v>5</v>
      </c>
      <c r="E374" s="78" t="s">
        <v>819</v>
      </c>
      <c r="F374" s="44">
        <f t="shared" si="11"/>
        <v>10</v>
      </c>
      <c r="G374" s="85" t="s">
        <v>820</v>
      </c>
      <c r="H374" s="46" t="s">
        <v>18</v>
      </c>
      <c r="I374" s="47"/>
      <c r="J374" s="48" t="s">
        <v>42</v>
      </c>
      <c r="K374" s="86">
        <v>64063</v>
      </c>
      <c r="L374" s="87" t="s">
        <v>780</v>
      </c>
      <c r="M374" s="87" t="s">
        <v>781</v>
      </c>
      <c r="N374" s="14" t="s">
        <v>27</v>
      </c>
      <c r="O374" s="14" t="s">
        <v>28</v>
      </c>
      <c r="P374" s="51">
        <v>3</v>
      </c>
      <c r="Q374" s="47">
        <f t="shared" si="10"/>
        <v>30</v>
      </c>
      <c r="R374" s="47"/>
      <c r="S374" s="47"/>
      <c r="T374" s="47"/>
    </row>
    <row r="375" customHeight="1" spans="1:20">
      <c r="A375" s="75" t="s">
        <v>821</v>
      </c>
      <c r="B375" s="2" t="s">
        <v>822</v>
      </c>
      <c r="C375" s="2"/>
      <c r="D375" s="6"/>
      <c r="E375" s="2"/>
      <c r="F375" s="44">
        <f t="shared" si="11"/>
        <v>0</v>
      </c>
      <c r="G375" s="77"/>
      <c r="H375" s="46"/>
      <c r="I375" s="47"/>
      <c r="J375" s="48" t="s">
        <v>42</v>
      </c>
      <c r="K375" s="94"/>
      <c r="L375" s="95"/>
      <c r="M375" s="95"/>
      <c r="O375" s="14" t="s">
        <v>28</v>
      </c>
      <c r="P375" s="51"/>
      <c r="Q375" s="47">
        <f t="shared" si="10"/>
        <v>0</v>
      </c>
      <c r="R375" s="47"/>
      <c r="S375" s="47"/>
      <c r="T375" s="47">
        <v>8</v>
      </c>
    </row>
    <row r="376" customHeight="1" spans="1:20">
      <c r="A376" s="6">
        <v>80</v>
      </c>
      <c r="B376" s="2" t="s">
        <v>823</v>
      </c>
      <c r="C376" s="2"/>
      <c r="D376" s="6"/>
      <c r="E376" s="2"/>
      <c r="F376" s="44">
        <f t="shared" si="11"/>
        <v>0</v>
      </c>
      <c r="G376" s="77"/>
      <c r="H376" s="46"/>
      <c r="I376" s="47"/>
      <c r="J376" s="48" t="s">
        <v>42</v>
      </c>
      <c r="K376" s="94"/>
      <c r="L376" s="95"/>
      <c r="M376" s="95"/>
      <c r="O376" s="14" t="s">
        <v>28</v>
      </c>
      <c r="P376" s="51"/>
      <c r="Q376" s="47">
        <f t="shared" si="10"/>
        <v>0</v>
      </c>
      <c r="R376" s="47"/>
      <c r="S376" s="47"/>
      <c r="T376" s="47">
        <v>80</v>
      </c>
    </row>
    <row r="377" customHeight="1" spans="1:20">
      <c r="A377" s="43">
        <v>80101</v>
      </c>
      <c r="B377" s="78" t="s">
        <v>824</v>
      </c>
      <c r="C377" s="78"/>
      <c r="D377" s="43">
        <f>D9</f>
        <v>28</v>
      </c>
      <c r="E377" s="78" t="s">
        <v>32</v>
      </c>
      <c r="F377" s="44">
        <f t="shared" si="11"/>
        <v>56</v>
      </c>
      <c r="G377" s="85" t="s">
        <v>825</v>
      </c>
      <c r="H377" s="46" t="s">
        <v>18</v>
      </c>
      <c r="I377" s="47"/>
      <c r="J377" s="48" t="s">
        <v>42</v>
      </c>
      <c r="K377" s="86">
        <v>80101</v>
      </c>
      <c r="L377" s="87" t="s">
        <v>25</v>
      </c>
      <c r="M377" s="87" t="s">
        <v>26</v>
      </c>
      <c r="N377" s="14" t="s">
        <v>27</v>
      </c>
      <c r="O377" s="14" t="s">
        <v>28</v>
      </c>
      <c r="P377" s="51">
        <v>40</v>
      </c>
      <c r="Q377" s="47">
        <f t="shared" si="10"/>
        <v>2240</v>
      </c>
      <c r="R377" s="47"/>
      <c r="S377" s="47"/>
      <c r="T377" s="47">
        <v>80101</v>
      </c>
    </row>
    <row r="378" customHeight="1" spans="1:20">
      <c r="A378" s="43">
        <v>80102</v>
      </c>
      <c r="B378" s="78" t="s">
        <v>826</v>
      </c>
      <c r="C378" s="78"/>
      <c r="D378" s="43">
        <f>D9</f>
        <v>28</v>
      </c>
      <c r="E378" s="78" t="s">
        <v>32</v>
      </c>
      <c r="F378" s="44">
        <f t="shared" si="11"/>
        <v>56</v>
      </c>
      <c r="G378" s="85" t="s">
        <v>827</v>
      </c>
      <c r="H378" s="46" t="s">
        <v>18</v>
      </c>
      <c r="I378" s="47"/>
      <c r="J378" s="48" t="s">
        <v>42</v>
      </c>
      <c r="K378" s="86">
        <v>80102</v>
      </c>
      <c r="L378" s="87" t="s">
        <v>25</v>
      </c>
      <c r="M378" s="87" t="s">
        <v>26</v>
      </c>
      <c r="N378" s="14" t="s">
        <v>27</v>
      </c>
      <c r="O378" s="14" t="s">
        <v>28</v>
      </c>
      <c r="P378" s="51">
        <v>70</v>
      </c>
      <c r="Q378" s="47">
        <f t="shared" si="10"/>
        <v>3920</v>
      </c>
      <c r="R378" s="47"/>
      <c r="S378" s="47"/>
      <c r="T378" s="47">
        <v>80102</v>
      </c>
    </row>
    <row r="379" customHeight="1" spans="1:20">
      <c r="A379" s="43">
        <v>80104</v>
      </c>
      <c r="B379" s="78" t="s">
        <v>828</v>
      </c>
      <c r="C379" s="78"/>
      <c r="D379" s="43">
        <f>D9</f>
        <v>28</v>
      </c>
      <c r="E379" s="78" t="s">
        <v>32</v>
      </c>
      <c r="F379" s="44">
        <f t="shared" si="11"/>
        <v>56</v>
      </c>
      <c r="G379" s="85" t="s">
        <v>829</v>
      </c>
      <c r="H379" s="46" t="s">
        <v>18</v>
      </c>
      <c r="I379" s="47"/>
      <c r="J379" s="48" t="s">
        <v>42</v>
      </c>
      <c r="K379" s="86">
        <v>80104</v>
      </c>
      <c r="L379" s="87" t="s">
        <v>25</v>
      </c>
      <c r="M379" s="87" t="s">
        <v>26</v>
      </c>
      <c r="N379" s="14" t="s">
        <v>27</v>
      </c>
      <c r="O379" s="14" t="s">
        <v>28</v>
      </c>
      <c r="P379" s="51">
        <v>105</v>
      </c>
      <c r="Q379" s="47">
        <f t="shared" si="10"/>
        <v>5880</v>
      </c>
      <c r="R379" s="47"/>
      <c r="S379" s="47"/>
      <c r="T379" s="47">
        <v>80104</v>
      </c>
    </row>
    <row r="380" customHeight="1" spans="1:20">
      <c r="A380" s="43">
        <v>80105</v>
      </c>
      <c r="B380" s="78" t="s">
        <v>830</v>
      </c>
      <c r="C380" s="78"/>
      <c r="D380" s="43">
        <f>D9</f>
        <v>28</v>
      </c>
      <c r="E380" s="78" t="s">
        <v>32</v>
      </c>
      <c r="F380" s="44">
        <f t="shared" si="11"/>
        <v>56</v>
      </c>
      <c r="G380" s="85" t="s">
        <v>831</v>
      </c>
      <c r="H380" s="46" t="s">
        <v>18</v>
      </c>
      <c r="I380" s="47"/>
      <c r="J380" s="48" t="s">
        <v>42</v>
      </c>
      <c r="K380" s="86">
        <v>80105</v>
      </c>
      <c r="L380" s="87" t="s">
        <v>25</v>
      </c>
      <c r="M380" s="87" t="s">
        <v>26</v>
      </c>
      <c r="N380" s="14" t="s">
        <v>27</v>
      </c>
      <c r="O380" s="14" t="s">
        <v>28</v>
      </c>
      <c r="P380" s="51">
        <v>70</v>
      </c>
      <c r="Q380" s="47">
        <f t="shared" si="10"/>
        <v>3920</v>
      </c>
      <c r="R380" s="47"/>
      <c r="S380" s="47"/>
      <c r="T380" s="47">
        <v>80105</v>
      </c>
    </row>
    <row r="381" customHeight="1" spans="1:20">
      <c r="A381" s="43">
        <v>80106</v>
      </c>
      <c r="B381" s="78" t="s">
        <v>832</v>
      </c>
      <c r="C381" s="78"/>
      <c r="D381" s="43">
        <f>D9</f>
        <v>28</v>
      </c>
      <c r="E381" s="78" t="s">
        <v>32</v>
      </c>
      <c r="F381" s="44">
        <f t="shared" si="11"/>
        <v>56</v>
      </c>
      <c r="G381" s="85" t="s">
        <v>833</v>
      </c>
      <c r="H381" s="46" t="s">
        <v>18</v>
      </c>
      <c r="I381" s="47"/>
      <c r="J381" s="48" t="s">
        <v>42</v>
      </c>
      <c r="K381" s="86">
        <v>80106</v>
      </c>
      <c r="L381" s="87" t="s">
        <v>25</v>
      </c>
      <c r="M381" s="87" t="s">
        <v>26</v>
      </c>
      <c r="N381" s="14" t="s">
        <v>27</v>
      </c>
      <c r="O381" s="14" t="s">
        <v>28</v>
      </c>
      <c r="P381" s="51">
        <v>6</v>
      </c>
      <c r="Q381" s="47">
        <f t="shared" si="10"/>
        <v>336</v>
      </c>
      <c r="R381" s="47"/>
      <c r="S381" s="47"/>
      <c r="T381" s="47">
        <v>80106</v>
      </c>
    </row>
    <row r="382" customHeight="1" spans="1:20">
      <c r="A382" s="43">
        <v>80108</v>
      </c>
      <c r="B382" s="78" t="s">
        <v>834</v>
      </c>
      <c r="C382" s="78"/>
      <c r="D382" s="43">
        <f>D9</f>
        <v>28</v>
      </c>
      <c r="E382" s="78" t="s">
        <v>21</v>
      </c>
      <c r="F382" s="44">
        <f t="shared" si="11"/>
        <v>56</v>
      </c>
      <c r="G382" s="85" t="s">
        <v>835</v>
      </c>
      <c r="H382" s="46" t="s">
        <v>18</v>
      </c>
      <c r="I382" s="47"/>
      <c r="J382" s="48" t="s">
        <v>42</v>
      </c>
      <c r="K382" s="86">
        <v>80108</v>
      </c>
      <c r="L382" s="87" t="s">
        <v>836</v>
      </c>
      <c r="M382" s="87" t="s">
        <v>837</v>
      </c>
      <c r="N382" s="14" t="s">
        <v>27</v>
      </c>
      <c r="O382" s="14" t="s">
        <v>28</v>
      </c>
      <c r="P382" s="51">
        <v>28</v>
      </c>
      <c r="Q382" s="47">
        <f t="shared" si="10"/>
        <v>1568</v>
      </c>
      <c r="R382" s="47"/>
      <c r="S382" s="47"/>
      <c r="T382" s="47">
        <v>80108</v>
      </c>
    </row>
    <row r="383" customHeight="1" spans="1:20">
      <c r="A383" s="43">
        <v>80109</v>
      </c>
      <c r="B383" s="78" t="s">
        <v>838</v>
      </c>
      <c r="C383" s="78"/>
      <c r="D383" s="43">
        <v>100</v>
      </c>
      <c r="E383" s="78" t="s">
        <v>142</v>
      </c>
      <c r="F383" s="44">
        <f t="shared" si="11"/>
        <v>200</v>
      </c>
      <c r="G383" s="85" t="s">
        <v>839</v>
      </c>
      <c r="H383" s="46" t="s">
        <v>18</v>
      </c>
      <c r="I383" s="47"/>
      <c r="J383" s="48" t="s">
        <v>42</v>
      </c>
      <c r="K383" s="86">
        <v>80109</v>
      </c>
      <c r="L383" s="87" t="s">
        <v>840</v>
      </c>
      <c r="M383" s="87" t="s">
        <v>841</v>
      </c>
      <c r="N383" s="14" t="s">
        <v>27</v>
      </c>
      <c r="O383" s="14" t="s">
        <v>28</v>
      </c>
      <c r="P383" s="51">
        <v>4.5</v>
      </c>
      <c r="Q383" s="47">
        <f t="shared" si="10"/>
        <v>900</v>
      </c>
      <c r="R383" s="47"/>
      <c r="S383" s="47"/>
      <c r="T383" s="47">
        <v>80109</v>
      </c>
    </row>
    <row r="384" customHeight="1" spans="1:20">
      <c r="A384" s="43">
        <v>80110</v>
      </c>
      <c r="B384" s="78" t="s">
        <v>842</v>
      </c>
      <c r="C384" s="78"/>
      <c r="D384" s="43">
        <v>100</v>
      </c>
      <c r="E384" s="78" t="s">
        <v>21</v>
      </c>
      <c r="F384" s="44">
        <f t="shared" si="11"/>
        <v>200</v>
      </c>
      <c r="G384" s="85" t="s">
        <v>843</v>
      </c>
      <c r="H384" s="46" t="s">
        <v>18</v>
      </c>
      <c r="I384" s="47"/>
      <c r="J384" s="48" t="s">
        <v>42</v>
      </c>
      <c r="K384" s="86">
        <v>80110</v>
      </c>
      <c r="L384" s="87" t="s">
        <v>25</v>
      </c>
      <c r="M384" s="87" t="s">
        <v>26</v>
      </c>
      <c r="N384" s="14" t="s">
        <v>27</v>
      </c>
      <c r="O384" s="14" t="s">
        <v>28</v>
      </c>
      <c r="P384" s="51">
        <v>0.45</v>
      </c>
      <c r="Q384" s="47">
        <f t="shared" si="10"/>
        <v>90</v>
      </c>
      <c r="R384" s="47"/>
      <c r="S384" s="47"/>
      <c r="T384" s="47">
        <v>80110</v>
      </c>
    </row>
    <row r="385" customHeight="1" spans="1:20">
      <c r="A385" s="43">
        <v>80111</v>
      </c>
      <c r="B385" s="78" t="s">
        <v>844</v>
      </c>
      <c r="C385" s="78"/>
      <c r="D385" s="43">
        <v>2</v>
      </c>
      <c r="E385" s="78" t="s">
        <v>845</v>
      </c>
      <c r="F385" s="44">
        <f t="shared" si="11"/>
        <v>4</v>
      </c>
      <c r="G385" s="85" t="s">
        <v>846</v>
      </c>
      <c r="H385" s="46" t="s">
        <v>18</v>
      </c>
      <c r="I385" s="47"/>
      <c r="J385" s="48" t="s">
        <v>42</v>
      </c>
      <c r="K385" s="86">
        <v>80111</v>
      </c>
      <c r="L385" s="87" t="s">
        <v>847</v>
      </c>
      <c r="M385" s="87" t="s">
        <v>848</v>
      </c>
      <c r="N385" s="14" t="s">
        <v>27</v>
      </c>
      <c r="O385" s="14" t="s">
        <v>28</v>
      </c>
      <c r="P385" s="51">
        <v>15</v>
      </c>
      <c r="Q385" s="47">
        <f t="shared" si="10"/>
        <v>60</v>
      </c>
      <c r="R385" s="47"/>
      <c r="S385" s="47"/>
      <c r="T385" s="47">
        <v>80111</v>
      </c>
    </row>
    <row r="386" customHeight="1" spans="1:20">
      <c r="A386" s="43">
        <v>80112</v>
      </c>
      <c r="B386" s="78" t="s">
        <v>849</v>
      </c>
      <c r="C386" s="78"/>
      <c r="D386" s="43">
        <v>2</v>
      </c>
      <c r="E386" s="78" t="s">
        <v>47</v>
      </c>
      <c r="F386" s="44">
        <f t="shared" si="11"/>
        <v>4</v>
      </c>
      <c r="G386" s="85" t="s">
        <v>850</v>
      </c>
      <c r="H386" s="46" t="s">
        <v>18</v>
      </c>
      <c r="I386" s="47"/>
      <c r="J386" s="48" t="s">
        <v>42</v>
      </c>
      <c r="K386" s="86">
        <v>80112</v>
      </c>
      <c r="L386" s="87" t="s">
        <v>25</v>
      </c>
      <c r="M386" s="87" t="s">
        <v>26</v>
      </c>
      <c r="N386" s="14" t="s">
        <v>27</v>
      </c>
      <c r="O386" s="14" t="s">
        <v>28</v>
      </c>
      <c r="P386" s="51">
        <v>25</v>
      </c>
      <c r="Q386" s="47">
        <f t="shared" si="10"/>
        <v>100</v>
      </c>
      <c r="R386" s="47"/>
      <c r="S386" s="47"/>
      <c r="T386" s="47">
        <v>80112</v>
      </c>
    </row>
    <row r="387" customHeight="1" spans="1:20">
      <c r="A387" s="43">
        <v>80113</v>
      </c>
      <c r="B387" s="78" t="s">
        <v>851</v>
      </c>
      <c r="C387" s="78"/>
      <c r="D387" s="43">
        <f>D9</f>
        <v>28</v>
      </c>
      <c r="E387" s="78" t="s">
        <v>21</v>
      </c>
      <c r="F387" s="44">
        <f t="shared" si="11"/>
        <v>56</v>
      </c>
      <c r="G387" s="85" t="s">
        <v>852</v>
      </c>
      <c r="H387" s="46" t="s">
        <v>18</v>
      </c>
      <c r="I387" s="47"/>
      <c r="J387" s="48" t="s">
        <v>42</v>
      </c>
      <c r="K387" s="86">
        <v>80113</v>
      </c>
      <c r="L387" s="87" t="s">
        <v>25</v>
      </c>
      <c r="M387" s="87" t="s">
        <v>26</v>
      </c>
      <c r="N387" s="14" t="s">
        <v>27</v>
      </c>
      <c r="O387" s="14" t="s">
        <v>28</v>
      </c>
      <c r="P387" s="51">
        <v>12</v>
      </c>
      <c r="Q387" s="47">
        <f t="shared" si="10"/>
        <v>672</v>
      </c>
      <c r="R387" s="47"/>
      <c r="S387" s="47"/>
      <c r="T387" s="47">
        <v>80113</v>
      </c>
    </row>
    <row r="388" customHeight="1" spans="1:20">
      <c r="A388" s="43">
        <v>80114</v>
      </c>
      <c r="B388" s="78" t="s">
        <v>853</v>
      </c>
      <c r="C388" s="78"/>
      <c r="D388" s="43">
        <v>2</v>
      </c>
      <c r="E388" s="78" t="s">
        <v>32</v>
      </c>
      <c r="F388" s="44">
        <f t="shared" si="11"/>
        <v>4</v>
      </c>
      <c r="G388" s="85" t="s">
        <v>854</v>
      </c>
      <c r="H388" s="46" t="s">
        <v>18</v>
      </c>
      <c r="I388" s="47"/>
      <c r="J388" s="48" t="s">
        <v>42</v>
      </c>
      <c r="K388" s="86">
        <v>80114</v>
      </c>
      <c r="L388" s="87" t="s">
        <v>25</v>
      </c>
      <c r="M388" s="87" t="s">
        <v>26</v>
      </c>
      <c r="N388" s="14" t="s">
        <v>27</v>
      </c>
      <c r="O388" s="14" t="s">
        <v>28</v>
      </c>
      <c r="P388" s="51">
        <v>65</v>
      </c>
      <c r="Q388" s="47">
        <f t="shared" ref="Q388:Q451" si="12">P388*F388</f>
        <v>260</v>
      </c>
      <c r="R388" s="47"/>
      <c r="S388" s="47"/>
      <c r="T388" s="47">
        <v>80114</v>
      </c>
    </row>
    <row r="389" customHeight="1" spans="1:20">
      <c r="A389" s="43">
        <v>80115</v>
      </c>
      <c r="B389" s="78" t="s">
        <v>855</v>
      </c>
      <c r="C389" s="78"/>
      <c r="D389" s="43">
        <v>1</v>
      </c>
      <c r="E389" s="78" t="s">
        <v>32</v>
      </c>
      <c r="F389" s="44">
        <f t="shared" si="11"/>
        <v>2</v>
      </c>
      <c r="G389" s="85" t="s">
        <v>856</v>
      </c>
      <c r="H389" s="46" t="s">
        <v>18</v>
      </c>
      <c r="I389" s="47"/>
      <c r="J389" s="48" t="s">
        <v>42</v>
      </c>
      <c r="K389" s="86">
        <v>80115</v>
      </c>
      <c r="L389" s="87" t="s">
        <v>25</v>
      </c>
      <c r="M389" s="87" t="s">
        <v>26</v>
      </c>
      <c r="N389" s="14" t="s">
        <v>27</v>
      </c>
      <c r="O389" s="14" t="s">
        <v>28</v>
      </c>
      <c r="P389" s="51">
        <v>45</v>
      </c>
      <c r="Q389" s="47">
        <f t="shared" si="12"/>
        <v>90</v>
      </c>
      <c r="R389" s="47"/>
      <c r="S389" s="47"/>
      <c r="T389" s="47">
        <v>80115</v>
      </c>
    </row>
    <row r="390" customHeight="1" spans="1:20">
      <c r="A390" s="43">
        <v>80116</v>
      </c>
      <c r="B390" s="78" t="s">
        <v>857</v>
      </c>
      <c r="C390" s="78"/>
      <c r="D390" s="43">
        <v>1</v>
      </c>
      <c r="E390" s="78" t="s">
        <v>169</v>
      </c>
      <c r="F390" s="44">
        <f t="shared" si="11"/>
        <v>2</v>
      </c>
      <c r="G390" s="117" t="s">
        <v>858</v>
      </c>
      <c r="H390" s="46" t="s">
        <v>18</v>
      </c>
      <c r="I390" s="47"/>
      <c r="J390" s="48" t="s">
        <v>42</v>
      </c>
      <c r="K390" s="118">
        <v>80116</v>
      </c>
      <c r="L390" s="119" t="s">
        <v>25</v>
      </c>
      <c r="M390" s="119" t="s">
        <v>26</v>
      </c>
      <c r="N390" s="14" t="s">
        <v>27</v>
      </c>
      <c r="O390" s="14" t="s">
        <v>28</v>
      </c>
      <c r="P390" s="51">
        <v>20</v>
      </c>
      <c r="Q390" s="47">
        <f t="shared" si="12"/>
        <v>40</v>
      </c>
      <c r="R390" s="47"/>
      <c r="S390" s="47"/>
      <c r="T390" s="47">
        <v>80116</v>
      </c>
    </row>
    <row r="391" customHeight="1" spans="1:20">
      <c r="A391" s="43">
        <v>80117</v>
      </c>
      <c r="B391" s="78" t="s">
        <v>859</v>
      </c>
      <c r="C391" s="78"/>
      <c r="D391" s="43">
        <v>1</v>
      </c>
      <c r="E391" s="78" t="s">
        <v>32</v>
      </c>
      <c r="F391" s="44">
        <f t="shared" si="11"/>
        <v>2</v>
      </c>
      <c r="G391" s="85" t="s">
        <v>860</v>
      </c>
      <c r="H391" s="46" t="s">
        <v>18</v>
      </c>
      <c r="I391" s="47"/>
      <c r="J391" s="48" t="s">
        <v>42</v>
      </c>
      <c r="K391" s="86">
        <v>80117</v>
      </c>
      <c r="L391" s="87" t="s">
        <v>25</v>
      </c>
      <c r="M391" s="87" t="s">
        <v>26</v>
      </c>
      <c r="N391" s="14" t="s">
        <v>27</v>
      </c>
      <c r="O391" s="14" t="s">
        <v>28</v>
      </c>
      <c r="P391" s="51">
        <v>58</v>
      </c>
      <c r="Q391" s="47">
        <f t="shared" si="12"/>
        <v>116</v>
      </c>
      <c r="R391" s="47"/>
      <c r="S391" s="47"/>
      <c r="T391" s="47">
        <v>80117</v>
      </c>
    </row>
    <row r="392" customHeight="1" spans="1:20">
      <c r="A392" s="43">
        <v>80118</v>
      </c>
      <c r="B392" s="78" t="s">
        <v>861</v>
      </c>
      <c r="C392" s="78"/>
      <c r="D392" s="43">
        <f>D9</f>
        <v>28</v>
      </c>
      <c r="E392" s="78" t="s">
        <v>32</v>
      </c>
      <c r="F392" s="44">
        <f t="shared" si="11"/>
        <v>56</v>
      </c>
      <c r="G392" s="85" t="s">
        <v>862</v>
      </c>
      <c r="H392" s="46" t="s">
        <v>18</v>
      </c>
      <c r="I392" s="47"/>
      <c r="J392" s="48" t="s">
        <v>42</v>
      </c>
      <c r="K392" s="86">
        <v>80118</v>
      </c>
      <c r="L392" s="87" t="s">
        <v>25</v>
      </c>
      <c r="M392" s="87" t="s">
        <v>26</v>
      </c>
      <c r="N392" s="14" t="s">
        <v>27</v>
      </c>
      <c r="O392" s="14" t="s">
        <v>28</v>
      </c>
      <c r="P392" s="51">
        <v>8</v>
      </c>
      <c r="Q392" s="47">
        <f t="shared" si="12"/>
        <v>448</v>
      </c>
      <c r="R392" s="47"/>
      <c r="S392" s="47"/>
      <c r="T392" s="47">
        <v>80118</v>
      </c>
    </row>
    <row r="393" customHeight="1" spans="1:20">
      <c r="A393" s="43">
        <v>80120</v>
      </c>
      <c r="B393" s="78" t="s">
        <v>863</v>
      </c>
      <c r="C393" s="78"/>
      <c r="D393" s="43">
        <f>D9</f>
        <v>28</v>
      </c>
      <c r="E393" s="78" t="s">
        <v>32</v>
      </c>
      <c r="F393" s="44">
        <f t="shared" ref="F393:F456" si="13">D393*2</f>
        <v>56</v>
      </c>
      <c r="G393" s="85" t="s">
        <v>864</v>
      </c>
      <c r="H393" s="46" t="s">
        <v>18</v>
      </c>
      <c r="I393" s="47"/>
      <c r="J393" s="48" t="s">
        <v>42</v>
      </c>
      <c r="K393" s="86">
        <v>80120</v>
      </c>
      <c r="L393" s="87" t="s">
        <v>25</v>
      </c>
      <c r="M393" s="87" t="s">
        <v>26</v>
      </c>
      <c r="N393" s="14" t="s">
        <v>27</v>
      </c>
      <c r="O393" s="14" t="s">
        <v>28</v>
      </c>
      <c r="P393" s="51">
        <v>12</v>
      </c>
      <c r="Q393" s="47">
        <f t="shared" si="12"/>
        <v>672</v>
      </c>
      <c r="R393" s="47"/>
      <c r="S393" s="47"/>
      <c r="T393" s="47">
        <v>80120</v>
      </c>
    </row>
    <row r="394" customHeight="1" spans="1:20">
      <c r="A394" s="43">
        <v>80121</v>
      </c>
      <c r="B394" s="78" t="s">
        <v>865</v>
      </c>
      <c r="C394" s="78"/>
      <c r="D394" s="43">
        <f>D9</f>
        <v>28</v>
      </c>
      <c r="E394" s="78" t="s">
        <v>169</v>
      </c>
      <c r="F394" s="44">
        <f t="shared" si="13"/>
        <v>56</v>
      </c>
      <c r="G394" s="85" t="s">
        <v>866</v>
      </c>
      <c r="H394" s="46" t="s">
        <v>18</v>
      </c>
      <c r="I394" s="47"/>
      <c r="J394" s="48" t="s">
        <v>42</v>
      </c>
      <c r="K394" s="86">
        <v>80121</v>
      </c>
      <c r="L394" s="87" t="s">
        <v>25</v>
      </c>
      <c r="M394" s="87" t="s">
        <v>26</v>
      </c>
      <c r="N394" s="14" t="s">
        <v>27</v>
      </c>
      <c r="O394" s="14" t="s">
        <v>28</v>
      </c>
      <c r="P394" s="51">
        <v>35</v>
      </c>
      <c r="Q394" s="47">
        <f t="shared" si="12"/>
        <v>1960</v>
      </c>
      <c r="R394" s="47"/>
      <c r="S394" s="47"/>
      <c r="T394" s="47">
        <v>80121</v>
      </c>
    </row>
    <row r="395" customHeight="1" spans="1:20">
      <c r="A395" s="43">
        <v>80122</v>
      </c>
      <c r="B395" s="78" t="s">
        <v>867</v>
      </c>
      <c r="C395" s="78"/>
      <c r="D395" s="43">
        <f>D9</f>
        <v>28</v>
      </c>
      <c r="E395" s="78" t="s">
        <v>32</v>
      </c>
      <c r="F395" s="44">
        <f t="shared" si="13"/>
        <v>56</v>
      </c>
      <c r="G395" s="85" t="s">
        <v>868</v>
      </c>
      <c r="H395" s="46" t="s">
        <v>18</v>
      </c>
      <c r="I395" s="47"/>
      <c r="J395" s="48" t="s">
        <v>42</v>
      </c>
      <c r="K395" s="86">
        <v>80122</v>
      </c>
      <c r="L395" s="87" t="s">
        <v>25</v>
      </c>
      <c r="M395" s="87" t="s">
        <v>26</v>
      </c>
      <c r="N395" s="14" t="s">
        <v>27</v>
      </c>
      <c r="O395" s="14" t="s">
        <v>28</v>
      </c>
      <c r="P395" s="51">
        <v>12</v>
      </c>
      <c r="Q395" s="47">
        <f t="shared" si="12"/>
        <v>672</v>
      </c>
      <c r="R395" s="47"/>
      <c r="S395" s="47"/>
      <c r="T395" s="47">
        <v>80122</v>
      </c>
    </row>
    <row r="396" customHeight="1" spans="1:20">
      <c r="A396" s="43">
        <v>80123</v>
      </c>
      <c r="B396" s="78" t="s">
        <v>869</v>
      </c>
      <c r="C396" s="78"/>
      <c r="D396" s="43">
        <f>D9</f>
        <v>28</v>
      </c>
      <c r="E396" s="78" t="s">
        <v>32</v>
      </c>
      <c r="F396" s="44">
        <f t="shared" si="13"/>
        <v>56</v>
      </c>
      <c r="G396" s="85" t="s">
        <v>870</v>
      </c>
      <c r="H396" s="46" t="s">
        <v>18</v>
      </c>
      <c r="I396" s="47"/>
      <c r="J396" s="48" t="s">
        <v>42</v>
      </c>
      <c r="K396" s="86">
        <v>80123</v>
      </c>
      <c r="L396" s="87" t="s">
        <v>25</v>
      </c>
      <c r="M396" s="87" t="s">
        <v>26</v>
      </c>
      <c r="N396" s="14" t="s">
        <v>27</v>
      </c>
      <c r="O396" s="14" t="s">
        <v>28</v>
      </c>
      <c r="P396" s="51">
        <v>12</v>
      </c>
      <c r="Q396" s="47">
        <f t="shared" si="12"/>
        <v>672</v>
      </c>
      <c r="R396" s="47"/>
      <c r="S396" s="47"/>
      <c r="T396" s="47">
        <v>80123</v>
      </c>
    </row>
    <row r="397" customHeight="1" spans="1:20">
      <c r="A397" s="43">
        <v>80125</v>
      </c>
      <c r="B397" s="78" t="s">
        <v>871</v>
      </c>
      <c r="C397" s="78"/>
      <c r="D397" s="43">
        <v>1</v>
      </c>
      <c r="E397" s="78" t="s">
        <v>21</v>
      </c>
      <c r="F397" s="44">
        <f t="shared" si="13"/>
        <v>2</v>
      </c>
      <c r="G397" s="117" t="s">
        <v>872</v>
      </c>
      <c r="H397" s="46" t="s">
        <v>18</v>
      </c>
      <c r="I397" s="47"/>
      <c r="J397" s="48" t="s">
        <v>42</v>
      </c>
      <c r="K397" s="118">
        <v>80125</v>
      </c>
      <c r="L397" s="119" t="s">
        <v>25</v>
      </c>
      <c r="M397" s="119" t="s">
        <v>26</v>
      </c>
      <c r="N397" s="14" t="s">
        <v>27</v>
      </c>
      <c r="O397" s="14" t="s">
        <v>28</v>
      </c>
      <c r="P397" s="51">
        <v>38</v>
      </c>
      <c r="Q397" s="47">
        <f t="shared" si="12"/>
        <v>76</v>
      </c>
      <c r="R397" s="47"/>
      <c r="S397" s="47"/>
      <c r="T397" s="47">
        <v>80125</v>
      </c>
    </row>
    <row r="398" customHeight="1" spans="1:20">
      <c r="A398" s="43">
        <v>80126</v>
      </c>
      <c r="B398" s="78" t="s">
        <v>873</v>
      </c>
      <c r="C398" s="78"/>
      <c r="D398" s="43">
        <f>D9</f>
        <v>28</v>
      </c>
      <c r="E398" s="78" t="s">
        <v>32</v>
      </c>
      <c r="F398" s="44">
        <f t="shared" si="13"/>
        <v>56</v>
      </c>
      <c r="G398" s="117" t="s">
        <v>874</v>
      </c>
      <c r="H398" s="46" t="s">
        <v>18</v>
      </c>
      <c r="I398" s="47"/>
      <c r="J398" s="48" t="s">
        <v>42</v>
      </c>
      <c r="K398" s="118">
        <v>80126</v>
      </c>
      <c r="L398" s="119" t="s">
        <v>25</v>
      </c>
      <c r="M398" s="119" t="s">
        <v>26</v>
      </c>
      <c r="N398" s="14" t="s">
        <v>27</v>
      </c>
      <c r="O398" s="14" t="s">
        <v>28</v>
      </c>
      <c r="P398" s="51">
        <v>10</v>
      </c>
      <c r="Q398" s="47">
        <f t="shared" si="12"/>
        <v>560</v>
      </c>
      <c r="R398" s="47"/>
      <c r="S398" s="47"/>
      <c r="T398" s="47">
        <v>80126</v>
      </c>
    </row>
    <row r="399" customHeight="1" spans="1:20">
      <c r="A399" s="43"/>
      <c r="B399" s="2" t="s">
        <v>875</v>
      </c>
      <c r="C399" s="2"/>
      <c r="D399" s="6"/>
      <c r="E399" s="2"/>
      <c r="F399" s="44">
        <f t="shared" si="13"/>
        <v>0</v>
      </c>
      <c r="G399" s="77"/>
      <c r="H399" s="46"/>
      <c r="I399" s="47"/>
      <c r="J399" s="48" t="s">
        <v>42</v>
      </c>
      <c r="K399" s="94"/>
      <c r="L399" s="95"/>
      <c r="M399" s="95"/>
      <c r="O399" s="14" t="s">
        <v>28</v>
      </c>
      <c r="P399" s="51"/>
      <c r="Q399" s="47">
        <f t="shared" si="12"/>
        <v>0</v>
      </c>
      <c r="R399" s="47"/>
      <c r="S399" s="47"/>
      <c r="T399" s="47"/>
    </row>
    <row r="400" customHeight="1" spans="1:20">
      <c r="A400" s="43">
        <v>80140</v>
      </c>
      <c r="B400" s="78" t="s">
        <v>876</v>
      </c>
      <c r="C400" s="78"/>
      <c r="D400" s="43">
        <v>1</v>
      </c>
      <c r="E400" s="78" t="s">
        <v>32</v>
      </c>
      <c r="F400" s="44">
        <f t="shared" si="13"/>
        <v>2</v>
      </c>
      <c r="G400" s="120" t="s">
        <v>877</v>
      </c>
      <c r="H400" s="46" t="s">
        <v>18</v>
      </c>
      <c r="I400" s="47"/>
      <c r="J400" s="48" t="s">
        <v>42</v>
      </c>
      <c r="K400" s="121">
        <v>80140</v>
      </c>
      <c r="L400" s="122" t="s">
        <v>25</v>
      </c>
      <c r="M400" s="122" t="s">
        <v>26</v>
      </c>
      <c r="N400" s="14" t="s">
        <v>27</v>
      </c>
      <c r="O400" s="14" t="s">
        <v>28</v>
      </c>
      <c r="P400" s="51">
        <v>40</v>
      </c>
      <c r="Q400" s="47">
        <f t="shared" si="12"/>
        <v>80</v>
      </c>
      <c r="R400" s="47"/>
      <c r="S400" s="47"/>
      <c r="T400" s="47">
        <v>80140</v>
      </c>
    </row>
    <row r="401" customHeight="1" spans="1:20">
      <c r="A401" s="43">
        <v>80141</v>
      </c>
      <c r="B401" s="78" t="s">
        <v>878</v>
      </c>
      <c r="C401" s="78"/>
      <c r="D401" s="43">
        <f>D9</f>
        <v>28</v>
      </c>
      <c r="E401" s="78" t="s">
        <v>32</v>
      </c>
      <c r="F401" s="44">
        <f t="shared" si="13"/>
        <v>56</v>
      </c>
      <c r="G401" s="120" t="s">
        <v>879</v>
      </c>
      <c r="H401" s="46" t="s">
        <v>18</v>
      </c>
      <c r="I401" s="47"/>
      <c r="J401" s="48" t="s">
        <v>42</v>
      </c>
      <c r="K401" s="121">
        <v>80141</v>
      </c>
      <c r="L401" s="122" t="s">
        <v>25</v>
      </c>
      <c r="M401" s="122" t="s">
        <v>26</v>
      </c>
      <c r="N401" s="14" t="s">
        <v>27</v>
      </c>
      <c r="O401" s="14" t="s">
        <v>28</v>
      </c>
      <c r="P401" s="51">
        <v>12</v>
      </c>
      <c r="Q401" s="47">
        <f t="shared" si="12"/>
        <v>672</v>
      </c>
      <c r="R401" s="47"/>
      <c r="S401" s="47"/>
      <c r="T401" s="47">
        <v>80141</v>
      </c>
    </row>
    <row r="402" customHeight="1" spans="1:20">
      <c r="A402" s="43">
        <v>80142</v>
      </c>
      <c r="B402" s="78" t="s">
        <v>880</v>
      </c>
      <c r="C402" s="78"/>
      <c r="D402" s="43">
        <f>D9</f>
        <v>28</v>
      </c>
      <c r="E402" s="78" t="s">
        <v>32</v>
      </c>
      <c r="F402" s="44">
        <f t="shared" si="13"/>
        <v>56</v>
      </c>
      <c r="G402" s="117" t="s">
        <v>881</v>
      </c>
      <c r="H402" s="46" t="s">
        <v>18</v>
      </c>
      <c r="I402" s="47"/>
      <c r="J402" s="48" t="s">
        <v>42</v>
      </c>
      <c r="K402" s="118">
        <v>80142</v>
      </c>
      <c r="L402" s="119" t="s">
        <v>25</v>
      </c>
      <c r="M402" s="119" t="s">
        <v>26</v>
      </c>
      <c r="N402" s="14" t="s">
        <v>27</v>
      </c>
      <c r="O402" s="14" t="s">
        <v>28</v>
      </c>
      <c r="P402" s="51">
        <v>12</v>
      </c>
      <c r="Q402" s="47">
        <f t="shared" si="12"/>
        <v>672</v>
      </c>
      <c r="R402" s="47"/>
      <c r="S402" s="47"/>
      <c r="T402" s="47">
        <v>80142</v>
      </c>
    </row>
    <row r="403" customHeight="1" spans="1:20">
      <c r="A403" s="43">
        <v>80143</v>
      </c>
      <c r="B403" s="78" t="s">
        <v>882</v>
      </c>
      <c r="C403" s="78"/>
      <c r="D403" s="43">
        <f>D9</f>
        <v>28</v>
      </c>
      <c r="E403" s="78" t="s">
        <v>32</v>
      </c>
      <c r="F403" s="44">
        <f t="shared" si="13"/>
        <v>56</v>
      </c>
      <c r="G403" s="117" t="s">
        <v>883</v>
      </c>
      <c r="H403" s="46" t="s">
        <v>18</v>
      </c>
      <c r="I403" s="47"/>
      <c r="J403" s="48" t="s">
        <v>42</v>
      </c>
      <c r="K403" s="118">
        <v>80143</v>
      </c>
      <c r="L403" s="119" t="s">
        <v>25</v>
      </c>
      <c r="M403" s="119" t="s">
        <v>26</v>
      </c>
      <c r="N403" s="14" t="s">
        <v>27</v>
      </c>
      <c r="O403" s="14" t="s">
        <v>28</v>
      </c>
      <c r="P403" s="51">
        <v>11</v>
      </c>
      <c r="Q403" s="47">
        <f t="shared" si="12"/>
        <v>616</v>
      </c>
      <c r="R403" s="47"/>
      <c r="S403" s="47"/>
      <c r="T403" s="47">
        <v>80143</v>
      </c>
    </row>
    <row r="404" customHeight="1" spans="1:20">
      <c r="A404" s="43">
        <v>80144</v>
      </c>
      <c r="B404" s="78" t="s">
        <v>884</v>
      </c>
      <c r="C404" s="78"/>
      <c r="D404" s="43">
        <f>D9</f>
        <v>28</v>
      </c>
      <c r="E404" s="78" t="s">
        <v>32</v>
      </c>
      <c r="F404" s="44">
        <f t="shared" si="13"/>
        <v>56</v>
      </c>
      <c r="G404" s="117" t="s">
        <v>885</v>
      </c>
      <c r="H404" s="46" t="s">
        <v>18</v>
      </c>
      <c r="I404" s="47"/>
      <c r="J404" s="48" t="s">
        <v>42</v>
      </c>
      <c r="K404" s="118">
        <v>80144</v>
      </c>
      <c r="L404" s="119" t="s">
        <v>25</v>
      </c>
      <c r="M404" s="119" t="s">
        <v>26</v>
      </c>
      <c r="N404" s="14" t="s">
        <v>27</v>
      </c>
      <c r="O404" s="14" t="s">
        <v>28</v>
      </c>
      <c r="P404" s="51">
        <v>11</v>
      </c>
      <c r="Q404" s="47">
        <f t="shared" si="12"/>
        <v>616</v>
      </c>
      <c r="R404" s="47"/>
      <c r="S404" s="47"/>
      <c r="T404" s="47">
        <v>80144</v>
      </c>
    </row>
    <row r="405" customHeight="1" spans="1:20">
      <c r="A405" s="43">
        <v>80145</v>
      </c>
      <c r="B405" s="78" t="s">
        <v>886</v>
      </c>
      <c r="C405" s="78"/>
      <c r="D405" s="43">
        <f>D9</f>
        <v>28</v>
      </c>
      <c r="E405" s="78" t="s">
        <v>32</v>
      </c>
      <c r="F405" s="44">
        <f t="shared" si="13"/>
        <v>56</v>
      </c>
      <c r="G405" s="117" t="s">
        <v>887</v>
      </c>
      <c r="H405" s="46" t="s">
        <v>18</v>
      </c>
      <c r="I405" s="47"/>
      <c r="J405" s="48" t="s">
        <v>42</v>
      </c>
      <c r="K405" s="118">
        <v>80145</v>
      </c>
      <c r="L405" s="119" t="s">
        <v>25</v>
      </c>
      <c r="M405" s="119" t="s">
        <v>26</v>
      </c>
      <c r="N405" s="14" t="s">
        <v>27</v>
      </c>
      <c r="O405" s="14" t="s">
        <v>28</v>
      </c>
      <c r="P405" s="51">
        <v>17</v>
      </c>
      <c r="Q405" s="47">
        <f t="shared" si="12"/>
        <v>952</v>
      </c>
      <c r="R405" s="47"/>
      <c r="S405" s="47"/>
      <c r="T405" s="47">
        <v>80145</v>
      </c>
    </row>
    <row r="406" customHeight="1" spans="1:20">
      <c r="A406" s="43">
        <v>80146</v>
      </c>
      <c r="B406" s="78" t="s">
        <v>888</v>
      </c>
      <c r="C406" s="78"/>
      <c r="D406" s="43">
        <f>D9</f>
        <v>28</v>
      </c>
      <c r="E406" s="78" t="s">
        <v>32</v>
      </c>
      <c r="F406" s="44">
        <f t="shared" si="13"/>
        <v>56</v>
      </c>
      <c r="G406" s="117" t="s">
        <v>889</v>
      </c>
      <c r="H406" s="46" t="s">
        <v>18</v>
      </c>
      <c r="I406" s="47"/>
      <c r="J406" s="48" t="s">
        <v>42</v>
      </c>
      <c r="K406" s="118">
        <v>80146</v>
      </c>
      <c r="L406" s="119" t="s">
        <v>25</v>
      </c>
      <c r="M406" s="119" t="s">
        <v>26</v>
      </c>
      <c r="N406" s="14" t="s">
        <v>27</v>
      </c>
      <c r="O406" s="14" t="s">
        <v>28</v>
      </c>
      <c r="P406" s="51">
        <v>12</v>
      </c>
      <c r="Q406" s="47">
        <f t="shared" si="12"/>
        <v>672</v>
      </c>
      <c r="R406" s="47"/>
      <c r="S406" s="47"/>
      <c r="T406" s="47">
        <v>80146</v>
      </c>
    </row>
    <row r="407" customHeight="1" spans="1:20">
      <c r="A407" s="43">
        <v>80147</v>
      </c>
      <c r="B407" s="78" t="s">
        <v>890</v>
      </c>
      <c r="C407" s="78"/>
      <c r="D407" s="43">
        <f>D9</f>
        <v>28</v>
      </c>
      <c r="E407" s="78" t="s">
        <v>32</v>
      </c>
      <c r="F407" s="44">
        <f t="shared" si="13"/>
        <v>56</v>
      </c>
      <c r="G407" s="117" t="s">
        <v>891</v>
      </c>
      <c r="H407" s="46" t="s">
        <v>18</v>
      </c>
      <c r="I407" s="47"/>
      <c r="J407" s="48" t="s">
        <v>42</v>
      </c>
      <c r="K407" s="118">
        <v>80147</v>
      </c>
      <c r="L407" s="119" t="s">
        <v>25</v>
      </c>
      <c r="M407" s="119" t="s">
        <v>26</v>
      </c>
      <c r="N407" s="14" t="s">
        <v>27</v>
      </c>
      <c r="O407" s="14" t="s">
        <v>28</v>
      </c>
      <c r="P407" s="51">
        <v>12</v>
      </c>
      <c r="Q407" s="47">
        <f t="shared" si="12"/>
        <v>672</v>
      </c>
      <c r="R407" s="47"/>
      <c r="S407" s="47"/>
      <c r="T407" s="47">
        <v>80147</v>
      </c>
    </row>
    <row r="408" customHeight="1" spans="1:20">
      <c r="A408" s="43">
        <v>80148</v>
      </c>
      <c r="B408" s="78" t="s">
        <v>892</v>
      </c>
      <c r="C408" s="78"/>
      <c r="D408" s="43">
        <f>D9</f>
        <v>28</v>
      </c>
      <c r="E408" s="78" t="s">
        <v>32</v>
      </c>
      <c r="F408" s="44">
        <f t="shared" si="13"/>
        <v>56</v>
      </c>
      <c r="G408" s="117" t="s">
        <v>893</v>
      </c>
      <c r="H408" s="46" t="s">
        <v>18</v>
      </c>
      <c r="I408" s="47"/>
      <c r="J408" s="48" t="s">
        <v>42</v>
      </c>
      <c r="K408" s="118">
        <v>80148</v>
      </c>
      <c r="L408" s="119" t="s">
        <v>25</v>
      </c>
      <c r="M408" s="119" t="s">
        <v>26</v>
      </c>
      <c r="N408" s="14" t="s">
        <v>27</v>
      </c>
      <c r="O408" s="14" t="s">
        <v>28</v>
      </c>
      <c r="P408" s="51">
        <v>14</v>
      </c>
      <c r="Q408" s="47">
        <f t="shared" si="12"/>
        <v>784</v>
      </c>
      <c r="R408" s="47"/>
      <c r="S408" s="47"/>
      <c r="T408" s="47">
        <v>80148</v>
      </c>
    </row>
    <row r="409" customHeight="1" spans="1:20">
      <c r="A409" s="43">
        <v>80149</v>
      </c>
      <c r="B409" s="78" t="s">
        <v>894</v>
      </c>
      <c r="C409" s="78"/>
      <c r="D409" s="43">
        <v>1</v>
      </c>
      <c r="E409" s="78" t="s">
        <v>32</v>
      </c>
      <c r="F409" s="44">
        <f t="shared" si="13"/>
        <v>2</v>
      </c>
      <c r="G409" s="117" t="s">
        <v>895</v>
      </c>
      <c r="H409" s="46" t="s">
        <v>18</v>
      </c>
      <c r="I409" s="47"/>
      <c r="J409" s="48" t="s">
        <v>42</v>
      </c>
      <c r="K409" s="118">
        <v>80149</v>
      </c>
      <c r="L409" s="119" t="s">
        <v>25</v>
      </c>
      <c r="M409" s="119" t="s">
        <v>26</v>
      </c>
      <c r="N409" s="14" t="s">
        <v>27</v>
      </c>
      <c r="O409" s="14" t="s">
        <v>28</v>
      </c>
      <c r="P409" s="51">
        <v>50</v>
      </c>
      <c r="Q409" s="47">
        <f t="shared" si="12"/>
        <v>100</v>
      </c>
      <c r="R409" s="47"/>
      <c r="S409" s="47"/>
      <c r="T409" s="47">
        <v>80149</v>
      </c>
    </row>
    <row r="410" customHeight="1" spans="1:20">
      <c r="A410" s="43">
        <v>80150</v>
      </c>
      <c r="B410" s="78" t="s">
        <v>896</v>
      </c>
      <c r="C410" s="78"/>
      <c r="D410" s="43">
        <f>D9</f>
        <v>28</v>
      </c>
      <c r="E410" s="78" t="s">
        <v>32</v>
      </c>
      <c r="F410" s="44">
        <f t="shared" si="13"/>
        <v>56</v>
      </c>
      <c r="G410" s="117" t="s">
        <v>897</v>
      </c>
      <c r="H410" s="46" t="s">
        <v>18</v>
      </c>
      <c r="I410" s="47"/>
      <c r="J410" s="48" t="s">
        <v>42</v>
      </c>
      <c r="K410" s="118">
        <v>80150</v>
      </c>
      <c r="L410" s="119" t="s">
        <v>25</v>
      </c>
      <c r="M410" s="119" t="s">
        <v>26</v>
      </c>
      <c r="N410" s="14" t="s">
        <v>27</v>
      </c>
      <c r="O410" s="14" t="s">
        <v>28</v>
      </c>
      <c r="P410" s="51">
        <v>16</v>
      </c>
      <c r="Q410" s="47">
        <f t="shared" si="12"/>
        <v>896</v>
      </c>
      <c r="R410" s="47"/>
      <c r="S410" s="47"/>
      <c r="T410" s="47">
        <v>80150</v>
      </c>
    </row>
    <row r="411" customHeight="1" spans="1:20">
      <c r="A411" s="43"/>
      <c r="B411" s="2" t="s">
        <v>898</v>
      </c>
      <c r="C411" s="2"/>
      <c r="D411" s="6"/>
      <c r="E411" s="2"/>
      <c r="F411" s="44">
        <f t="shared" si="13"/>
        <v>0</v>
      </c>
      <c r="G411" s="77"/>
      <c r="H411" s="46"/>
      <c r="I411" s="47"/>
      <c r="J411" s="48" t="s">
        <v>42</v>
      </c>
      <c r="K411" s="94"/>
      <c r="L411" s="95"/>
      <c r="M411" s="95"/>
      <c r="O411" s="14" t="s">
        <v>28</v>
      </c>
      <c r="P411" s="51"/>
      <c r="Q411" s="47">
        <f t="shared" si="12"/>
        <v>0</v>
      </c>
      <c r="R411" s="47"/>
      <c r="S411" s="47"/>
      <c r="T411" s="47" t="s">
        <v>899</v>
      </c>
    </row>
    <row r="412" customHeight="1" spans="1:20">
      <c r="A412" s="43">
        <v>80151</v>
      </c>
      <c r="B412" s="78" t="s">
        <v>900</v>
      </c>
      <c r="C412" s="78"/>
      <c r="D412" s="43">
        <v>1</v>
      </c>
      <c r="E412" s="78" t="s">
        <v>32</v>
      </c>
      <c r="F412" s="44">
        <f t="shared" si="13"/>
        <v>2</v>
      </c>
      <c r="G412" s="85" t="s">
        <v>901</v>
      </c>
      <c r="H412" s="46" t="s">
        <v>18</v>
      </c>
      <c r="I412" s="47"/>
      <c r="J412" s="48" t="s">
        <v>42</v>
      </c>
      <c r="K412" s="86">
        <v>80151</v>
      </c>
      <c r="L412" s="87" t="s">
        <v>25</v>
      </c>
      <c r="M412" s="87" t="s">
        <v>26</v>
      </c>
      <c r="N412" s="14" t="s">
        <v>27</v>
      </c>
      <c r="O412" s="14" t="s">
        <v>28</v>
      </c>
      <c r="P412" s="51">
        <v>70</v>
      </c>
      <c r="Q412" s="47">
        <f t="shared" si="12"/>
        <v>140</v>
      </c>
      <c r="R412" s="47"/>
      <c r="S412" s="47"/>
      <c r="T412" s="47">
        <v>80151</v>
      </c>
    </row>
    <row r="413" customHeight="1" spans="1:20">
      <c r="A413" s="43">
        <v>80157</v>
      </c>
      <c r="B413" s="78" t="s">
        <v>902</v>
      </c>
      <c r="C413" s="78"/>
      <c r="D413" s="43">
        <v>1</v>
      </c>
      <c r="E413" s="78" t="s">
        <v>32</v>
      </c>
      <c r="F413" s="44">
        <f t="shared" si="13"/>
        <v>2</v>
      </c>
      <c r="G413" s="85" t="s">
        <v>903</v>
      </c>
      <c r="H413" s="46" t="s">
        <v>18</v>
      </c>
      <c r="I413" s="47"/>
      <c r="J413" s="48" t="s">
        <v>42</v>
      </c>
      <c r="K413" s="86">
        <v>80157</v>
      </c>
      <c r="L413" s="87" t="s">
        <v>25</v>
      </c>
      <c r="M413" s="87" t="s">
        <v>26</v>
      </c>
      <c r="N413" s="14" t="s">
        <v>27</v>
      </c>
      <c r="O413" s="14" t="s">
        <v>28</v>
      </c>
      <c r="P413" s="51">
        <v>40</v>
      </c>
      <c r="Q413" s="47">
        <f t="shared" si="12"/>
        <v>80</v>
      </c>
      <c r="R413" s="47"/>
      <c r="S413" s="47"/>
      <c r="T413" s="47">
        <v>80157</v>
      </c>
    </row>
    <row r="414" customHeight="1" spans="1:20">
      <c r="A414" s="43">
        <v>80159</v>
      </c>
      <c r="B414" s="78" t="s">
        <v>904</v>
      </c>
      <c r="C414" s="78"/>
      <c r="D414" s="43">
        <v>1</v>
      </c>
      <c r="E414" s="78" t="s">
        <v>32</v>
      </c>
      <c r="F414" s="44">
        <f t="shared" si="13"/>
        <v>2</v>
      </c>
      <c r="G414" s="85" t="s">
        <v>905</v>
      </c>
      <c r="H414" s="46" t="s">
        <v>18</v>
      </c>
      <c r="I414" s="47"/>
      <c r="J414" s="48" t="s">
        <v>42</v>
      </c>
      <c r="K414" s="86">
        <v>80159</v>
      </c>
      <c r="L414" s="87" t="s">
        <v>25</v>
      </c>
      <c r="M414" s="87" t="s">
        <v>26</v>
      </c>
      <c r="N414" s="14" t="s">
        <v>27</v>
      </c>
      <c r="O414" s="14" t="s">
        <v>28</v>
      </c>
      <c r="P414" s="51">
        <v>30</v>
      </c>
      <c r="Q414" s="47">
        <f t="shared" si="12"/>
        <v>60</v>
      </c>
      <c r="R414" s="47"/>
      <c r="S414" s="47"/>
      <c r="T414" s="47">
        <v>80159</v>
      </c>
    </row>
    <row r="415" customHeight="1" spans="1:20">
      <c r="A415" s="43">
        <v>80160</v>
      </c>
      <c r="B415" s="78" t="s">
        <v>906</v>
      </c>
      <c r="C415" s="78"/>
      <c r="D415" s="43">
        <v>1</v>
      </c>
      <c r="E415" s="78" t="s">
        <v>32</v>
      </c>
      <c r="F415" s="44">
        <f t="shared" si="13"/>
        <v>2</v>
      </c>
      <c r="G415" s="85" t="s">
        <v>907</v>
      </c>
      <c r="H415" s="46" t="s">
        <v>18</v>
      </c>
      <c r="I415" s="47"/>
      <c r="J415" s="48" t="s">
        <v>42</v>
      </c>
      <c r="K415" s="86">
        <v>80160</v>
      </c>
      <c r="L415" s="87" t="s">
        <v>25</v>
      </c>
      <c r="M415" s="87" t="s">
        <v>26</v>
      </c>
      <c r="N415" s="14" t="s">
        <v>27</v>
      </c>
      <c r="O415" s="14" t="s">
        <v>28</v>
      </c>
      <c r="P415" s="51">
        <v>12</v>
      </c>
      <c r="Q415" s="47">
        <f t="shared" si="12"/>
        <v>24</v>
      </c>
      <c r="R415" s="47"/>
      <c r="S415" s="47"/>
      <c r="T415" s="47">
        <v>80160</v>
      </c>
    </row>
    <row r="416" customHeight="1" spans="1:20">
      <c r="A416" s="43">
        <v>80161</v>
      </c>
      <c r="B416" s="78" t="s">
        <v>908</v>
      </c>
      <c r="C416" s="78"/>
      <c r="D416" s="43">
        <v>1</v>
      </c>
      <c r="E416" s="78" t="s">
        <v>32</v>
      </c>
      <c r="F416" s="44">
        <f t="shared" si="13"/>
        <v>2</v>
      </c>
      <c r="G416" s="85" t="s">
        <v>909</v>
      </c>
      <c r="H416" s="46" t="s">
        <v>18</v>
      </c>
      <c r="I416" s="47"/>
      <c r="J416" s="48" t="s">
        <v>42</v>
      </c>
      <c r="K416" s="86">
        <v>80161</v>
      </c>
      <c r="L416" s="87" t="s">
        <v>25</v>
      </c>
      <c r="M416" s="87" t="s">
        <v>26</v>
      </c>
      <c r="N416" s="14" t="s">
        <v>27</v>
      </c>
      <c r="O416" s="14" t="s">
        <v>28</v>
      </c>
      <c r="P416" s="51">
        <v>45</v>
      </c>
      <c r="Q416" s="47">
        <f t="shared" si="12"/>
        <v>90</v>
      </c>
      <c r="R416" s="47"/>
      <c r="S416" s="47"/>
      <c r="T416" s="47">
        <v>80161</v>
      </c>
    </row>
    <row r="417" customHeight="1" spans="1:20">
      <c r="A417" s="43">
        <v>80162</v>
      </c>
      <c r="B417" s="78" t="s">
        <v>910</v>
      </c>
      <c r="C417" s="78"/>
      <c r="D417" s="43">
        <v>1</v>
      </c>
      <c r="E417" s="78" t="s">
        <v>32</v>
      </c>
      <c r="F417" s="44">
        <f t="shared" si="13"/>
        <v>2</v>
      </c>
      <c r="G417" s="85" t="s">
        <v>911</v>
      </c>
      <c r="H417" s="46" t="s">
        <v>18</v>
      </c>
      <c r="I417" s="47"/>
      <c r="J417" s="48" t="s">
        <v>42</v>
      </c>
      <c r="K417" s="86">
        <v>80162</v>
      </c>
      <c r="L417" s="87" t="s">
        <v>25</v>
      </c>
      <c r="M417" s="87" t="s">
        <v>26</v>
      </c>
      <c r="N417" s="14" t="s">
        <v>27</v>
      </c>
      <c r="O417" s="14" t="s">
        <v>28</v>
      </c>
      <c r="P417" s="51">
        <v>200</v>
      </c>
      <c r="Q417" s="47">
        <f t="shared" si="12"/>
        <v>400</v>
      </c>
      <c r="R417" s="47"/>
      <c r="S417" s="47"/>
      <c r="T417" s="47">
        <v>80162</v>
      </c>
    </row>
    <row r="418" customHeight="1" spans="1:20">
      <c r="A418" s="43">
        <v>80163</v>
      </c>
      <c r="B418" s="78" t="s">
        <v>912</v>
      </c>
      <c r="C418" s="78"/>
      <c r="D418" s="43">
        <v>1</v>
      </c>
      <c r="E418" s="78" t="s">
        <v>32</v>
      </c>
      <c r="F418" s="44">
        <f t="shared" si="13"/>
        <v>2</v>
      </c>
      <c r="G418" s="85" t="s">
        <v>913</v>
      </c>
      <c r="H418" s="46" t="s">
        <v>18</v>
      </c>
      <c r="I418" s="47"/>
      <c r="J418" s="48" t="s">
        <v>42</v>
      </c>
      <c r="K418" s="86">
        <v>80163</v>
      </c>
      <c r="L418" s="87" t="s">
        <v>25</v>
      </c>
      <c r="M418" s="87" t="s">
        <v>26</v>
      </c>
      <c r="N418" s="14" t="s">
        <v>27</v>
      </c>
      <c r="O418" s="14" t="s">
        <v>28</v>
      </c>
      <c r="P418" s="51">
        <v>68</v>
      </c>
      <c r="Q418" s="47">
        <f t="shared" si="12"/>
        <v>136</v>
      </c>
      <c r="R418" s="47"/>
      <c r="S418" s="47"/>
      <c r="T418" s="47">
        <v>80163</v>
      </c>
    </row>
    <row r="419" customHeight="1" spans="1:20">
      <c r="A419" s="43">
        <v>80165</v>
      </c>
      <c r="B419" s="78" t="s">
        <v>914</v>
      </c>
      <c r="C419" s="78"/>
      <c r="D419" s="43">
        <v>1</v>
      </c>
      <c r="E419" s="78" t="s">
        <v>32</v>
      </c>
      <c r="F419" s="44">
        <f t="shared" si="13"/>
        <v>2</v>
      </c>
      <c r="G419" s="120" t="s">
        <v>915</v>
      </c>
      <c r="H419" s="46" t="s">
        <v>18</v>
      </c>
      <c r="I419" s="47"/>
      <c r="J419" s="48" t="s">
        <v>42</v>
      </c>
      <c r="K419" s="121">
        <v>80165</v>
      </c>
      <c r="L419" s="122" t="s">
        <v>25</v>
      </c>
      <c r="M419" s="122" t="s">
        <v>26</v>
      </c>
      <c r="N419" s="14" t="s">
        <v>27</v>
      </c>
      <c r="O419" s="14" t="s">
        <v>28</v>
      </c>
      <c r="P419" s="51">
        <v>82</v>
      </c>
      <c r="Q419" s="47">
        <f t="shared" si="12"/>
        <v>164</v>
      </c>
      <c r="R419" s="47"/>
      <c r="S419" s="47"/>
      <c r="T419" s="47">
        <v>80165</v>
      </c>
    </row>
    <row r="420" customHeight="1" spans="1:20">
      <c r="A420" s="43">
        <v>80166</v>
      </c>
      <c r="B420" s="78" t="s">
        <v>916</v>
      </c>
      <c r="C420" s="78"/>
      <c r="D420" s="43">
        <v>1</v>
      </c>
      <c r="E420" s="78" t="s">
        <v>32</v>
      </c>
      <c r="F420" s="44">
        <f t="shared" si="13"/>
        <v>2</v>
      </c>
      <c r="G420" s="120" t="s">
        <v>917</v>
      </c>
      <c r="H420" s="46" t="s">
        <v>18</v>
      </c>
      <c r="I420" s="47"/>
      <c r="J420" s="48" t="s">
        <v>42</v>
      </c>
      <c r="K420" s="121">
        <v>80166</v>
      </c>
      <c r="L420" s="122" t="s">
        <v>25</v>
      </c>
      <c r="M420" s="122" t="s">
        <v>26</v>
      </c>
      <c r="N420" s="14" t="s">
        <v>27</v>
      </c>
      <c r="O420" s="14" t="s">
        <v>28</v>
      </c>
      <c r="P420" s="51">
        <v>145</v>
      </c>
      <c r="Q420" s="47">
        <f t="shared" si="12"/>
        <v>290</v>
      </c>
      <c r="R420" s="47"/>
      <c r="S420" s="47"/>
      <c r="T420" s="47">
        <v>80166</v>
      </c>
    </row>
    <row r="421" customHeight="1" spans="1:20">
      <c r="A421" s="43">
        <v>80167</v>
      </c>
      <c r="B421" s="78" t="s">
        <v>918</v>
      </c>
      <c r="C421" s="78"/>
      <c r="D421" s="43">
        <v>1</v>
      </c>
      <c r="E421" s="78" t="s">
        <v>32</v>
      </c>
      <c r="F421" s="44">
        <f t="shared" si="13"/>
        <v>2</v>
      </c>
      <c r="G421" s="120" t="s">
        <v>919</v>
      </c>
      <c r="H421" s="46" t="s">
        <v>18</v>
      </c>
      <c r="I421" s="47"/>
      <c r="J421" s="48" t="s">
        <v>42</v>
      </c>
      <c r="K421" s="121">
        <v>80167</v>
      </c>
      <c r="L421" s="122" t="s">
        <v>25</v>
      </c>
      <c r="M421" s="122" t="s">
        <v>26</v>
      </c>
      <c r="N421" s="14" t="s">
        <v>27</v>
      </c>
      <c r="O421" s="14" t="s">
        <v>28</v>
      </c>
      <c r="P421" s="51">
        <v>50</v>
      </c>
      <c r="Q421" s="47">
        <f t="shared" si="12"/>
        <v>100</v>
      </c>
      <c r="R421" s="47"/>
      <c r="S421" s="47"/>
      <c r="T421" s="47">
        <v>80167</v>
      </c>
    </row>
    <row r="422" customHeight="1" spans="1:20">
      <c r="A422" s="43">
        <v>80168</v>
      </c>
      <c r="B422" s="78" t="s">
        <v>920</v>
      </c>
      <c r="C422" s="78"/>
      <c r="D422" s="43">
        <v>1</v>
      </c>
      <c r="E422" s="78" t="s">
        <v>32</v>
      </c>
      <c r="F422" s="44">
        <f t="shared" si="13"/>
        <v>2</v>
      </c>
      <c r="G422" s="120" t="s">
        <v>921</v>
      </c>
      <c r="H422" s="46" t="s">
        <v>18</v>
      </c>
      <c r="I422" s="47"/>
      <c r="J422" s="48" t="s">
        <v>42</v>
      </c>
      <c r="K422" s="121">
        <v>80168</v>
      </c>
      <c r="L422" s="122" t="s">
        <v>25</v>
      </c>
      <c r="M422" s="122" t="s">
        <v>26</v>
      </c>
      <c r="N422" s="14" t="s">
        <v>27</v>
      </c>
      <c r="O422" s="14" t="s">
        <v>28</v>
      </c>
      <c r="P422" s="51">
        <v>12</v>
      </c>
      <c r="Q422" s="47">
        <f t="shared" si="12"/>
        <v>24</v>
      </c>
      <c r="R422" s="47"/>
      <c r="S422" s="47"/>
      <c r="T422" s="47">
        <v>80168</v>
      </c>
    </row>
    <row r="423" customHeight="1" spans="1:20">
      <c r="A423" s="43">
        <v>80169</v>
      </c>
      <c r="B423" s="78" t="s">
        <v>922</v>
      </c>
      <c r="C423" s="78"/>
      <c r="D423" s="43">
        <v>1</v>
      </c>
      <c r="E423" s="78" t="s">
        <v>32</v>
      </c>
      <c r="F423" s="44">
        <f t="shared" si="13"/>
        <v>2</v>
      </c>
      <c r="G423" s="120" t="s">
        <v>923</v>
      </c>
      <c r="H423" s="46" t="s">
        <v>18</v>
      </c>
      <c r="I423" s="47"/>
      <c r="J423" s="48" t="s">
        <v>42</v>
      </c>
      <c r="K423" s="121">
        <v>80169</v>
      </c>
      <c r="L423" s="122" t="s">
        <v>25</v>
      </c>
      <c r="M423" s="122" t="s">
        <v>26</v>
      </c>
      <c r="N423" s="14" t="s">
        <v>27</v>
      </c>
      <c r="O423" s="14" t="s">
        <v>28</v>
      </c>
      <c r="P423" s="51">
        <v>330</v>
      </c>
      <c r="Q423" s="47">
        <f t="shared" si="12"/>
        <v>660</v>
      </c>
      <c r="R423" s="47"/>
      <c r="S423" s="47"/>
      <c r="T423" s="47">
        <v>80169</v>
      </c>
    </row>
    <row r="424" customHeight="1" spans="1:20">
      <c r="A424" s="43">
        <v>80170</v>
      </c>
      <c r="B424" s="78" t="s">
        <v>924</v>
      </c>
      <c r="C424" s="78"/>
      <c r="D424" s="43">
        <v>2</v>
      </c>
      <c r="E424" s="78" t="s">
        <v>32</v>
      </c>
      <c r="F424" s="44">
        <f t="shared" si="13"/>
        <v>4</v>
      </c>
      <c r="G424" s="120" t="s">
        <v>925</v>
      </c>
      <c r="H424" s="46" t="s">
        <v>18</v>
      </c>
      <c r="I424" s="47"/>
      <c r="J424" s="48" t="s">
        <v>42</v>
      </c>
      <c r="K424" s="121">
        <v>80170</v>
      </c>
      <c r="L424" s="122" t="s">
        <v>25</v>
      </c>
      <c r="M424" s="122" t="s">
        <v>26</v>
      </c>
      <c r="N424" s="14" t="s">
        <v>27</v>
      </c>
      <c r="O424" s="14" t="s">
        <v>28</v>
      </c>
      <c r="P424" s="51">
        <v>95</v>
      </c>
      <c r="Q424" s="47">
        <f t="shared" si="12"/>
        <v>380</v>
      </c>
      <c r="R424" s="47"/>
      <c r="S424" s="47"/>
      <c r="T424" s="47">
        <v>80170</v>
      </c>
    </row>
    <row r="425" customHeight="1" spans="1:20">
      <c r="A425" s="43">
        <v>80171</v>
      </c>
      <c r="B425" s="78" t="s">
        <v>926</v>
      </c>
      <c r="C425" s="78"/>
      <c r="D425" s="43">
        <v>1</v>
      </c>
      <c r="E425" s="78" t="s">
        <v>32</v>
      </c>
      <c r="F425" s="44">
        <f t="shared" si="13"/>
        <v>2</v>
      </c>
      <c r="G425" s="102" t="s">
        <v>927</v>
      </c>
      <c r="H425" s="46" t="s">
        <v>18</v>
      </c>
      <c r="I425" s="47"/>
      <c r="J425" s="48" t="s">
        <v>42</v>
      </c>
      <c r="K425" s="83">
        <v>80171</v>
      </c>
      <c r="L425" s="103" t="s">
        <v>25</v>
      </c>
      <c r="M425" s="103" t="s">
        <v>26</v>
      </c>
      <c r="N425" s="14" t="s">
        <v>27</v>
      </c>
      <c r="O425" s="14" t="s">
        <v>28</v>
      </c>
      <c r="P425" s="51">
        <v>200</v>
      </c>
      <c r="Q425" s="47">
        <f t="shared" si="12"/>
        <v>400</v>
      </c>
      <c r="R425" s="47"/>
      <c r="S425" s="47"/>
      <c r="T425" s="47">
        <v>80171</v>
      </c>
    </row>
    <row r="426" customHeight="1" spans="1:20">
      <c r="A426" s="43">
        <v>80172</v>
      </c>
      <c r="B426" s="78" t="s">
        <v>928</v>
      </c>
      <c r="C426" s="78"/>
      <c r="D426" s="43">
        <v>2</v>
      </c>
      <c r="E426" s="78" t="s">
        <v>32</v>
      </c>
      <c r="F426" s="44">
        <f t="shared" si="13"/>
        <v>4</v>
      </c>
      <c r="G426" s="102" t="s">
        <v>929</v>
      </c>
      <c r="H426" s="46" t="s">
        <v>18</v>
      </c>
      <c r="I426" s="47"/>
      <c r="J426" s="48" t="s">
        <v>42</v>
      </c>
      <c r="K426" s="83">
        <v>80172</v>
      </c>
      <c r="L426" s="103" t="s">
        <v>25</v>
      </c>
      <c r="M426" s="103" t="s">
        <v>26</v>
      </c>
      <c r="N426" s="14" t="s">
        <v>27</v>
      </c>
      <c r="O426" s="14" t="s">
        <v>28</v>
      </c>
      <c r="P426" s="51">
        <v>50</v>
      </c>
      <c r="Q426" s="47">
        <f t="shared" si="12"/>
        <v>200</v>
      </c>
      <c r="R426" s="47"/>
      <c r="S426" s="47"/>
      <c r="T426" s="47">
        <v>80172</v>
      </c>
    </row>
    <row r="427" customHeight="1" spans="1:20">
      <c r="A427" s="6">
        <v>81</v>
      </c>
      <c r="B427" s="2" t="s">
        <v>930</v>
      </c>
      <c r="C427" s="2"/>
      <c r="D427" s="6"/>
      <c r="E427" s="2"/>
      <c r="F427" s="44">
        <f t="shared" si="13"/>
        <v>0</v>
      </c>
      <c r="G427" s="77"/>
      <c r="H427" s="46"/>
      <c r="I427" s="47"/>
      <c r="J427" s="48" t="s">
        <v>42</v>
      </c>
      <c r="K427" s="94"/>
      <c r="L427" s="95"/>
      <c r="M427" s="95"/>
      <c r="O427" s="14" t="s">
        <v>28</v>
      </c>
      <c r="P427" s="51"/>
      <c r="Q427" s="47">
        <f t="shared" si="12"/>
        <v>0</v>
      </c>
      <c r="R427" s="47"/>
      <c r="S427" s="47"/>
      <c r="T427" s="47">
        <v>81</v>
      </c>
    </row>
    <row r="428" customHeight="1" spans="1:20">
      <c r="A428" s="43">
        <v>81001</v>
      </c>
      <c r="B428" s="78" t="s">
        <v>931</v>
      </c>
      <c r="C428" s="78"/>
      <c r="D428" s="43">
        <f>D9</f>
        <v>28</v>
      </c>
      <c r="E428" s="78" t="s">
        <v>221</v>
      </c>
      <c r="F428" s="44">
        <f t="shared" si="13"/>
        <v>56</v>
      </c>
      <c r="G428" s="117" t="s">
        <v>932</v>
      </c>
      <c r="H428" s="46" t="s">
        <v>18</v>
      </c>
      <c r="I428" s="47"/>
      <c r="J428" s="48" t="s">
        <v>42</v>
      </c>
      <c r="K428" s="118">
        <v>81001</v>
      </c>
      <c r="L428" s="119" t="s">
        <v>25</v>
      </c>
      <c r="M428" s="119" t="s">
        <v>26</v>
      </c>
      <c r="N428" s="14" t="s">
        <v>27</v>
      </c>
      <c r="O428" s="14" t="s">
        <v>28</v>
      </c>
      <c r="P428" s="51">
        <v>4</v>
      </c>
      <c r="Q428" s="47">
        <f t="shared" si="12"/>
        <v>224</v>
      </c>
      <c r="R428" s="47"/>
      <c r="S428" s="47"/>
      <c r="T428" s="47">
        <v>81001</v>
      </c>
    </row>
    <row r="429" customHeight="1" spans="1:20">
      <c r="A429" s="43">
        <v>81002</v>
      </c>
      <c r="B429" s="78" t="s">
        <v>933</v>
      </c>
      <c r="C429" s="78"/>
      <c r="D429" s="43">
        <f>D9</f>
        <v>28</v>
      </c>
      <c r="E429" s="78" t="s">
        <v>221</v>
      </c>
      <c r="F429" s="44">
        <f t="shared" si="13"/>
        <v>56</v>
      </c>
      <c r="G429" s="85" t="s">
        <v>934</v>
      </c>
      <c r="H429" s="46" t="s">
        <v>18</v>
      </c>
      <c r="I429" s="47"/>
      <c r="J429" s="48" t="s">
        <v>42</v>
      </c>
      <c r="K429" s="86">
        <v>81002</v>
      </c>
      <c r="L429" s="87" t="s">
        <v>25</v>
      </c>
      <c r="M429" s="87" t="s">
        <v>26</v>
      </c>
      <c r="N429" s="14" t="s">
        <v>27</v>
      </c>
      <c r="O429" s="14" t="s">
        <v>28</v>
      </c>
      <c r="P429" s="51">
        <v>4</v>
      </c>
      <c r="Q429" s="47">
        <f t="shared" si="12"/>
        <v>224</v>
      </c>
      <c r="R429" s="47"/>
      <c r="S429" s="47"/>
      <c r="T429" s="47">
        <v>81002</v>
      </c>
    </row>
    <row r="430" customHeight="1" spans="1:20">
      <c r="A430" s="43">
        <v>81003</v>
      </c>
      <c r="B430" s="78" t="s">
        <v>935</v>
      </c>
      <c r="C430" s="78"/>
      <c r="D430" s="43">
        <f>D9</f>
        <v>28</v>
      </c>
      <c r="E430" s="78" t="s">
        <v>221</v>
      </c>
      <c r="F430" s="44">
        <f t="shared" si="13"/>
        <v>56</v>
      </c>
      <c r="G430" s="85" t="s">
        <v>936</v>
      </c>
      <c r="H430" s="46" t="s">
        <v>18</v>
      </c>
      <c r="I430" s="47"/>
      <c r="J430" s="48" t="s">
        <v>42</v>
      </c>
      <c r="K430" s="86">
        <v>81003</v>
      </c>
      <c r="L430" s="87" t="s">
        <v>25</v>
      </c>
      <c r="M430" s="87" t="s">
        <v>26</v>
      </c>
      <c r="N430" s="14" t="s">
        <v>27</v>
      </c>
      <c r="O430" s="14" t="s">
        <v>28</v>
      </c>
      <c r="P430" s="51">
        <v>4</v>
      </c>
      <c r="Q430" s="47">
        <f t="shared" si="12"/>
        <v>224</v>
      </c>
      <c r="R430" s="47"/>
      <c r="S430" s="47"/>
      <c r="T430" s="47">
        <v>81003</v>
      </c>
    </row>
    <row r="431" customHeight="1" spans="1:20">
      <c r="A431" s="43">
        <v>81004</v>
      </c>
      <c r="B431" s="78" t="s">
        <v>937</v>
      </c>
      <c r="C431" s="78"/>
      <c r="D431" s="43">
        <f>D9</f>
        <v>28</v>
      </c>
      <c r="E431" s="78" t="s">
        <v>21</v>
      </c>
      <c r="F431" s="44">
        <f t="shared" si="13"/>
        <v>56</v>
      </c>
      <c r="G431" s="85" t="s">
        <v>938</v>
      </c>
      <c r="H431" s="46" t="s">
        <v>18</v>
      </c>
      <c r="I431" s="47"/>
      <c r="J431" s="48" t="s">
        <v>42</v>
      </c>
      <c r="K431" s="86">
        <v>81004</v>
      </c>
      <c r="L431" s="87" t="s">
        <v>25</v>
      </c>
      <c r="M431" s="87" t="s">
        <v>26</v>
      </c>
      <c r="N431" s="14" t="s">
        <v>27</v>
      </c>
      <c r="O431" s="14" t="s">
        <v>28</v>
      </c>
      <c r="P431" s="51">
        <v>12</v>
      </c>
      <c r="Q431" s="47">
        <f t="shared" si="12"/>
        <v>672</v>
      </c>
      <c r="R431" s="47"/>
      <c r="S431" s="47"/>
      <c r="T431" s="47">
        <v>81004</v>
      </c>
    </row>
    <row r="432" customHeight="1" spans="1:20">
      <c r="A432" s="43">
        <v>81005</v>
      </c>
      <c r="B432" s="78" t="s">
        <v>939</v>
      </c>
      <c r="C432" s="78"/>
      <c r="D432" s="43">
        <v>1</v>
      </c>
      <c r="E432" s="78" t="s">
        <v>21</v>
      </c>
      <c r="F432" s="44">
        <f t="shared" si="13"/>
        <v>2</v>
      </c>
      <c r="G432" s="85" t="s">
        <v>940</v>
      </c>
      <c r="H432" s="46" t="s">
        <v>18</v>
      </c>
      <c r="I432" s="47"/>
      <c r="J432" s="48" t="s">
        <v>42</v>
      </c>
      <c r="K432" s="86">
        <v>81005</v>
      </c>
      <c r="L432" s="87" t="s">
        <v>25</v>
      </c>
      <c r="M432" s="87" t="s">
        <v>26</v>
      </c>
      <c r="N432" s="14" t="s">
        <v>27</v>
      </c>
      <c r="O432" s="14" t="s">
        <v>28</v>
      </c>
      <c r="P432" s="51">
        <v>11</v>
      </c>
      <c r="Q432" s="47">
        <f t="shared" si="12"/>
        <v>22</v>
      </c>
      <c r="R432" s="47"/>
      <c r="S432" s="47"/>
      <c r="T432" s="47">
        <v>81005</v>
      </c>
    </row>
    <row r="433" customHeight="1" spans="1:20">
      <c r="A433" s="43">
        <v>81006</v>
      </c>
      <c r="B433" s="78" t="s">
        <v>941</v>
      </c>
      <c r="C433" s="78"/>
      <c r="D433" s="43">
        <v>1</v>
      </c>
      <c r="E433" s="78" t="s">
        <v>21</v>
      </c>
      <c r="F433" s="44">
        <f t="shared" si="13"/>
        <v>2</v>
      </c>
      <c r="G433" s="85" t="s">
        <v>942</v>
      </c>
      <c r="H433" s="46" t="s">
        <v>18</v>
      </c>
      <c r="I433" s="47"/>
      <c r="J433" s="48" t="s">
        <v>42</v>
      </c>
      <c r="K433" s="86">
        <v>81006</v>
      </c>
      <c r="L433" s="87" t="s">
        <v>25</v>
      </c>
      <c r="M433" s="87" t="s">
        <v>26</v>
      </c>
      <c r="N433" s="14" t="s">
        <v>27</v>
      </c>
      <c r="O433" s="14" t="s">
        <v>28</v>
      </c>
      <c r="P433" s="51">
        <v>65</v>
      </c>
      <c r="Q433" s="47">
        <f t="shared" si="12"/>
        <v>130</v>
      </c>
      <c r="R433" s="47"/>
      <c r="S433" s="47"/>
      <c r="T433" s="47">
        <v>81006</v>
      </c>
    </row>
    <row r="434" customHeight="1" spans="1:20">
      <c r="A434" s="43">
        <v>81007</v>
      </c>
      <c r="B434" s="78" t="s">
        <v>943</v>
      </c>
      <c r="C434" s="78"/>
      <c r="D434" s="43">
        <v>1</v>
      </c>
      <c r="E434" s="78" t="s">
        <v>21</v>
      </c>
      <c r="F434" s="44">
        <f t="shared" si="13"/>
        <v>2</v>
      </c>
      <c r="G434" s="85" t="s">
        <v>944</v>
      </c>
      <c r="H434" s="46" t="s">
        <v>18</v>
      </c>
      <c r="I434" s="47"/>
      <c r="J434" s="48" t="s">
        <v>42</v>
      </c>
      <c r="K434" s="86">
        <v>81007</v>
      </c>
      <c r="L434" s="87" t="s">
        <v>25</v>
      </c>
      <c r="M434" s="87" t="s">
        <v>26</v>
      </c>
      <c r="N434" s="14" t="s">
        <v>27</v>
      </c>
      <c r="O434" s="14" t="s">
        <v>28</v>
      </c>
      <c r="P434" s="51">
        <v>10</v>
      </c>
      <c r="Q434" s="47">
        <f t="shared" si="12"/>
        <v>20</v>
      </c>
      <c r="R434" s="47"/>
      <c r="S434" s="47"/>
      <c r="T434" s="47">
        <v>81007</v>
      </c>
    </row>
    <row r="435" customHeight="1" spans="1:20">
      <c r="A435" s="43">
        <v>81009</v>
      </c>
      <c r="B435" s="78" t="s">
        <v>945</v>
      </c>
      <c r="C435" s="78"/>
      <c r="D435" s="43">
        <v>1</v>
      </c>
      <c r="E435" s="78" t="s">
        <v>21</v>
      </c>
      <c r="F435" s="44">
        <f t="shared" si="13"/>
        <v>2</v>
      </c>
      <c r="G435" s="85" t="s">
        <v>946</v>
      </c>
      <c r="H435" s="46" t="s">
        <v>18</v>
      </c>
      <c r="I435" s="47"/>
      <c r="J435" s="48" t="s">
        <v>42</v>
      </c>
      <c r="K435" s="86">
        <v>81009</v>
      </c>
      <c r="L435" s="87" t="s">
        <v>25</v>
      </c>
      <c r="M435" s="87" t="s">
        <v>26</v>
      </c>
      <c r="N435" s="14" t="s">
        <v>27</v>
      </c>
      <c r="O435" s="14" t="s">
        <v>28</v>
      </c>
      <c r="P435" s="51">
        <v>11</v>
      </c>
      <c r="Q435" s="47">
        <f t="shared" si="12"/>
        <v>22</v>
      </c>
      <c r="R435" s="47"/>
      <c r="S435" s="47"/>
      <c r="T435" s="47">
        <v>81009</v>
      </c>
    </row>
    <row r="436" customHeight="1" spans="1:20">
      <c r="A436" s="43">
        <v>81012</v>
      </c>
      <c r="B436" s="78" t="s">
        <v>947</v>
      </c>
      <c r="C436" s="78"/>
      <c r="D436" s="43">
        <v>1</v>
      </c>
      <c r="E436" s="78" t="s">
        <v>21</v>
      </c>
      <c r="F436" s="44">
        <f t="shared" si="13"/>
        <v>2</v>
      </c>
      <c r="G436" s="85" t="s">
        <v>948</v>
      </c>
      <c r="H436" s="46" t="s">
        <v>18</v>
      </c>
      <c r="I436" s="47"/>
      <c r="J436" s="48" t="s">
        <v>42</v>
      </c>
      <c r="K436" s="86">
        <v>81012</v>
      </c>
      <c r="L436" s="87" t="s">
        <v>25</v>
      </c>
      <c r="M436" s="87" t="s">
        <v>26</v>
      </c>
      <c r="N436" s="14" t="s">
        <v>27</v>
      </c>
      <c r="O436" s="14" t="s">
        <v>28</v>
      </c>
      <c r="P436" s="51">
        <v>15</v>
      </c>
      <c r="Q436" s="47">
        <f t="shared" si="12"/>
        <v>30</v>
      </c>
      <c r="R436" s="47"/>
      <c r="S436" s="47"/>
      <c r="T436" s="47">
        <v>81012</v>
      </c>
    </row>
    <row r="437" customHeight="1" spans="1:20">
      <c r="A437" s="43">
        <v>81013</v>
      </c>
      <c r="B437" s="78" t="s">
        <v>949</v>
      </c>
      <c r="C437" s="78"/>
      <c r="D437" s="43">
        <v>1</v>
      </c>
      <c r="E437" s="78" t="s">
        <v>21</v>
      </c>
      <c r="F437" s="44">
        <f t="shared" si="13"/>
        <v>2</v>
      </c>
      <c r="G437" s="91" t="s">
        <v>950</v>
      </c>
      <c r="H437" s="46" t="s">
        <v>18</v>
      </c>
      <c r="I437" s="47"/>
      <c r="J437" s="48" t="s">
        <v>42</v>
      </c>
      <c r="K437" s="92">
        <v>81013</v>
      </c>
      <c r="L437" s="93" t="s">
        <v>25</v>
      </c>
      <c r="M437" s="93" t="s">
        <v>26</v>
      </c>
      <c r="N437" s="14" t="s">
        <v>27</v>
      </c>
      <c r="O437" s="14" t="s">
        <v>28</v>
      </c>
      <c r="P437" s="51">
        <v>12</v>
      </c>
      <c r="Q437" s="47">
        <f t="shared" si="12"/>
        <v>24</v>
      </c>
      <c r="R437" s="47"/>
      <c r="S437" s="47"/>
      <c r="T437" s="47">
        <v>81013</v>
      </c>
    </row>
    <row r="438" customHeight="1" spans="1:20">
      <c r="A438" s="43">
        <v>81014</v>
      </c>
      <c r="B438" s="78" t="s">
        <v>951</v>
      </c>
      <c r="C438" s="78"/>
      <c r="D438" s="43">
        <v>1</v>
      </c>
      <c r="E438" s="78" t="s">
        <v>21</v>
      </c>
      <c r="F438" s="44">
        <f t="shared" si="13"/>
        <v>2</v>
      </c>
      <c r="G438" s="85" t="s">
        <v>952</v>
      </c>
      <c r="H438" s="46" t="s">
        <v>18</v>
      </c>
      <c r="I438" s="47"/>
      <c r="J438" s="48" t="s">
        <v>42</v>
      </c>
      <c r="K438" s="86">
        <v>81014</v>
      </c>
      <c r="L438" s="87" t="s">
        <v>25</v>
      </c>
      <c r="M438" s="87" t="s">
        <v>26</v>
      </c>
      <c r="N438" s="14" t="s">
        <v>27</v>
      </c>
      <c r="O438" s="14" t="s">
        <v>28</v>
      </c>
      <c r="P438" s="51">
        <v>22</v>
      </c>
      <c r="Q438" s="47">
        <f t="shared" si="12"/>
        <v>44</v>
      </c>
      <c r="R438" s="47"/>
      <c r="S438" s="47"/>
      <c r="T438" s="47">
        <v>81014</v>
      </c>
    </row>
    <row r="439" customHeight="1" spans="1:20">
      <c r="A439" s="43">
        <v>81015</v>
      </c>
      <c r="B439" s="78" t="s">
        <v>953</v>
      </c>
      <c r="C439" s="78"/>
      <c r="D439" s="43">
        <v>1</v>
      </c>
      <c r="E439" s="78" t="s">
        <v>21</v>
      </c>
      <c r="F439" s="44">
        <f t="shared" si="13"/>
        <v>2</v>
      </c>
      <c r="G439" s="85" t="s">
        <v>954</v>
      </c>
      <c r="H439" s="46" t="s">
        <v>18</v>
      </c>
      <c r="I439" s="47"/>
      <c r="J439" s="48" t="s">
        <v>42</v>
      </c>
      <c r="K439" s="86">
        <v>81015</v>
      </c>
      <c r="L439" s="87" t="s">
        <v>25</v>
      </c>
      <c r="M439" s="87" t="s">
        <v>26</v>
      </c>
      <c r="N439" s="14" t="s">
        <v>27</v>
      </c>
      <c r="O439" s="14" t="s">
        <v>28</v>
      </c>
      <c r="P439" s="51">
        <v>11</v>
      </c>
      <c r="Q439" s="47">
        <f t="shared" si="12"/>
        <v>22</v>
      </c>
      <c r="R439" s="47"/>
      <c r="S439" s="47"/>
      <c r="T439" s="47">
        <v>81015</v>
      </c>
    </row>
    <row r="440" customHeight="1" spans="1:20">
      <c r="A440" s="43">
        <v>81016</v>
      </c>
      <c r="B440" s="78" t="s">
        <v>955</v>
      </c>
      <c r="C440" s="78"/>
      <c r="D440" s="43">
        <v>1</v>
      </c>
      <c r="E440" s="78" t="s">
        <v>21</v>
      </c>
      <c r="F440" s="44">
        <f t="shared" si="13"/>
        <v>2</v>
      </c>
      <c r="G440" s="85" t="s">
        <v>956</v>
      </c>
      <c r="H440" s="46" t="s">
        <v>18</v>
      </c>
      <c r="I440" s="47"/>
      <c r="J440" s="48" t="s">
        <v>42</v>
      </c>
      <c r="K440" s="86">
        <v>81016</v>
      </c>
      <c r="L440" s="87" t="s">
        <v>25</v>
      </c>
      <c r="M440" s="87" t="s">
        <v>26</v>
      </c>
      <c r="N440" s="14" t="s">
        <v>27</v>
      </c>
      <c r="O440" s="14" t="s">
        <v>28</v>
      </c>
      <c r="P440" s="51">
        <v>8</v>
      </c>
      <c r="Q440" s="47">
        <f t="shared" si="12"/>
        <v>16</v>
      </c>
      <c r="R440" s="47"/>
      <c r="S440" s="47"/>
      <c r="T440" s="47">
        <v>81016</v>
      </c>
    </row>
    <row r="441" customHeight="1" spans="1:20">
      <c r="A441" s="43">
        <v>81017</v>
      </c>
      <c r="B441" s="78" t="s">
        <v>957</v>
      </c>
      <c r="C441" s="78"/>
      <c r="D441" s="43">
        <v>1</v>
      </c>
      <c r="E441" s="78" t="s">
        <v>21</v>
      </c>
      <c r="F441" s="44">
        <f t="shared" si="13"/>
        <v>2</v>
      </c>
      <c r="G441" s="85" t="s">
        <v>958</v>
      </c>
      <c r="H441" s="46" t="s">
        <v>18</v>
      </c>
      <c r="I441" s="47"/>
      <c r="J441" s="48" t="s">
        <v>42</v>
      </c>
      <c r="K441" s="86">
        <v>81017</v>
      </c>
      <c r="L441" s="87" t="s">
        <v>25</v>
      </c>
      <c r="M441" s="87" t="s">
        <v>26</v>
      </c>
      <c r="N441" s="14" t="s">
        <v>27</v>
      </c>
      <c r="O441" s="14" t="s">
        <v>28</v>
      </c>
      <c r="P441" s="51">
        <v>10</v>
      </c>
      <c r="Q441" s="47">
        <f t="shared" si="12"/>
        <v>20</v>
      </c>
      <c r="R441" s="47"/>
      <c r="S441" s="47"/>
      <c r="T441" s="47">
        <v>81017</v>
      </c>
    </row>
    <row r="442" customHeight="1" spans="1:20">
      <c r="A442" s="43">
        <v>81018</v>
      </c>
      <c r="B442" s="78" t="s">
        <v>959</v>
      </c>
      <c r="C442" s="78"/>
      <c r="D442" s="43">
        <v>1</v>
      </c>
      <c r="E442" s="78" t="s">
        <v>21</v>
      </c>
      <c r="F442" s="44">
        <f t="shared" si="13"/>
        <v>2</v>
      </c>
      <c r="G442" s="85" t="s">
        <v>958</v>
      </c>
      <c r="H442" s="46" t="s">
        <v>18</v>
      </c>
      <c r="I442" s="47"/>
      <c r="J442" s="48" t="s">
        <v>42</v>
      </c>
      <c r="K442" s="86">
        <v>81018</v>
      </c>
      <c r="L442" s="87" t="s">
        <v>25</v>
      </c>
      <c r="M442" s="87" t="s">
        <v>26</v>
      </c>
      <c r="N442" s="14" t="s">
        <v>27</v>
      </c>
      <c r="O442" s="14" t="s">
        <v>28</v>
      </c>
      <c r="P442" s="51">
        <v>10</v>
      </c>
      <c r="Q442" s="47">
        <f t="shared" si="12"/>
        <v>20</v>
      </c>
      <c r="R442" s="47"/>
      <c r="S442" s="47"/>
      <c r="T442" s="47">
        <v>81018</v>
      </c>
    </row>
    <row r="443" customHeight="1" spans="1:20">
      <c r="A443" s="43">
        <v>81019</v>
      </c>
      <c r="B443" s="78" t="s">
        <v>960</v>
      </c>
      <c r="C443" s="78"/>
      <c r="D443" s="43">
        <v>1</v>
      </c>
      <c r="E443" s="78" t="s">
        <v>32</v>
      </c>
      <c r="F443" s="44">
        <f t="shared" si="13"/>
        <v>2</v>
      </c>
      <c r="G443" s="85" t="s">
        <v>961</v>
      </c>
      <c r="H443" s="46" t="s">
        <v>18</v>
      </c>
      <c r="I443" s="47"/>
      <c r="J443" s="48" t="s">
        <v>42</v>
      </c>
      <c r="K443" s="86">
        <v>81019</v>
      </c>
      <c r="L443" s="87" t="s">
        <v>25</v>
      </c>
      <c r="M443" s="87" t="s">
        <v>26</v>
      </c>
      <c r="N443" s="14" t="s">
        <v>27</v>
      </c>
      <c r="O443" s="14" t="s">
        <v>28</v>
      </c>
      <c r="P443" s="51">
        <v>32</v>
      </c>
      <c r="Q443" s="47">
        <f t="shared" si="12"/>
        <v>64</v>
      </c>
      <c r="R443" s="47"/>
      <c r="S443" s="47"/>
      <c r="T443" s="47">
        <v>81019</v>
      </c>
    </row>
    <row r="444" customHeight="1" spans="1:20">
      <c r="A444" s="43">
        <v>81020</v>
      </c>
      <c r="B444" s="78" t="s">
        <v>962</v>
      </c>
      <c r="C444" s="78"/>
      <c r="D444" s="43">
        <v>2</v>
      </c>
      <c r="E444" s="78" t="s">
        <v>21</v>
      </c>
      <c r="F444" s="44">
        <f t="shared" si="13"/>
        <v>4</v>
      </c>
      <c r="G444" s="91" t="s">
        <v>963</v>
      </c>
      <c r="H444" s="46" t="s">
        <v>18</v>
      </c>
      <c r="I444" s="47"/>
      <c r="J444" s="48" t="s">
        <v>42</v>
      </c>
      <c r="K444" s="92">
        <v>81020</v>
      </c>
      <c r="L444" s="93" t="s">
        <v>25</v>
      </c>
      <c r="M444" s="93" t="s">
        <v>26</v>
      </c>
      <c r="N444" s="14" t="s">
        <v>27</v>
      </c>
      <c r="O444" s="14" t="s">
        <v>28</v>
      </c>
      <c r="P444" s="51">
        <v>12</v>
      </c>
      <c r="Q444" s="47">
        <f t="shared" si="12"/>
        <v>48</v>
      </c>
      <c r="R444" s="47"/>
      <c r="S444" s="47"/>
      <c r="T444" s="47">
        <v>81020</v>
      </c>
    </row>
    <row r="445" customHeight="1" spans="1:20">
      <c r="A445" s="43">
        <v>81021</v>
      </c>
      <c r="B445" s="78" t="s">
        <v>964</v>
      </c>
      <c r="C445" s="78"/>
      <c r="D445" s="43">
        <v>1</v>
      </c>
      <c r="E445" s="78" t="s">
        <v>21</v>
      </c>
      <c r="F445" s="44">
        <f t="shared" si="13"/>
        <v>2</v>
      </c>
      <c r="G445" s="85" t="s">
        <v>965</v>
      </c>
      <c r="H445" s="46" t="s">
        <v>18</v>
      </c>
      <c r="I445" s="47"/>
      <c r="J445" s="48" t="s">
        <v>42</v>
      </c>
      <c r="K445" s="86">
        <v>81021</v>
      </c>
      <c r="L445" s="87" t="s">
        <v>25</v>
      </c>
      <c r="M445" s="87" t="s">
        <v>26</v>
      </c>
      <c r="N445" s="14" t="s">
        <v>27</v>
      </c>
      <c r="O445" s="14" t="s">
        <v>28</v>
      </c>
      <c r="P445" s="51">
        <v>60</v>
      </c>
      <c r="Q445" s="47">
        <f t="shared" si="12"/>
        <v>120</v>
      </c>
      <c r="R445" s="47"/>
      <c r="S445" s="47"/>
      <c r="T445" s="47">
        <v>81021</v>
      </c>
    </row>
    <row r="446" customHeight="1" spans="1:20">
      <c r="A446" s="43">
        <v>81022</v>
      </c>
      <c r="B446" s="78" t="s">
        <v>966</v>
      </c>
      <c r="C446" s="78"/>
      <c r="D446" s="43">
        <v>1</v>
      </c>
      <c r="E446" s="78" t="s">
        <v>21</v>
      </c>
      <c r="F446" s="44">
        <f t="shared" si="13"/>
        <v>2</v>
      </c>
      <c r="G446" s="85" t="s">
        <v>967</v>
      </c>
      <c r="H446" s="46" t="s">
        <v>18</v>
      </c>
      <c r="I446" s="47"/>
      <c r="J446" s="48" t="s">
        <v>42</v>
      </c>
      <c r="K446" s="86">
        <v>81022</v>
      </c>
      <c r="L446" s="87" t="s">
        <v>25</v>
      </c>
      <c r="M446" s="87" t="s">
        <v>26</v>
      </c>
      <c r="N446" s="14" t="s">
        <v>27</v>
      </c>
      <c r="O446" s="14" t="s">
        <v>28</v>
      </c>
      <c r="P446" s="51">
        <v>12</v>
      </c>
      <c r="Q446" s="47">
        <f t="shared" si="12"/>
        <v>24</v>
      </c>
      <c r="R446" s="47"/>
      <c r="S446" s="47"/>
      <c r="T446" s="47">
        <v>81022</v>
      </c>
    </row>
    <row r="447" customHeight="1" spans="1:20">
      <c r="A447" s="43">
        <v>81024</v>
      </c>
      <c r="B447" s="78" t="s">
        <v>968</v>
      </c>
      <c r="C447" s="78"/>
      <c r="D447" s="43">
        <v>2</v>
      </c>
      <c r="E447" s="78" t="s">
        <v>221</v>
      </c>
      <c r="F447" s="44">
        <f t="shared" si="13"/>
        <v>4</v>
      </c>
      <c r="G447" s="85" t="s">
        <v>969</v>
      </c>
      <c r="H447" s="46" t="s">
        <v>18</v>
      </c>
      <c r="I447" s="47"/>
      <c r="J447" s="48" t="s">
        <v>42</v>
      </c>
      <c r="K447" s="86">
        <v>81024</v>
      </c>
      <c r="L447" s="87" t="s">
        <v>970</v>
      </c>
      <c r="M447" s="87" t="s">
        <v>971</v>
      </c>
      <c r="N447" s="14" t="s">
        <v>27</v>
      </c>
      <c r="O447" s="14" t="s">
        <v>28</v>
      </c>
      <c r="P447" s="51">
        <v>48</v>
      </c>
      <c r="Q447" s="47">
        <f t="shared" si="12"/>
        <v>192</v>
      </c>
      <c r="R447" s="47"/>
      <c r="S447" s="47"/>
      <c r="T447" s="47">
        <v>81024</v>
      </c>
    </row>
    <row r="448" customHeight="1" spans="1:20">
      <c r="A448" s="43">
        <v>81025</v>
      </c>
      <c r="B448" s="78" t="s">
        <v>972</v>
      </c>
      <c r="C448" s="78"/>
      <c r="D448" s="43">
        <v>1</v>
      </c>
      <c r="E448" s="78" t="s">
        <v>21</v>
      </c>
      <c r="F448" s="44">
        <f t="shared" si="13"/>
        <v>2</v>
      </c>
      <c r="G448" s="85" t="s">
        <v>973</v>
      </c>
      <c r="H448" s="46" t="s">
        <v>18</v>
      </c>
      <c r="I448" s="47"/>
      <c r="J448" s="48" t="s">
        <v>42</v>
      </c>
      <c r="K448" s="86">
        <v>81025</v>
      </c>
      <c r="L448" s="87" t="s">
        <v>25</v>
      </c>
      <c r="M448" s="87" t="s">
        <v>26</v>
      </c>
      <c r="N448" s="14" t="s">
        <v>27</v>
      </c>
      <c r="O448" s="14" t="s">
        <v>28</v>
      </c>
      <c r="P448" s="51">
        <v>65</v>
      </c>
      <c r="Q448" s="47">
        <f t="shared" si="12"/>
        <v>130</v>
      </c>
      <c r="R448" s="47"/>
      <c r="S448" s="47"/>
      <c r="T448" s="47">
        <v>81025</v>
      </c>
    </row>
    <row r="449" customHeight="1" spans="1:20">
      <c r="A449" s="43">
        <v>81026</v>
      </c>
      <c r="B449" s="78" t="s">
        <v>974</v>
      </c>
      <c r="C449" s="78"/>
      <c r="D449" s="43">
        <v>1</v>
      </c>
      <c r="E449" s="78" t="s">
        <v>54</v>
      </c>
      <c r="F449" s="44">
        <f t="shared" si="13"/>
        <v>2</v>
      </c>
      <c r="G449" s="85" t="s">
        <v>975</v>
      </c>
      <c r="H449" s="46" t="s">
        <v>18</v>
      </c>
      <c r="I449" s="47"/>
      <c r="J449" s="48" t="s">
        <v>42</v>
      </c>
      <c r="K449" s="86">
        <v>81026</v>
      </c>
      <c r="L449" s="87" t="s">
        <v>976</v>
      </c>
      <c r="M449" s="87" t="s">
        <v>977</v>
      </c>
      <c r="N449" s="14" t="s">
        <v>27</v>
      </c>
      <c r="O449" s="14" t="s">
        <v>28</v>
      </c>
      <c r="P449" s="51">
        <v>600</v>
      </c>
      <c r="Q449" s="47">
        <f t="shared" si="12"/>
        <v>1200</v>
      </c>
      <c r="R449" s="47"/>
      <c r="S449" s="47"/>
      <c r="T449" s="47">
        <v>81026</v>
      </c>
    </row>
    <row r="450" customHeight="1" spans="1:20">
      <c r="A450" s="43">
        <v>81027</v>
      </c>
      <c r="B450" s="78" t="s">
        <v>978</v>
      </c>
      <c r="C450" s="78"/>
      <c r="D450" s="43">
        <v>1</v>
      </c>
      <c r="E450" s="78" t="s">
        <v>54</v>
      </c>
      <c r="F450" s="44">
        <f t="shared" si="13"/>
        <v>2</v>
      </c>
      <c r="G450" s="85" t="s">
        <v>979</v>
      </c>
      <c r="H450" s="46" t="s">
        <v>18</v>
      </c>
      <c r="I450" s="47"/>
      <c r="J450" s="48" t="s">
        <v>42</v>
      </c>
      <c r="K450" s="86">
        <v>81027</v>
      </c>
      <c r="L450" s="87" t="s">
        <v>980</v>
      </c>
      <c r="M450" s="87" t="s">
        <v>981</v>
      </c>
      <c r="N450" s="14" t="s">
        <v>27</v>
      </c>
      <c r="O450" s="14" t="s">
        <v>28</v>
      </c>
      <c r="P450" s="51">
        <v>165</v>
      </c>
      <c r="Q450" s="47">
        <f t="shared" si="12"/>
        <v>330</v>
      </c>
      <c r="R450" s="47"/>
      <c r="S450" s="47"/>
      <c r="T450" s="47">
        <v>81027</v>
      </c>
    </row>
    <row r="451" customHeight="1" spans="1:20">
      <c r="A451" s="43">
        <v>81028</v>
      </c>
      <c r="B451" s="78" t="s">
        <v>982</v>
      </c>
      <c r="C451" s="78"/>
      <c r="D451" s="43">
        <v>2</v>
      </c>
      <c r="E451" s="78" t="s">
        <v>32</v>
      </c>
      <c r="F451" s="44">
        <f t="shared" si="13"/>
        <v>4</v>
      </c>
      <c r="G451" s="85" t="s">
        <v>983</v>
      </c>
      <c r="H451" s="46" t="s">
        <v>18</v>
      </c>
      <c r="I451" s="47"/>
      <c r="J451" s="48" t="s">
        <v>42</v>
      </c>
      <c r="K451" s="86">
        <v>81028</v>
      </c>
      <c r="L451" s="87" t="s">
        <v>25</v>
      </c>
      <c r="M451" s="87" t="s">
        <v>26</v>
      </c>
      <c r="N451" s="14" t="s">
        <v>27</v>
      </c>
      <c r="O451" s="14" t="s">
        <v>28</v>
      </c>
      <c r="P451" s="51">
        <v>70</v>
      </c>
      <c r="Q451" s="47">
        <f t="shared" si="12"/>
        <v>280</v>
      </c>
      <c r="R451" s="47"/>
      <c r="S451" s="47"/>
      <c r="T451" s="47">
        <v>81028</v>
      </c>
    </row>
    <row r="452" customHeight="1" spans="1:20">
      <c r="A452" s="43">
        <v>81029</v>
      </c>
      <c r="B452" s="78" t="s">
        <v>984</v>
      </c>
      <c r="C452" s="78"/>
      <c r="D452" s="43">
        <v>1</v>
      </c>
      <c r="E452" s="78" t="s">
        <v>54</v>
      </c>
      <c r="F452" s="44">
        <f t="shared" si="13"/>
        <v>2</v>
      </c>
      <c r="G452" s="85" t="s">
        <v>985</v>
      </c>
      <c r="H452" s="46" t="s">
        <v>18</v>
      </c>
      <c r="I452" s="47"/>
      <c r="J452" s="48" t="s">
        <v>42</v>
      </c>
      <c r="K452" s="86">
        <v>81029</v>
      </c>
      <c r="L452" s="87" t="s">
        <v>25</v>
      </c>
      <c r="M452" s="87" t="s">
        <v>26</v>
      </c>
      <c r="N452" s="14" t="s">
        <v>27</v>
      </c>
      <c r="O452" s="14" t="s">
        <v>28</v>
      </c>
      <c r="P452" s="51">
        <v>145</v>
      </c>
      <c r="Q452" s="47">
        <f t="shared" ref="Q452:Q515" si="14">P452*F452</f>
        <v>290</v>
      </c>
      <c r="R452" s="47"/>
      <c r="S452" s="47"/>
      <c r="T452" s="47">
        <v>81029</v>
      </c>
    </row>
    <row r="453" customHeight="1" spans="1:20">
      <c r="A453" s="43">
        <v>81031</v>
      </c>
      <c r="B453" s="78" t="s">
        <v>986</v>
      </c>
      <c r="C453" s="78"/>
      <c r="D453" s="43">
        <v>1</v>
      </c>
      <c r="E453" s="78" t="s">
        <v>54</v>
      </c>
      <c r="F453" s="44">
        <f t="shared" si="13"/>
        <v>2</v>
      </c>
      <c r="G453" s="85" t="s">
        <v>987</v>
      </c>
      <c r="H453" s="46" t="s">
        <v>18</v>
      </c>
      <c r="I453" s="47"/>
      <c r="J453" s="48" t="s">
        <v>42</v>
      </c>
      <c r="K453" s="86">
        <v>81031</v>
      </c>
      <c r="L453" s="87" t="s">
        <v>988</v>
      </c>
      <c r="M453" s="87" t="s">
        <v>989</v>
      </c>
      <c r="N453" s="14" t="s">
        <v>27</v>
      </c>
      <c r="O453" s="14" t="s">
        <v>28</v>
      </c>
      <c r="P453" s="51">
        <v>280</v>
      </c>
      <c r="Q453" s="47">
        <f t="shared" si="14"/>
        <v>560</v>
      </c>
      <c r="R453" s="47"/>
      <c r="S453" s="47"/>
      <c r="T453" s="47">
        <v>81031</v>
      </c>
    </row>
    <row r="454" customHeight="1" spans="1:20">
      <c r="A454" s="43">
        <v>81033</v>
      </c>
      <c r="B454" s="78" t="s">
        <v>990</v>
      </c>
      <c r="C454" s="78"/>
      <c r="D454" s="43">
        <v>1</v>
      </c>
      <c r="E454" s="78" t="s">
        <v>21</v>
      </c>
      <c r="F454" s="44">
        <f t="shared" si="13"/>
        <v>2</v>
      </c>
      <c r="G454" s="102" t="s">
        <v>991</v>
      </c>
      <c r="H454" s="46" t="s">
        <v>18</v>
      </c>
      <c r="I454" s="47"/>
      <c r="J454" s="48" t="s">
        <v>42</v>
      </c>
      <c r="K454" s="83">
        <v>81033</v>
      </c>
      <c r="L454" s="103" t="s">
        <v>25</v>
      </c>
      <c r="M454" s="103" t="s">
        <v>26</v>
      </c>
      <c r="N454" s="14" t="s">
        <v>27</v>
      </c>
      <c r="O454" s="14" t="s">
        <v>28</v>
      </c>
      <c r="P454" s="51">
        <v>600</v>
      </c>
      <c r="Q454" s="47">
        <f t="shared" si="14"/>
        <v>1200</v>
      </c>
      <c r="R454" s="47"/>
      <c r="S454" s="47"/>
      <c r="T454" s="47">
        <v>81033</v>
      </c>
    </row>
    <row r="455" customHeight="1" spans="1:20">
      <c r="A455" s="43">
        <v>81035</v>
      </c>
      <c r="B455" s="78" t="s">
        <v>992</v>
      </c>
      <c r="C455" s="78"/>
      <c r="D455" s="43">
        <v>2</v>
      </c>
      <c r="E455" s="78" t="s">
        <v>21</v>
      </c>
      <c r="F455" s="44">
        <f t="shared" si="13"/>
        <v>4</v>
      </c>
      <c r="G455" s="82" t="s">
        <v>993</v>
      </c>
      <c r="H455" s="46" t="s">
        <v>18</v>
      </c>
      <c r="I455" s="47"/>
      <c r="J455" s="48" t="s">
        <v>42</v>
      </c>
      <c r="K455" s="83">
        <v>81035</v>
      </c>
      <c r="L455" s="84" t="s">
        <v>25</v>
      </c>
      <c r="M455" s="84" t="s">
        <v>26</v>
      </c>
      <c r="N455" s="14" t="s">
        <v>27</v>
      </c>
      <c r="O455" s="14" t="s">
        <v>28</v>
      </c>
      <c r="P455" s="51">
        <v>12</v>
      </c>
      <c r="Q455" s="47">
        <f t="shared" si="14"/>
        <v>48</v>
      </c>
      <c r="R455" s="47"/>
      <c r="S455" s="47"/>
      <c r="T455" s="47">
        <v>81035</v>
      </c>
    </row>
    <row r="456" customHeight="1" spans="1:20">
      <c r="A456" s="43">
        <v>81036</v>
      </c>
      <c r="B456" s="78" t="s">
        <v>994</v>
      </c>
      <c r="C456" s="78"/>
      <c r="D456" s="43">
        <v>2</v>
      </c>
      <c r="E456" s="78" t="s">
        <v>21</v>
      </c>
      <c r="F456" s="44">
        <f t="shared" si="13"/>
        <v>4</v>
      </c>
      <c r="G456" s="85" t="s">
        <v>995</v>
      </c>
      <c r="H456" s="46" t="s">
        <v>18</v>
      </c>
      <c r="I456" s="47"/>
      <c r="J456" s="48" t="s">
        <v>42</v>
      </c>
      <c r="K456" s="86">
        <v>81036</v>
      </c>
      <c r="L456" s="87" t="s">
        <v>25</v>
      </c>
      <c r="M456" s="87" t="s">
        <v>26</v>
      </c>
      <c r="N456" s="14" t="s">
        <v>27</v>
      </c>
      <c r="O456" s="14" t="s">
        <v>28</v>
      </c>
      <c r="P456" s="51">
        <v>12</v>
      </c>
      <c r="Q456" s="47">
        <f t="shared" si="14"/>
        <v>48</v>
      </c>
      <c r="R456" s="47"/>
      <c r="S456" s="47"/>
      <c r="T456" s="47">
        <v>81036</v>
      </c>
    </row>
    <row r="457" customHeight="1" spans="1:20">
      <c r="A457" s="43">
        <v>81037</v>
      </c>
      <c r="B457" s="78" t="s">
        <v>996</v>
      </c>
      <c r="C457" s="78"/>
      <c r="D457" s="43">
        <v>1</v>
      </c>
      <c r="E457" s="78" t="s">
        <v>21</v>
      </c>
      <c r="F457" s="44">
        <f t="shared" ref="F457:F462" si="15">D457*2</f>
        <v>2</v>
      </c>
      <c r="G457" s="85" t="s">
        <v>997</v>
      </c>
      <c r="H457" s="46" t="s">
        <v>18</v>
      </c>
      <c r="I457" s="47"/>
      <c r="J457" s="48" t="s">
        <v>42</v>
      </c>
      <c r="K457" s="86">
        <v>81037</v>
      </c>
      <c r="L457" s="87" t="s">
        <v>25</v>
      </c>
      <c r="M457" s="87" t="s">
        <v>26</v>
      </c>
      <c r="N457" s="14" t="s">
        <v>27</v>
      </c>
      <c r="O457" s="14" t="s">
        <v>28</v>
      </c>
      <c r="P457" s="51">
        <v>10</v>
      </c>
      <c r="Q457" s="47">
        <f t="shared" si="14"/>
        <v>20</v>
      </c>
      <c r="R457" s="47"/>
      <c r="S457" s="47"/>
      <c r="T457" s="47">
        <v>81037</v>
      </c>
    </row>
    <row r="458" customHeight="1" spans="1:20">
      <c r="A458" s="43">
        <v>81038</v>
      </c>
      <c r="B458" s="78" t="s">
        <v>998</v>
      </c>
      <c r="C458" s="78"/>
      <c r="D458" s="43">
        <v>1</v>
      </c>
      <c r="E458" s="78" t="s">
        <v>21</v>
      </c>
      <c r="F458" s="44">
        <f t="shared" si="15"/>
        <v>2</v>
      </c>
      <c r="G458" s="85" t="s">
        <v>999</v>
      </c>
      <c r="H458" s="46" t="s">
        <v>18</v>
      </c>
      <c r="I458" s="47"/>
      <c r="J458" s="48" t="s">
        <v>42</v>
      </c>
      <c r="K458" s="86">
        <v>81038</v>
      </c>
      <c r="L458" s="87" t="s">
        <v>25</v>
      </c>
      <c r="M458" s="87" t="s">
        <v>26</v>
      </c>
      <c r="N458" s="14" t="s">
        <v>27</v>
      </c>
      <c r="O458" s="14" t="s">
        <v>28</v>
      </c>
      <c r="P458" s="51">
        <v>14</v>
      </c>
      <c r="Q458" s="47">
        <f t="shared" si="14"/>
        <v>28</v>
      </c>
      <c r="R458" s="47"/>
      <c r="S458" s="47"/>
      <c r="T458" s="47">
        <v>81038</v>
      </c>
    </row>
    <row r="459" customHeight="1" spans="1:20">
      <c r="A459" s="6">
        <v>82</v>
      </c>
      <c r="B459" s="2" t="s">
        <v>1000</v>
      </c>
      <c r="C459" s="2"/>
      <c r="D459" s="6"/>
      <c r="E459" s="2"/>
      <c r="F459" s="44">
        <f t="shared" si="15"/>
        <v>0</v>
      </c>
      <c r="G459" s="77"/>
      <c r="H459" s="46"/>
      <c r="I459" s="47"/>
      <c r="J459" s="48" t="s">
        <v>42</v>
      </c>
      <c r="K459" s="94"/>
      <c r="L459" s="95"/>
      <c r="M459" s="95"/>
      <c r="O459" s="14" t="s">
        <v>28</v>
      </c>
      <c r="P459" s="51"/>
      <c r="Q459" s="47">
        <f t="shared" si="14"/>
        <v>0</v>
      </c>
      <c r="R459" s="47"/>
      <c r="S459" s="47"/>
      <c r="T459" s="47">
        <v>82</v>
      </c>
    </row>
    <row r="460" customHeight="1" spans="1:20">
      <c r="A460" s="43">
        <v>82001</v>
      </c>
      <c r="B460" s="78" t="s">
        <v>1001</v>
      </c>
      <c r="C460" s="78"/>
      <c r="D460" s="43">
        <v>10</v>
      </c>
      <c r="E460" s="78" t="s">
        <v>1002</v>
      </c>
      <c r="F460" s="44">
        <f t="shared" si="15"/>
        <v>20</v>
      </c>
      <c r="G460" s="123" t="s">
        <v>1003</v>
      </c>
      <c r="H460" s="46" t="s">
        <v>18</v>
      </c>
      <c r="I460" s="47"/>
      <c r="J460" s="48" t="s">
        <v>42</v>
      </c>
      <c r="K460" s="124">
        <v>82001</v>
      </c>
      <c r="L460" s="125" t="s">
        <v>25</v>
      </c>
      <c r="M460" s="125" t="s">
        <v>26</v>
      </c>
      <c r="N460" s="14" t="s">
        <v>27</v>
      </c>
      <c r="O460" s="14" t="s">
        <v>28</v>
      </c>
      <c r="P460" s="51">
        <v>29</v>
      </c>
      <c r="Q460" s="47">
        <f t="shared" si="14"/>
        <v>580</v>
      </c>
      <c r="R460" s="47"/>
      <c r="S460" s="47"/>
      <c r="T460" s="47">
        <v>82001</v>
      </c>
    </row>
    <row r="461" customHeight="1" spans="1:20">
      <c r="A461" s="43">
        <v>82002</v>
      </c>
      <c r="B461" s="126" t="s">
        <v>1004</v>
      </c>
      <c r="C461" s="126"/>
      <c r="D461" s="43">
        <f>D9*2</f>
        <v>56</v>
      </c>
      <c r="E461" s="78" t="s">
        <v>21</v>
      </c>
      <c r="F461" s="44">
        <f t="shared" si="15"/>
        <v>112</v>
      </c>
      <c r="G461" s="85" t="s">
        <v>1005</v>
      </c>
      <c r="H461" s="46" t="s">
        <v>18</v>
      </c>
      <c r="I461" s="47"/>
      <c r="J461" s="48" t="s">
        <v>42</v>
      </c>
      <c r="K461" s="86">
        <v>82002</v>
      </c>
      <c r="L461" s="87" t="s">
        <v>25</v>
      </c>
      <c r="M461" s="87" t="s">
        <v>26</v>
      </c>
      <c r="N461" s="14" t="s">
        <v>27</v>
      </c>
      <c r="O461" s="14" t="s">
        <v>28</v>
      </c>
      <c r="P461" s="51">
        <v>15</v>
      </c>
      <c r="Q461" s="47">
        <f t="shared" si="14"/>
        <v>1680</v>
      </c>
      <c r="R461" s="47"/>
      <c r="S461" s="47"/>
      <c r="T461" s="47">
        <v>82002</v>
      </c>
    </row>
    <row r="462" customHeight="1" spans="1:20">
      <c r="A462" s="43">
        <v>82006</v>
      </c>
      <c r="B462" s="78" t="s">
        <v>1006</v>
      </c>
      <c r="C462" s="78"/>
      <c r="D462" s="43">
        <f>D461</f>
        <v>56</v>
      </c>
      <c r="E462" s="78" t="s">
        <v>1007</v>
      </c>
      <c r="F462" s="44">
        <f t="shared" si="15"/>
        <v>112</v>
      </c>
      <c r="G462" s="85" t="s">
        <v>1008</v>
      </c>
      <c r="H462" s="46" t="s">
        <v>18</v>
      </c>
      <c r="I462" s="47"/>
      <c r="J462" s="48" t="s">
        <v>42</v>
      </c>
      <c r="K462" s="86">
        <v>82006</v>
      </c>
      <c r="L462" s="87" t="s">
        <v>25</v>
      </c>
      <c r="M462" s="87" t="s">
        <v>26</v>
      </c>
      <c r="N462" s="14" t="s">
        <v>27</v>
      </c>
      <c r="O462" s="14" t="s">
        <v>28</v>
      </c>
      <c r="P462" s="51">
        <v>4</v>
      </c>
      <c r="Q462" s="47">
        <f t="shared" si="14"/>
        <v>448</v>
      </c>
      <c r="R462" s="47"/>
      <c r="S462" s="47"/>
      <c r="T462" s="47">
        <v>82006</v>
      </c>
    </row>
    <row r="463" s="13" customFormat="1" ht="21" customHeight="1" spans="1:20">
      <c r="A463" s="52" t="s">
        <v>1009</v>
      </c>
      <c r="B463" s="53"/>
      <c r="C463" s="53"/>
      <c r="D463" s="53"/>
      <c r="E463" s="53"/>
      <c r="F463" s="54"/>
      <c r="G463" s="55"/>
      <c r="H463" s="56"/>
      <c r="I463" s="57"/>
      <c r="J463" s="48"/>
      <c r="K463" s="58"/>
      <c r="L463" s="58"/>
      <c r="M463" s="59"/>
      <c r="P463" s="60"/>
      <c r="Q463" s="47">
        <f t="shared" si="14"/>
        <v>0</v>
      </c>
      <c r="R463" s="57"/>
      <c r="S463" s="57"/>
      <c r="T463" s="57"/>
    </row>
    <row r="464" s="13" customFormat="1" ht="21" customHeight="1" spans="1:20">
      <c r="A464" s="61" t="s">
        <v>1010</v>
      </c>
      <c r="B464" s="62"/>
      <c r="C464" s="62"/>
      <c r="D464" s="62"/>
      <c r="E464" s="62"/>
      <c r="F464" s="63"/>
      <c r="G464" s="64"/>
      <c r="H464" s="65"/>
      <c r="I464" s="66"/>
      <c r="J464" s="48"/>
      <c r="K464" s="58"/>
      <c r="L464" s="58"/>
      <c r="M464" s="59"/>
      <c r="P464" s="67"/>
      <c r="Q464" s="47">
        <f t="shared" si="14"/>
        <v>0</v>
      </c>
      <c r="R464" s="66"/>
      <c r="S464" s="66"/>
      <c r="T464" s="66"/>
    </row>
    <row r="465" s="12" customFormat="1" customHeight="1" spans="1:20">
      <c r="A465" s="29">
        <v>6</v>
      </c>
      <c r="B465" s="30" t="s">
        <v>1011</v>
      </c>
      <c r="C465" s="30"/>
      <c r="D465" s="68">
        <v>2</v>
      </c>
      <c r="E465" s="127" t="s">
        <v>1012</v>
      </c>
      <c r="F465" s="128"/>
      <c r="G465" s="70" t="s">
        <v>33</v>
      </c>
      <c r="H465" s="35" t="s">
        <v>18</v>
      </c>
      <c r="I465" s="36"/>
      <c r="J465" s="37"/>
      <c r="K465" s="38"/>
      <c r="L465" s="38"/>
      <c r="M465" s="39"/>
      <c r="N465" s="12"/>
      <c r="O465" s="12"/>
      <c r="P465" s="40"/>
      <c r="Q465" s="36">
        <f t="shared" si="14"/>
        <v>0</v>
      </c>
      <c r="R465" s="36"/>
      <c r="S465" s="36"/>
      <c r="T465" s="36"/>
    </row>
    <row r="466" customHeight="1" spans="1:20">
      <c r="A466" s="244" t="s">
        <v>1013</v>
      </c>
      <c r="B466" s="71" t="s">
        <v>35</v>
      </c>
      <c r="C466" s="71"/>
      <c r="D466" s="41">
        <v>56</v>
      </c>
      <c r="E466" s="71" t="s">
        <v>36</v>
      </c>
      <c r="F466" s="44"/>
      <c r="G466" s="72"/>
      <c r="H466" s="46"/>
      <c r="I466" s="47"/>
      <c r="J466" s="48"/>
      <c r="K466" s="73"/>
      <c r="L466" s="73"/>
      <c r="M466" s="74"/>
      <c r="P466" s="51"/>
      <c r="Q466" s="47">
        <f t="shared" si="14"/>
        <v>0</v>
      </c>
      <c r="R466" s="47"/>
      <c r="S466" s="47"/>
      <c r="T466" s="47"/>
    </row>
    <row r="467" customHeight="1" spans="1:20">
      <c r="A467" s="107" t="s">
        <v>39</v>
      </c>
      <c r="B467" s="129" t="s">
        <v>40</v>
      </c>
      <c r="C467" s="129"/>
      <c r="D467" s="43">
        <v>18</v>
      </c>
      <c r="E467" s="129" t="s">
        <v>21</v>
      </c>
      <c r="F467" s="44">
        <f t="shared" ref="F467:F531" si="16">D467*2</f>
        <v>36</v>
      </c>
      <c r="G467" s="79" t="s">
        <v>41</v>
      </c>
      <c r="H467" s="46" t="s">
        <v>18</v>
      </c>
      <c r="I467" s="47"/>
      <c r="J467" s="48" t="s">
        <v>42</v>
      </c>
      <c r="K467" s="80" t="s">
        <v>39</v>
      </c>
      <c r="L467" s="81" t="s">
        <v>43</v>
      </c>
      <c r="M467" s="81" t="s">
        <v>44</v>
      </c>
      <c r="N467" s="14" t="s">
        <v>27</v>
      </c>
      <c r="O467" s="14" t="s">
        <v>28</v>
      </c>
      <c r="P467" s="51">
        <v>14</v>
      </c>
      <c r="Q467" s="47">
        <f t="shared" si="14"/>
        <v>504</v>
      </c>
      <c r="R467" s="47"/>
      <c r="S467" s="47"/>
      <c r="T467" s="47">
        <v>1011</v>
      </c>
    </row>
    <row r="468" customHeight="1" spans="1:20">
      <c r="A468" s="107" t="s">
        <v>1014</v>
      </c>
      <c r="B468" s="129" t="s">
        <v>38</v>
      </c>
      <c r="C468" s="129"/>
      <c r="D468" s="107"/>
      <c r="E468" s="129"/>
      <c r="F468" s="130"/>
      <c r="G468" s="131"/>
      <c r="H468" s="46"/>
      <c r="I468" s="47"/>
      <c r="J468" s="48"/>
      <c r="K468" s="132"/>
      <c r="L468" s="133"/>
      <c r="M468" s="133"/>
      <c r="O468" s="14" t="s">
        <v>28</v>
      </c>
      <c r="P468" s="51"/>
      <c r="Q468" s="47">
        <f t="shared" si="14"/>
        <v>0</v>
      </c>
      <c r="R468" s="47"/>
      <c r="S468" s="47"/>
      <c r="T468" s="47">
        <v>2</v>
      </c>
    </row>
    <row r="469" customHeight="1" spans="1:20">
      <c r="A469" s="107" t="s">
        <v>45</v>
      </c>
      <c r="B469" s="129" t="s">
        <v>46</v>
      </c>
      <c r="C469" s="129"/>
      <c r="D469" s="107">
        <v>3</v>
      </c>
      <c r="E469" s="129" t="s">
        <v>47</v>
      </c>
      <c r="F469" s="44">
        <f t="shared" si="16"/>
        <v>6</v>
      </c>
      <c r="G469" s="82" t="s">
        <v>48</v>
      </c>
      <c r="H469" s="46" t="s">
        <v>18</v>
      </c>
      <c r="I469" s="47"/>
      <c r="J469" s="48" t="s">
        <v>42</v>
      </c>
      <c r="K469" s="83" t="s">
        <v>45</v>
      </c>
      <c r="L469" s="84" t="s">
        <v>25</v>
      </c>
      <c r="M469" s="84" t="s">
        <v>26</v>
      </c>
      <c r="N469" s="14" t="s">
        <v>27</v>
      </c>
      <c r="O469" s="14" t="s">
        <v>28</v>
      </c>
      <c r="P469" s="51">
        <v>55</v>
      </c>
      <c r="Q469" s="47">
        <f t="shared" si="14"/>
        <v>330</v>
      </c>
      <c r="R469" s="47"/>
      <c r="S469" s="47"/>
      <c r="T469" s="47">
        <v>2001</v>
      </c>
    </row>
    <row r="470" customHeight="1" spans="1:20">
      <c r="A470" s="107" t="s">
        <v>49</v>
      </c>
      <c r="B470" s="129" t="s">
        <v>50</v>
      </c>
      <c r="C470" s="129"/>
      <c r="D470" s="107">
        <v>3</v>
      </c>
      <c r="E470" s="129" t="s">
        <v>32</v>
      </c>
      <c r="F470" s="44">
        <f t="shared" si="16"/>
        <v>6</v>
      </c>
      <c r="G470" s="82" t="s">
        <v>51</v>
      </c>
      <c r="H470" s="46" t="s">
        <v>18</v>
      </c>
      <c r="I470" s="47"/>
      <c r="J470" s="48" t="s">
        <v>42</v>
      </c>
      <c r="K470" s="83" t="s">
        <v>49</v>
      </c>
      <c r="L470" s="84" t="s">
        <v>25</v>
      </c>
      <c r="M470" s="84" t="s">
        <v>26</v>
      </c>
      <c r="N470" s="14" t="s">
        <v>27</v>
      </c>
      <c r="O470" s="14" t="s">
        <v>28</v>
      </c>
      <c r="P470" s="51">
        <v>6</v>
      </c>
      <c r="Q470" s="47">
        <f t="shared" si="14"/>
        <v>36</v>
      </c>
      <c r="R470" s="47"/>
      <c r="S470" s="47"/>
      <c r="T470" s="47">
        <v>2002</v>
      </c>
    </row>
    <row r="471" customHeight="1" spans="1:20">
      <c r="A471" s="134" t="s">
        <v>1015</v>
      </c>
      <c r="B471" s="129" t="s">
        <v>1016</v>
      </c>
      <c r="C471" s="129"/>
      <c r="D471" s="43">
        <v>2</v>
      </c>
      <c r="E471" s="135" t="s">
        <v>21</v>
      </c>
      <c r="F471" s="44">
        <f t="shared" si="16"/>
        <v>4</v>
      </c>
      <c r="G471" s="82" t="s">
        <v>1017</v>
      </c>
      <c r="H471" s="46" t="s">
        <v>18</v>
      </c>
      <c r="I471" s="47"/>
      <c r="J471" s="48" t="s">
        <v>42</v>
      </c>
      <c r="K471" s="83" t="s">
        <v>1015</v>
      </c>
      <c r="L471" s="84" t="s">
        <v>25</v>
      </c>
      <c r="M471" s="84" t="s">
        <v>26</v>
      </c>
      <c r="N471" s="14" t="s">
        <v>27</v>
      </c>
      <c r="O471" s="14" t="s">
        <v>28</v>
      </c>
      <c r="P471" s="51">
        <v>6</v>
      </c>
      <c r="Q471" s="47">
        <f t="shared" si="14"/>
        <v>24</v>
      </c>
      <c r="R471" s="47"/>
      <c r="S471" s="47"/>
      <c r="T471" s="47"/>
    </row>
    <row r="472" customHeight="1" spans="1:20">
      <c r="A472" s="134" t="s">
        <v>1018</v>
      </c>
      <c r="B472" s="136" t="s">
        <v>1019</v>
      </c>
      <c r="C472" s="136"/>
      <c r="D472" s="43">
        <v>1</v>
      </c>
      <c r="E472" s="135" t="s">
        <v>21</v>
      </c>
      <c r="F472" s="44">
        <f t="shared" si="16"/>
        <v>2</v>
      </c>
      <c r="G472" s="91" t="s">
        <v>1020</v>
      </c>
      <c r="H472" s="46" t="s">
        <v>18</v>
      </c>
      <c r="I472" s="47"/>
      <c r="J472" s="48" t="s">
        <v>42</v>
      </c>
      <c r="K472" s="92" t="s">
        <v>1018</v>
      </c>
      <c r="L472" s="93" t="s">
        <v>25</v>
      </c>
      <c r="M472" s="93" t="s">
        <v>26</v>
      </c>
      <c r="N472" s="14" t="s">
        <v>27</v>
      </c>
      <c r="O472" s="14" t="s">
        <v>28</v>
      </c>
      <c r="P472" s="51">
        <v>12</v>
      </c>
      <c r="Q472" s="47">
        <f t="shared" si="14"/>
        <v>24</v>
      </c>
      <c r="R472" s="47"/>
      <c r="S472" s="47"/>
      <c r="T472" s="47"/>
    </row>
    <row r="473" customHeight="1" spans="1:20">
      <c r="A473" s="134" t="s">
        <v>1021</v>
      </c>
      <c r="B473" s="136" t="s">
        <v>1022</v>
      </c>
      <c r="C473" s="136"/>
      <c r="D473" s="43">
        <v>1</v>
      </c>
      <c r="E473" s="129" t="s">
        <v>54</v>
      </c>
      <c r="F473" s="44">
        <f t="shared" si="16"/>
        <v>2</v>
      </c>
      <c r="G473" s="85" t="s">
        <v>1023</v>
      </c>
      <c r="H473" s="46" t="s">
        <v>18</v>
      </c>
      <c r="I473" s="47"/>
      <c r="J473" s="48" t="s">
        <v>42</v>
      </c>
      <c r="K473" s="86" t="s">
        <v>1021</v>
      </c>
      <c r="L473" s="87" t="s">
        <v>25</v>
      </c>
      <c r="M473" s="87" t="s">
        <v>26</v>
      </c>
      <c r="N473" s="14" t="s">
        <v>27</v>
      </c>
      <c r="O473" s="14" t="s">
        <v>28</v>
      </c>
      <c r="P473" s="51">
        <v>75</v>
      </c>
      <c r="Q473" s="47">
        <f t="shared" si="14"/>
        <v>150</v>
      </c>
      <c r="R473" s="47"/>
      <c r="S473" s="47"/>
      <c r="T473" s="47"/>
    </row>
    <row r="474" customHeight="1" spans="1:20">
      <c r="A474" s="107" t="s">
        <v>1024</v>
      </c>
      <c r="B474" s="129" t="s">
        <v>1025</v>
      </c>
      <c r="C474" s="129"/>
      <c r="D474" s="107">
        <v>2</v>
      </c>
      <c r="E474" s="129" t="s">
        <v>54</v>
      </c>
      <c r="F474" s="44">
        <f t="shared" si="16"/>
        <v>4</v>
      </c>
      <c r="G474" s="85" t="s">
        <v>1026</v>
      </c>
      <c r="H474" s="46" t="s">
        <v>18</v>
      </c>
      <c r="I474" s="47"/>
      <c r="J474" s="48" t="s">
        <v>42</v>
      </c>
      <c r="K474" s="86" t="s">
        <v>1024</v>
      </c>
      <c r="L474" s="87" t="s">
        <v>25</v>
      </c>
      <c r="M474" s="87" t="s">
        <v>26</v>
      </c>
      <c r="N474" s="14" t="s">
        <v>27</v>
      </c>
      <c r="O474" s="14" t="s">
        <v>28</v>
      </c>
      <c r="P474" s="51">
        <v>150</v>
      </c>
      <c r="Q474" s="47">
        <f t="shared" si="14"/>
        <v>600</v>
      </c>
      <c r="R474" s="47"/>
      <c r="S474" s="47"/>
      <c r="T474" s="47"/>
    </row>
    <row r="475" customHeight="1" spans="1:20">
      <c r="A475" s="107" t="s">
        <v>52</v>
      </c>
      <c r="B475" s="129" t="s">
        <v>1027</v>
      </c>
      <c r="C475" s="129"/>
      <c r="D475" s="107">
        <v>2</v>
      </c>
      <c r="E475" s="129" t="s">
        <v>54</v>
      </c>
      <c r="F475" s="44">
        <f t="shared" si="16"/>
        <v>4</v>
      </c>
      <c r="G475" s="85" t="s">
        <v>1028</v>
      </c>
      <c r="H475" s="46" t="s">
        <v>18</v>
      </c>
      <c r="I475" s="47"/>
      <c r="J475" s="48" t="s">
        <v>42</v>
      </c>
      <c r="K475" s="86" t="s">
        <v>52</v>
      </c>
      <c r="L475" s="87" t="s">
        <v>1029</v>
      </c>
      <c r="M475" s="87" t="s">
        <v>1030</v>
      </c>
      <c r="N475" s="14" t="s">
        <v>27</v>
      </c>
      <c r="O475" s="14" t="s">
        <v>28</v>
      </c>
      <c r="P475" s="51">
        <v>220</v>
      </c>
      <c r="Q475" s="47">
        <f t="shared" si="14"/>
        <v>880</v>
      </c>
      <c r="R475" s="47"/>
      <c r="S475" s="47"/>
      <c r="T475" s="47">
        <v>2011</v>
      </c>
    </row>
    <row r="476" customHeight="1" spans="1:20">
      <c r="A476" s="107" t="s">
        <v>1031</v>
      </c>
      <c r="B476" s="129" t="s">
        <v>1032</v>
      </c>
      <c r="C476" s="129"/>
      <c r="D476" s="107">
        <v>2</v>
      </c>
      <c r="E476" s="129" t="s">
        <v>54</v>
      </c>
      <c r="F476" s="44">
        <f t="shared" si="16"/>
        <v>4</v>
      </c>
      <c r="G476" s="85" t="s">
        <v>1033</v>
      </c>
      <c r="H476" s="46" t="s">
        <v>18</v>
      </c>
      <c r="I476" s="47"/>
      <c r="J476" s="48" t="s">
        <v>42</v>
      </c>
      <c r="K476" s="86" t="s">
        <v>1031</v>
      </c>
      <c r="L476" s="87" t="s">
        <v>56</v>
      </c>
      <c r="M476" s="87" t="s">
        <v>57</v>
      </c>
      <c r="N476" s="14" t="s">
        <v>27</v>
      </c>
      <c r="O476" s="14" t="s">
        <v>28</v>
      </c>
      <c r="P476" s="51">
        <v>340</v>
      </c>
      <c r="Q476" s="47">
        <f t="shared" si="14"/>
        <v>1360</v>
      </c>
      <c r="R476" s="47"/>
      <c r="S476" s="47"/>
      <c r="T476" s="47"/>
    </row>
    <row r="477" customHeight="1" spans="1:20">
      <c r="A477" s="107" t="s">
        <v>58</v>
      </c>
      <c r="B477" s="129" t="s">
        <v>59</v>
      </c>
      <c r="C477" s="129"/>
      <c r="D477" s="107">
        <v>2</v>
      </c>
      <c r="E477" s="129" t="s">
        <v>21</v>
      </c>
      <c r="F477" s="44">
        <f t="shared" si="16"/>
        <v>4</v>
      </c>
      <c r="G477" s="82" t="s">
        <v>60</v>
      </c>
      <c r="H477" s="46" t="s">
        <v>18</v>
      </c>
      <c r="I477" s="47"/>
      <c r="J477" s="48" t="s">
        <v>42</v>
      </c>
      <c r="K477" s="83" t="s">
        <v>58</v>
      </c>
      <c r="L477" s="84" t="s">
        <v>25</v>
      </c>
      <c r="M477" s="84" t="s">
        <v>26</v>
      </c>
      <c r="N477" s="14" t="s">
        <v>27</v>
      </c>
      <c r="O477" s="14" t="s">
        <v>28</v>
      </c>
      <c r="P477" s="51">
        <v>16</v>
      </c>
      <c r="Q477" s="47">
        <f t="shared" si="14"/>
        <v>64</v>
      </c>
      <c r="R477" s="47"/>
      <c r="S477" s="47"/>
      <c r="T477" s="47">
        <v>2013</v>
      </c>
    </row>
    <row r="478" customHeight="1" spans="1:20">
      <c r="A478" s="107" t="s">
        <v>61</v>
      </c>
      <c r="B478" s="129" t="s">
        <v>62</v>
      </c>
      <c r="C478" s="129"/>
      <c r="D478" s="107">
        <v>2</v>
      </c>
      <c r="E478" s="129" t="s">
        <v>21</v>
      </c>
      <c r="F478" s="44">
        <f t="shared" si="16"/>
        <v>4</v>
      </c>
      <c r="G478" s="82" t="s">
        <v>63</v>
      </c>
      <c r="H478" s="46" t="s">
        <v>18</v>
      </c>
      <c r="I478" s="47"/>
      <c r="J478" s="48" t="s">
        <v>42</v>
      </c>
      <c r="K478" s="83" t="s">
        <v>61</v>
      </c>
      <c r="L478" s="84" t="s">
        <v>25</v>
      </c>
      <c r="M478" s="84" t="s">
        <v>26</v>
      </c>
      <c r="N478" s="14" t="s">
        <v>27</v>
      </c>
      <c r="O478" s="14" t="s">
        <v>28</v>
      </c>
      <c r="P478" s="51">
        <v>15</v>
      </c>
      <c r="Q478" s="47">
        <f t="shared" si="14"/>
        <v>60</v>
      </c>
      <c r="R478" s="47"/>
      <c r="S478" s="47"/>
      <c r="T478" s="47">
        <v>2014</v>
      </c>
    </row>
    <row r="479" customHeight="1" spans="1:20">
      <c r="A479" s="107" t="s">
        <v>64</v>
      </c>
      <c r="B479" s="129" t="s">
        <v>65</v>
      </c>
      <c r="C479" s="129"/>
      <c r="D479" s="107">
        <v>2</v>
      </c>
      <c r="E479" s="129" t="s">
        <v>21</v>
      </c>
      <c r="F479" s="44">
        <f t="shared" si="16"/>
        <v>4</v>
      </c>
      <c r="G479" s="137" t="s">
        <v>1034</v>
      </c>
      <c r="H479" s="46" t="s">
        <v>18</v>
      </c>
      <c r="I479" s="47"/>
      <c r="J479" s="48" t="s">
        <v>42</v>
      </c>
      <c r="K479" s="138" t="s">
        <v>64</v>
      </c>
      <c r="L479" s="139" t="s">
        <v>25</v>
      </c>
      <c r="M479" s="139" t="s">
        <v>26</v>
      </c>
      <c r="N479" s="14" t="s">
        <v>27</v>
      </c>
      <c r="O479" s="14" t="s">
        <v>28</v>
      </c>
      <c r="P479" s="51">
        <v>12</v>
      </c>
      <c r="Q479" s="47">
        <f t="shared" si="14"/>
        <v>48</v>
      </c>
      <c r="R479" s="47"/>
      <c r="S479" s="47"/>
      <c r="T479" s="47">
        <v>2015</v>
      </c>
    </row>
    <row r="480" customHeight="1" spans="1:20">
      <c r="A480" s="107" t="s">
        <v>67</v>
      </c>
      <c r="B480" s="129" t="s">
        <v>68</v>
      </c>
      <c r="C480" s="129"/>
      <c r="D480" s="107">
        <v>2</v>
      </c>
      <c r="E480" s="129" t="s">
        <v>32</v>
      </c>
      <c r="F480" s="44">
        <f t="shared" si="16"/>
        <v>4</v>
      </c>
      <c r="G480" s="85" t="s">
        <v>1035</v>
      </c>
      <c r="H480" s="46" t="s">
        <v>18</v>
      </c>
      <c r="I480" s="47"/>
      <c r="J480" s="48" t="s">
        <v>42</v>
      </c>
      <c r="K480" s="86" t="s">
        <v>67</v>
      </c>
      <c r="L480" s="87" t="s">
        <v>25</v>
      </c>
      <c r="M480" s="87" t="s">
        <v>26</v>
      </c>
      <c r="N480" s="14" t="s">
        <v>27</v>
      </c>
      <c r="O480" s="14" t="s">
        <v>28</v>
      </c>
      <c r="P480" s="51">
        <v>85</v>
      </c>
      <c r="Q480" s="47">
        <f t="shared" si="14"/>
        <v>340</v>
      </c>
      <c r="R480" s="47"/>
      <c r="S480" s="47"/>
      <c r="T480" s="47">
        <v>2016</v>
      </c>
    </row>
    <row r="481" customHeight="1" spans="1:20">
      <c r="A481" s="43">
        <v>2020</v>
      </c>
      <c r="B481" s="78" t="s">
        <v>77</v>
      </c>
      <c r="C481" s="78"/>
      <c r="D481" s="43">
        <v>1</v>
      </c>
      <c r="E481" s="78" t="s">
        <v>78</v>
      </c>
      <c r="F481" s="44">
        <f t="shared" si="16"/>
        <v>2</v>
      </c>
      <c r="G481" s="85" t="s">
        <v>1036</v>
      </c>
      <c r="H481" s="46" t="s">
        <v>18</v>
      </c>
      <c r="I481" s="47"/>
      <c r="J481" s="48" t="s">
        <v>42</v>
      </c>
      <c r="K481" s="86">
        <v>2020</v>
      </c>
      <c r="L481" s="87" t="s">
        <v>25</v>
      </c>
      <c r="M481" s="87" t="s">
        <v>26</v>
      </c>
      <c r="N481" s="14" t="s">
        <v>27</v>
      </c>
      <c r="O481" s="14" t="s">
        <v>28</v>
      </c>
      <c r="P481" s="51">
        <v>175</v>
      </c>
      <c r="Q481" s="47">
        <f t="shared" si="14"/>
        <v>350</v>
      </c>
      <c r="R481" s="47"/>
      <c r="S481" s="47"/>
      <c r="T481" s="47">
        <v>2020</v>
      </c>
    </row>
    <row r="482" customHeight="1" spans="1:20">
      <c r="A482" s="107" t="s">
        <v>1037</v>
      </c>
      <c r="B482" s="129" t="s">
        <v>1038</v>
      </c>
      <c r="C482" s="129"/>
      <c r="D482" s="107">
        <v>2</v>
      </c>
      <c r="E482" s="129" t="s">
        <v>21</v>
      </c>
      <c r="F482" s="44">
        <f t="shared" si="16"/>
        <v>4</v>
      </c>
      <c r="G482" s="140" t="s">
        <v>1039</v>
      </c>
      <c r="H482" s="46" t="s">
        <v>18</v>
      </c>
      <c r="I482" s="47"/>
      <c r="J482" s="48" t="s">
        <v>42</v>
      </c>
      <c r="K482" s="124" t="s">
        <v>1037</v>
      </c>
      <c r="L482" s="141" t="s">
        <v>25</v>
      </c>
      <c r="M482" s="141" t="s">
        <v>26</v>
      </c>
      <c r="N482" s="14" t="s">
        <v>27</v>
      </c>
      <c r="O482" s="14" t="s">
        <v>28</v>
      </c>
      <c r="P482" s="51">
        <v>14</v>
      </c>
      <c r="Q482" s="47">
        <f t="shared" si="14"/>
        <v>56</v>
      </c>
      <c r="R482" s="47"/>
      <c r="S482" s="47"/>
      <c r="T482" s="47"/>
    </row>
    <row r="483" customHeight="1" spans="1:20">
      <c r="A483" s="107" t="s">
        <v>80</v>
      </c>
      <c r="B483" s="129" t="s">
        <v>81</v>
      </c>
      <c r="C483" s="129"/>
      <c r="D483" s="107">
        <v>1</v>
      </c>
      <c r="E483" s="129" t="s">
        <v>54</v>
      </c>
      <c r="F483" s="44">
        <f t="shared" si="16"/>
        <v>2</v>
      </c>
      <c r="G483" s="123" t="s">
        <v>82</v>
      </c>
      <c r="H483" s="46" t="s">
        <v>18</v>
      </c>
      <c r="I483" s="47"/>
      <c r="J483" s="48" t="s">
        <v>42</v>
      </c>
      <c r="K483" s="124" t="s">
        <v>80</v>
      </c>
      <c r="L483" s="125" t="s">
        <v>25</v>
      </c>
      <c r="M483" s="125" t="s">
        <v>26</v>
      </c>
      <c r="N483" s="14" t="s">
        <v>27</v>
      </c>
      <c r="O483" s="14" t="s">
        <v>28</v>
      </c>
      <c r="P483" s="51">
        <v>95</v>
      </c>
      <c r="Q483" s="47">
        <f t="shared" si="14"/>
        <v>190</v>
      </c>
      <c r="R483" s="47"/>
      <c r="S483" s="47"/>
      <c r="T483" s="47">
        <v>2023</v>
      </c>
    </row>
    <row r="484" customHeight="1" spans="1:20">
      <c r="A484" s="107" t="s">
        <v>1040</v>
      </c>
      <c r="B484" s="129" t="s">
        <v>1041</v>
      </c>
      <c r="C484" s="129"/>
      <c r="D484" s="107">
        <f>56/2</f>
        <v>28</v>
      </c>
      <c r="E484" s="129" t="s">
        <v>21</v>
      </c>
      <c r="F484" s="44">
        <f t="shared" si="16"/>
        <v>56</v>
      </c>
      <c r="G484" s="85" t="s">
        <v>1042</v>
      </c>
      <c r="H484" s="46" t="s">
        <v>18</v>
      </c>
      <c r="I484" s="47"/>
      <c r="J484" s="48" t="s">
        <v>42</v>
      </c>
      <c r="K484" s="86" t="s">
        <v>1040</v>
      </c>
      <c r="L484" s="87" t="s">
        <v>25</v>
      </c>
      <c r="M484" s="87" t="s">
        <v>26</v>
      </c>
      <c r="N484" s="14" t="s">
        <v>27</v>
      </c>
      <c r="O484" s="14" t="s">
        <v>28</v>
      </c>
      <c r="P484" s="51">
        <v>3</v>
      </c>
      <c r="Q484" s="47">
        <f t="shared" si="14"/>
        <v>168</v>
      </c>
      <c r="R484" s="47"/>
      <c r="S484" s="47"/>
      <c r="T484" s="47"/>
    </row>
    <row r="485" customHeight="1" spans="1:20">
      <c r="A485" s="107" t="s">
        <v>83</v>
      </c>
      <c r="B485" s="129" t="s">
        <v>84</v>
      </c>
      <c r="C485" s="129"/>
      <c r="D485" s="107">
        <v>2</v>
      </c>
      <c r="E485" s="129" t="s">
        <v>21</v>
      </c>
      <c r="F485" s="44">
        <f t="shared" si="16"/>
        <v>4</v>
      </c>
      <c r="G485" s="85" t="s">
        <v>85</v>
      </c>
      <c r="H485" s="46" t="s">
        <v>18</v>
      </c>
      <c r="I485" s="47"/>
      <c r="J485" s="48" t="s">
        <v>42</v>
      </c>
      <c r="K485" s="86" t="s">
        <v>83</v>
      </c>
      <c r="L485" s="87" t="s">
        <v>25</v>
      </c>
      <c r="M485" s="87" t="s">
        <v>26</v>
      </c>
      <c r="N485" s="14" t="s">
        <v>27</v>
      </c>
      <c r="O485" s="14" t="s">
        <v>28</v>
      </c>
      <c r="P485" s="51">
        <v>55</v>
      </c>
      <c r="Q485" s="47">
        <f t="shared" si="14"/>
        <v>220</v>
      </c>
      <c r="R485" s="47"/>
      <c r="S485" s="47"/>
      <c r="T485" s="47">
        <v>2060</v>
      </c>
    </row>
    <row r="486" customHeight="1" spans="1:20">
      <c r="A486" s="107" t="s">
        <v>1043</v>
      </c>
      <c r="B486" s="129" t="s">
        <v>1044</v>
      </c>
      <c r="C486" s="129"/>
      <c r="D486" s="107">
        <v>1</v>
      </c>
      <c r="E486" s="129" t="s">
        <v>32</v>
      </c>
      <c r="F486" s="44">
        <f t="shared" si="16"/>
        <v>2</v>
      </c>
      <c r="G486" s="85" t="s">
        <v>1045</v>
      </c>
      <c r="H486" s="46" t="s">
        <v>18</v>
      </c>
      <c r="I486" s="47"/>
      <c r="J486" s="48" t="s">
        <v>42</v>
      </c>
      <c r="K486" s="86" t="s">
        <v>1043</v>
      </c>
      <c r="L486" s="87" t="s">
        <v>1046</v>
      </c>
      <c r="M486" s="87" t="s">
        <v>1047</v>
      </c>
      <c r="N486" s="14" t="s">
        <v>27</v>
      </c>
      <c r="O486" s="14" t="s">
        <v>28</v>
      </c>
      <c r="P486" s="51">
        <v>280</v>
      </c>
      <c r="Q486" s="47">
        <f t="shared" si="14"/>
        <v>560</v>
      </c>
      <c r="R486" s="47"/>
      <c r="S486" s="47"/>
      <c r="T486" s="47"/>
    </row>
    <row r="487" customHeight="1" spans="1:20">
      <c r="A487" s="107" t="s">
        <v>86</v>
      </c>
      <c r="B487" s="129" t="s">
        <v>1048</v>
      </c>
      <c r="C487" s="129"/>
      <c r="D487" s="107">
        <v>1</v>
      </c>
      <c r="E487" s="129" t="s">
        <v>21</v>
      </c>
      <c r="F487" s="44">
        <f t="shared" si="16"/>
        <v>2</v>
      </c>
      <c r="G487" s="91" t="s">
        <v>1049</v>
      </c>
      <c r="H487" s="46" t="s">
        <v>18</v>
      </c>
      <c r="I487" s="47"/>
      <c r="J487" s="48" t="s">
        <v>42</v>
      </c>
      <c r="K487" s="92" t="s">
        <v>86</v>
      </c>
      <c r="L487" s="93" t="s">
        <v>89</v>
      </c>
      <c r="M487" s="93" t="s">
        <v>90</v>
      </c>
      <c r="N487" s="14" t="s">
        <v>27</v>
      </c>
      <c r="O487" s="14" t="s">
        <v>28</v>
      </c>
      <c r="P487" s="51">
        <v>48</v>
      </c>
      <c r="Q487" s="47">
        <f t="shared" si="14"/>
        <v>96</v>
      </c>
      <c r="R487" s="47"/>
      <c r="S487" s="47"/>
      <c r="T487" s="47"/>
    </row>
    <row r="488" customHeight="1" spans="1:20">
      <c r="A488" s="107" t="s">
        <v>1050</v>
      </c>
      <c r="B488" s="129" t="s">
        <v>1051</v>
      </c>
      <c r="C488" s="129"/>
      <c r="D488" s="107">
        <v>1</v>
      </c>
      <c r="E488" s="129" t="s">
        <v>21</v>
      </c>
      <c r="F488" s="44">
        <f t="shared" si="16"/>
        <v>2</v>
      </c>
      <c r="G488" s="85" t="s">
        <v>1052</v>
      </c>
      <c r="H488" s="46" t="s">
        <v>18</v>
      </c>
      <c r="I488" s="47"/>
      <c r="J488" s="48" t="s">
        <v>42</v>
      </c>
      <c r="K488" s="86" t="s">
        <v>1050</v>
      </c>
      <c r="L488" s="87" t="s">
        <v>1053</v>
      </c>
      <c r="M488" s="87" t="s">
        <v>1054</v>
      </c>
      <c r="N488" s="14" t="s">
        <v>27</v>
      </c>
      <c r="O488" s="14" t="s">
        <v>28</v>
      </c>
      <c r="P488" s="51">
        <v>17</v>
      </c>
      <c r="Q488" s="47">
        <f t="shared" si="14"/>
        <v>34</v>
      </c>
      <c r="R488" s="47"/>
      <c r="S488" s="47"/>
      <c r="T488" s="47"/>
    </row>
    <row r="489" customHeight="1" spans="1:20">
      <c r="A489" s="107" t="s">
        <v>94</v>
      </c>
      <c r="B489" s="129" t="s">
        <v>92</v>
      </c>
      <c r="C489" s="129"/>
      <c r="D489" s="107">
        <v>1</v>
      </c>
      <c r="E489" s="129" t="s">
        <v>21</v>
      </c>
      <c r="F489" s="44">
        <f t="shared" si="16"/>
        <v>2</v>
      </c>
      <c r="G489" s="91" t="s">
        <v>93</v>
      </c>
      <c r="H489" s="46" t="s">
        <v>18</v>
      </c>
      <c r="I489" s="47"/>
      <c r="J489" s="48" t="s">
        <v>42</v>
      </c>
      <c r="K489" s="92" t="s">
        <v>94</v>
      </c>
      <c r="L489" s="93" t="s">
        <v>95</v>
      </c>
      <c r="M489" s="93" t="s">
        <v>96</v>
      </c>
      <c r="N489" s="14" t="s">
        <v>27</v>
      </c>
      <c r="O489" s="14" t="s">
        <v>28</v>
      </c>
      <c r="P489" s="51">
        <v>9</v>
      </c>
      <c r="Q489" s="47">
        <f t="shared" si="14"/>
        <v>18</v>
      </c>
      <c r="R489" s="47"/>
      <c r="S489" s="47"/>
      <c r="T489" s="47">
        <v>2102</v>
      </c>
    </row>
    <row r="490" customHeight="1" spans="1:20">
      <c r="A490" s="107" t="s">
        <v>97</v>
      </c>
      <c r="B490" s="129" t="s">
        <v>98</v>
      </c>
      <c r="C490" s="129"/>
      <c r="D490" s="107">
        <v>1</v>
      </c>
      <c r="E490" s="129" t="s">
        <v>21</v>
      </c>
      <c r="F490" s="44">
        <f t="shared" si="16"/>
        <v>2</v>
      </c>
      <c r="G490" s="91" t="s">
        <v>1055</v>
      </c>
      <c r="H490" s="46" t="s">
        <v>18</v>
      </c>
      <c r="I490" s="47"/>
      <c r="J490" s="48" t="s">
        <v>42</v>
      </c>
      <c r="K490" s="92" t="s">
        <v>97</v>
      </c>
      <c r="L490" s="93" t="s">
        <v>25</v>
      </c>
      <c r="M490" s="93" t="s">
        <v>26</v>
      </c>
      <c r="N490" s="14" t="s">
        <v>27</v>
      </c>
      <c r="O490" s="14" t="s">
        <v>28</v>
      </c>
      <c r="P490" s="51">
        <v>15</v>
      </c>
      <c r="Q490" s="47">
        <f t="shared" si="14"/>
        <v>30</v>
      </c>
      <c r="R490" s="47"/>
      <c r="S490" s="47"/>
      <c r="T490" s="47">
        <v>2115</v>
      </c>
    </row>
    <row r="491" customHeight="1" spans="1:20">
      <c r="A491" s="107" t="s">
        <v>100</v>
      </c>
      <c r="B491" s="129" t="s">
        <v>1056</v>
      </c>
      <c r="C491" s="129"/>
      <c r="D491" s="107">
        <v>2</v>
      </c>
      <c r="E491" s="129" t="s">
        <v>21</v>
      </c>
      <c r="F491" s="44">
        <f t="shared" si="16"/>
        <v>4</v>
      </c>
      <c r="G491" s="131" t="s">
        <v>1057</v>
      </c>
      <c r="H491" s="46" t="s">
        <v>18</v>
      </c>
      <c r="I491" s="47"/>
      <c r="J491" s="48" t="s">
        <v>42</v>
      </c>
      <c r="K491" s="132" t="s">
        <v>100</v>
      </c>
      <c r="L491" s="133" t="s">
        <v>25</v>
      </c>
      <c r="M491" s="133" t="s">
        <v>26</v>
      </c>
      <c r="N491" s="14" t="s">
        <v>27</v>
      </c>
      <c r="O491" s="14" t="s">
        <v>28</v>
      </c>
      <c r="P491" s="51">
        <v>16</v>
      </c>
      <c r="Q491" s="47">
        <f t="shared" si="14"/>
        <v>64</v>
      </c>
      <c r="R491" s="47"/>
      <c r="S491" s="47"/>
      <c r="T491" s="47"/>
    </row>
    <row r="492" customHeight="1" spans="1:20">
      <c r="A492" s="107" t="s">
        <v>1058</v>
      </c>
      <c r="B492" s="129" t="s">
        <v>1059</v>
      </c>
      <c r="C492" s="129"/>
      <c r="D492" s="107">
        <f>56/2</f>
        <v>28</v>
      </c>
      <c r="E492" s="129" t="s">
        <v>21</v>
      </c>
      <c r="F492" s="44">
        <f t="shared" si="16"/>
        <v>56</v>
      </c>
      <c r="G492" s="85" t="s">
        <v>1060</v>
      </c>
      <c r="H492" s="46" t="s">
        <v>18</v>
      </c>
      <c r="I492" s="47"/>
      <c r="J492" s="48" t="s">
        <v>42</v>
      </c>
      <c r="K492" s="86" t="s">
        <v>1058</v>
      </c>
      <c r="L492" s="87" t="s">
        <v>25</v>
      </c>
      <c r="M492" s="87" t="s">
        <v>26</v>
      </c>
      <c r="N492" s="14" t="s">
        <v>27</v>
      </c>
      <c r="O492" s="14" t="s">
        <v>28</v>
      </c>
      <c r="P492" s="51">
        <v>4.5</v>
      </c>
      <c r="Q492" s="47">
        <f t="shared" si="14"/>
        <v>252</v>
      </c>
      <c r="R492" s="47"/>
      <c r="S492" s="47"/>
      <c r="T492" s="47"/>
    </row>
    <row r="493" customHeight="1" spans="1:20">
      <c r="A493" s="107" t="s">
        <v>1061</v>
      </c>
      <c r="B493" s="129" t="s">
        <v>104</v>
      </c>
      <c r="C493" s="129"/>
      <c r="D493" s="107"/>
      <c r="E493" s="129"/>
      <c r="F493" s="44">
        <f t="shared" si="16"/>
        <v>0</v>
      </c>
      <c r="G493" s="131"/>
      <c r="H493" s="46"/>
      <c r="I493" s="47"/>
      <c r="J493" s="48"/>
      <c r="K493" s="132"/>
      <c r="L493" s="133"/>
      <c r="M493" s="133"/>
      <c r="O493" s="14" t="s">
        <v>28</v>
      </c>
      <c r="P493" s="51"/>
      <c r="Q493" s="47">
        <f t="shared" si="14"/>
        <v>0</v>
      </c>
      <c r="R493" s="47"/>
      <c r="S493" s="47"/>
      <c r="T493" s="47">
        <v>3</v>
      </c>
    </row>
    <row r="494" customHeight="1" spans="1:20">
      <c r="A494" s="107" t="s">
        <v>105</v>
      </c>
      <c r="B494" s="129" t="s">
        <v>106</v>
      </c>
      <c r="C494" s="129"/>
      <c r="D494" s="107">
        <v>2</v>
      </c>
      <c r="E494" s="129" t="s">
        <v>32</v>
      </c>
      <c r="F494" s="44">
        <f t="shared" si="16"/>
        <v>4</v>
      </c>
      <c r="G494" s="91" t="s">
        <v>107</v>
      </c>
      <c r="H494" s="46" t="s">
        <v>18</v>
      </c>
      <c r="I494" s="47"/>
      <c r="J494" s="48" t="s">
        <v>42</v>
      </c>
      <c r="K494" s="92" t="s">
        <v>105</v>
      </c>
      <c r="L494" s="93" t="s">
        <v>25</v>
      </c>
      <c r="M494" s="93" t="s">
        <v>26</v>
      </c>
      <c r="N494" s="14" t="s">
        <v>27</v>
      </c>
      <c r="O494" s="14" t="s">
        <v>28</v>
      </c>
      <c r="P494" s="51">
        <v>90</v>
      </c>
      <c r="Q494" s="47">
        <f t="shared" si="14"/>
        <v>360</v>
      </c>
      <c r="R494" s="47"/>
      <c r="S494" s="47"/>
      <c r="T494" s="47">
        <v>3001</v>
      </c>
    </row>
    <row r="495" customHeight="1" spans="1:20">
      <c r="A495" s="107" t="s">
        <v>108</v>
      </c>
      <c r="B495" s="129" t="s">
        <v>109</v>
      </c>
      <c r="C495" s="129"/>
      <c r="D495" s="107">
        <f>D466</f>
        <v>56</v>
      </c>
      <c r="E495" s="129" t="s">
        <v>32</v>
      </c>
      <c r="F495" s="44">
        <f t="shared" si="16"/>
        <v>112</v>
      </c>
      <c r="G495" s="85" t="s">
        <v>110</v>
      </c>
      <c r="H495" s="46" t="s">
        <v>18</v>
      </c>
      <c r="I495" s="47"/>
      <c r="J495" s="48" t="s">
        <v>42</v>
      </c>
      <c r="K495" s="86" t="s">
        <v>108</v>
      </c>
      <c r="L495" s="87" t="s">
        <v>25</v>
      </c>
      <c r="M495" s="87" t="s">
        <v>26</v>
      </c>
      <c r="N495" s="14" t="s">
        <v>27</v>
      </c>
      <c r="O495" s="14" t="s">
        <v>28</v>
      </c>
      <c r="P495" s="51">
        <v>36</v>
      </c>
      <c r="Q495" s="47">
        <f t="shared" si="14"/>
        <v>4032</v>
      </c>
      <c r="R495" s="47"/>
      <c r="S495" s="47"/>
      <c r="T495" s="47">
        <v>3002</v>
      </c>
    </row>
    <row r="496" customHeight="1" spans="1:20">
      <c r="A496" s="107" t="s">
        <v>111</v>
      </c>
      <c r="B496" s="129" t="s">
        <v>112</v>
      </c>
      <c r="C496" s="129"/>
      <c r="D496" s="107">
        <v>2</v>
      </c>
      <c r="E496" s="129" t="s">
        <v>32</v>
      </c>
      <c r="F496" s="44">
        <f t="shared" si="16"/>
        <v>4</v>
      </c>
      <c r="G496" s="82" t="s">
        <v>113</v>
      </c>
      <c r="H496" s="46" t="s">
        <v>18</v>
      </c>
      <c r="I496" s="47"/>
      <c r="J496" s="48" t="s">
        <v>42</v>
      </c>
      <c r="K496" s="83" t="s">
        <v>111</v>
      </c>
      <c r="L496" s="84" t="s">
        <v>25</v>
      </c>
      <c r="M496" s="84" t="s">
        <v>26</v>
      </c>
      <c r="N496" s="14" t="s">
        <v>27</v>
      </c>
      <c r="O496" s="14" t="s">
        <v>28</v>
      </c>
      <c r="P496" s="51">
        <v>135</v>
      </c>
      <c r="Q496" s="47">
        <f t="shared" si="14"/>
        <v>540</v>
      </c>
      <c r="R496" s="47"/>
      <c r="S496" s="47"/>
      <c r="T496" s="47">
        <v>3003</v>
      </c>
    </row>
    <row r="497" customHeight="1" spans="1:20">
      <c r="A497" s="107" t="s">
        <v>114</v>
      </c>
      <c r="B497" s="129" t="s">
        <v>115</v>
      </c>
      <c r="C497" s="129"/>
      <c r="D497" s="107">
        <v>2</v>
      </c>
      <c r="E497" s="129" t="s">
        <v>54</v>
      </c>
      <c r="F497" s="44">
        <f t="shared" si="16"/>
        <v>4</v>
      </c>
      <c r="G497" s="85" t="s">
        <v>116</v>
      </c>
      <c r="H497" s="46" t="s">
        <v>18</v>
      </c>
      <c r="I497" s="47"/>
      <c r="J497" s="48" t="s">
        <v>42</v>
      </c>
      <c r="K497" s="86" t="s">
        <v>114</v>
      </c>
      <c r="L497" s="87" t="s">
        <v>25</v>
      </c>
      <c r="M497" s="87" t="s">
        <v>26</v>
      </c>
      <c r="N497" s="14" t="s">
        <v>27</v>
      </c>
      <c r="O497" s="14" t="s">
        <v>28</v>
      </c>
      <c r="P497" s="51">
        <v>55</v>
      </c>
      <c r="Q497" s="47">
        <f t="shared" si="14"/>
        <v>220</v>
      </c>
      <c r="R497" s="47"/>
      <c r="S497" s="47"/>
      <c r="T497" s="47">
        <v>3004</v>
      </c>
    </row>
    <row r="498" customHeight="1" spans="1:20">
      <c r="A498" s="107" t="s">
        <v>117</v>
      </c>
      <c r="B498" s="129" t="s">
        <v>118</v>
      </c>
      <c r="C498" s="129"/>
      <c r="D498" s="107">
        <f>D466</f>
        <v>56</v>
      </c>
      <c r="E498" s="129" t="s">
        <v>21</v>
      </c>
      <c r="F498" s="44">
        <f t="shared" si="16"/>
        <v>112</v>
      </c>
      <c r="G498" s="91" t="s">
        <v>1062</v>
      </c>
      <c r="H498" s="46" t="s">
        <v>18</v>
      </c>
      <c r="I498" s="47"/>
      <c r="J498" s="48" t="s">
        <v>42</v>
      </c>
      <c r="K498" s="92" t="s">
        <v>117</v>
      </c>
      <c r="L498" s="93" t="s">
        <v>25</v>
      </c>
      <c r="M498" s="93" t="s">
        <v>26</v>
      </c>
      <c r="N498" s="14" t="s">
        <v>27</v>
      </c>
      <c r="O498" s="14" t="s">
        <v>28</v>
      </c>
      <c r="P498" s="51">
        <v>5</v>
      </c>
      <c r="Q498" s="47">
        <f t="shared" si="14"/>
        <v>560</v>
      </c>
      <c r="R498" s="47"/>
      <c r="S498" s="47"/>
      <c r="T498" s="47">
        <v>3006</v>
      </c>
    </row>
    <row r="499" customHeight="1" spans="1:20">
      <c r="A499" s="43" t="s">
        <v>1063</v>
      </c>
      <c r="B499" s="78" t="s">
        <v>1064</v>
      </c>
      <c r="C499" s="78"/>
      <c r="D499" s="43">
        <v>30</v>
      </c>
      <c r="E499" s="78" t="s">
        <v>21</v>
      </c>
      <c r="F499" s="44">
        <f t="shared" si="16"/>
        <v>60</v>
      </c>
      <c r="G499" s="85" t="s">
        <v>1065</v>
      </c>
      <c r="H499" s="46" t="s">
        <v>18</v>
      </c>
      <c r="I499" s="47"/>
      <c r="J499" s="48" t="s">
        <v>42</v>
      </c>
      <c r="K499" s="86" t="s">
        <v>1063</v>
      </c>
      <c r="L499" s="87" t="s">
        <v>25</v>
      </c>
      <c r="M499" s="87" t="s">
        <v>26</v>
      </c>
      <c r="N499" s="14" t="s">
        <v>27</v>
      </c>
      <c r="O499" s="14" t="s">
        <v>28</v>
      </c>
      <c r="P499" s="51">
        <v>1.2</v>
      </c>
      <c r="Q499" s="47">
        <f t="shared" si="14"/>
        <v>72</v>
      </c>
      <c r="R499" s="47"/>
      <c r="S499" s="47"/>
      <c r="T499" s="47"/>
    </row>
    <row r="500" customHeight="1" spans="1:20">
      <c r="A500" s="107" t="s">
        <v>1066</v>
      </c>
      <c r="B500" s="129" t="s">
        <v>1067</v>
      </c>
      <c r="C500" s="129"/>
      <c r="D500" s="107">
        <v>2</v>
      </c>
      <c r="E500" s="129" t="s">
        <v>32</v>
      </c>
      <c r="F500" s="44">
        <f t="shared" si="16"/>
        <v>4</v>
      </c>
      <c r="G500" s="82" t="s">
        <v>1068</v>
      </c>
      <c r="H500" s="46" t="s">
        <v>18</v>
      </c>
      <c r="I500" s="47"/>
      <c r="J500" s="48" t="s">
        <v>42</v>
      </c>
      <c r="K500" s="83" t="s">
        <v>1066</v>
      </c>
      <c r="L500" s="84" t="s">
        <v>25</v>
      </c>
      <c r="M500" s="84" t="s">
        <v>26</v>
      </c>
      <c r="N500" s="14" t="s">
        <v>27</v>
      </c>
      <c r="O500" s="14" t="s">
        <v>28</v>
      </c>
      <c r="P500" s="51">
        <v>5.5</v>
      </c>
      <c r="Q500" s="47">
        <f t="shared" si="14"/>
        <v>22</v>
      </c>
      <c r="R500" s="47"/>
      <c r="S500" s="47"/>
      <c r="T500" s="47"/>
    </row>
    <row r="501" customHeight="1" spans="1:20">
      <c r="A501" s="107" t="s">
        <v>1069</v>
      </c>
      <c r="B501" s="129" t="s">
        <v>121</v>
      </c>
      <c r="C501" s="129"/>
      <c r="D501" s="107"/>
      <c r="E501" s="129"/>
      <c r="F501" s="44">
        <f t="shared" si="16"/>
        <v>0</v>
      </c>
      <c r="G501" s="85"/>
      <c r="H501" s="46"/>
      <c r="I501" s="47"/>
      <c r="J501" s="48"/>
      <c r="K501" s="86"/>
      <c r="L501" s="87"/>
      <c r="M501" s="87"/>
      <c r="O501" s="14" t="s">
        <v>28</v>
      </c>
      <c r="P501" s="51"/>
      <c r="Q501" s="47">
        <f t="shared" si="14"/>
        <v>0</v>
      </c>
      <c r="R501" s="47"/>
      <c r="S501" s="47"/>
      <c r="T501" s="47">
        <v>4</v>
      </c>
    </row>
    <row r="502" customHeight="1" spans="1:20">
      <c r="A502" s="107" t="s">
        <v>1070</v>
      </c>
      <c r="B502" s="129" t="s">
        <v>1071</v>
      </c>
      <c r="C502" s="129"/>
      <c r="D502" s="107">
        <f>D466</f>
        <v>56</v>
      </c>
      <c r="E502" s="129" t="s">
        <v>54</v>
      </c>
      <c r="F502" s="44">
        <f t="shared" si="16"/>
        <v>112</v>
      </c>
      <c r="G502" s="85" t="s">
        <v>1072</v>
      </c>
      <c r="H502" s="46" t="s">
        <v>18</v>
      </c>
      <c r="I502" s="47"/>
      <c r="J502" s="48" t="s">
        <v>42</v>
      </c>
      <c r="K502" s="86" t="s">
        <v>1070</v>
      </c>
      <c r="L502" s="87" t="s">
        <v>25</v>
      </c>
      <c r="M502" s="87" t="s">
        <v>26</v>
      </c>
      <c r="N502" s="14" t="s">
        <v>27</v>
      </c>
      <c r="O502" s="14" t="s">
        <v>28</v>
      </c>
      <c r="P502" s="51">
        <v>68</v>
      </c>
      <c r="Q502" s="47">
        <f t="shared" si="14"/>
        <v>7616</v>
      </c>
      <c r="R502" s="47"/>
      <c r="S502" s="47"/>
      <c r="T502" s="47"/>
    </row>
    <row r="503" customHeight="1" spans="1:20">
      <c r="A503" s="107" t="s">
        <v>1073</v>
      </c>
      <c r="B503" s="129" t="s">
        <v>1074</v>
      </c>
      <c r="C503" s="129"/>
      <c r="D503" s="107">
        <v>3</v>
      </c>
      <c r="E503" s="129" t="s">
        <v>54</v>
      </c>
      <c r="F503" s="44">
        <f t="shared" si="16"/>
        <v>6</v>
      </c>
      <c r="G503" s="85" t="s">
        <v>1075</v>
      </c>
      <c r="H503" s="46" t="s">
        <v>18</v>
      </c>
      <c r="I503" s="47"/>
      <c r="J503" s="48" t="s">
        <v>42</v>
      </c>
      <c r="K503" s="86" t="s">
        <v>1073</v>
      </c>
      <c r="L503" s="87" t="s">
        <v>25</v>
      </c>
      <c r="M503" s="87" t="s">
        <v>26</v>
      </c>
      <c r="N503" s="14" t="s">
        <v>27</v>
      </c>
      <c r="O503" s="14" t="s">
        <v>28</v>
      </c>
      <c r="P503" s="51">
        <v>180</v>
      </c>
      <c r="Q503" s="47">
        <f t="shared" si="14"/>
        <v>1080</v>
      </c>
      <c r="R503" s="47"/>
      <c r="S503" s="47"/>
      <c r="T503" s="47"/>
    </row>
    <row r="504" customHeight="1" spans="1:20">
      <c r="A504" s="107" t="s">
        <v>132</v>
      </c>
      <c r="B504" s="129" t="s">
        <v>133</v>
      </c>
      <c r="C504" s="129"/>
      <c r="D504" s="107">
        <v>2</v>
      </c>
      <c r="E504" s="129" t="s">
        <v>54</v>
      </c>
      <c r="F504" s="44">
        <f t="shared" si="16"/>
        <v>4</v>
      </c>
      <c r="G504" s="91" t="s">
        <v>134</v>
      </c>
      <c r="H504" s="46" t="s">
        <v>18</v>
      </c>
      <c r="I504" s="47"/>
      <c r="J504" s="48" t="s">
        <v>42</v>
      </c>
      <c r="K504" s="92" t="s">
        <v>132</v>
      </c>
      <c r="L504" s="93" t="s">
        <v>25</v>
      </c>
      <c r="M504" s="93" t="s">
        <v>26</v>
      </c>
      <c r="N504" s="14" t="s">
        <v>27</v>
      </c>
      <c r="O504" s="14" t="s">
        <v>28</v>
      </c>
      <c r="P504" s="51">
        <v>26</v>
      </c>
      <c r="Q504" s="47">
        <f t="shared" si="14"/>
        <v>104</v>
      </c>
      <c r="R504" s="47"/>
      <c r="S504" s="47"/>
      <c r="T504" s="47">
        <v>4007</v>
      </c>
    </row>
    <row r="505" customHeight="1" spans="1:20">
      <c r="A505" s="107" t="s">
        <v>135</v>
      </c>
      <c r="B505" s="129" t="s">
        <v>136</v>
      </c>
      <c r="C505" s="129"/>
      <c r="D505" s="107">
        <v>2</v>
      </c>
      <c r="E505" s="129" t="s">
        <v>54</v>
      </c>
      <c r="F505" s="44">
        <f t="shared" si="16"/>
        <v>4</v>
      </c>
      <c r="G505" s="91" t="s">
        <v>137</v>
      </c>
      <c r="H505" s="46" t="s">
        <v>18</v>
      </c>
      <c r="I505" s="47"/>
      <c r="J505" s="48" t="s">
        <v>42</v>
      </c>
      <c r="K505" s="92" t="s">
        <v>135</v>
      </c>
      <c r="L505" s="93" t="s">
        <v>138</v>
      </c>
      <c r="M505" s="93" t="s">
        <v>139</v>
      </c>
      <c r="N505" s="14" t="s">
        <v>27</v>
      </c>
      <c r="O505" s="14" t="s">
        <v>28</v>
      </c>
      <c r="P505" s="51">
        <v>240</v>
      </c>
      <c r="Q505" s="47">
        <f t="shared" si="14"/>
        <v>960</v>
      </c>
      <c r="R505" s="47"/>
      <c r="S505" s="47"/>
      <c r="T505" s="47">
        <v>4008</v>
      </c>
    </row>
    <row r="506" customHeight="1" spans="1:20">
      <c r="A506" s="107" t="s">
        <v>1076</v>
      </c>
      <c r="B506" s="129" t="s">
        <v>1077</v>
      </c>
      <c r="C506" s="129"/>
      <c r="D506" s="107">
        <v>1</v>
      </c>
      <c r="E506" s="129" t="s">
        <v>54</v>
      </c>
      <c r="F506" s="44">
        <f t="shared" si="16"/>
        <v>2</v>
      </c>
      <c r="G506" s="85" t="s">
        <v>1078</v>
      </c>
      <c r="H506" s="46" t="s">
        <v>18</v>
      </c>
      <c r="I506" s="47"/>
      <c r="J506" s="48" t="s">
        <v>42</v>
      </c>
      <c r="K506" s="86" t="s">
        <v>1076</v>
      </c>
      <c r="L506" s="87" t="s">
        <v>25</v>
      </c>
      <c r="M506" s="87" t="s">
        <v>26</v>
      </c>
      <c r="N506" s="14" t="s">
        <v>27</v>
      </c>
      <c r="O506" s="14" t="s">
        <v>28</v>
      </c>
      <c r="P506" s="51">
        <v>200</v>
      </c>
      <c r="Q506" s="47">
        <f t="shared" si="14"/>
        <v>400</v>
      </c>
      <c r="R506" s="47"/>
      <c r="S506" s="47"/>
      <c r="T506" s="47"/>
    </row>
    <row r="507" customHeight="1" spans="1:20">
      <c r="A507" s="107" t="s">
        <v>140</v>
      </c>
      <c r="B507" s="129" t="s">
        <v>141</v>
      </c>
      <c r="C507" s="129"/>
      <c r="D507" s="107">
        <v>100</v>
      </c>
      <c r="E507" s="129" t="s">
        <v>142</v>
      </c>
      <c r="F507" s="44">
        <f t="shared" si="16"/>
        <v>200</v>
      </c>
      <c r="G507" s="85" t="s">
        <v>143</v>
      </c>
      <c r="H507" s="46" t="s">
        <v>18</v>
      </c>
      <c r="I507" s="47"/>
      <c r="J507" s="48" t="s">
        <v>42</v>
      </c>
      <c r="K507" s="86" t="s">
        <v>140</v>
      </c>
      <c r="L507" s="87" t="s">
        <v>25</v>
      </c>
      <c r="M507" s="87" t="s">
        <v>26</v>
      </c>
      <c r="N507" s="14" t="s">
        <v>27</v>
      </c>
      <c r="O507" s="14" t="s">
        <v>28</v>
      </c>
      <c r="P507" s="51">
        <v>4.4</v>
      </c>
      <c r="Q507" s="47">
        <f t="shared" si="14"/>
        <v>880</v>
      </c>
      <c r="R507" s="47"/>
      <c r="S507" s="47"/>
      <c r="T507" s="47">
        <v>4010</v>
      </c>
    </row>
    <row r="508" customHeight="1" spans="1:20">
      <c r="A508" s="107" t="s">
        <v>144</v>
      </c>
      <c r="B508" s="129" t="s">
        <v>145</v>
      </c>
      <c r="C508" s="129"/>
      <c r="D508" s="107">
        <v>2</v>
      </c>
      <c r="E508" s="129" t="s">
        <v>54</v>
      </c>
      <c r="F508" s="44">
        <f t="shared" si="16"/>
        <v>4</v>
      </c>
      <c r="G508" s="96" t="s">
        <v>1079</v>
      </c>
      <c r="H508" s="46" t="s">
        <v>18</v>
      </c>
      <c r="I508" s="47"/>
      <c r="J508" s="48" t="s">
        <v>42</v>
      </c>
      <c r="K508" s="97" t="s">
        <v>144</v>
      </c>
      <c r="L508" s="98" t="s">
        <v>25</v>
      </c>
      <c r="M508" s="98" t="s">
        <v>26</v>
      </c>
      <c r="N508" s="14" t="s">
        <v>27</v>
      </c>
      <c r="O508" s="14" t="s">
        <v>28</v>
      </c>
      <c r="P508" s="51">
        <v>220</v>
      </c>
      <c r="Q508" s="47">
        <f t="shared" si="14"/>
        <v>880</v>
      </c>
      <c r="R508" s="47"/>
      <c r="S508" s="47"/>
      <c r="T508" s="47">
        <v>4011</v>
      </c>
    </row>
    <row r="509" customHeight="1" spans="1:20">
      <c r="A509" s="75" t="s">
        <v>37</v>
      </c>
      <c r="B509" s="142" t="s">
        <v>158</v>
      </c>
      <c r="C509" s="142"/>
      <c r="D509" s="107"/>
      <c r="E509" s="129"/>
      <c r="F509" s="44">
        <f t="shared" si="16"/>
        <v>0</v>
      </c>
      <c r="G509" s="131"/>
      <c r="H509" s="46"/>
      <c r="I509" s="47"/>
      <c r="J509" s="48"/>
      <c r="K509" s="132"/>
      <c r="L509" s="133"/>
      <c r="M509" s="133"/>
      <c r="O509" s="14" t="s">
        <v>28</v>
      </c>
      <c r="P509" s="51"/>
      <c r="Q509" s="47">
        <f t="shared" si="14"/>
        <v>0</v>
      </c>
      <c r="R509" s="47"/>
      <c r="S509" s="47"/>
      <c r="T509" s="47">
        <v>1</v>
      </c>
    </row>
    <row r="510" customHeight="1" spans="1:20">
      <c r="A510" s="107" t="s">
        <v>1080</v>
      </c>
      <c r="B510" s="129" t="s">
        <v>159</v>
      </c>
      <c r="C510" s="129"/>
      <c r="D510" s="107"/>
      <c r="E510" s="129"/>
      <c r="F510" s="44">
        <f t="shared" si="16"/>
        <v>0</v>
      </c>
      <c r="G510" s="131"/>
      <c r="H510" s="46"/>
      <c r="I510" s="47"/>
      <c r="J510" s="48"/>
      <c r="K510" s="132"/>
      <c r="L510" s="133"/>
      <c r="M510" s="133"/>
      <c r="O510" s="14" t="s">
        <v>28</v>
      </c>
      <c r="P510" s="51"/>
      <c r="Q510" s="47">
        <f t="shared" si="14"/>
        <v>0</v>
      </c>
      <c r="R510" s="47"/>
      <c r="S510" s="47"/>
      <c r="T510" s="47">
        <v>10</v>
      </c>
    </row>
    <row r="511" customHeight="1" spans="1:20">
      <c r="A511" s="107" t="s">
        <v>1081</v>
      </c>
      <c r="B511" s="129" t="s">
        <v>1082</v>
      </c>
      <c r="C511" s="129"/>
      <c r="D511" s="107">
        <v>4</v>
      </c>
      <c r="E511" s="129" t="s">
        <v>161</v>
      </c>
      <c r="F511" s="44">
        <f t="shared" si="16"/>
        <v>8</v>
      </c>
      <c r="G511" s="91" t="s">
        <v>1083</v>
      </c>
      <c r="H511" s="46" t="s">
        <v>18</v>
      </c>
      <c r="I511" s="47"/>
      <c r="J511" s="48" t="s">
        <v>42</v>
      </c>
      <c r="K511" s="92" t="s">
        <v>1081</v>
      </c>
      <c r="L511" s="93" t="s">
        <v>25</v>
      </c>
      <c r="M511" s="93" t="s">
        <v>26</v>
      </c>
      <c r="N511" s="14" t="s">
        <v>27</v>
      </c>
      <c r="O511" s="14" t="s">
        <v>28</v>
      </c>
      <c r="P511" s="51">
        <v>6</v>
      </c>
      <c r="Q511" s="47">
        <f t="shared" si="14"/>
        <v>48</v>
      </c>
      <c r="R511" s="47"/>
      <c r="S511" s="47"/>
      <c r="T511" s="47"/>
    </row>
    <row r="512" customHeight="1" spans="1:20">
      <c r="A512" s="107" t="s">
        <v>1084</v>
      </c>
      <c r="B512" s="129" t="s">
        <v>160</v>
      </c>
      <c r="C512" s="129"/>
      <c r="D512" s="107">
        <f>D466/2</f>
        <v>28</v>
      </c>
      <c r="E512" s="129" t="s">
        <v>161</v>
      </c>
      <c r="F512" s="44">
        <f t="shared" si="16"/>
        <v>56</v>
      </c>
      <c r="G512" s="91" t="s">
        <v>1085</v>
      </c>
      <c r="H512" s="46" t="s">
        <v>18</v>
      </c>
      <c r="I512" s="47"/>
      <c r="J512" s="48" t="s">
        <v>42</v>
      </c>
      <c r="K512" s="92" t="s">
        <v>1084</v>
      </c>
      <c r="L512" s="93" t="s">
        <v>25</v>
      </c>
      <c r="M512" s="93" t="s">
        <v>26</v>
      </c>
      <c r="N512" s="14" t="s">
        <v>27</v>
      </c>
      <c r="O512" s="14" t="s">
        <v>28</v>
      </c>
      <c r="P512" s="51">
        <v>6</v>
      </c>
      <c r="Q512" s="47">
        <f t="shared" si="14"/>
        <v>336</v>
      </c>
      <c r="R512" s="47"/>
      <c r="S512" s="47"/>
      <c r="T512" s="47">
        <v>10002</v>
      </c>
    </row>
    <row r="513" customHeight="1" spans="1:20">
      <c r="A513" s="107" t="s">
        <v>1086</v>
      </c>
      <c r="B513" s="129" t="s">
        <v>163</v>
      </c>
      <c r="C513" s="129"/>
      <c r="D513" s="107">
        <f>D466/2</f>
        <v>28</v>
      </c>
      <c r="E513" s="129" t="s">
        <v>161</v>
      </c>
      <c r="F513" s="44">
        <f t="shared" si="16"/>
        <v>56</v>
      </c>
      <c r="G513" s="91" t="s">
        <v>1087</v>
      </c>
      <c r="H513" s="46" t="s">
        <v>18</v>
      </c>
      <c r="I513" s="47"/>
      <c r="J513" s="48" t="s">
        <v>42</v>
      </c>
      <c r="K513" s="92" t="s">
        <v>1086</v>
      </c>
      <c r="L513" s="93" t="s">
        <v>165</v>
      </c>
      <c r="M513" s="93" t="s">
        <v>166</v>
      </c>
      <c r="N513" s="14" t="s">
        <v>27</v>
      </c>
      <c r="O513" s="14" t="s">
        <v>28</v>
      </c>
      <c r="P513" s="51">
        <v>5</v>
      </c>
      <c r="Q513" s="47">
        <f t="shared" si="14"/>
        <v>280</v>
      </c>
      <c r="R513" s="47"/>
      <c r="S513" s="47"/>
      <c r="T513" s="47">
        <v>10004</v>
      </c>
    </row>
    <row r="514" customHeight="1" spans="1:20">
      <c r="A514" s="107" t="s">
        <v>1088</v>
      </c>
      <c r="B514" s="129" t="s">
        <v>168</v>
      </c>
      <c r="C514" s="129"/>
      <c r="D514" s="107">
        <f>D466/2</f>
        <v>28</v>
      </c>
      <c r="E514" s="129" t="s">
        <v>169</v>
      </c>
      <c r="F514" s="44">
        <f t="shared" si="16"/>
        <v>56</v>
      </c>
      <c r="G514" s="91" t="s">
        <v>1089</v>
      </c>
      <c r="H514" s="46" t="s">
        <v>18</v>
      </c>
      <c r="I514" s="47"/>
      <c r="J514" s="48" t="s">
        <v>42</v>
      </c>
      <c r="K514" s="92" t="s">
        <v>1088</v>
      </c>
      <c r="L514" s="93" t="s">
        <v>25</v>
      </c>
      <c r="M514" s="93" t="s">
        <v>26</v>
      </c>
      <c r="N514" s="14" t="s">
        <v>27</v>
      </c>
      <c r="O514" s="14" t="s">
        <v>28</v>
      </c>
      <c r="P514" s="51">
        <v>5</v>
      </c>
      <c r="Q514" s="47">
        <f t="shared" si="14"/>
        <v>280</v>
      </c>
      <c r="R514" s="47"/>
      <c r="S514" s="47"/>
      <c r="T514" s="47">
        <v>10005</v>
      </c>
    </row>
    <row r="515" customHeight="1" spans="1:20">
      <c r="A515" s="43">
        <v>10009</v>
      </c>
      <c r="B515" s="78" t="s">
        <v>1090</v>
      </c>
      <c r="C515" s="78"/>
      <c r="D515" s="43">
        <v>1</v>
      </c>
      <c r="E515" s="78" t="s">
        <v>169</v>
      </c>
      <c r="F515" s="44">
        <f t="shared" si="16"/>
        <v>2</v>
      </c>
      <c r="G515" s="85" t="s">
        <v>1091</v>
      </c>
      <c r="H515" s="46" t="s">
        <v>18</v>
      </c>
      <c r="I515" s="47"/>
      <c r="J515" s="48" t="s">
        <v>42</v>
      </c>
      <c r="K515" s="86">
        <v>10009</v>
      </c>
      <c r="L515" s="87" t="s">
        <v>25</v>
      </c>
      <c r="M515" s="87" t="s">
        <v>26</v>
      </c>
      <c r="N515" s="14" t="s">
        <v>27</v>
      </c>
      <c r="O515" s="14" t="s">
        <v>28</v>
      </c>
      <c r="P515" s="51">
        <v>14</v>
      </c>
      <c r="Q515" s="47">
        <f t="shared" si="14"/>
        <v>28</v>
      </c>
      <c r="R515" s="47"/>
      <c r="S515" s="47"/>
      <c r="T515" s="47"/>
    </row>
    <row r="516" customHeight="1" spans="1:20">
      <c r="A516" s="107" t="s">
        <v>1092</v>
      </c>
      <c r="B516" s="129" t="s">
        <v>171</v>
      </c>
      <c r="C516" s="129"/>
      <c r="D516" s="107">
        <v>1</v>
      </c>
      <c r="E516" s="129" t="s">
        <v>172</v>
      </c>
      <c r="F516" s="44">
        <f t="shared" si="16"/>
        <v>2</v>
      </c>
      <c r="G516" s="85" t="s">
        <v>1093</v>
      </c>
      <c r="H516" s="46" t="s">
        <v>18</v>
      </c>
      <c r="I516" s="47"/>
      <c r="J516" s="48" t="s">
        <v>42</v>
      </c>
      <c r="K516" s="86" t="s">
        <v>1092</v>
      </c>
      <c r="L516" s="87" t="s">
        <v>174</v>
      </c>
      <c r="M516" s="87" t="s">
        <v>175</v>
      </c>
      <c r="N516" s="14" t="s">
        <v>27</v>
      </c>
      <c r="O516" s="14" t="s">
        <v>28</v>
      </c>
      <c r="P516" s="51">
        <v>30</v>
      </c>
      <c r="Q516" s="47">
        <f t="shared" ref="Q516:Q579" si="17">P516*F516</f>
        <v>60</v>
      </c>
      <c r="R516" s="47"/>
      <c r="S516" s="47"/>
      <c r="T516" s="47">
        <v>10010</v>
      </c>
    </row>
    <row r="517" customHeight="1" spans="1:20">
      <c r="A517" s="107" t="s">
        <v>1094</v>
      </c>
      <c r="B517" s="129" t="s">
        <v>1095</v>
      </c>
      <c r="C517" s="129"/>
      <c r="D517" s="107">
        <v>1</v>
      </c>
      <c r="E517" s="129" t="s">
        <v>161</v>
      </c>
      <c r="F517" s="44">
        <f t="shared" si="16"/>
        <v>2</v>
      </c>
      <c r="G517" s="91" t="s">
        <v>1096</v>
      </c>
      <c r="H517" s="46" t="s">
        <v>18</v>
      </c>
      <c r="I517" s="47"/>
      <c r="J517" s="48" t="s">
        <v>42</v>
      </c>
      <c r="K517" s="92" t="s">
        <v>1094</v>
      </c>
      <c r="L517" s="93" t="s">
        <v>174</v>
      </c>
      <c r="M517" s="93" t="s">
        <v>175</v>
      </c>
      <c r="N517" s="14" t="s">
        <v>27</v>
      </c>
      <c r="O517" s="14" t="s">
        <v>28</v>
      </c>
      <c r="P517" s="51">
        <v>30</v>
      </c>
      <c r="Q517" s="47">
        <f t="shared" si="17"/>
        <v>60</v>
      </c>
      <c r="R517" s="47"/>
      <c r="S517" s="47"/>
      <c r="T517" s="47"/>
    </row>
    <row r="518" customHeight="1" spans="1:20">
      <c r="A518" s="107" t="s">
        <v>1097</v>
      </c>
      <c r="B518" s="129" t="s">
        <v>181</v>
      </c>
      <c r="C518" s="129"/>
      <c r="D518" s="107"/>
      <c r="E518" s="129"/>
      <c r="F518" s="44">
        <f t="shared" si="16"/>
        <v>0</v>
      </c>
      <c r="G518" s="131"/>
      <c r="H518" s="46"/>
      <c r="I518" s="47"/>
      <c r="J518" s="48"/>
      <c r="K518" s="132"/>
      <c r="L518" s="133"/>
      <c r="M518" s="133"/>
      <c r="O518" s="14" t="s">
        <v>28</v>
      </c>
      <c r="P518" s="51"/>
      <c r="Q518" s="47">
        <f t="shared" si="17"/>
        <v>0</v>
      </c>
      <c r="R518" s="47"/>
      <c r="S518" s="47"/>
      <c r="T518" s="47">
        <v>11</v>
      </c>
    </row>
    <row r="519" customHeight="1" spans="1:20">
      <c r="A519" s="107" t="s">
        <v>1098</v>
      </c>
      <c r="B519" s="129" t="s">
        <v>182</v>
      </c>
      <c r="C519" s="129"/>
      <c r="D519" s="107">
        <v>2</v>
      </c>
      <c r="E519" s="129" t="s">
        <v>54</v>
      </c>
      <c r="F519" s="44">
        <f t="shared" si="16"/>
        <v>4</v>
      </c>
      <c r="G519" s="85" t="s">
        <v>1099</v>
      </c>
      <c r="H519" s="46" t="s">
        <v>18</v>
      </c>
      <c r="I519" s="47"/>
      <c r="J519" s="48" t="s">
        <v>42</v>
      </c>
      <c r="K519" s="86" t="s">
        <v>1098</v>
      </c>
      <c r="L519" s="87" t="s">
        <v>25</v>
      </c>
      <c r="M519" s="87" t="s">
        <v>26</v>
      </c>
      <c r="N519" s="14" t="s">
        <v>27</v>
      </c>
      <c r="O519" s="14" t="s">
        <v>28</v>
      </c>
      <c r="P519" s="51">
        <v>195</v>
      </c>
      <c r="Q519" s="47">
        <f t="shared" si="17"/>
        <v>780</v>
      </c>
      <c r="R519" s="47"/>
      <c r="S519" s="47"/>
      <c r="T519" s="47">
        <v>11001</v>
      </c>
    </row>
    <row r="520" customHeight="1" spans="1:20">
      <c r="A520" s="107" t="s">
        <v>1100</v>
      </c>
      <c r="B520" s="129" t="s">
        <v>184</v>
      </c>
      <c r="C520" s="129"/>
      <c r="D520" s="107">
        <f>D466/2</f>
        <v>28</v>
      </c>
      <c r="E520" s="129" t="s">
        <v>54</v>
      </c>
      <c r="F520" s="44">
        <f t="shared" si="16"/>
        <v>56</v>
      </c>
      <c r="G520" s="91" t="s">
        <v>1101</v>
      </c>
      <c r="H520" s="46" t="s">
        <v>18</v>
      </c>
      <c r="I520" s="47"/>
      <c r="J520" s="48" t="s">
        <v>42</v>
      </c>
      <c r="K520" s="92" t="s">
        <v>1100</v>
      </c>
      <c r="L520" s="93" t="s">
        <v>25</v>
      </c>
      <c r="M520" s="93" t="s">
        <v>26</v>
      </c>
      <c r="N520" s="14" t="s">
        <v>27</v>
      </c>
      <c r="O520" s="14" t="s">
        <v>28</v>
      </c>
      <c r="P520" s="51">
        <v>90</v>
      </c>
      <c r="Q520" s="47">
        <f t="shared" si="17"/>
        <v>5040</v>
      </c>
      <c r="R520" s="47"/>
      <c r="S520" s="47"/>
      <c r="T520" s="47">
        <v>11002</v>
      </c>
    </row>
    <row r="521" customHeight="1" spans="1:20">
      <c r="A521" s="107" t="s">
        <v>1102</v>
      </c>
      <c r="B521" s="129" t="s">
        <v>186</v>
      </c>
      <c r="C521" s="129"/>
      <c r="D521" s="107">
        <f>D466/2</f>
        <v>28</v>
      </c>
      <c r="E521" s="129" t="s">
        <v>54</v>
      </c>
      <c r="F521" s="44">
        <f t="shared" si="16"/>
        <v>56</v>
      </c>
      <c r="G521" s="91" t="s">
        <v>1103</v>
      </c>
      <c r="H521" s="46" t="s">
        <v>18</v>
      </c>
      <c r="I521" s="47"/>
      <c r="J521" s="48" t="s">
        <v>42</v>
      </c>
      <c r="K521" s="92" t="s">
        <v>1104</v>
      </c>
      <c r="L521" s="93" t="s">
        <v>25</v>
      </c>
      <c r="M521" s="93" t="s">
        <v>26</v>
      </c>
      <c r="N521" s="14" t="s">
        <v>27</v>
      </c>
      <c r="O521" s="14" t="s">
        <v>28</v>
      </c>
      <c r="P521" s="51">
        <v>30</v>
      </c>
      <c r="Q521" s="47">
        <f t="shared" si="17"/>
        <v>1680</v>
      </c>
      <c r="R521" s="47"/>
      <c r="S521" s="47"/>
      <c r="T521" s="47">
        <v>11003</v>
      </c>
    </row>
    <row r="522" customHeight="1" spans="1:20">
      <c r="A522" s="107" t="s">
        <v>1105</v>
      </c>
      <c r="B522" s="129" t="s">
        <v>186</v>
      </c>
      <c r="C522" s="129"/>
      <c r="D522" s="107">
        <v>1</v>
      </c>
      <c r="E522" s="129" t="s">
        <v>54</v>
      </c>
      <c r="F522" s="44">
        <f t="shared" si="16"/>
        <v>2</v>
      </c>
      <c r="G522" s="91" t="s">
        <v>1106</v>
      </c>
      <c r="H522" s="46" t="s">
        <v>18</v>
      </c>
      <c r="I522" s="47"/>
      <c r="J522" s="48" t="s">
        <v>42</v>
      </c>
      <c r="K522" s="92">
        <v>11004</v>
      </c>
      <c r="L522" s="93" t="s">
        <v>25</v>
      </c>
      <c r="M522" s="93" t="s">
        <v>26</v>
      </c>
      <c r="N522" s="14" t="s">
        <v>27</v>
      </c>
      <c r="O522" s="14" t="s">
        <v>28</v>
      </c>
      <c r="P522" s="51">
        <v>30</v>
      </c>
      <c r="Q522" s="47">
        <f t="shared" si="17"/>
        <v>60</v>
      </c>
      <c r="R522" s="47"/>
      <c r="S522" s="47"/>
      <c r="T522" s="47">
        <v>11003</v>
      </c>
    </row>
    <row r="523" customHeight="1" spans="1:20">
      <c r="A523" s="107" t="s">
        <v>1107</v>
      </c>
      <c r="B523" s="129" t="s">
        <v>189</v>
      </c>
      <c r="C523" s="129"/>
      <c r="D523" s="107">
        <v>1</v>
      </c>
      <c r="E523" s="129" t="s">
        <v>54</v>
      </c>
      <c r="F523" s="44">
        <f t="shared" si="16"/>
        <v>2</v>
      </c>
      <c r="G523" s="85" t="s">
        <v>1108</v>
      </c>
      <c r="H523" s="46" t="s">
        <v>18</v>
      </c>
      <c r="I523" s="47"/>
      <c r="J523" s="48" t="s">
        <v>42</v>
      </c>
      <c r="K523" s="86" t="s">
        <v>1107</v>
      </c>
      <c r="L523" s="87" t="s">
        <v>191</v>
      </c>
      <c r="M523" s="87" t="s">
        <v>192</v>
      </c>
      <c r="N523" s="14" t="s">
        <v>27</v>
      </c>
      <c r="O523" s="14" t="s">
        <v>28</v>
      </c>
      <c r="P523" s="51">
        <v>285</v>
      </c>
      <c r="Q523" s="47">
        <f t="shared" si="17"/>
        <v>570</v>
      </c>
      <c r="R523" s="47"/>
      <c r="S523" s="47"/>
      <c r="T523" s="47">
        <v>11010</v>
      </c>
    </row>
    <row r="524" customHeight="1" spans="1:20">
      <c r="A524" s="107" t="s">
        <v>1109</v>
      </c>
      <c r="B524" s="129" t="s">
        <v>1110</v>
      </c>
      <c r="C524" s="129"/>
      <c r="D524" s="107">
        <v>1</v>
      </c>
      <c r="E524" s="129" t="s">
        <v>54</v>
      </c>
      <c r="F524" s="44">
        <f t="shared" si="16"/>
        <v>2</v>
      </c>
      <c r="G524" s="91" t="s">
        <v>1111</v>
      </c>
      <c r="H524" s="46" t="s">
        <v>18</v>
      </c>
      <c r="I524" s="47"/>
      <c r="J524" s="48" t="s">
        <v>42</v>
      </c>
      <c r="K524" s="92" t="s">
        <v>1109</v>
      </c>
      <c r="L524" s="93" t="s">
        <v>191</v>
      </c>
      <c r="M524" s="93" t="s">
        <v>192</v>
      </c>
      <c r="N524" s="14" t="s">
        <v>27</v>
      </c>
      <c r="O524" s="14" t="s">
        <v>28</v>
      </c>
      <c r="P524" s="51">
        <v>330</v>
      </c>
      <c r="Q524" s="47">
        <f t="shared" si="17"/>
        <v>660</v>
      </c>
      <c r="R524" s="47"/>
      <c r="S524" s="47"/>
      <c r="T524" s="47"/>
    </row>
    <row r="525" customHeight="1" spans="1:20">
      <c r="A525" s="107" t="s">
        <v>1112</v>
      </c>
      <c r="B525" s="129" t="s">
        <v>1113</v>
      </c>
      <c r="C525" s="129"/>
      <c r="D525" s="107">
        <v>1</v>
      </c>
      <c r="E525" s="129" t="s">
        <v>54</v>
      </c>
      <c r="F525" s="44">
        <f t="shared" si="16"/>
        <v>2</v>
      </c>
      <c r="G525" s="85" t="s">
        <v>1114</v>
      </c>
      <c r="H525" s="46" t="s">
        <v>18</v>
      </c>
      <c r="I525" s="47"/>
      <c r="J525" s="48" t="s">
        <v>42</v>
      </c>
      <c r="K525" s="86" t="s">
        <v>1112</v>
      </c>
      <c r="L525" s="87" t="s">
        <v>25</v>
      </c>
      <c r="M525" s="87" t="s">
        <v>26</v>
      </c>
      <c r="N525" s="14" t="s">
        <v>27</v>
      </c>
      <c r="O525" s="14" t="s">
        <v>28</v>
      </c>
      <c r="P525" s="51">
        <v>180</v>
      </c>
      <c r="Q525" s="47">
        <f t="shared" si="17"/>
        <v>360</v>
      </c>
      <c r="R525" s="47"/>
      <c r="S525" s="47"/>
      <c r="T525" s="47"/>
    </row>
    <row r="526" customHeight="1" spans="1:20">
      <c r="A526" s="107" t="s">
        <v>1115</v>
      </c>
      <c r="B526" s="129" t="s">
        <v>1116</v>
      </c>
      <c r="C526" s="129"/>
      <c r="D526" s="107">
        <v>1</v>
      </c>
      <c r="E526" s="129" t="s">
        <v>54</v>
      </c>
      <c r="F526" s="44">
        <f t="shared" si="16"/>
        <v>2</v>
      </c>
      <c r="G526" s="85" t="s">
        <v>1117</v>
      </c>
      <c r="H526" s="46" t="s">
        <v>18</v>
      </c>
      <c r="I526" s="47"/>
      <c r="J526" s="48" t="s">
        <v>42</v>
      </c>
      <c r="K526" s="86" t="s">
        <v>1115</v>
      </c>
      <c r="L526" s="87" t="s">
        <v>25</v>
      </c>
      <c r="M526" s="87" t="s">
        <v>26</v>
      </c>
      <c r="N526" s="14" t="s">
        <v>27</v>
      </c>
      <c r="O526" s="14" t="s">
        <v>28</v>
      </c>
      <c r="P526" s="51">
        <v>95</v>
      </c>
      <c r="Q526" s="47">
        <f t="shared" si="17"/>
        <v>190</v>
      </c>
      <c r="R526" s="47"/>
      <c r="S526" s="47"/>
      <c r="T526" s="47"/>
    </row>
    <row r="527" customHeight="1" spans="1:20">
      <c r="A527" s="107" t="s">
        <v>1118</v>
      </c>
      <c r="B527" s="129" t="s">
        <v>198</v>
      </c>
      <c r="C527" s="129"/>
      <c r="D527" s="107">
        <f>D466/2</f>
        <v>28</v>
      </c>
      <c r="E527" s="129" t="s">
        <v>32</v>
      </c>
      <c r="F527" s="44">
        <f t="shared" si="16"/>
        <v>56</v>
      </c>
      <c r="G527" s="85" t="s">
        <v>1119</v>
      </c>
      <c r="H527" s="46" t="s">
        <v>18</v>
      </c>
      <c r="I527" s="47"/>
      <c r="J527" s="48" t="s">
        <v>42</v>
      </c>
      <c r="K527" s="86" t="s">
        <v>1118</v>
      </c>
      <c r="L527" s="87" t="s">
        <v>25</v>
      </c>
      <c r="M527" s="87" t="s">
        <v>26</v>
      </c>
      <c r="N527" s="14" t="s">
        <v>27</v>
      </c>
      <c r="O527" s="14" t="s">
        <v>28</v>
      </c>
      <c r="P527" s="51">
        <v>16</v>
      </c>
      <c r="Q527" s="47">
        <f t="shared" si="17"/>
        <v>896</v>
      </c>
      <c r="R527" s="47"/>
      <c r="S527" s="47"/>
      <c r="T527" s="47">
        <v>11021</v>
      </c>
    </row>
    <row r="528" customHeight="1" spans="1:20">
      <c r="A528" s="107" t="s">
        <v>1120</v>
      </c>
      <c r="B528" s="129" t="s">
        <v>200</v>
      </c>
      <c r="C528" s="129"/>
      <c r="D528" s="107">
        <f>D466/2</f>
        <v>28</v>
      </c>
      <c r="E528" s="129" t="s">
        <v>32</v>
      </c>
      <c r="F528" s="44">
        <f t="shared" si="16"/>
        <v>56</v>
      </c>
      <c r="G528" s="85" t="s">
        <v>1121</v>
      </c>
      <c r="H528" s="46" t="s">
        <v>18</v>
      </c>
      <c r="I528" s="47"/>
      <c r="J528" s="48" t="s">
        <v>42</v>
      </c>
      <c r="K528" s="86" t="s">
        <v>1120</v>
      </c>
      <c r="L528" s="87" t="s">
        <v>25</v>
      </c>
      <c r="M528" s="87" t="s">
        <v>26</v>
      </c>
      <c r="N528" s="14" t="s">
        <v>27</v>
      </c>
      <c r="O528" s="14" t="s">
        <v>28</v>
      </c>
      <c r="P528" s="51">
        <v>35</v>
      </c>
      <c r="Q528" s="47">
        <f t="shared" si="17"/>
        <v>1960</v>
      </c>
      <c r="R528" s="47"/>
      <c r="S528" s="47"/>
      <c r="T528" s="47">
        <v>11022</v>
      </c>
    </row>
    <row r="529" customHeight="1" spans="1:20">
      <c r="A529" s="107" t="s">
        <v>1122</v>
      </c>
      <c r="B529" s="129" t="s">
        <v>202</v>
      </c>
      <c r="C529" s="129"/>
      <c r="D529" s="107"/>
      <c r="E529" s="129"/>
      <c r="F529" s="44">
        <f t="shared" si="16"/>
        <v>0</v>
      </c>
      <c r="G529" s="131"/>
      <c r="H529" s="46"/>
      <c r="I529" s="47"/>
      <c r="J529" s="48" t="s">
        <v>42</v>
      </c>
      <c r="K529" s="132"/>
      <c r="L529" s="133"/>
      <c r="M529" s="133"/>
      <c r="O529" s="14" t="s">
        <v>28</v>
      </c>
      <c r="P529" s="51"/>
      <c r="Q529" s="47">
        <f t="shared" si="17"/>
        <v>0</v>
      </c>
      <c r="R529" s="47"/>
      <c r="S529" s="47"/>
      <c r="T529" s="47">
        <v>12</v>
      </c>
    </row>
    <row r="530" customHeight="1" spans="1:20">
      <c r="A530" s="43">
        <v>12001</v>
      </c>
      <c r="B530" s="78" t="s">
        <v>203</v>
      </c>
      <c r="C530" s="78"/>
      <c r="D530" s="107">
        <f>D466/2</f>
        <v>28</v>
      </c>
      <c r="E530" s="78" t="s">
        <v>47</v>
      </c>
      <c r="F530" s="44">
        <f t="shared" si="16"/>
        <v>56</v>
      </c>
      <c r="G530" s="85" t="s">
        <v>1123</v>
      </c>
      <c r="H530" s="46" t="s">
        <v>18</v>
      </c>
      <c r="I530" s="47"/>
      <c r="J530" s="48" t="s">
        <v>42</v>
      </c>
      <c r="K530" s="86">
        <v>12001</v>
      </c>
      <c r="L530" s="87" t="s">
        <v>205</v>
      </c>
      <c r="M530" s="87" t="s">
        <v>206</v>
      </c>
      <c r="N530" s="14" t="s">
        <v>27</v>
      </c>
      <c r="O530" s="14" t="s">
        <v>28</v>
      </c>
      <c r="P530" s="51">
        <v>220</v>
      </c>
      <c r="Q530" s="47">
        <f t="shared" si="17"/>
        <v>12320</v>
      </c>
      <c r="R530" s="47"/>
      <c r="S530" s="47"/>
      <c r="T530" s="47">
        <v>12001</v>
      </c>
    </row>
    <row r="531" customHeight="1" spans="1:20">
      <c r="A531" s="43">
        <v>12002</v>
      </c>
      <c r="B531" s="78" t="s">
        <v>1124</v>
      </c>
      <c r="C531" s="78"/>
      <c r="D531" s="107">
        <f>D466/2</f>
        <v>28</v>
      </c>
      <c r="E531" s="78" t="s">
        <v>47</v>
      </c>
      <c r="F531" s="44">
        <f t="shared" si="16"/>
        <v>56</v>
      </c>
      <c r="G531" s="85" t="s">
        <v>1125</v>
      </c>
      <c r="H531" s="46" t="s">
        <v>18</v>
      </c>
      <c r="I531" s="47"/>
      <c r="J531" s="48" t="s">
        <v>42</v>
      </c>
      <c r="K531" s="86">
        <v>12002</v>
      </c>
      <c r="L531" s="87" t="s">
        <v>1126</v>
      </c>
      <c r="M531" s="87" t="s">
        <v>1127</v>
      </c>
      <c r="N531" s="14" t="s">
        <v>27</v>
      </c>
      <c r="O531" s="14" t="s">
        <v>28</v>
      </c>
      <c r="P531" s="51">
        <v>62.5</v>
      </c>
      <c r="Q531" s="47">
        <f t="shared" si="17"/>
        <v>3500</v>
      </c>
      <c r="R531" s="47"/>
      <c r="S531" s="47"/>
      <c r="T531" s="47"/>
    </row>
    <row r="532" customHeight="1" spans="1:20">
      <c r="A532" s="43">
        <v>12003</v>
      </c>
      <c r="B532" s="78" t="s">
        <v>207</v>
      </c>
      <c r="C532" s="78"/>
      <c r="D532" s="107">
        <f>D466/2</f>
        <v>28</v>
      </c>
      <c r="E532" s="78" t="s">
        <v>47</v>
      </c>
      <c r="F532" s="44">
        <f t="shared" ref="F532:F595" si="18">D532*2</f>
        <v>56</v>
      </c>
      <c r="G532" s="85" t="s">
        <v>1128</v>
      </c>
      <c r="H532" s="46" t="s">
        <v>18</v>
      </c>
      <c r="I532" s="47"/>
      <c r="J532" s="48" t="s">
        <v>42</v>
      </c>
      <c r="K532" s="86">
        <v>12003</v>
      </c>
      <c r="L532" s="87" t="s">
        <v>25</v>
      </c>
      <c r="M532" s="87" t="s">
        <v>26</v>
      </c>
      <c r="N532" s="14" t="s">
        <v>27</v>
      </c>
      <c r="O532" s="14" t="s">
        <v>28</v>
      </c>
      <c r="P532" s="51">
        <v>14</v>
      </c>
      <c r="Q532" s="47">
        <f t="shared" si="17"/>
        <v>784</v>
      </c>
      <c r="R532" s="47"/>
      <c r="S532" s="47"/>
      <c r="T532" s="47">
        <v>12003</v>
      </c>
    </row>
    <row r="533" customHeight="1" spans="1:20">
      <c r="A533" s="43">
        <v>12004</v>
      </c>
      <c r="B533" s="78" t="s">
        <v>1129</v>
      </c>
      <c r="C533" s="78"/>
      <c r="D533" s="107">
        <f>D466/2</f>
        <v>28</v>
      </c>
      <c r="E533" s="78" t="s">
        <v>47</v>
      </c>
      <c r="F533" s="44">
        <f t="shared" si="18"/>
        <v>56</v>
      </c>
      <c r="G533" s="85" t="s">
        <v>1130</v>
      </c>
      <c r="H533" s="46" t="s">
        <v>18</v>
      </c>
      <c r="I533" s="47"/>
      <c r="J533" s="48" t="s">
        <v>42</v>
      </c>
      <c r="K533" s="86">
        <v>12004</v>
      </c>
      <c r="L533" s="87" t="s">
        <v>25</v>
      </c>
      <c r="M533" s="87" t="s">
        <v>26</v>
      </c>
      <c r="N533" s="14" t="s">
        <v>27</v>
      </c>
      <c r="O533" s="14" t="s">
        <v>28</v>
      </c>
      <c r="P533" s="51">
        <v>40</v>
      </c>
      <c r="Q533" s="47">
        <f t="shared" si="17"/>
        <v>2240</v>
      </c>
      <c r="R533" s="47"/>
      <c r="S533" s="47"/>
      <c r="T533" s="47"/>
    </row>
    <row r="534" customHeight="1" spans="1:20">
      <c r="A534" s="43">
        <v>12010</v>
      </c>
      <c r="B534" s="78" t="s">
        <v>1131</v>
      </c>
      <c r="C534" s="78"/>
      <c r="D534" s="107">
        <v>1</v>
      </c>
      <c r="E534" s="78" t="s">
        <v>21</v>
      </c>
      <c r="F534" s="44">
        <f t="shared" si="18"/>
        <v>2</v>
      </c>
      <c r="G534" s="91" t="s">
        <v>1132</v>
      </c>
      <c r="H534" s="46" t="s">
        <v>18</v>
      </c>
      <c r="I534" s="47"/>
      <c r="J534" s="48" t="s">
        <v>42</v>
      </c>
      <c r="K534" s="92">
        <v>12010</v>
      </c>
      <c r="L534" s="93" t="s">
        <v>25</v>
      </c>
      <c r="M534" s="93" t="s">
        <v>26</v>
      </c>
      <c r="N534" s="14" t="s">
        <v>27</v>
      </c>
      <c r="O534" s="14" t="s">
        <v>28</v>
      </c>
      <c r="P534" s="51">
        <v>75</v>
      </c>
      <c r="Q534" s="47">
        <f t="shared" si="17"/>
        <v>150</v>
      </c>
      <c r="R534" s="47"/>
      <c r="S534" s="47"/>
      <c r="T534" s="47"/>
    </row>
    <row r="535" customHeight="1" spans="1:20">
      <c r="A535" s="43">
        <v>12011</v>
      </c>
      <c r="B535" s="78" t="s">
        <v>1133</v>
      </c>
      <c r="C535" s="78"/>
      <c r="D535" s="107">
        <v>1</v>
      </c>
      <c r="E535" s="78" t="s">
        <v>21</v>
      </c>
      <c r="F535" s="44">
        <f t="shared" si="18"/>
        <v>2</v>
      </c>
      <c r="G535" s="91" t="s">
        <v>1134</v>
      </c>
      <c r="H535" s="46" t="s">
        <v>18</v>
      </c>
      <c r="I535" s="47"/>
      <c r="J535" s="48" t="s">
        <v>42</v>
      </c>
      <c r="K535" s="92">
        <v>12011</v>
      </c>
      <c r="L535" s="93" t="s">
        <v>25</v>
      </c>
      <c r="M535" s="93" t="s">
        <v>26</v>
      </c>
      <c r="N535" s="14" t="s">
        <v>27</v>
      </c>
      <c r="O535" s="14" t="s">
        <v>28</v>
      </c>
      <c r="P535" s="51">
        <v>25</v>
      </c>
      <c r="Q535" s="47">
        <f t="shared" si="17"/>
        <v>50</v>
      </c>
      <c r="R535" s="47"/>
      <c r="S535" s="47"/>
      <c r="T535" s="47"/>
    </row>
    <row r="536" customHeight="1" spans="1:20">
      <c r="A536" s="43">
        <v>12015</v>
      </c>
      <c r="B536" s="78" t="s">
        <v>1135</v>
      </c>
      <c r="C536" s="78"/>
      <c r="D536" s="107">
        <v>1</v>
      </c>
      <c r="E536" s="78" t="s">
        <v>21</v>
      </c>
      <c r="F536" s="44">
        <f t="shared" si="18"/>
        <v>2</v>
      </c>
      <c r="G536" s="91" t="s">
        <v>1136</v>
      </c>
      <c r="H536" s="46" t="s">
        <v>18</v>
      </c>
      <c r="I536" s="47"/>
      <c r="J536" s="48" t="s">
        <v>42</v>
      </c>
      <c r="K536" s="92">
        <v>12015</v>
      </c>
      <c r="L536" s="93" t="s">
        <v>25</v>
      </c>
      <c r="M536" s="93" t="s">
        <v>26</v>
      </c>
      <c r="N536" s="14" t="s">
        <v>27</v>
      </c>
      <c r="O536" s="14" t="s">
        <v>28</v>
      </c>
      <c r="P536" s="51">
        <v>45</v>
      </c>
      <c r="Q536" s="47">
        <f t="shared" si="17"/>
        <v>90</v>
      </c>
      <c r="R536" s="47"/>
      <c r="S536" s="47"/>
      <c r="T536" s="47"/>
    </row>
    <row r="537" customHeight="1" spans="1:20">
      <c r="A537" s="107" t="s">
        <v>1137</v>
      </c>
      <c r="B537" s="129" t="s">
        <v>219</v>
      </c>
      <c r="C537" s="129"/>
      <c r="D537" s="107"/>
      <c r="E537" s="129"/>
      <c r="F537" s="44">
        <f t="shared" si="18"/>
        <v>0</v>
      </c>
      <c r="G537" s="131"/>
      <c r="H537" s="46"/>
      <c r="I537" s="47"/>
      <c r="J537" s="48" t="s">
        <v>42</v>
      </c>
      <c r="K537" s="132"/>
      <c r="L537" s="133"/>
      <c r="M537" s="133"/>
      <c r="O537" s="14" t="s">
        <v>28</v>
      </c>
      <c r="P537" s="51"/>
      <c r="Q537" s="47">
        <f t="shared" si="17"/>
        <v>0</v>
      </c>
      <c r="R537" s="47"/>
      <c r="S537" s="47"/>
      <c r="T537" s="47">
        <v>13</v>
      </c>
    </row>
    <row r="538" customHeight="1" spans="1:20">
      <c r="A538" s="107" t="s">
        <v>1138</v>
      </c>
      <c r="B538" s="129" t="s">
        <v>220</v>
      </c>
      <c r="C538" s="129"/>
      <c r="D538" s="107">
        <f>D466+2</f>
        <v>58</v>
      </c>
      <c r="E538" s="129" t="s">
        <v>221</v>
      </c>
      <c r="F538" s="44">
        <f t="shared" si="18"/>
        <v>116</v>
      </c>
      <c r="G538" s="91" t="s">
        <v>1139</v>
      </c>
      <c r="H538" s="46" t="s">
        <v>18</v>
      </c>
      <c r="I538" s="47"/>
      <c r="J538" s="48" t="s">
        <v>42</v>
      </c>
      <c r="K538" s="92" t="s">
        <v>1138</v>
      </c>
      <c r="L538" s="93" t="s">
        <v>25</v>
      </c>
      <c r="M538" s="93" t="s">
        <v>26</v>
      </c>
      <c r="N538" s="14" t="s">
        <v>27</v>
      </c>
      <c r="O538" s="14" t="s">
        <v>28</v>
      </c>
      <c r="P538" s="51">
        <v>2</v>
      </c>
      <c r="Q538" s="47">
        <f t="shared" si="17"/>
        <v>232</v>
      </c>
      <c r="R538" s="47"/>
      <c r="S538" s="47"/>
      <c r="T538" s="47">
        <v>13001</v>
      </c>
    </row>
    <row r="539" customHeight="1" spans="1:20">
      <c r="A539" s="107" t="s">
        <v>1140</v>
      </c>
      <c r="B539" s="129" t="s">
        <v>220</v>
      </c>
      <c r="C539" s="129"/>
      <c r="D539" s="107">
        <v>6</v>
      </c>
      <c r="E539" s="129" t="s">
        <v>221</v>
      </c>
      <c r="F539" s="44">
        <f t="shared" si="18"/>
        <v>12</v>
      </c>
      <c r="G539" s="91" t="s">
        <v>1141</v>
      </c>
      <c r="H539" s="46" t="s">
        <v>18</v>
      </c>
      <c r="I539" s="47"/>
      <c r="J539" s="48" t="s">
        <v>42</v>
      </c>
      <c r="K539" s="92" t="s">
        <v>1140</v>
      </c>
      <c r="L539" s="93" t="s">
        <v>25</v>
      </c>
      <c r="M539" s="93" t="s">
        <v>26</v>
      </c>
      <c r="N539" s="14" t="s">
        <v>27</v>
      </c>
      <c r="O539" s="14" t="s">
        <v>28</v>
      </c>
      <c r="P539" s="51">
        <v>3</v>
      </c>
      <c r="Q539" s="47">
        <f t="shared" si="17"/>
        <v>36</v>
      </c>
      <c r="R539" s="47"/>
      <c r="S539" s="47"/>
      <c r="T539" s="47">
        <v>13001</v>
      </c>
    </row>
    <row r="540" customHeight="1" spans="1:20">
      <c r="A540" s="107" t="s">
        <v>1142</v>
      </c>
      <c r="B540" s="129" t="s">
        <v>1143</v>
      </c>
      <c r="C540" s="129"/>
      <c r="D540" s="107">
        <v>1</v>
      </c>
      <c r="E540" s="129" t="s">
        <v>161</v>
      </c>
      <c r="F540" s="44">
        <f t="shared" si="18"/>
        <v>2</v>
      </c>
      <c r="G540" s="85" t="s">
        <v>1144</v>
      </c>
      <c r="H540" s="46" t="s">
        <v>18</v>
      </c>
      <c r="I540" s="47"/>
      <c r="J540" s="48" t="s">
        <v>42</v>
      </c>
      <c r="K540" s="86" t="s">
        <v>1142</v>
      </c>
      <c r="L540" s="87" t="s">
        <v>25</v>
      </c>
      <c r="M540" s="87" t="s">
        <v>26</v>
      </c>
      <c r="N540" s="14" t="s">
        <v>27</v>
      </c>
      <c r="O540" s="14" t="s">
        <v>28</v>
      </c>
      <c r="P540" s="51">
        <v>21</v>
      </c>
      <c r="Q540" s="47">
        <f t="shared" si="17"/>
        <v>42</v>
      </c>
      <c r="R540" s="47"/>
      <c r="S540" s="47"/>
      <c r="T540" s="47"/>
    </row>
    <row r="541" customHeight="1" spans="1:20">
      <c r="A541" s="43">
        <v>13005</v>
      </c>
      <c r="B541" s="78" t="s">
        <v>1145</v>
      </c>
      <c r="C541" s="78"/>
      <c r="D541" s="107">
        <v>1</v>
      </c>
      <c r="E541" s="78" t="s">
        <v>161</v>
      </c>
      <c r="F541" s="44">
        <f t="shared" si="18"/>
        <v>2</v>
      </c>
      <c r="G541" s="104" t="s">
        <v>1146</v>
      </c>
      <c r="H541" s="46" t="s">
        <v>18</v>
      </c>
      <c r="I541" s="47"/>
      <c r="J541" s="48" t="s">
        <v>42</v>
      </c>
      <c r="K541" s="105">
        <v>13005</v>
      </c>
      <c r="L541" s="106" t="s">
        <v>25</v>
      </c>
      <c r="M541" s="106" t="s">
        <v>26</v>
      </c>
      <c r="N541" s="14" t="s">
        <v>27</v>
      </c>
      <c r="O541" s="14" t="s">
        <v>28</v>
      </c>
      <c r="P541" s="51">
        <v>50</v>
      </c>
      <c r="Q541" s="47">
        <f t="shared" si="17"/>
        <v>100</v>
      </c>
      <c r="R541" s="47"/>
      <c r="S541" s="47"/>
      <c r="T541" s="47"/>
    </row>
    <row r="542" customHeight="1" spans="1:20">
      <c r="A542" s="43">
        <v>13006</v>
      </c>
      <c r="B542" s="78" t="s">
        <v>1147</v>
      </c>
      <c r="C542" s="78"/>
      <c r="D542" s="107">
        <v>1</v>
      </c>
      <c r="E542" s="78" t="s">
        <v>21</v>
      </c>
      <c r="F542" s="44">
        <f t="shared" si="18"/>
        <v>2</v>
      </c>
      <c r="G542" s="85" t="s">
        <v>1148</v>
      </c>
      <c r="H542" s="46" t="s">
        <v>18</v>
      </c>
      <c r="I542" s="47"/>
      <c r="J542" s="48" t="s">
        <v>42</v>
      </c>
      <c r="K542" s="86">
        <v>13006</v>
      </c>
      <c r="L542" s="87" t="s">
        <v>25</v>
      </c>
      <c r="M542" s="87" t="s">
        <v>26</v>
      </c>
      <c r="N542" s="14" t="s">
        <v>27</v>
      </c>
      <c r="O542" s="14" t="s">
        <v>28</v>
      </c>
      <c r="P542" s="51">
        <v>12</v>
      </c>
      <c r="Q542" s="47">
        <f t="shared" si="17"/>
        <v>24</v>
      </c>
      <c r="R542" s="47"/>
      <c r="S542" s="47"/>
      <c r="T542" s="47"/>
    </row>
    <row r="543" customHeight="1" spans="1:20">
      <c r="A543" s="107" t="s">
        <v>1149</v>
      </c>
      <c r="B543" s="129" t="s">
        <v>1150</v>
      </c>
      <c r="C543" s="129"/>
      <c r="D543" s="107">
        <v>2</v>
      </c>
      <c r="E543" s="129" t="s">
        <v>221</v>
      </c>
      <c r="F543" s="44">
        <f t="shared" si="18"/>
        <v>4</v>
      </c>
      <c r="G543" s="91" t="s">
        <v>1151</v>
      </c>
      <c r="H543" s="46" t="s">
        <v>18</v>
      </c>
      <c r="I543" s="47"/>
      <c r="J543" s="48" t="s">
        <v>42</v>
      </c>
      <c r="K543" s="92" t="s">
        <v>1149</v>
      </c>
      <c r="L543" s="93" t="s">
        <v>1152</v>
      </c>
      <c r="M543" s="93" t="s">
        <v>1153</v>
      </c>
      <c r="N543" s="14" t="s">
        <v>27</v>
      </c>
      <c r="O543" s="14" t="s">
        <v>28</v>
      </c>
      <c r="P543" s="51">
        <v>6</v>
      </c>
      <c r="Q543" s="47">
        <f t="shared" si="17"/>
        <v>24</v>
      </c>
      <c r="R543" s="47"/>
      <c r="S543" s="47"/>
      <c r="T543" s="47"/>
    </row>
    <row r="544" customHeight="1" spans="1:20">
      <c r="A544" s="43">
        <v>13011</v>
      </c>
      <c r="B544" s="78" t="s">
        <v>226</v>
      </c>
      <c r="C544" s="78"/>
      <c r="D544" s="107">
        <v>1</v>
      </c>
      <c r="E544" s="78" t="s">
        <v>221</v>
      </c>
      <c r="F544" s="44">
        <f t="shared" si="18"/>
        <v>2</v>
      </c>
      <c r="G544" s="91" t="s">
        <v>1154</v>
      </c>
      <c r="H544" s="46" t="s">
        <v>18</v>
      </c>
      <c r="I544" s="47"/>
      <c r="J544" s="48" t="s">
        <v>42</v>
      </c>
      <c r="K544" s="92">
        <v>13011</v>
      </c>
      <c r="L544" s="93" t="s">
        <v>25</v>
      </c>
      <c r="M544" s="93" t="s">
        <v>26</v>
      </c>
      <c r="N544" s="14" t="s">
        <v>27</v>
      </c>
      <c r="O544" s="14" t="s">
        <v>28</v>
      </c>
      <c r="P544" s="51">
        <v>14</v>
      </c>
      <c r="Q544" s="47">
        <f t="shared" si="17"/>
        <v>28</v>
      </c>
      <c r="R544" s="47"/>
      <c r="S544" s="47"/>
      <c r="T544" s="47">
        <v>13011</v>
      </c>
    </row>
    <row r="545" customHeight="1" spans="1:20">
      <c r="A545" s="43">
        <v>13012</v>
      </c>
      <c r="B545" s="78" t="s">
        <v>1155</v>
      </c>
      <c r="C545" s="78"/>
      <c r="D545" s="107">
        <v>1</v>
      </c>
      <c r="E545" s="78" t="s">
        <v>21</v>
      </c>
      <c r="F545" s="44">
        <f t="shared" si="18"/>
        <v>2</v>
      </c>
      <c r="G545" s="85" t="s">
        <v>1156</v>
      </c>
      <c r="H545" s="46" t="s">
        <v>18</v>
      </c>
      <c r="I545" s="47"/>
      <c r="J545" s="48" t="s">
        <v>42</v>
      </c>
      <c r="K545" s="86">
        <v>13012</v>
      </c>
      <c r="L545" s="87" t="s">
        <v>230</v>
      </c>
      <c r="M545" s="87" t="s">
        <v>231</v>
      </c>
      <c r="N545" s="14" t="s">
        <v>27</v>
      </c>
      <c r="O545" s="14" t="s">
        <v>28</v>
      </c>
      <c r="P545" s="51">
        <v>120</v>
      </c>
      <c r="Q545" s="47">
        <f t="shared" si="17"/>
        <v>240</v>
      </c>
      <c r="R545" s="47"/>
      <c r="S545" s="47"/>
      <c r="T545" s="47"/>
    </row>
    <row r="546" customHeight="1" spans="1:20">
      <c r="A546" s="107" t="s">
        <v>1157</v>
      </c>
      <c r="B546" s="129" t="s">
        <v>232</v>
      </c>
      <c r="C546" s="129"/>
      <c r="D546" s="107">
        <v>12</v>
      </c>
      <c r="E546" s="129" t="s">
        <v>161</v>
      </c>
      <c r="F546" s="44">
        <f t="shared" si="18"/>
        <v>24</v>
      </c>
      <c r="G546" s="91" t="s">
        <v>1158</v>
      </c>
      <c r="H546" s="46" t="s">
        <v>18</v>
      </c>
      <c r="I546" s="47"/>
      <c r="J546" s="48" t="s">
        <v>42</v>
      </c>
      <c r="K546" s="92" t="s">
        <v>1157</v>
      </c>
      <c r="L546" s="93" t="s">
        <v>25</v>
      </c>
      <c r="M546" s="93" t="s">
        <v>26</v>
      </c>
      <c r="N546" s="14" t="s">
        <v>27</v>
      </c>
      <c r="O546" s="14" t="s">
        <v>28</v>
      </c>
      <c r="P546" s="51">
        <v>4</v>
      </c>
      <c r="Q546" s="47">
        <f t="shared" si="17"/>
        <v>96</v>
      </c>
      <c r="R546" s="47"/>
      <c r="S546" s="47"/>
      <c r="T546" s="47">
        <v>13020</v>
      </c>
    </row>
    <row r="547" customHeight="1" spans="1:20">
      <c r="A547" s="107">
        <v>14</v>
      </c>
      <c r="B547" s="129" t="s">
        <v>234</v>
      </c>
      <c r="C547" s="129"/>
      <c r="D547" s="107"/>
      <c r="E547" s="129"/>
      <c r="F547" s="44">
        <f t="shared" si="18"/>
        <v>0</v>
      </c>
      <c r="G547" s="131"/>
      <c r="H547" s="46"/>
      <c r="I547" s="47"/>
      <c r="J547" s="48" t="s">
        <v>42</v>
      </c>
      <c r="K547" s="132"/>
      <c r="L547" s="133"/>
      <c r="M547" s="133"/>
      <c r="O547" s="14" t="s">
        <v>28</v>
      </c>
      <c r="P547" s="51"/>
      <c r="Q547" s="47">
        <f t="shared" si="17"/>
        <v>0</v>
      </c>
      <c r="R547" s="47"/>
      <c r="S547" s="47"/>
      <c r="T547" s="47">
        <v>14</v>
      </c>
    </row>
    <row r="548" customHeight="1" spans="1:20">
      <c r="A548" s="107" t="s">
        <v>1159</v>
      </c>
      <c r="B548" s="129" t="s">
        <v>235</v>
      </c>
      <c r="C548" s="129"/>
      <c r="D548" s="107">
        <f>D466</f>
        <v>56</v>
      </c>
      <c r="E548" s="129" t="s">
        <v>21</v>
      </c>
      <c r="F548" s="44">
        <f t="shared" si="18"/>
        <v>112</v>
      </c>
      <c r="G548" s="85" t="s">
        <v>1160</v>
      </c>
      <c r="H548" s="46" t="s">
        <v>18</v>
      </c>
      <c r="I548" s="47"/>
      <c r="J548" s="48" t="s">
        <v>42</v>
      </c>
      <c r="K548" s="86" t="s">
        <v>1159</v>
      </c>
      <c r="L548" s="87" t="s">
        <v>25</v>
      </c>
      <c r="M548" s="87" t="s">
        <v>26</v>
      </c>
      <c r="N548" s="14" t="s">
        <v>27</v>
      </c>
      <c r="O548" s="14" t="s">
        <v>28</v>
      </c>
      <c r="P548" s="51">
        <v>5</v>
      </c>
      <c r="Q548" s="47">
        <f t="shared" si="17"/>
        <v>560</v>
      </c>
      <c r="R548" s="47"/>
      <c r="S548" s="47"/>
      <c r="T548" s="47">
        <v>14001</v>
      </c>
    </row>
    <row r="549" customHeight="1" spans="1:20">
      <c r="A549" s="107" t="s">
        <v>1161</v>
      </c>
      <c r="B549" s="129" t="s">
        <v>235</v>
      </c>
      <c r="C549" s="129"/>
      <c r="D549" s="107">
        <f>D466</f>
        <v>56</v>
      </c>
      <c r="E549" s="129" t="s">
        <v>21</v>
      </c>
      <c r="F549" s="44">
        <f t="shared" si="18"/>
        <v>112</v>
      </c>
      <c r="G549" s="85" t="s">
        <v>1162</v>
      </c>
      <c r="H549" s="46" t="s">
        <v>18</v>
      </c>
      <c r="I549" s="47"/>
      <c r="J549" s="48" t="s">
        <v>42</v>
      </c>
      <c r="K549" s="86" t="s">
        <v>1161</v>
      </c>
      <c r="L549" s="87" t="s">
        <v>25</v>
      </c>
      <c r="M549" s="87" t="s">
        <v>26</v>
      </c>
      <c r="N549" s="14" t="s">
        <v>27</v>
      </c>
      <c r="O549" s="14" t="s">
        <v>28</v>
      </c>
      <c r="P549" s="51">
        <v>5</v>
      </c>
      <c r="Q549" s="47">
        <f t="shared" si="17"/>
        <v>560</v>
      </c>
      <c r="R549" s="47"/>
      <c r="S549" s="47"/>
      <c r="T549" s="47">
        <v>14001</v>
      </c>
    </row>
    <row r="550" customHeight="1" spans="1:20">
      <c r="A550" s="107" t="s">
        <v>1163</v>
      </c>
      <c r="B550" s="129" t="s">
        <v>235</v>
      </c>
      <c r="C550" s="129"/>
      <c r="D550" s="107">
        <v>2</v>
      </c>
      <c r="E550" s="129" t="s">
        <v>21</v>
      </c>
      <c r="F550" s="44">
        <f t="shared" si="18"/>
        <v>4</v>
      </c>
      <c r="G550" s="85" t="s">
        <v>1164</v>
      </c>
      <c r="H550" s="46" t="s">
        <v>18</v>
      </c>
      <c r="I550" s="47"/>
      <c r="J550" s="48" t="s">
        <v>42</v>
      </c>
      <c r="K550" s="86" t="s">
        <v>1163</v>
      </c>
      <c r="L550" s="87" t="s">
        <v>25</v>
      </c>
      <c r="M550" s="87" t="s">
        <v>26</v>
      </c>
      <c r="N550" s="14" t="s">
        <v>27</v>
      </c>
      <c r="O550" s="14" t="s">
        <v>28</v>
      </c>
      <c r="P550" s="51">
        <v>5</v>
      </c>
      <c r="Q550" s="47">
        <f t="shared" si="17"/>
        <v>20</v>
      </c>
      <c r="R550" s="47"/>
      <c r="S550" s="47"/>
      <c r="T550" s="47">
        <v>14001</v>
      </c>
    </row>
    <row r="551" customHeight="1" spans="1:20">
      <c r="A551" s="107" t="s">
        <v>1165</v>
      </c>
      <c r="B551" s="129" t="s">
        <v>235</v>
      </c>
      <c r="C551" s="129"/>
      <c r="D551" s="107">
        <f>D466</f>
        <v>56</v>
      </c>
      <c r="E551" s="129" t="s">
        <v>21</v>
      </c>
      <c r="F551" s="44">
        <f t="shared" si="18"/>
        <v>112</v>
      </c>
      <c r="G551" s="85" t="s">
        <v>1166</v>
      </c>
      <c r="H551" s="46" t="s">
        <v>18</v>
      </c>
      <c r="I551" s="47"/>
      <c r="J551" s="48" t="s">
        <v>42</v>
      </c>
      <c r="K551" s="86" t="s">
        <v>1165</v>
      </c>
      <c r="L551" s="87" t="s">
        <v>25</v>
      </c>
      <c r="M551" s="87" t="s">
        <v>26</v>
      </c>
      <c r="N551" s="14" t="s">
        <v>27</v>
      </c>
      <c r="O551" s="14" t="s">
        <v>28</v>
      </c>
      <c r="P551" s="51">
        <v>5</v>
      </c>
      <c r="Q551" s="47">
        <f t="shared" si="17"/>
        <v>560</v>
      </c>
      <c r="R551" s="47"/>
      <c r="S551" s="47"/>
      <c r="T551" s="47">
        <v>14001</v>
      </c>
    </row>
    <row r="552" customHeight="1" spans="1:20">
      <c r="A552" s="107" t="s">
        <v>1167</v>
      </c>
      <c r="B552" s="129" t="s">
        <v>1168</v>
      </c>
      <c r="C552" s="129"/>
      <c r="D552" s="107">
        <v>2</v>
      </c>
      <c r="E552" s="129" t="s">
        <v>21</v>
      </c>
      <c r="F552" s="44">
        <f t="shared" si="18"/>
        <v>4</v>
      </c>
      <c r="G552" s="85" t="s">
        <v>1169</v>
      </c>
      <c r="H552" s="46" t="s">
        <v>18</v>
      </c>
      <c r="I552" s="47"/>
      <c r="J552" s="48" t="s">
        <v>42</v>
      </c>
      <c r="K552" s="86" t="s">
        <v>1167</v>
      </c>
      <c r="L552" s="87" t="s">
        <v>25</v>
      </c>
      <c r="M552" s="87" t="s">
        <v>26</v>
      </c>
      <c r="N552" s="14" t="s">
        <v>27</v>
      </c>
      <c r="O552" s="14" t="s">
        <v>28</v>
      </c>
      <c r="P552" s="51">
        <v>6</v>
      </c>
      <c r="Q552" s="47">
        <f t="shared" si="17"/>
        <v>24</v>
      </c>
      <c r="R552" s="47"/>
      <c r="S552" s="47"/>
      <c r="T552" s="47"/>
    </row>
    <row r="553" customHeight="1" spans="1:20">
      <c r="A553" s="107" t="s">
        <v>1170</v>
      </c>
      <c r="B553" s="129" t="s">
        <v>1168</v>
      </c>
      <c r="C553" s="129"/>
      <c r="D553" s="107">
        <v>2</v>
      </c>
      <c r="E553" s="129" t="s">
        <v>21</v>
      </c>
      <c r="F553" s="44">
        <f t="shared" si="18"/>
        <v>4</v>
      </c>
      <c r="G553" s="85" t="s">
        <v>1171</v>
      </c>
      <c r="H553" s="46" t="s">
        <v>18</v>
      </c>
      <c r="I553" s="47"/>
      <c r="J553" s="48" t="s">
        <v>42</v>
      </c>
      <c r="K553" s="86" t="s">
        <v>1170</v>
      </c>
      <c r="L553" s="87" t="s">
        <v>25</v>
      </c>
      <c r="M553" s="87" t="s">
        <v>26</v>
      </c>
      <c r="N553" s="14" t="s">
        <v>27</v>
      </c>
      <c r="O553" s="14" t="s">
        <v>28</v>
      </c>
      <c r="P553" s="51">
        <v>6</v>
      </c>
      <c r="Q553" s="47">
        <f t="shared" si="17"/>
        <v>24</v>
      </c>
      <c r="R553" s="47"/>
      <c r="S553" s="47"/>
      <c r="T553" s="47"/>
    </row>
    <row r="554" customHeight="1" spans="1:20">
      <c r="A554" s="107" t="s">
        <v>1172</v>
      </c>
      <c r="B554" s="129" t="s">
        <v>1173</v>
      </c>
      <c r="C554" s="129"/>
      <c r="D554" s="107">
        <f>D466</f>
        <v>56</v>
      </c>
      <c r="E554" s="129" t="s">
        <v>21</v>
      </c>
      <c r="F554" s="44">
        <f t="shared" si="18"/>
        <v>112</v>
      </c>
      <c r="G554" s="85" t="s">
        <v>1174</v>
      </c>
      <c r="H554" s="46" t="s">
        <v>18</v>
      </c>
      <c r="I554" s="47"/>
      <c r="J554" s="48" t="s">
        <v>42</v>
      </c>
      <c r="K554" s="86" t="s">
        <v>1172</v>
      </c>
      <c r="L554" s="87" t="s">
        <v>25</v>
      </c>
      <c r="M554" s="87" t="s">
        <v>26</v>
      </c>
      <c r="N554" s="14" t="s">
        <v>27</v>
      </c>
      <c r="O554" s="14" t="s">
        <v>28</v>
      </c>
      <c r="P554" s="51">
        <v>3.5</v>
      </c>
      <c r="Q554" s="47">
        <f t="shared" si="17"/>
        <v>392</v>
      </c>
      <c r="R554" s="47"/>
      <c r="S554" s="47"/>
      <c r="T554" s="47"/>
    </row>
    <row r="555" customHeight="1" spans="1:20">
      <c r="A555" s="107" t="s">
        <v>240</v>
      </c>
      <c r="B555" s="129" t="s">
        <v>241</v>
      </c>
      <c r="C555" s="129"/>
      <c r="D555" s="107">
        <v>2</v>
      </c>
      <c r="E555" s="129" t="s">
        <v>21</v>
      </c>
      <c r="F555" s="44">
        <f t="shared" si="18"/>
        <v>4</v>
      </c>
      <c r="G555" s="85" t="s">
        <v>1175</v>
      </c>
      <c r="H555" s="46" t="s">
        <v>18</v>
      </c>
      <c r="I555" s="47"/>
      <c r="J555" s="48" t="s">
        <v>42</v>
      </c>
      <c r="K555" s="86" t="s">
        <v>240</v>
      </c>
      <c r="L555" s="87" t="s">
        <v>25</v>
      </c>
      <c r="M555" s="87" t="s">
        <v>26</v>
      </c>
      <c r="N555" s="14" t="s">
        <v>27</v>
      </c>
      <c r="O555" s="14" t="s">
        <v>28</v>
      </c>
      <c r="P555" s="51">
        <v>102</v>
      </c>
      <c r="Q555" s="47">
        <f t="shared" si="17"/>
        <v>408</v>
      </c>
      <c r="R555" s="47"/>
      <c r="S555" s="47"/>
      <c r="T555" s="47">
        <v>14010</v>
      </c>
    </row>
    <row r="556" customHeight="1" spans="1:20">
      <c r="A556" s="107" t="s">
        <v>1176</v>
      </c>
      <c r="B556" s="129" t="s">
        <v>1177</v>
      </c>
      <c r="C556" s="129"/>
      <c r="D556" s="107">
        <v>2</v>
      </c>
      <c r="E556" s="129" t="s">
        <v>21</v>
      </c>
      <c r="F556" s="44">
        <f t="shared" si="18"/>
        <v>4</v>
      </c>
      <c r="G556" s="85" t="s">
        <v>1178</v>
      </c>
      <c r="H556" s="46" t="s">
        <v>18</v>
      </c>
      <c r="I556" s="47"/>
      <c r="J556" s="48" t="s">
        <v>42</v>
      </c>
      <c r="K556" s="86" t="s">
        <v>1176</v>
      </c>
      <c r="L556" s="87" t="s">
        <v>25</v>
      </c>
      <c r="M556" s="87" t="s">
        <v>26</v>
      </c>
      <c r="N556" s="14" t="s">
        <v>27</v>
      </c>
      <c r="O556" s="14" t="s">
        <v>28</v>
      </c>
      <c r="P556" s="51">
        <v>15</v>
      </c>
      <c r="Q556" s="47">
        <f t="shared" si="17"/>
        <v>60</v>
      </c>
      <c r="R556" s="47"/>
      <c r="S556" s="47"/>
      <c r="T556" s="47"/>
    </row>
    <row r="557" customHeight="1" spans="1:20">
      <c r="A557" s="43">
        <v>14012</v>
      </c>
      <c r="B557" s="78" t="s">
        <v>243</v>
      </c>
      <c r="C557" s="78"/>
      <c r="D557" s="43">
        <v>2</v>
      </c>
      <c r="E557" s="78" t="s">
        <v>21</v>
      </c>
      <c r="F557" s="44">
        <f t="shared" si="18"/>
        <v>4</v>
      </c>
      <c r="G557" s="85" t="s">
        <v>1179</v>
      </c>
      <c r="H557" s="46" t="s">
        <v>18</v>
      </c>
      <c r="I557" s="47"/>
      <c r="J557" s="48" t="s">
        <v>42</v>
      </c>
      <c r="K557" s="86">
        <v>14012</v>
      </c>
      <c r="L557" s="87" t="s">
        <v>25</v>
      </c>
      <c r="M557" s="87" t="s">
        <v>26</v>
      </c>
      <c r="N557" s="14" t="s">
        <v>27</v>
      </c>
      <c r="O557" s="14" t="s">
        <v>28</v>
      </c>
      <c r="P557" s="51">
        <v>20</v>
      </c>
      <c r="Q557" s="47">
        <f t="shared" si="17"/>
        <v>80</v>
      </c>
      <c r="R557" s="47"/>
      <c r="S557" s="47"/>
      <c r="T557" s="47">
        <v>14012</v>
      </c>
    </row>
    <row r="558" customHeight="1" spans="1:20">
      <c r="A558" s="43">
        <v>14013</v>
      </c>
      <c r="B558" s="78" t="s">
        <v>245</v>
      </c>
      <c r="C558" s="78"/>
      <c r="D558" s="43">
        <v>2</v>
      </c>
      <c r="E558" s="78" t="s">
        <v>21</v>
      </c>
      <c r="F558" s="44">
        <f t="shared" si="18"/>
        <v>4</v>
      </c>
      <c r="G558" s="85" t="s">
        <v>1180</v>
      </c>
      <c r="H558" s="46" t="s">
        <v>18</v>
      </c>
      <c r="I558" s="47"/>
      <c r="J558" s="48" t="s">
        <v>42</v>
      </c>
      <c r="K558" s="86">
        <v>14013</v>
      </c>
      <c r="L558" s="87" t="s">
        <v>25</v>
      </c>
      <c r="M558" s="87" t="s">
        <v>26</v>
      </c>
      <c r="N558" s="14" t="s">
        <v>27</v>
      </c>
      <c r="O558" s="14" t="s">
        <v>28</v>
      </c>
      <c r="P558" s="51">
        <v>15</v>
      </c>
      <c r="Q558" s="47">
        <f t="shared" si="17"/>
        <v>60</v>
      </c>
      <c r="R558" s="47"/>
      <c r="S558" s="47"/>
      <c r="T558" s="47">
        <v>14013</v>
      </c>
    </row>
    <row r="559" customHeight="1" spans="1:20">
      <c r="A559" s="107" t="s">
        <v>1181</v>
      </c>
      <c r="B559" s="129" t="s">
        <v>1182</v>
      </c>
      <c r="C559" s="129"/>
      <c r="D559" s="107">
        <v>2</v>
      </c>
      <c r="E559" s="129" t="s">
        <v>21</v>
      </c>
      <c r="F559" s="44">
        <f t="shared" si="18"/>
        <v>4</v>
      </c>
      <c r="G559" s="85" t="s">
        <v>1183</v>
      </c>
      <c r="H559" s="46" t="s">
        <v>18</v>
      </c>
      <c r="I559" s="47"/>
      <c r="J559" s="48" t="s">
        <v>42</v>
      </c>
      <c r="K559" s="86" t="s">
        <v>1181</v>
      </c>
      <c r="L559" s="87" t="s">
        <v>1184</v>
      </c>
      <c r="M559" s="87" t="s">
        <v>1185</v>
      </c>
      <c r="N559" s="14" t="s">
        <v>27</v>
      </c>
      <c r="O559" s="14" t="s">
        <v>28</v>
      </c>
      <c r="P559" s="51">
        <v>13</v>
      </c>
      <c r="Q559" s="47">
        <f t="shared" si="17"/>
        <v>52</v>
      </c>
      <c r="R559" s="47"/>
      <c r="S559" s="47"/>
      <c r="T559" s="47"/>
    </row>
    <row r="560" customHeight="1" spans="1:20">
      <c r="A560" s="107" t="s">
        <v>1186</v>
      </c>
      <c r="B560" s="129" t="s">
        <v>1187</v>
      </c>
      <c r="C560" s="129"/>
      <c r="D560" s="107">
        <v>2</v>
      </c>
      <c r="E560" s="129" t="s">
        <v>21</v>
      </c>
      <c r="F560" s="44">
        <f t="shared" si="18"/>
        <v>4</v>
      </c>
      <c r="G560" s="85" t="s">
        <v>1188</v>
      </c>
      <c r="H560" s="46" t="s">
        <v>18</v>
      </c>
      <c r="I560" s="47"/>
      <c r="J560" s="48" t="s">
        <v>42</v>
      </c>
      <c r="K560" s="86" t="s">
        <v>1186</v>
      </c>
      <c r="L560" s="87" t="s">
        <v>25</v>
      </c>
      <c r="M560" s="87" t="s">
        <v>26</v>
      </c>
      <c r="N560" s="14" t="s">
        <v>27</v>
      </c>
      <c r="O560" s="14" t="s">
        <v>28</v>
      </c>
      <c r="P560" s="51">
        <v>80</v>
      </c>
      <c r="Q560" s="47">
        <f t="shared" si="17"/>
        <v>320</v>
      </c>
      <c r="R560" s="47"/>
      <c r="S560" s="47"/>
      <c r="T560" s="47"/>
    </row>
    <row r="561" customHeight="1" spans="1:20">
      <c r="A561" s="107" t="s">
        <v>1189</v>
      </c>
      <c r="B561" s="129" t="s">
        <v>251</v>
      </c>
      <c r="C561" s="129"/>
      <c r="D561" s="107"/>
      <c r="E561" s="129"/>
      <c r="F561" s="44">
        <f t="shared" si="18"/>
        <v>0</v>
      </c>
      <c r="G561" s="143"/>
      <c r="H561" s="46"/>
      <c r="I561" s="47"/>
      <c r="J561" s="48" t="s">
        <v>42</v>
      </c>
      <c r="K561" s="132"/>
      <c r="L561" s="132"/>
      <c r="M561" s="132"/>
      <c r="O561" s="14" t="s">
        <v>28</v>
      </c>
      <c r="P561" s="51"/>
      <c r="Q561" s="47">
        <f t="shared" si="17"/>
        <v>0</v>
      </c>
      <c r="R561" s="47"/>
      <c r="S561" s="47"/>
      <c r="T561" s="47">
        <v>15</v>
      </c>
    </row>
    <row r="562" customHeight="1" spans="1:20">
      <c r="A562" s="107" t="s">
        <v>1190</v>
      </c>
      <c r="B562" s="129" t="s">
        <v>1191</v>
      </c>
      <c r="C562" s="129"/>
      <c r="D562" s="107">
        <v>2</v>
      </c>
      <c r="E562" s="129" t="s">
        <v>161</v>
      </c>
      <c r="F562" s="44">
        <f t="shared" si="18"/>
        <v>4</v>
      </c>
      <c r="G562" s="85" t="s">
        <v>1192</v>
      </c>
      <c r="H562" s="46" t="s">
        <v>18</v>
      </c>
      <c r="I562" s="47"/>
      <c r="J562" s="48" t="s">
        <v>42</v>
      </c>
      <c r="K562" s="86" t="s">
        <v>1190</v>
      </c>
      <c r="L562" s="87" t="s">
        <v>275</v>
      </c>
      <c r="M562" s="87" t="s">
        <v>276</v>
      </c>
      <c r="N562" s="14" t="s">
        <v>27</v>
      </c>
      <c r="O562" s="14" t="s">
        <v>28</v>
      </c>
      <c r="P562" s="51">
        <v>95</v>
      </c>
      <c r="Q562" s="47">
        <f t="shared" si="17"/>
        <v>380</v>
      </c>
      <c r="R562" s="47"/>
      <c r="S562" s="47"/>
      <c r="T562" s="47"/>
    </row>
    <row r="563" customHeight="1" spans="1:20">
      <c r="A563" s="107" t="s">
        <v>1193</v>
      </c>
      <c r="B563" s="129" t="s">
        <v>1194</v>
      </c>
      <c r="C563" s="129"/>
      <c r="D563" s="107">
        <v>2</v>
      </c>
      <c r="E563" s="129" t="s">
        <v>161</v>
      </c>
      <c r="F563" s="44">
        <f t="shared" si="18"/>
        <v>4</v>
      </c>
      <c r="G563" s="85" t="s">
        <v>1195</v>
      </c>
      <c r="H563" s="46" t="s">
        <v>18</v>
      </c>
      <c r="I563" s="47"/>
      <c r="J563" s="48" t="s">
        <v>42</v>
      </c>
      <c r="K563" s="86" t="s">
        <v>1193</v>
      </c>
      <c r="L563" s="87" t="s">
        <v>25</v>
      </c>
      <c r="M563" s="87" t="s">
        <v>26</v>
      </c>
      <c r="N563" s="14" t="s">
        <v>27</v>
      </c>
      <c r="O563" s="14" t="s">
        <v>28</v>
      </c>
      <c r="P563" s="51">
        <v>650</v>
      </c>
      <c r="Q563" s="47">
        <f t="shared" si="17"/>
        <v>2600</v>
      </c>
      <c r="R563" s="47"/>
      <c r="S563" s="47"/>
      <c r="T563" s="47"/>
    </row>
    <row r="564" customHeight="1" spans="1:20">
      <c r="A564" s="107" t="s">
        <v>1196</v>
      </c>
      <c r="B564" s="129" t="s">
        <v>1197</v>
      </c>
      <c r="C564" s="129"/>
      <c r="D564" s="107">
        <v>2</v>
      </c>
      <c r="E564" s="129" t="s">
        <v>161</v>
      </c>
      <c r="F564" s="44">
        <f t="shared" si="18"/>
        <v>4</v>
      </c>
      <c r="G564" s="85" t="s">
        <v>1198</v>
      </c>
      <c r="H564" s="46" t="s">
        <v>18</v>
      </c>
      <c r="I564" s="47"/>
      <c r="J564" s="48" t="s">
        <v>42</v>
      </c>
      <c r="K564" s="86" t="s">
        <v>1196</v>
      </c>
      <c r="L564" s="87" t="s">
        <v>1199</v>
      </c>
      <c r="M564" s="87" t="s">
        <v>1200</v>
      </c>
      <c r="N564" s="14" t="s">
        <v>27</v>
      </c>
      <c r="O564" s="14" t="s">
        <v>28</v>
      </c>
      <c r="P564" s="51">
        <v>60</v>
      </c>
      <c r="Q564" s="47">
        <f t="shared" si="17"/>
        <v>240</v>
      </c>
      <c r="R564" s="47"/>
      <c r="S564" s="47"/>
      <c r="T564" s="47"/>
    </row>
    <row r="565" customHeight="1" spans="1:20">
      <c r="A565" s="107" t="s">
        <v>1201</v>
      </c>
      <c r="B565" s="129" t="s">
        <v>254</v>
      </c>
      <c r="C565" s="129"/>
      <c r="D565" s="107">
        <v>2</v>
      </c>
      <c r="E565" s="129" t="s">
        <v>161</v>
      </c>
      <c r="F565" s="44">
        <f t="shared" si="18"/>
        <v>4</v>
      </c>
      <c r="G565" s="85" t="s">
        <v>255</v>
      </c>
      <c r="H565" s="46" t="s">
        <v>18</v>
      </c>
      <c r="I565" s="47"/>
      <c r="J565" s="48" t="s">
        <v>42</v>
      </c>
      <c r="K565" s="86" t="s">
        <v>1201</v>
      </c>
      <c r="L565" s="87" t="s">
        <v>256</v>
      </c>
      <c r="M565" s="87" t="s">
        <v>257</v>
      </c>
      <c r="N565" s="14" t="s">
        <v>27</v>
      </c>
      <c r="O565" s="14" t="s">
        <v>28</v>
      </c>
      <c r="P565" s="51">
        <v>170</v>
      </c>
      <c r="Q565" s="47">
        <f t="shared" si="17"/>
        <v>680</v>
      </c>
      <c r="R565" s="47"/>
      <c r="S565" s="47"/>
      <c r="T565" s="47">
        <v>15007</v>
      </c>
    </row>
    <row r="566" customHeight="1" spans="1:20">
      <c r="A566" s="107" t="s">
        <v>1202</v>
      </c>
      <c r="B566" s="129" t="s">
        <v>258</v>
      </c>
      <c r="C566" s="129"/>
      <c r="D566" s="107">
        <v>100</v>
      </c>
      <c r="E566" s="129" t="s">
        <v>161</v>
      </c>
      <c r="F566" s="44">
        <f t="shared" si="18"/>
        <v>200</v>
      </c>
      <c r="G566" s="85" t="s">
        <v>1203</v>
      </c>
      <c r="H566" s="46" t="s">
        <v>18</v>
      </c>
      <c r="I566" s="47"/>
      <c r="J566" s="48" t="s">
        <v>42</v>
      </c>
      <c r="K566" s="86" t="s">
        <v>1202</v>
      </c>
      <c r="L566" s="87" t="s">
        <v>25</v>
      </c>
      <c r="M566" s="87" t="s">
        <v>26</v>
      </c>
      <c r="N566" s="14" t="s">
        <v>27</v>
      </c>
      <c r="O566" s="14" t="s">
        <v>28</v>
      </c>
      <c r="P566" s="51">
        <v>17</v>
      </c>
      <c r="Q566" s="47">
        <f t="shared" si="17"/>
        <v>3400</v>
      </c>
      <c r="R566" s="47"/>
      <c r="S566" s="47"/>
      <c r="T566" s="47">
        <v>15008</v>
      </c>
    </row>
    <row r="567" customHeight="1" spans="1:20">
      <c r="A567" s="107" t="s">
        <v>1204</v>
      </c>
      <c r="B567" s="129" t="s">
        <v>261</v>
      </c>
      <c r="C567" s="129"/>
      <c r="D567" s="107">
        <v>100</v>
      </c>
      <c r="E567" s="129" t="s">
        <v>161</v>
      </c>
      <c r="F567" s="44">
        <f t="shared" si="18"/>
        <v>200</v>
      </c>
      <c r="G567" s="85" t="s">
        <v>1205</v>
      </c>
      <c r="H567" s="46" t="s">
        <v>18</v>
      </c>
      <c r="I567" s="47"/>
      <c r="J567" s="48" t="s">
        <v>42</v>
      </c>
      <c r="K567" s="86" t="s">
        <v>1204</v>
      </c>
      <c r="L567" s="87" t="s">
        <v>25</v>
      </c>
      <c r="M567" s="87" t="s">
        <v>26</v>
      </c>
      <c r="N567" s="14" t="s">
        <v>27</v>
      </c>
      <c r="O567" s="14" t="s">
        <v>28</v>
      </c>
      <c r="P567" s="51">
        <v>17</v>
      </c>
      <c r="Q567" s="47">
        <f t="shared" si="17"/>
        <v>3400</v>
      </c>
      <c r="R567" s="47"/>
      <c r="S567" s="47"/>
      <c r="T567" s="47">
        <v>15009</v>
      </c>
    </row>
    <row r="568" customHeight="1" spans="1:20">
      <c r="A568" s="107" t="s">
        <v>1206</v>
      </c>
      <c r="B568" s="129" t="s">
        <v>263</v>
      </c>
      <c r="C568" s="129"/>
      <c r="D568" s="107">
        <f>D466</f>
        <v>56</v>
      </c>
      <c r="E568" s="129" t="s">
        <v>161</v>
      </c>
      <c r="F568" s="44">
        <f t="shared" si="18"/>
        <v>112</v>
      </c>
      <c r="G568" s="85" t="s">
        <v>1207</v>
      </c>
      <c r="H568" s="46" t="s">
        <v>18</v>
      </c>
      <c r="I568" s="47"/>
      <c r="J568" s="48" t="s">
        <v>42</v>
      </c>
      <c r="K568" s="86" t="s">
        <v>1206</v>
      </c>
      <c r="L568" s="87" t="s">
        <v>25</v>
      </c>
      <c r="M568" s="87" t="s">
        <v>26</v>
      </c>
      <c r="N568" s="14" t="s">
        <v>27</v>
      </c>
      <c r="O568" s="14" t="s">
        <v>28</v>
      </c>
      <c r="P568" s="51">
        <v>17</v>
      </c>
      <c r="Q568" s="47">
        <f t="shared" si="17"/>
        <v>1904</v>
      </c>
      <c r="R568" s="47"/>
      <c r="S568" s="47"/>
      <c r="T568" s="47">
        <v>15010</v>
      </c>
    </row>
    <row r="569" customHeight="1" spans="1:20">
      <c r="A569" s="107" t="s">
        <v>1208</v>
      </c>
      <c r="B569" s="129" t="s">
        <v>265</v>
      </c>
      <c r="C569" s="129"/>
      <c r="D569" s="107">
        <v>2</v>
      </c>
      <c r="E569" s="129" t="s">
        <v>161</v>
      </c>
      <c r="F569" s="44">
        <f t="shared" si="18"/>
        <v>4</v>
      </c>
      <c r="G569" s="85" t="s">
        <v>1209</v>
      </c>
      <c r="H569" s="46" t="s">
        <v>18</v>
      </c>
      <c r="I569" s="47"/>
      <c r="J569" s="48" t="s">
        <v>42</v>
      </c>
      <c r="K569" s="86" t="s">
        <v>1208</v>
      </c>
      <c r="L569" s="87" t="s">
        <v>267</v>
      </c>
      <c r="M569" s="87" t="s">
        <v>268</v>
      </c>
      <c r="N569" s="14" t="s">
        <v>27</v>
      </c>
      <c r="O569" s="14" t="s">
        <v>28</v>
      </c>
      <c r="P569" s="51">
        <v>65</v>
      </c>
      <c r="Q569" s="47">
        <f t="shared" si="17"/>
        <v>260</v>
      </c>
      <c r="R569" s="47"/>
      <c r="S569" s="47"/>
      <c r="T569" s="47">
        <v>15011</v>
      </c>
    </row>
    <row r="570" customHeight="1" spans="1:20">
      <c r="A570" s="107" t="s">
        <v>1210</v>
      </c>
      <c r="B570" s="129" t="s">
        <v>1211</v>
      </c>
      <c r="C570" s="129"/>
      <c r="D570" s="107">
        <v>2</v>
      </c>
      <c r="E570" s="129" t="s">
        <v>161</v>
      </c>
      <c r="F570" s="44">
        <f t="shared" si="18"/>
        <v>4</v>
      </c>
      <c r="G570" s="85" t="s">
        <v>1212</v>
      </c>
      <c r="H570" s="46" t="s">
        <v>18</v>
      </c>
      <c r="I570" s="47"/>
      <c r="J570" s="48" t="s">
        <v>42</v>
      </c>
      <c r="K570" s="86" t="s">
        <v>1210</v>
      </c>
      <c r="L570" s="87" t="s">
        <v>256</v>
      </c>
      <c r="M570" s="87" t="s">
        <v>257</v>
      </c>
      <c r="N570" s="14" t="s">
        <v>27</v>
      </c>
      <c r="O570" s="14" t="s">
        <v>28</v>
      </c>
      <c r="P570" s="51">
        <v>24</v>
      </c>
      <c r="Q570" s="47">
        <f t="shared" si="17"/>
        <v>96</v>
      </c>
      <c r="R570" s="47"/>
      <c r="S570" s="47"/>
      <c r="T570" s="47"/>
    </row>
    <row r="571" customHeight="1" spans="1:20">
      <c r="A571" s="107" t="s">
        <v>1213</v>
      </c>
      <c r="B571" s="129" t="s">
        <v>1214</v>
      </c>
      <c r="C571" s="129"/>
      <c r="D571" s="107">
        <v>2</v>
      </c>
      <c r="E571" s="129" t="s">
        <v>161</v>
      </c>
      <c r="F571" s="44">
        <f t="shared" si="18"/>
        <v>4</v>
      </c>
      <c r="G571" s="85" t="s">
        <v>1215</v>
      </c>
      <c r="H571" s="46" t="s">
        <v>18</v>
      </c>
      <c r="I571" s="47"/>
      <c r="J571" s="48" t="s">
        <v>42</v>
      </c>
      <c r="K571" s="86" t="s">
        <v>1213</v>
      </c>
      <c r="L571" s="87" t="s">
        <v>256</v>
      </c>
      <c r="M571" s="87" t="s">
        <v>257</v>
      </c>
      <c r="N571" s="14" t="s">
        <v>27</v>
      </c>
      <c r="O571" s="14" t="s">
        <v>28</v>
      </c>
      <c r="P571" s="51">
        <v>24</v>
      </c>
      <c r="Q571" s="47">
        <f t="shared" si="17"/>
        <v>96</v>
      </c>
      <c r="R571" s="47"/>
      <c r="S571" s="47"/>
      <c r="T571" s="47"/>
    </row>
    <row r="572" customHeight="1" spans="1:20">
      <c r="A572" s="107" t="s">
        <v>1216</v>
      </c>
      <c r="B572" s="129" t="s">
        <v>1217</v>
      </c>
      <c r="C572" s="129"/>
      <c r="D572" s="107">
        <v>2</v>
      </c>
      <c r="E572" s="129" t="s">
        <v>161</v>
      </c>
      <c r="F572" s="44">
        <f t="shared" si="18"/>
        <v>4</v>
      </c>
      <c r="G572" s="85" t="s">
        <v>1218</v>
      </c>
      <c r="H572" s="46" t="s">
        <v>18</v>
      </c>
      <c r="I572" s="47"/>
      <c r="J572" s="48" t="s">
        <v>42</v>
      </c>
      <c r="K572" s="86" t="s">
        <v>1216</v>
      </c>
      <c r="L572" s="87" t="s">
        <v>256</v>
      </c>
      <c r="M572" s="87" t="s">
        <v>257</v>
      </c>
      <c r="N572" s="14" t="s">
        <v>27</v>
      </c>
      <c r="O572" s="14" t="s">
        <v>28</v>
      </c>
      <c r="P572" s="51">
        <v>24</v>
      </c>
      <c r="Q572" s="47">
        <f t="shared" si="17"/>
        <v>96</v>
      </c>
      <c r="R572" s="47"/>
      <c r="S572" s="47"/>
      <c r="T572" s="47"/>
    </row>
    <row r="573" customHeight="1" spans="1:20">
      <c r="A573" s="107" t="s">
        <v>1219</v>
      </c>
      <c r="B573" s="129" t="s">
        <v>279</v>
      </c>
      <c r="C573" s="129"/>
      <c r="D573" s="107">
        <v>1</v>
      </c>
      <c r="E573" s="129" t="s">
        <v>54</v>
      </c>
      <c r="F573" s="44">
        <f t="shared" si="18"/>
        <v>2</v>
      </c>
      <c r="G573" s="91" t="s">
        <v>1220</v>
      </c>
      <c r="H573" s="46" t="s">
        <v>18</v>
      </c>
      <c r="I573" s="47"/>
      <c r="J573" s="48" t="s">
        <v>42</v>
      </c>
      <c r="K573" s="92" t="s">
        <v>1219</v>
      </c>
      <c r="L573" s="93" t="s">
        <v>281</v>
      </c>
      <c r="M573" s="93" t="s">
        <v>282</v>
      </c>
      <c r="N573" s="14" t="s">
        <v>27</v>
      </c>
      <c r="O573" s="14" t="s">
        <v>28</v>
      </c>
      <c r="P573" s="51">
        <v>1200</v>
      </c>
      <c r="Q573" s="47">
        <f t="shared" si="17"/>
        <v>2400</v>
      </c>
      <c r="R573" s="47"/>
      <c r="S573" s="47"/>
      <c r="T573" s="47">
        <v>15020</v>
      </c>
    </row>
    <row r="574" customHeight="1" spans="1:20">
      <c r="A574" s="107" t="s">
        <v>1221</v>
      </c>
      <c r="B574" s="129" t="s">
        <v>1222</v>
      </c>
      <c r="C574" s="129"/>
      <c r="D574" s="107">
        <v>1</v>
      </c>
      <c r="E574" s="129" t="s">
        <v>54</v>
      </c>
      <c r="F574" s="44">
        <f t="shared" si="18"/>
        <v>2</v>
      </c>
      <c r="G574" s="82" t="s">
        <v>1223</v>
      </c>
      <c r="H574" s="46" t="s">
        <v>18</v>
      </c>
      <c r="I574" s="47"/>
      <c r="J574" s="48" t="s">
        <v>42</v>
      </c>
      <c r="K574" s="83" t="s">
        <v>1221</v>
      </c>
      <c r="L574" s="84" t="s">
        <v>1224</v>
      </c>
      <c r="M574" s="84" t="s">
        <v>1225</v>
      </c>
      <c r="N574" s="14" t="s">
        <v>27</v>
      </c>
      <c r="O574" s="14" t="s">
        <v>28</v>
      </c>
      <c r="P574" s="51">
        <v>1500</v>
      </c>
      <c r="Q574" s="47">
        <f t="shared" si="17"/>
        <v>3000</v>
      </c>
      <c r="R574" s="47"/>
      <c r="S574" s="47"/>
      <c r="T574" s="47"/>
    </row>
    <row r="575" customHeight="1" spans="1:20">
      <c r="A575" s="107" t="s">
        <v>1226</v>
      </c>
      <c r="B575" s="129" t="s">
        <v>297</v>
      </c>
      <c r="C575" s="129"/>
      <c r="D575" s="107"/>
      <c r="E575" s="129"/>
      <c r="F575" s="44">
        <f t="shared" si="18"/>
        <v>0</v>
      </c>
      <c r="G575" s="131"/>
      <c r="H575" s="46"/>
      <c r="I575" s="47"/>
      <c r="J575" s="48" t="s">
        <v>42</v>
      </c>
      <c r="K575" s="132"/>
      <c r="L575" s="133"/>
      <c r="M575" s="133"/>
      <c r="O575" s="14" t="s">
        <v>28</v>
      </c>
      <c r="P575" s="51"/>
      <c r="Q575" s="47">
        <f t="shared" si="17"/>
        <v>0</v>
      </c>
      <c r="R575" s="47"/>
      <c r="S575" s="47"/>
      <c r="T575" s="47">
        <v>16</v>
      </c>
    </row>
    <row r="576" customHeight="1" spans="1:20">
      <c r="A576" s="107" t="s">
        <v>1227</v>
      </c>
      <c r="B576" s="129" t="s">
        <v>1228</v>
      </c>
      <c r="C576" s="129"/>
      <c r="D576" s="107">
        <v>2</v>
      </c>
      <c r="E576" s="129" t="s">
        <v>221</v>
      </c>
      <c r="F576" s="44">
        <f t="shared" si="18"/>
        <v>4</v>
      </c>
      <c r="G576" s="85" t="s">
        <v>1229</v>
      </c>
      <c r="H576" s="46" t="s">
        <v>18</v>
      </c>
      <c r="I576" s="47"/>
      <c r="J576" s="48" t="s">
        <v>42</v>
      </c>
      <c r="K576" s="86" t="s">
        <v>1227</v>
      </c>
      <c r="L576" s="87" t="s">
        <v>25</v>
      </c>
      <c r="M576" s="87" t="s">
        <v>26</v>
      </c>
      <c r="N576" s="14" t="s">
        <v>27</v>
      </c>
      <c r="O576" s="14" t="s">
        <v>28</v>
      </c>
      <c r="P576" s="51">
        <v>2.5</v>
      </c>
      <c r="Q576" s="47">
        <f t="shared" si="17"/>
        <v>10</v>
      </c>
      <c r="R576" s="47"/>
      <c r="S576" s="47"/>
      <c r="T576" s="47"/>
    </row>
    <row r="577" customHeight="1" spans="1:20">
      <c r="A577" s="107" t="s">
        <v>1230</v>
      </c>
      <c r="B577" s="129" t="s">
        <v>1228</v>
      </c>
      <c r="C577" s="129"/>
      <c r="D577" s="107">
        <v>2</v>
      </c>
      <c r="E577" s="129" t="s">
        <v>221</v>
      </c>
      <c r="F577" s="44">
        <f t="shared" si="18"/>
        <v>4</v>
      </c>
      <c r="G577" s="85" t="s">
        <v>1231</v>
      </c>
      <c r="H577" s="46" t="s">
        <v>18</v>
      </c>
      <c r="I577" s="47"/>
      <c r="J577" s="48" t="s">
        <v>42</v>
      </c>
      <c r="K577" s="86" t="s">
        <v>1230</v>
      </c>
      <c r="L577" s="87" t="s">
        <v>25</v>
      </c>
      <c r="M577" s="87" t="s">
        <v>26</v>
      </c>
      <c r="N577" s="14" t="s">
        <v>27</v>
      </c>
      <c r="O577" s="14" t="s">
        <v>28</v>
      </c>
      <c r="P577" s="51">
        <v>2.5</v>
      </c>
      <c r="Q577" s="47">
        <f t="shared" si="17"/>
        <v>10</v>
      </c>
      <c r="R577" s="47"/>
      <c r="S577" s="47"/>
      <c r="T577" s="47"/>
    </row>
    <row r="578" customHeight="1" spans="1:20">
      <c r="A578" s="107" t="s">
        <v>1232</v>
      </c>
      <c r="B578" s="129" t="s">
        <v>298</v>
      </c>
      <c r="C578" s="129"/>
      <c r="D578" s="107">
        <v>2</v>
      </c>
      <c r="E578" s="129" t="s">
        <v>21</v>
      </c>
      <c r="F578" s="44">
        <f t="shared" si="18"/>
        <v>4</v>
      </c>
      <c r="G578" s="85" t="s">
        <v>1233</v>
      </c>
      <c r="H578" s="46" t="s">
        <v>18</v>
      </c>
      <c r="I578" s="47"/>
      <c r="J578" s="48" t="s">
        <v>42</v>
      </c>
      <c r="K578" s="86" t="s">
        <v>1232</v>
      </c>
      <c r="L578" s="87" t="s">
        <v>25</v>
      </c>
      <c r="M578" s="87" t="s">
        <v>26</v>
      </c>
      <c r="N578" s="14" t="s">
        <v>27</v>
      </c>
      <c r="O578" s="14" t="s">
        <v>28</v>
      </c>
      <c r="P578" s="51">
        <v>12</v>
      </c>
      <c r="Q578" s="47">
        <f t="shared" si="17"/>
        <v>48</v>
      </c>
      <c r="R578" s="47"/>
      <c r="S578" s="47"/>
      <c r="T578" s="47">
        <v>16004</v>
      </c>
    </row>
    <row r="579" customHeight="1" spans="1:20">
      <c r="A579" s="107" t="s">
        <v>1234</v>
      </c>
      <c r="B579" s="129" t="s">
        <v>1235</v>
      </c>
      <c r="C579" s="129"/>
      <c r="D579" s="107">
        <v>2</v>
      </c>
      <c r="E579" s="129" t="s">
        <v>161</v>
      </c>
      <c r="F579" s="44">
        <f t="shared" si="18"/>
        <v>4</v>
      </c>
      <c r="G579" s="85" t="s">
        <v>1236</v>
      </c>
      <c r="H579" s="46" t="s">
        <v>18</v>
      </c>
      <c r="I579" s="47"/>
      <c r="J579" s="48" t="s">
        <v>42</v>
      </c>
      <c r="K579" s="86" t="s">
        <v>1234</v>
      </c>
      <c r="L579" s="87" t="s">
        <v>25</v>
      </c>
      <c r="M579" s="87" t="s">
        <v>26</v>
      </c>
      <c r="N579" s="14" t="s">
        <v>27</v>
      </c>
      <c r="O579" s="14" t="s">
        <v>28</v>
      </c>
      <c r="P579" s="51">
        <v>14</v>
      </c>
      <c r="Q579" s="47">
        <f t="shared" si="17"/>
        <v>56</v>
      </c>
      <c r="R579" s="47"/>
      <c r="S579" s="47"/>
      <c r="T579" s="47"/>
    </row>
    <row r="580" customHeight="1" spans="1:20">
      <c r="A580" s="107" t="s">
        <v>1237</v>
      </c>
      <c r="B580" s="129" t="s">
        <v>1238</v>
      </c>
      <c r="C580" s="129"/>
      <c r="D580" s="107">
        <v>1</v>
      </c>
      <c r="E580" s="129" t="s">
        <v>54</v>
      </c>
      <c r="F580" s="44">
        <f t="shared" si="18"/>
        <v>2</v>
      </c>
      <c r="G580" s="85" t="s">
        <v>1239</v>
      </c>
      <c r="H580" s="46" t="s">
        <v>18</v>
      </c>
      <c r="I580" s="47"/>
      <c r="J580" s="48" t="s">
        <v>42</v>
      </c>
      <c r="K580" s="86">
        <v>16009</v>
      </c>
      <c r="L580" s="87" t="s">
        <v>25</v>
      </c>
      <c r="M580" s="87" t="s">
        <v>26</v>
      </c>
      <c r="N580" s="14" t="s">
        <v>27</v>
      </c>
      <c r="O580" s="14" t="s">
        <v>28</v>
      </c>
      <c r="P580" s="51">
        <v>165</v>
      </c>
      <c r="Q580" s="47">
        <f t="shared" ref="Q580:Q643" si="19">P580*F580</f>
        <v>330</v>
      </c>
      <c r="R580" s="47"/>
      <c r="S580" s="47"/>
      <c r="T580" s="47"/>
    </row>
    <row r="581" customHeight="1" spans="1:20">
      <c r="A581" s="108" t="s">
        <v>306</v>
      </c>
      <c r="B581" s="142" t="s">
        <v>307</v>
      </c>
      <c r="C581" s="142"/>
      <c r="D581" s="107"/>
      <c r="E581" s="129"/>
      <c r="F581" s="44">
        <f t="shared" si="18"/>
        <v>0</v>
      </c>
      <c r="G581" s="131"/>
      <c r="H581" s="46"/>
      <c r="I581" s="47"/>
      <c r="J581" s="48" t="s">
        <v>42</v>
      </c>
      <c r="K581" s="132"/>
      <c r="L581" s="133"/>
      <c r="M581" s="133"/>
      <c r="O581" s="14" t="s">
        <v>28</v>
      </c>
      <c r="P581" s="51"/>
      <c r="Q581" s="47">
        <f t="shared" si="19"/>
        <v>0</v>
      </c>
      <c r="R581" s="47"/>
      <c r="S581" s="47"/>
      <c r="T581" s="47">
        <v>2</v>
      </c>
    </row>
    <row r="582" customHeight="1" spans="1:20">
      <c r="A582" s="107" t="s">
        <v>1240</v>
      </c>
      <c r="B582" s="129" t="s">
        <v>308</v>
      </c>
      <c r="C582" s="129"/>
      <c r="D582" s="107"/>
      <c r="E582" s="129"/>
      <c r="F582" s="44">
        <f t="shared" si="18"/>
        <v>0</v>
      </c>
      <c r="G582" s="131"/>
      <c r="H582" s="46"/>
      <c r="I582" s="47"/>
      <c r="J582" s="48" t="s">
        <v>42</v>
      </c>
      <c r="K582" s="132"/>
      <c r="L582" s="133"/>
      <c r="M582" s="133"/>
      <c r="O582" s="14" t="s">
        <v>28</v>
      </c>
      <c r="P582" s="51"/>
      <c r="Q582" s="47">
        <f t="shared" si="19"/>
        <v>0</v>
      </c>
      <c r="R582" s="47"/>
      <c r="S582" s="47"/>
      <c r="T582" s="47">
        <v>21</v>
      </c>
    </row>
    <row r="583" customHeight="1" spans="1:20">
      <c r="A583" s="107" t="s">
        <v>1241</v>
      </c>
      <c r="B583" s="129" t="s">
        <v>1242</v>
      </c>
      <c r="C583" s="129"/>
      <c r="D583" s="107">
        <f>D466/2</f>
        <v>28</v>
      </c>
      <c r="E583" s="129" t="s">
        <v>32</v>
      </c>
      <c r="F583" s="44">
        <f t="shared" si="18"/>
        <v>56</v>
      </c>
      <c r="G583" s="144" t="s">
        <v>1243</v>
      </c>
      <c r="H583" s="46" t="s">
        <v>18</v>
      </c>
      <c r="I583" s="47"/>
      <c r="J583" s="48" t="s">
        <v>42</v>
      </c>
      <c r="K583" s="105" t="s">
        <v>1241</v>
      </c>
      <c r="L583" s="106" t="s">
        <v>25</v>
      </c>
      <c r="M583" s="106" t="s">
        <v>26</v>
      </c>
      <c r="N583" s="14" t="s">
        <v>27</v>
      </c>
      <c r="O583" s="14" t="s">
        <v>28</v>
      </c>
      <c r="P583" s="51">
        <v>12</v>
      </c>
      <c r="Q583" s="47">
        <f t="shared" si="19"/>
        <v>672</v>
      </c>
      <c r="R583" s="47"/>
      <c r="S583" s="47"/>
      <c r="T583" s="47"/>
    </row>
    <row r="584" customHeight="1" spans="1:20">
      <c r="A584" s="107" t="s">
        <v>1244</v>
      </c>
      <c r="B584" s="129" t="s">
        <v>1245</v>
      </c>
      <c r="C584" s="129"/>
      <c r="D584" s="107">
        <f>D466/2</f>
        <v>28</v>
      </c>
      <c r="E584" s="129" t="s">
        <v>32</v>
      </c>
      <c r="F584" s="44">
        <f t="shared" si="18"/>
        <v>56</v>
      </c>
      <c r="G584" s="91" t="s">
        <v>1246</v>
      </c>
      <c r="H584" s="46" t="s">
        <v>18</v>
      </c>
      <c r="I584" s="47"/>
      <c r="J584" s="48" t="s">
        <v>42</v>
      </c>
      <c r="K584" s="92" t="s">
        <v>1244</v>
      </c>
      <c r="L584" s="93" t="s">
        <v>25</v>
      </c>
      <c r="M584" s="93" t="s">
        <v>26</v>
      </c>
      <c r="N584" s="14" t="s">
        <v>27</v>
      </c>
      <c r="O584" s="14" t="s">
        <v>28</v>
      </c>
      <c r="P584" s="51">
        <v>22</v>
      </c>
      <c r="Q584" s="47">
        <f t="shared" si="19"/>
        <v>1232</v>
      </c>
      <c r="R584" s="47"/>
      <c r="S584" s="47"/>
      <c r="T584" s="47"/>
    </row>
    <row r="585" customHeight="1" spans="1:20">
      <c r="A585" s="107" t="s">
        <v>1247</v>
      </c>
      <c r="B585" s="129" t="s">
        <v>1248</v>
      </c>
      <c r="C585" s="129"/>
      <c r="D585" s="107">
        <f>D466/2</f>
        <v>28</v>
      </c>
      <c r="E585" s="129" t="s">
        <v>32</v>
      </c>
      <c r="F585" s="44">
        <f t="shared" si="18"/>
        <v>56</v>
      </c>
      <c r="G585" s="91" t="s">
        <v>1249</v>
      </c>
      <c r="H585" s="46" t="s">
        <v>18</v>
      </c>
      <c r="I585" s="47"/>
      <c r="J585" s="48" t="s">
        <v>42</v>
      </c>
      <c r="K585" s="92" t="s">
        <v>1247</v>
      </c>
      <c r="L585" s="93" t="s">
        <v>25</v>
      </c>
      <c r="M585" s="93" t="s">
        <v>26</v>
      </c>
      <c r="N585" s="14" t="s">
        <v>27</v>
      </c>
      <c r="O585" s="14" t="s">
        <v>28</v>
      </c>
      <c r="P585" s="51">
        <v>45</v>
      </c>
      <c r="Q585" s="47">
        <f t="shared" si="19"/>
        <v>2520</v>
      </c>
      <c r="R585" s="47"/>
      <c r="S585" s="47"/>
      <c r="T585" s="47"/>
    </row>
    <row r="586" customHeight="1" spans="1:20">
      <c r="A586" s="107" t="s">
        <v>1250</v>
      </c>
      <c r="B586" s="129" t="s">
        <v>309</v>
      </c>
      <c r="C586" s="129"/>
      <c r="D586" s="107">
        <v>1</v>
      </c>
      <c r="E586" s="129" t="s">
        <v>32</v>
      </c>
      <c r="F586" s="44">
        <f t="shared" si="18"/>
        <v>2</v>
      </c>
      <c r="G586" s="102" t="s">
        <v>310</v>
      </c>
      <c r="H586" s="46" t="s">
        <v>18</v>
      </c>
      <c r="I586" s="47"/>
      <c r="J586" s="48" t="s">
        <v>42</v>
      </c>
      <c r="K586" s="83" t="s">
        <v>1250</v>
      </c>
      <c r="L586" s="103" t="s">
        <v>25</v>
      </c>
      <c r="M586" s="103" t="s">
        <v>26</v>
      </c>
      <c r="N586" s="14" t="s">
        <v>27</v>
      </c>
      <c r="O586" s="14" t="s">
        <v>28</v>
      </c>
      <c r="P586" s="51">
        <v>10</v>
      </c>
      <c r="Q586" s="47">
        <f t="shared" si="19"/>
        <v>20</v>
      </c>
      <c r="R586" s="47"/>
      <c r="S586" s="47"/>
      <c r="T586" s="47">
        <v>21004</v>
      </c>
    </row>
    <row r="587" customHeight="1" spans="1:20">
      <c r="A587" s="107" t="s">
        <v>1251</v>
      </c>
      <c r="B587" s="129" t="s">
        <v>311</v>
      </c>
      <c r="C587" s="129"/>
      <c r="D587" s="107">
        <f>D466/2</f>
        <v>28</v>
      </c>
      <c r="E587" s="129" t="s">
        <v>32</v>
      </c>
      <c r="F587" s="44">
        <f t="shared" si="18"/>
        <v>56</v>
      </c>
      <c r="G587" s="82" t="s">
        <v>312</v>
      </c>
      <c r="H587" s="46" t="s">
        <v>18</v>
      </c>
      <c r="I587" s="47"/>
      <c r="J587" s="48" t="s">
        <v>42</v>
      </c>
      <c r="K587" s="83" t="s">
        <v>1251</v>
      </c>
      <c r="L587" s="84" t="s">
        <v>25</v>
      </c>
      <c r="M587" s="84" t="s">
        <v>26</v>
      </c>
      <c r="N587" s="14" t="s">
        <v>27</v>
      </c>
      <c r="O587" s="14" t="s">
        <v>28</v>
      </c>
      <c r="P587" s="51">
        <v>8</v>
      </c>
      <c r="Q587" s="47">
        <f t="shared" si="19"/>
        <v>448</v>
      </c>
      <c r="R587" s="47"/>
      <c r="S587" s="47"/>
      <c r="T587" s="47">
        <v>21005</v>
      </c>
    </row>
    <row r="588" customHeight="1" spans="1:20">
      <c r="A588" s="107" t="s">
        <v>1252</v>
      </c>
      <c r="B588" s="129" t="s">
        <v>313</v>
      </c>
      <c r="C588" s="129"/>
      <c r="D588" s="107">
        <v>2</v>
      </c>
      <c r="E588" s="129" t="s">
        <v>142</v>
      </c>
      <c r="F588" s="44">
        <f t="shared" si="18"/>
        <v>4</v>
      </c>
      <c r="G588" s="91" t="s">
        <v>1253</v>
      </c>
      <c r="H588" s="46" t="s">
        <v>18</v>
      </c>
      <c r="I588" s="47"/>
      <c r="J588" s="48" t="s">
        <v>42</v>
      </c>
      <c r="K588" s="92" t="s">
        <v>1252</v>
      </c>
      <c r="L588" s="93" t="s">
        <v>25</v>
      </c>
      <c r="M588" s="93" t="s">
        <v>26</v>
      </c>
      <c r="N588" s="14" t="s">
        <v>27</v>
      </c>
      <c r="O588" s="14" t="s">
        <v>28</v>
      </c>
      <c r="P588" s="51">
        <v>6</v>
      </c>
      <c r="Q588" s="47">
        <f t="shared" si="19"/>
        <v>24</v>
      </c>
      <c r="R588" s="47"/>
      <c r="S588" s="47"/>
      <c r="T588" s="47">
        <v>21006</v>
      </c>
    </row>
    <row r="589" customHeight="1" spans="1:20">
      <c r="A589" s="107" t="s">
        <v>1254</v>
      </c>
      <c r="B589" s="129" t="s">
        <v>1255</v>
      </c>
      <c r="C589" s="129"/>
      <c r="D589" s="107">
        <f>D466/2</f>
        <v>28</v>
      </c>
      <c r="E589" s="129" t="s">
        <v>32</v>
      </c>
      <c r="F589" s="44">
        <f t="shared" si="18"/>
        <v>56</v>
      </c>
      <c r="G589" s="85" t="s">
        <v>1256</v>
      </c>
      <c r="H589" s="46" t="s">
        <v>18</v>
      </c>
      <c r="I589" s="47"/>
      <c r="J589" s="48" t="s">
        <v>42</v>
      </c>
      <c r="K589" s="86" t="s">
        <v>1254</v>
      </c>
      <c r="L589" s="87" t="s">
        <v>25</v>
      </c>
      <c r="M589" s="87" t="s">
        <v>26</v>
      </c>
      <c r="N589" s="14" t="s">
        <v>27</v>
      </c>
      <c r="O589" s="14" t="s">
        <v>28</v>
      </c>
      <c r="P589" s="51">
        <v>12</v>
      </c>
      <c r="Q589" s="47">
        <f t="shared" si="19"/>
        <v>672</v>
      </c>
      <c r="R589" s="47"/>
      <c r="S589" s="47"/>
      <c r="T589" s="47"/>
    </row>
    <row r="590" customHeight="1" spans="1:20">
      <c r="A590" s="43">
        <v>21008</v>
      </c>
      <c r="B590" s="78" t="s">
        <v>1257</v>
      </c>
      <c r="C590" s="78"/>
      <c r="D590" s="107">
        <f>D466/2</f>
        <v>28</v>
      </c>
      <c r="E590" s="78" t="s">
        <v>32</v>
      </c>
      <c r="F590" s="44">
        <f t="shared" si="18"/>
        <v>56</v>
      </c>
      <c r="G590" s="91" t="s">
        <v>1258</v>
      </c>
      <c r="H590" s="46" t="s">
        <v>18</v>
      </c>
      <c r="I590" s="47"/>
      <c r="J590" s="48" t="s">
        <v>42</v>
      </c>
      <c r="K590" s="92">
        <v>21008</v>
      </c>
      <c r="L590" s="93" t="s">
        <v>25</v>
      </c>
      <c r="M590" s="93" t="s">
        <v>26</v>
      </c>
      <c r="N590" s="14" t="s">
        <v>27</v>
      </c>
      <c r="O590" s="14" t="s">
        <v>28</v>
      </c>
      <c r="P590" s="51">
        <v>14</v>
      </c>
      <c r="Q590" s="47">
        <f t="shared" si="19"/>
        <v>784</v>
      </c>
      <c r="R590" s="47"/>
      <c r="S590" s="47"/>
      <c r="T590" s="47"/>
    </row>
    <row r="591" customHeight="1" spans="1:20">
      <c r="A591" s="43">
        <v>21009</v>
      </c>
      <c r="B591" s="78" t="s">
        <v>1259</v>
      </c>
      <c r="C591" s="78"/>
      <c r="D591" s="107">
        <f>D466/2</f>
        <v>28</v>
      </c>
      <c r="E591" s="78" t="s">
        <v>21</v>
      </c>
      <c r="F591" s="44">
        <f t="shared" si="18"/>
        <v>56</v>
      </c>
      <c r="G591" s="102" t="s">
        <v>1260</v>
      </c>
      <c r="H591" s="46" t="s">
        <v>18</v>
      </c>
      <c r="I591" s="47"/>
      <c r="J591" s="48" t="s">
        <v>42</v>
      </c>
      <c r="K591" s="83">
        <v>21009</v>
      </c>
      <c r="L591" s="103" t="s">
        <v>25</v>
      </c>
      <c r="M591" s="103" t="s">
        <v>26</v>
      </c>
      <c r="N591" s="14" t="s">
        <v>27</v>
      </c>
      <c r="O591" s="14" t="s">
        <v>28</v>
      </c>
      <c r="P591" s="51">
        <v>16</v>
      </c>
      <c r="Q591" s="47">
        <f t="shared" si="19"/>
        <v>896</v>
      </c>
      <c r="R591" s="47"/>
      <c r="S591" s="47"/>
      <c r="T591" s="47"/>
    </row>
    <row r="592" customHeight="1" spans="1:20">
      <c r="A592" s="107" t="s">
        <v>1261</v>
      </c>
      <c r="B592" s="129" t="s">
        <v>1262</v>
      </c>
      <c r="C592" s="129"/>
      <c r="D592" s="107">
        <v>1</v>
      </c>
      <c r="E592" s="129" t="s">
        <v>21</v>
      </c>
      <c r="F592" s="44">
        <f t="shared" si="18"/>
        <v>2</v>
      </c>
      <c r="G592" s="91" t="s">
        <v>1263</v>
      </c>
      <c r="H592" s="46" t="s">
        <v>18</v>
      </c>
      <c r="I592" s="47"/>
      <c r="J592" s="48" t="s">
        <v>42</v>
      </c>
      <c r="K592" s="92" t="s">
        <v>1261</v>
      </c>
      <c r="L592" s="93" t="s">
        <v>25</v>
      </c>
      <c r="M592" s="93" t="s">
        <v>26</v>
      </c>
      <c r="N592" s="14" t="s">
        <v>27</v>
      </c>
      <c r="O592" s="14" t="s">
        <v>28</v>
      </c>
      <c r="P592" s="51">
        <v>12</v>
      </c>
      <c r="Q592" s="47">
        <f t="shared" si="19"/>
        <v>24</v>
      </c>
      <c r="R592" s="47"/>
      <c r="S592" s="47"/>
      <c r="T592" s="47"/>
    </row>
    <row r="593" customHeight="1" spans="1:20">
      <c r="A593" s="43">
        <v>21011</v>
      </c>
      <c r="B593" s="78" t="s">
        <v>316</v>
      </c>
      <c r="C593" s="78"/>
      <c r="D593" s="43">
        <v>2</v>
      </c>
      <c r="E593" s="78" t="s">
        <v>21</v>
      </c>
      <c r="F593" s="44">
        <f t="shared" si="18"/>
        <v>4</v>
      </c>
      <c r="G593" s="82" t="s">
        <v>317</v>
      </c>
      <c r="H593" s="46" t="s">
        <v>18</v>
      </c>
      <c r="I593" s="47"/>
      <c r="J593" s="48" t="s">
        <v>42</v>
      </c>
      <c r="K593" s="83">
        <v>21011</v>
      </c>
      <c r="L593" s="84" t="s">
        <v>25</v>
      </c>
      <c r="M593" s="84" t="s">
        <v>26</v>
      </c>
      <c r="N593" s="14" t="s">
        <v>27</v>
      </c>
      <c r="O593" s="14" t="s">
        <v>28</v>
      </c>
      <c r="P593" s="51">
        <v>45</v>
      </c>
      <c r="Q593" s="47">
        <f t="shared" si="19"/>
        <v>180</v>
      </c>
      <c r="R593" s="47"/>
      <c r="S593" s="47"/>
      <c r="T593" s="47">
        <v>21011</v>
      </c>
    </row>
    <row r="594" customHeight="1" spans="1:20">
      <c r="A594" s="107" t="s">
        <v>1264</v>
      </c>
      <c r="B594" s="129" t="s">
        <v>1265</v>
      </c>
      <c r="C594" s="129"/>
      <c r="D594" s="107">
        <v>1</v>
      </c>
      <c r="E594" s="129" t="s">
        <v>32</v>
      </c>
      <c r="F594" s="44">
        <f t="shared" si="18"/>
        <v>2</v>
      </c>
      <c r="G594" s="91" t="s">
        <v>1266</v>
      </c>
      <c r="H594" s="46" t="s">
        <v>18</v>
      </c>
      <c r="I594" s="47"/>
      <c r="J594" s="48" t="s">
        <v>42</v>
      </c>
      <c r="K594" s="92" t="s">
        <v>1264</v>
      </c>
      <c r="L594" s="93" t="s">
        <v>25</v>
      </c>
      <c r="M594" s="93" t="s">
        <v>26</v>
      </c>
      <c r="N594" s="14" t="s">
        <v>27</v>
      </c>
      <c r="O594" s="14" t="s">
        <v>28</v>
      </c>
      <c r="P594" s="51">
        <v>35</v>
      </c>
      <c r="Q594" s="47">
        <f t="shared" si="19"/>
        <v>70</v>
      </c>
      <c r="R594" s="47"/>
      <c r="S594" s="47"/>
      <c r="T594" s="47"/>
    </row>
    <row r="595" customHeight="1" spans="1:20">
      <c r="A595" s="107" t="s">
        <v>1267</v>
      </c>
      <c r="B595" s="129" t="s">
        <v>1268</v>
      </c>
      <c r="C595" s="129"/>
      <c r="D595" s="107">
        <v>1</v>
      </c>
      <c r="E595" s="129" t="s">
        <v>32</v>
      </c>
      <c r="F595" s="44">
        <f t="shared" si="18"/>
        <v>2</v>
      </c>
      <c r="G595" s="102" t="s">
        <v>1269</v>
      </c>
      <c r="H595" s="46" t="s">
        <v>18</v>
      </c>
      <c r="I595" s="47"/>
      <c r="J595" s="48" t="s">
        <v>42</v>
      </c>
      <c r="K595" s="83" t="s">
        <v>1267</v>
      </c>
      <c r="L595" s="103" t="s">
        <v>25</v>
      </c>
      <c r="M595" s="103" t="s">
        <v>26</v>
      </c>
      <c r="N595" s="14" t="s">
        <v>27</v>
      </c>
      <c r="O595" s="14" t="s">
        <v>28</v>
      </c>
      <c r="P595" s="51">
        <v>32</v>
      </c>
      <c r="Q595" s="47">
        <f t="shared" si="19"/>
        <v>64</v>
      </c>
      <c r="R595" s="47"/>
      <c r="S595" s="47"/>
      <c r="T595" s="47"/>
    </row>
    <row r="596" customHeight="1" spans="1:20">
      <c r="A596" s="107" t="s">
        <v>1270</v>
      </c>
      <c r="B596" s="129" t="s">
        <v>1271</v>
      </c>
      <c r="C596" s="129"/>
      <c r="D596" s="107">
        <v>1</v>
      </c>
      <c r="E596" s="129" t="s">
        <v>32</v>
      </c>
      <c r="F596" s="44">
        <f t="shared" ref="F596:F659" si="20">D596*2</f>
        <v>2</v>
      </c>
      <c r="G596" s="85" t="s">
        <v>1272</v>
      </c>
      <c r="H596" s="46" t="s">
        <v>18</v>
      </c>
      <c r="I596" s="47"/>
      <c r="J596" s="48" t="s">
        <v>42</v>
      </c>
      <c r="K596" s="86" t="s">
        <v>1270</v>
      </c>
      <c r="L596" s="87" t="s">
        <v>25</v>
      </c>
      <c r="M596" s="87" t="s">
        <v>26</v>
      </c>
      <c r="N596" s="14" t="s">
        <v>27</v>
      </c>
      <c r="O596" s="14" t="s">
        <v>28</v>
      </c>
      <c r="P596" s="51">
        <v>16</v>
      </c>
      <c r="Q596" s="47">
        <f t="shared" si="19"/>
        <v>32</v>
      </c>
      <c r="R596" s="47"/>
      <c r="S596" s="47"/>
      <c r="T596" s="47"/>
    </row>
    <row r="597" customHeight="1" spans="1:20">
      <c r="A597" s="107" t="s">
        <v>1273</v>
      </c>
      <c r="B597" s="129" t="s">
        <v>1274</v>
      </c>
      <c r="C597" s="129"/>
      <c r="D597" s="107">
        <f>D466/2</f>
        <v>28</v>
      </c>
      <c r="E597" s="129" t="s">
        <v>32</v>
      </c>
      <c r="F597" s="44">
        <f t="shared" si="20"/>
        <v>56</v>
      </c>
      <c r="G597" s="102" t="s">
        <v>1275</v>
      </c>
      <c r="H597" s="46" t="s">
        <v>18</v>
      </c>
      <c r="I597" s="47"/>
      <c r="J597" s="48" t="s">
        <v>42</v>
      </c>
      <c r="K597" s="83" t="s">
        <v>1273</v>
      </c>
      <c r="L597" s="103" t="s">
        <v>25</v>
      </c>
      <c r="M597" s="103" t="s">
        <v>26</v>
      </c>
      <c r="N597" s="14" t="s">
        <v>27</v>
      </c>
      <c r="O597" s="14" t="s">
        <v>28</v>
      </c>
      <c r="P597" s="51">
        <v>6</v>
      </c>
      <c r="Q597" s="47">
        <f t="shared" si="19"/>
        <v>336</v>
      </c>
      <c r="R597" s="47"/>
      <c r="S597" s="47"/>
      <c r="T597" s="47"/>
    </row>
    <row r="598" customHeight="1" spans="1:20">
      <c r="A598" s="107" t="s">
        <v>1276</v>
      </c>
      <c r="B598" s="129" t="s">
        <v>1277</v>
      </c>
      <c r="C598" s="129"/>
      <c r="D598" s="107">
        <f>D466/2</f>
        <v>28</v>
      </c>
      <c r="E598" s="129" t="s">
        <v>54</v>
      </c>
      <c r="F598" s="44">
        <f t="shared" si="20"/>
        <v>56</v>
      </c>
      <c r="G598" s="145" t="s">
        <v>1278</v>
      </c>
      <c r="H598" s="46" t="s">
        <v>18</v>
      </c>
      <c r="I598" s="47"/>
      <c r="J598" s="48" t="s">
        <v>42</v>
      </c>
      <c r="K598" s="86" t="s">
        <v>1276</v>
      </c>
      <c r="L598" s="87" t="s">
        <v>25</v>
      </c>
      <c r="M598" s="87" t="s">
        <v>26</v>
      </c>
      <c r="N598" s="14" t="s">
        <v>27</v>
      </c>
      <c r="O598" s="14" t="s">
        <v>28</v>
      </c>
      <c r="P598" s="51">
        <v>6</v>
      </c>
      <c r="Q598" s="47">
        <f t="shared" si="19"/>
        <v>336</v>
      </c>
      <c r="R598" s="47"/>
      <c r="S598" s="47"/>
      <c r="T598" s="47"/>
    </row>
    <row r="599" customHeight="1" spans="1:20">
      <c r="A599" s="107" t="s">
        <v>1279</v>
      </c>
      <c r="B599" s="129" t="s">
        <v>1280</v>
      </c>
      <c r="C599" s="129"/>
      <c r="D599" s="107">
        <v>2</v>
      </c>
      <c r="E599" s="129" t="s">
        <v>54</v>
      </c>
      <c r="F599" s="44">
        <f t="shared" si="20"/>
        <v>4</v>
      </c>
      <c r="G599" s="145" t="s">
        <v>1278</v>
      </c>
      <c r="H599" s="46" t="s">
        <v>18</v>
      </c>
      <c r="I599" s="47"/>
      <c r="J599" s="48" t="s">
        <v>42</v>
      </c>
      <c r="K599" s="86" t="s">
        <v>1279</v>
      </c>
      <c r="L599" s="87" t="s">
        <v>25</v>
      </c>
      <c r="M599" s="87" t="s">
        <v>26</v>
      </c>
      <c r="N599" s="14" t="s">
        <v>27</v>
      </c>
      <c r="O599" s="14" t="s">
        <v>28</v>
      </c>
      <c r="P599" s="51">
        <v>9</v>
      </c>
      <c r="Q599" s="47">
        <f t="shared" si="19"/>
        <v>36</v>
      </c>
      <c r="R599" s="47"/>
      <c r="S599" s="47"/>
      <c r="T599" s="47"/>
    </row>
    <row r="600" customHeight="1" spans="1:20">
      <c r="A600" s="43">
        <v>21018</v>
      </c>
      <c r="B600" s="78" t="s">
        <v>1281</v>
      </c>
      <c r="C600" s="78"/>
      <c r="D600" s="43">
        <v>2</v>
      </c>
      <c r="E600" s="78" t="s">
        <v>32</v>
      </c>
      <c r="F600" s="44">
        <f t="shared" si="20"/>
        <v>4</v>
      </c>
      <c r="G600" s="146" t="s">
        <v>1282</v>
      </c>
      <c r="H600" s="46" t="s">
        <v>18</v>
      </c>
      <c r="I600" s="47"/>
      <c r="J600" s="48" t="s">
        <v>42</v>
      </c>
      <c r="K600" s="105">
        <v>21018</v>
      </c>
      <c r="L600" s="106" t="s">
        <v>25</v>
      </c>
      <c r="M600" s="106" t="s">
        <v>26</v>
      </c>
      <c r="N600" s="14" t="s">
        <v>27</v>
      </c>
      <c r="O600" s="14" t="s">
        <v>28</v>
      </c>
      <c r="P600" s="51">
        <v>65</v>
      </c>
      <c r="Q600" s="47">
        <f t="shared" si="19"/>
        <v>260</v>
      </c>
      <c r="R600" s="47"/>
      <c r="S600" s="47"/>
      <c r="T600" s="47"/>
    </row>
    <row r="601" customHeight="1" spans="1:20">
      <c r="A601" s="43">
        <v>21019</v>
      </c>
      <c r="B601" s="78" t="s">
        <v>1283</v>
      </c>
      <c r="C601" s="78"/>
      <c r="D601" s="107">
        <v>1</v>
      </c>
      <c r="E601" s="78" t="s">
        <v>32</v>
      </c>
      <c r="F601" s="44">
        <f t="shared" si="20"/>
        <v>2</v>
      </c>
      <c r="G601" s="85" t="s">
        <v>1284</v>
      </c>
      <c r="H601" s="46" t="s">
        <v>18</v>
      </c>
      <c r="I601" s="47"/>
      <c r="J601" s="48" t="s">
        <v>42</v>
      </c>
      <c r="K601" s="86">
        <v>21019</v>
      </c>
      <c r="L601" s="87" t="s">
        <v>25</v>
      </c>
      <c r="M601" s="87" t="s">
        <v>26</v>
      </c>
      <c r="N601" s="14" t="s">
        <v>27</v>
      </c>
      <c r="O601" s="14" t="s">
        <v>28</v>
      </c>
      <c r="P601" s="51">
        <v>45</v>
      </c>
      <c r="Q601" s="47">
        <f t="shared" si="19"/>
        <v>90</v>
      </c>
      <c r="R601" s="47"/>
      <c r="S601" s="47"/>
      <c r="T601" s="47"/>
    </row>
    <row r="602" customHeight="1" spans="1:20">
      <c r="A602" s="107" t="s">
        <v>1285</v>
      </c>
      <c r="B602" s="129" t="s">
        <v>1286</v>
      </c>
      <c r="C602" s="129"/>
      <c r="D602" s="107">
        <v>1</v>
      </c>
      <c r="E602" s="129" t="s">
        <v>32</v>
      </c>
      <c r="F602" s="44">
        <f t="shared" si="20"/>
        <v>2</v>
      </c>
      <c r="G602" s="85" t="s">
        <v>1287</v>
      </c>
      <c r="H602" s="46" t="s">
        <v>18</v>
      </c>
      <c r="I602" s="47"/>
      <c r="J602" s="48" t="s">
        <v>42</v>
      </c>
      <c r="K602" s="86" t="s">
        <v>1285</v>
      </c>
      <c r="L602" s="87" t="s">
        <v>25</v>
      </c>
      <c r="M602" s="87" t="s">
        <v>26</v>
      </c>
      <c r="N602" s="14" t="s">
        <v>27</v>
      </c>
      <c r="O602" s="14" t="s">
        <v>28</v>
      </c>
      <c r="P602" s="51">
        <v>16</v>
      </c>
      <c r="Q602" s="47">
        <f t="shared" si="19"/>
        <v>32</v>
      </c>
      <c r="R602" s="47"/>
      <c r="S602" s="47"/>
      <c r="T602" s="47"/>
    </row>
    <row r="603" customHeight="1" spans="1:20">
      <c r="A603" s="107" t="s">
        <v>1288</v>
      </c>
      <c r="B603" s="129" t="s">
        <v>1289</v>
      </c>
      <c r="C603" s="129"/>
      <c r="D603" s="107">
        <v>2</v>
      </c>
      <c r="E603" s="129" t="s">
        <v>169</v>
      </c>
      <c r="F603" s="44">
        <f t="shared" si="20"/>
        <v>4</v>
      </c>
      <c r="G603" s="85" t="s">
        <v>1290</v>
      </c>
      <c r="H603" s="46" t="s">
        <v>18</v>
      </c>
      <c r="I603" s="47"/>
      <c r="J603" s="48" t="s">
        <v>42</v>
      </c>
      <c r="K603" s="86" t="s">
        <v>1288</v>
      </c>
      <c r="L603" s="87" t="s">
        <v>25</v>
      </c>
      <c r="M603" s="87" t="s">
        <v>26</v>
      </c>
      <c r="N603" s="14" t="s">
        <v>27</v>
      </c>
      <c r="O603" s="14" t="s">
        <v>28</v>
      </c>
      <c r="P603" s="51">
        <v>9</v>
      </c>
      <c r="Q603" s="47">
        <f t="shared" si="19"/>
        <v>36</v>
      </c>
      <c r="R603" s="47"/>
      <c r="S603" s="47"/>
      <c r="T603" s="47"/>
    </row>
    <row r="604" customHeight="1" spans="1:20">
      <c r="A604" s="107" t="s">
        <v>1291</v>
      </c>
      <c r="B604" s="129" t="s">
        <v>1292</v>
      </c>
      <c r="C604" s="129"/>
      <c r="D604" s="107">
        <v>2</v>
      </c>
      <c r="E604" s="129" t="s">
        <v>32</v>
      </c>
      <c r="F604" s="44">
        <f t="shared" si="20"/>
        <v>4</v>
      </c>
      <c r="G604" s="147" t="s">
        <v>1293</v>
      </c>
      <c r="H604" s="46" t="s">
        <v>18</v>
      </c>
      <c r="I604" s="47"/>
      <c r="J604" s="48" t="s">
        <v>42</v>
      </c>
      <c r="K604" s="86" t="s">
        <v>1291</v>
      </c>
      <c r="L604" s="87" t="s">
        <v>25</v>
      </c>
      <c r="M604" s="87" t="s">
        <v>26</v>
      </c>
      <c r="N604" s="14" t="s">
        <v>27</v>
      </c>
      <c r="O604" s="14" t="s">
        <v>28</v>
      </c>
      <c r="P604" s="51">
        <v>95</v>
      </c>
      <c r="Q604" s="47">
        <f t="shared" si="19"/>
        <v>380</v>
      </c>
      <c r="R604" s="47"/>
      <c r="S604" s="47"/>
      <c r="T604" s="47"/>
    </row>
    <row r="605" customHeight="1" spans="1:20">
      <c r="A605" s="107" t="s">
        <v>1294</v>
      </c>
      <c r="B605" s="129" t="s">
        <v>1295</v>
      </c>
      <c r="C605" s="129"/>
      <c r="D605" s="107">
        <f>D466</f>
        <v>56</v>
      </c>
      <c r="E605" s="129" t="s">
        <v>32</v>
      </c>
      <c r="F605" s="44">
        <f t="shared" si="20"/>
        <v>112</v>
      </c>
      <c r="G605" s="148" t="s">
        <v>1296</v>
      </c>
      <c r="H605" s="46" t="s">
        <v>18</v>
      </c>
      <c r="I605" s="47"/>
      <c r="J605" s="48" t="s">
        <v>42</v>
      </c>
      <c r="K605" s="149" t="s">
        <v>1294</v>
      </c>
      <c r="L605" s="150" t="s">
        <v>25</v>
      </c>
      <c r="M605" s="150" t="s">
        <v>26</v>
      </c>
      <c r="N605" s="14" t="s">
        <v>27</v>
      </c>
      <c r="O605" s="14" t="s">
        <v>28</v>
      </c>
      <c r="P605" s="51">
        <v>8</v>
      </c>
      <c r="Q605" s="47">
        <f t="shared" si="19"/>
        <v>896</v>
      </c>
      <c r="R605" s="47"/>
      <c r="S605" s="47"/>
      <c r="T605" s="47"/>
    </row>
    <row r="606" customHeight="1" spans="1:20">
      <c r="A606" s="107" t="s">
        <v>1297</v>
      </c>
      <c r="B606" s="129" t="s">
        <v>1298</v>
      </c>
      <c r="C606" s="129"/>
      <c r="D606" s="107">
        <v>2</v>
      </c>
      <c r="E606" s="129" t="s">
        <v>142</v>
      </c>
      <c r="F606" s="44">
        <f t="shared" si="20"/>
        <v>4</v>
      </c>
      <c r="G606" s="85" t="s">
        <v>1299</v>
      </c>
      <c r="H606" s="46" t="s">
        <v>18</v>
      </c>
      <c r="I606" s="47"/>
      <c r="J606" s="48" t="s">
        <v>42</v>
      </c>
      <c r="K606" s="86" t="s">
        <v>1297</v>
      </c>
      <c r="L606" s="87" t="s">
        <v>25</v>
      </c>
      <c r="M606" s="87" t="s">
        <v>26</v>
      </c>
      <c r="N606" s="14" t="s">
        <v>27</v>
      </c>
      <c r="O606" s="14" t="s">
        <v>28</v>
      </c>
      <c r="P606" s="51">
        <v>26</v>
      </c>
      <c r="Q606" s="47">
        <f t="shared" si="19"/>
        <v>104</v>
      </c>
      <c r="R606" s="47"/>
      <c r="S606" s="47"/>
      <c r="T606" s="47"/>
    </row>
    <row r="607" customHeight="1" spans="1:20">
      <c r="A607" s="107" t="s">
        <v>1300</v>
      </c>
      <c r="B607" s="129" t="s">
        <v>1301</v>
      </c>
      <c r="C607" s="129"/>
      <c r="D607" s="107">
        <f>D466</f>
        <v>56</v>
      </c>
      <c r="E607" s="129" t="s">
        <v>142</v>
      </c>
      <c r="F607" s="44">
        <f t="shared" si="20"/>
        <v>112</v>
      </c>
      <c r="G607" s="85" t="s">
        <v>1302</v>
      </c>
      <c r="H607" s="46" t="s">
        <v>18</v>
      </c>
      <c r="I607" s="47"/>
      <c r="J607" s="48" t="s">
        <v>42</v>
      </c>
      <c r="K607" s="86" t="s">
        <v>1300</v>
      </c>
      <c r="L607" s="87" t="s">
        <v>25</v>
      </c>
      <c r="M607" s="87" t="s">
        <v>26</v>
      </c>
      <c r="N607" s="14" t="s">
        <v>27</v>
      </c>
      <c r="O607" s="14" t="s">
        <v>28</v>
      </c>
      <c r="P607" s="51">
        <v>18</v>
      </c>
      <c r="Q607" s="47">
        <f t="shared" si="19"/>
        <v>2016</v>
      </c>
      <c r="R607" s="47"/>
      <c r="S607" s="47"/>
      <c r="T607" s="47"/>
    </row>
    <row r="608" customHeight="1" spans="1:20">
      <c r="A608" s="107" t="s">
        <v>1303</v>
      </c>
      <c r="B608" s="129" t="s">
        <v>330</v>
      </c>
      <c r="C608" s="129"/>
      <c r="D608" s="107">
        <v>2</v>
      </c>
      <c r="E608" s="129" t="s">
        <v>21</v>
      </c>
      <c r="F608" s="44">
        <f t="shared" si="20"/>
        <v>4</v>
      </c>
      <c r="G608" s="140" t="s">
        <v>1304</v>
      </c>
      <c r="H608" s="46" t="s">
        <v>18</v>
      </c>
      <c r="I608" s="47"/>
      <c r="J608" s="48" t="s">
        <v>42</v>
      </c>
      <c r="K608" s="124" t="s">
        <v>1303</v>
      </c>
      <c r="L608" s="141" t="s">
        <v>25</v>
      </c>
      <c r="M608" s="141" t="s">
        <v>26</v>
      </c>
      <c r="N608" s="14" t="s">
        <v>27</v>
      </c>
      <c r="O608" s="14" t="s">
        <v>28</v>
      </c>
      <c r="P608" s="51">
        <v>45</v>
      </c>
      <c r="Q608" s="47">
        <f t="shared" si="19"/>
        <v>180</v>
      </c>
      <c r="R608" s="47"/>
      <c r="S608" s="47"/>
      <c r="T608" s="47">
        <v>21033</v>
      </c>
    </row>
    <row r="609" customHeight="1" spans="1:20">
      <c r="A609" s="43">
        <v>21034</v>
      </c>
      <c r="B609" s="78" t="s">
        <v>332</v>
      </c>
      <c r="C609" s="78"/>
      <c r="D609" s="107">
        <v>2</v>
      </c>
      <c r="E609" s="78" t="s">
        <v>32</v>
      </c>
      <c r="F609" s="44">
        <f t="shared" si="20"/>
        <v>4</v>
      </c>
      <c r="G609" s="104" t="s">
        <v>333</v>
      </c>
      <c r="H609" s="46" t="s">
        <v>18</v>
      </c>
      <c r="I609" s="47"/>
      <c r="J609" s="48" t="s">
        <v>42</v>
      </c>
      <c r="K609" s="105">
        <v>21034</v>
      </c>
      <c r="L609" s="106" t="s">
        <v>25</v>
      </c>
      <c r="M609" s="106" t="s">
        <v>26</v>
      </c>
      <c r="N609" s="14" t="s">
        <v>27</v>
      </c>
      <c r="O609" s="14" t="s">
        <v>28</v>
      </c>
      <c r="P609" s="51">
        <v>46</v>
      </c>
      <c r="Q609" s="47">
        <f t="shared" si="19"/>
        <v>184</v>
      </c>
      <c r="R609" s="47"/>
      <c r="S609" s="47"/>
      <c r="T609" s="47">
        <v>21034</v>
      </c>
    </row>
    <row r="610" customHeight="1" spans="1:20">
      <c r="A610" s="43">
        <v>21035</v>
      </c>
      <c r="B610" s="78" t="s">
        <v>1305</v>
      </c>
      <c r="C610" s="78"/>
      <c r="D610" s="107">
        <f>D466/2</f>
        <v>28</v>
      </c>
      <c r="E610" s="78" t="s">
        <v>32</v>
      </c>
      <c r="F610" s="44">
        <f t="shared" si="20"/>
        <v>56</v>
      </c>
      <c r="G610" s="151" t="s">
        <v>1306</v>
      </c>
      <c r="H610" s="46" t="s">
        <v>18</v>
      </c>
      <c r="I610" s="47"/>
      <c r="J610" s="48" t="s">
        <v>42</v>
      </c>
      <c r="K610" s="152">
        <v>21035</v>
      </c>
      <c r="L610" s="153" t="s">
        <v>25</v>
      </c>
      <c r="M610" s="153" t="s">
        <v>26</v>
      </c>
      <c r="N610" s="14" t="s">
        <v>27</v>
      </c>
      <c r="O610" s="14" t="s">
        <v>28</v>
      </c>
      <c r="P610" s="51">
        <v>30</v>
      </c>
      <c r="Q610" s="47">
        <f t="shared" si="19"/>
        <v>1680</v>
      </c>
      <c r="R610" s="47"/>
      <c r="S610" s="47"/>
      <c r="T610" s="47"/>
    </row>
    <row r="611" customHeight="1" spans="1:20">
      <c r="A611" s="43">
        <v>21036</v>
      </c>
      <c r="B611" s="78" t="s">
        <v>1307</v>
      </c>
      <c r="C611" s="78"/>
      <c r="D611" s="43">
        <v>1</v>
      </c>
      <c r="E611" s="78" t="s">
        <v>32</v>
      </c>
      <c r="F611" s="44">
        <f t="shared" si="20"/>
        <v>2</v>
      </c>
      <c r="G611" s="91" t="s">
        <v>1308</v>
      </c>
      <c r="H611" s="46" t="s">
        <v>18</v>
      </c>
      <c r="I611" s="47"/>
      <c r="J611" s="48" t="s">
        <v>42</v>
      </c>
      <c r="K611" s="92">
        <v>21036</v>
      </c>
      <c r="L611" s="93" t="s">
        <v>25</v>
      </c>
      <c r="M611" s="93" t="s">
        <v>26</v>
      </c>
      <c r="N611" s="14" t="s">
        <v>27</v>
      </c>
      <c r="O611" s="14" t="s">
        <v>28</v>
      </c>
      <c r="P611" s="51">
        <v>190</v>
      </c>
      <c r="Q611" s="47">
        <f t="shared" si="19"/>
        <v>380</v>
      </c>
      <c r="R611" s="47"/>
      <c r="S611" s="47"/>
      <c r="T611" s="47"/>
    </row>
    <row r="612" customHeight="1" spans="1:20">
      <c r="A612" s="107" t="s">
        <v>1309</v>
      </c>
      <c r="B612" s="129" t="s">
        <v>1310</v>
      </c>
      <c r="C612" s="129"/>
      <c r="D612" s="107">
        <v>1</v>
      </c>
      <c r="E612" s="129" t="s">
        <v>32</v>
      </c>
      <c r="F612" s="44">
        <f t="shared" si="20"/>
        <v>2</v>
      </c>
      <c r="G612" s="91" t="s">
        <v>1311</v>
      </c>
      <c r="H612" s="46" t="s">
        <v>18</v>
      </c>
      <c r="I612" s="47"/>
      <c r="J612" s="48" t="s">
        <v>42</v>
      </c>
      <c r="K612" s="92" t="s">
        <v>1309</v>
      </c>
      <c r="L612" s="93" t="s">
        <v>25</v>
      </c>
      <c r="M612" s="93" t="s">
        <v>26</v>
      </c>
      <c r="N612" s="14" t="s">
        <v>27</v>
      </c>
      <c r="O612" s="14" t="s">
        <v>28</v>
      </c>
      <c r="P612" s="51">
        <v>165</v>
      </c>
      <c r="Q612" s="47">
        <f t="shared" si="19"/>
        <v>330</v>
      </c>
      <c r="R612" s="47"/>
      <c r="S612" s="47"/>
      <c r="T612" s="47"/>
    </row>
    <row r="613" customHeight="1" spans="1:20">
      <c r="A613" s="107" t="s">
        <v>1312</v>
      </c>
      <c r="B613" s="129" t="s">
        <v>334</v>
      </c>
      <c r="C613" s="129"/>
      <c r="D613" s="107">
        <v>1</v>
      </c>
      <c r="E613" s="129" t="s">
        <v>54</v>
      </c>
      <c r="F613" s="44">
        <f t="shared" si="20"/>
        <v>2</v>
      </c>
      <c r="G613" s="82" t="s">
        <v>335</v>
      </c>
      <c r="H613" s="46" t="s">
        <v>18</v>
      </c>
      <c r="I613" s="47"/>
      <c r="J613" s="48" t="s">
        <v>42</v>
      </c>
      <c r="K613" s="83" t="s">
        <v>1312</v>
      </c>
      <c r="L613" s="84" t="s">
        <v>25</v>
      </c>
      <c r="M613" s="84" t="s">
        <v>26</v>
      </c>
      <c r="N613" s="14" t="s">
        <v>27</v>
      </c>
      <c r="O613" s="14" t="s">
        <v>28</v>
      </c>
      <c r="P613" s="51">
        <v>80</v>
      </c>
      <c r="Q613" s="47">
        <f t="shared" si="19"/>
        <v>160</v>
      </c>
      <c r="R613" s="47"/>
      <c r="S613" s="47"/>
      <c r="T613" s="47">
        <v>21038</v>
      </c>
    </row>
    <row r="614" customHeight="1" spans="1:20">
      <c r="A614" s="107">
        <v>22</v>
      </c>
      <c r="B614" s="129" t="s">
        <v>1313</v>
      </c>
      <c r="C614" s="129"/>
      <c r="D614" s="107"/>
      <c r="E614" s="129"/>
      <c r="F614" s="44">
        <f t="shared" si="20"/>
        <v>0</v>
      </c>
      <c r="G614" s="131"/>
      <c r="H614" s="46"/>
      <c r="I614" s="47"/>
      <c r="J614" s="48" t="s">
        <v>42</v>
      </c>
      <c r="K614" s="132"/>
      <c r="L614" s="133"/>
      <c r="M614" s="133"/>
      <c r="O614" s="14" t="s">
        <v>28</v>
      </c>
      <c r="P614" s="51"/>
      <c r="Q614" s="47">
        <f t="shared" si="19"/>
        <v>0</v>
      </c>
      <c r="R614" s="47"/>
      <c r="S614" s="47"/>
      <c r="T614" s="47"/>
    </row>
    <row r="615" customHeight="1" spans="1:20">
      <c r="A615" s="107">
        <v>22001</v>
      </c>
      <c r="B615" s="129" t="s">
        <v>401</v>
      </c>
      <c r="C615" s="129"/>
      <c r="D615" s="107">
        <f>D466</f>
        <v>56</v>
      </c>
      <c r="E615" s="129" t="s">
        <v>32</v>
      </c>
      <c r="F615" s="44">
        <f t="shared" si="20"/>
        <v>112</v>
      </c>
      <c r="G615" s="82" t="s">
        <v>402</v>
      </c>
      <c r="H615" s="46" t="s">
        <v>18</v>
      </c>
      <c r="I615" s="47"/>
      <c r="J615" s="48" t="s">
        <v>42</v>
      </c>
      <c r="K615" s="83">
        <v>22001</v>
      </c>
      <c r="L615" s="84" t="s">
        <v>25</v>
      </c>
      <c r="M615" s="84" t="s">
        <v>26</v>
      </c>
      <c r="N615" s="14" t="s">
        <v>27</v>
      </c>
      <c r="O615" s="14" t="s">
        <v>28</v>
      </c>
      <c r="P615" s="51">
        <v>21</v>
      </c>
      <c r="Q615" s="47">
        <f t="shared" si="19"/>
        <v>2352</v>
      </c>
      <c r="R615" s="47"/>
      <c r="S615" s="47"/>
      <c r="T615" s="47">
        <v>22001</v>
      </c>
    </row>
    <row r="616" customHeight="1" spans="1:20">
      <c r="A616" s="107" t="s">
        <v>1314</v>
      </c>
      <c r="B616" s="129" t="s">
        <v>401</v>
      </c>
      <c r="C616" s="129"/>
      <c r="D616" s="107">
        <f>D466</f>
        <v>56</v>
      </c>
      <c r="E616" s="129" t="s">
        <v>32</v>
      </c>
      <c r="F616" s="44">
        <f t="shared" si="20"/>
        <v>112</v>
      </c>
      <c r="G616" s="82" t="s">
        <v>403</v>
      </c>
      <c r="H616" s="46" t="s">
        <v>18</v>
      </c>
      <c r="I616" s="47"/>
      <c r="J616" s="48" t="s">
        <v>42</v>
      </c>
      <c r="K616" s="83" t="s">
        <v>1314</v>
      </c>
      <c r="L616" s="84" t="s">
        <v>25</v>
      </c>
      <c r="M616" s="84" t="s">
        <v>26</v>
      </c>
      <c r="N616" s="14" t="s">
        <v>27</v>
      </c>
      <c r="O616" s="14" t="s">
        <v>28</v>
      </c>
      <c r="P616" s="51">
        <v>21</v>
      </c>
      <c r="Q616" s="47">
        <f t="shared" si="19"/>
        <v>2352</v>
      </c>
      <c r="R616" s="47"/>
      <c r="S616" s="47"/>
      <c r="T616" s="47">
        <v>22001</v>
      </c>
    </row>
    <row r="617" customHeight="1" spans="1:20">
      <c r="A617" s="43">
        <v>22003</v>
      </c>
      <c r="B617" s="78" t="s">
        <v>1315</v>
      </c>
      <c r="C617" s="78"/>
      <c r="D617" s="107">
        <v>2</v>
      </c>
      <c r="E617" s="78" t="s">
        <v>21</v>
      </c>
      <c r="F617" s="44">
        <f t="shared" si="20"/>
        <v>4</v>
      </c>
      <c r="G617" s="85" t="s">
        <v>1316</v>
      </c>
      <c r="H617" s="46" t="s">
        <v>18</v>
      </c>
      <c r="I617" s="47"/>
      <c r="J617" s="48" t="s">
        <v>42</v>
      </c>
      <c r="K617" s="86">
        <v>22003</v>
      </c>
      <c r="L617" s="87" t="s">
        <v>25</v>
      </c>
      <c r="M617" s="87" t="s">
        <v>26</v>
      </c>
      <c r="N617" s="14" t="s">
        <v>27</v>
      </c>
      <c r="O617" s="14" t="s">
        <v>28</v>
      </c>
      <c r="P617" s="51">
        <v>14</v>
      </c>
      <c r="Q617" s="47">
        <f t="shared" si="19"/>
        <v>56</v>
      </c>
      <c r="R617" s="47"/>
      <c r="S617" s="47"/>
      <c r="T617" s="47"/>
    </row>
    <row r="618" customHeight="1" spans="1:20">
      <c r="A618" s="43">
        <v>22004</v>
      </c>
      <c r="B618" s="78" t="s">
        <v>1317</v>
      </c>
      <c r="C618" s="78"/>
      <c r="D618" s="107">
        <f>D466</f>
        <v>56</v>
      </c>
      <c r="E618" s="78" t="s">
        <v>21</v>
      </c>
      <c r="F618" s="44">
        <f t="shared" si="20"/>
        <v>112</v>
      </c>
      <c r="G618" s="85" t="s">
        <v>1318</v>
      </c>
      <c r="H618" s="46" t="s">
        <v>18</v>
      </c>
      <c r="I618" s="47"/>
      <c r="J618" s="48" t="s">
        <v>42</v>
      </c>
      <c r="K618" s="86">
        <v>22004</v>
      </c>
      <c r="L618" s="87" t="s">
        <v>25</v>
      </c>
      <c r="M618" s="87" t="s">
        <v>26</v>
      </c>
      <c r="N618" s="14" t="s">
        <v>27</v>
      </c>
      <c r="O618" s="14" t="s">
        <v>28</v>
      </c>
      <c r="P618" s="51">
        <v>3</v>
      </c>
      <c r="Q618" s="47">
        <f t="shared" si="19"/>
        <v>336</v>
      </c>
      <c r="R618" s="47"/>
      <c r="S618" s="47"/>
      <c r="T618" s="47"/>
    </row>
    <row r="619" customHeight="1" spans="1:20">
      <c r="A619" s="107" t="s">
        <v>1319</v>
      </c>
      <c r="B619" s="129" t="s">
        <v>404</v>
      </c>
      <c r="C619" s="129"/>
      <c r="D619" s="107">
        <v>1</v>
      </c>
      <c r="E619" s="129" t="s">
        <v>32</v>
      </c>
      <c r="F619" s="44">
        <f t="shared" si="20"/>
        <v>2</v>
      </c>
      <c r="G619" s="85" t="s">
        <v>1320</v>
      </c>
      <c r="H619" s="46" t="s">
        <v>18</v>
      </c>
      <c r="I619" s="47"/>
      <c r="J619" s="48" t="s">
        <v>42</v>
      </c>
      <c r="K619" s="86" t="s">
        <v>1319</v>
      </c>
      <c r="L619" s="87" t="s">
        <v>25</v>
      </c>
      <c r="M619" s="87" t="s">
        <v>26</v>
      </c>
      <c r="N619" s="14" t="s">
        <v>27</v>
      </c>
      <c r="O619" s="14" t="s">
        <v>28</v>
      </c>
      <c r="P619" s="51">
        <v>95</v>
      </c>
      <c r="Q619" s="47">
        <f t="shared" si="19"/>
        <v>190</v>
      </c>
      <c r="R619" s="47"/>
      <c r="S619" s="47"/>
      <c r="T619" s="47">
        <v>22005</v>
      </c>
    </row>
    <row r="620" customHeight="1" spans="1:20">
      <c r="A620" s="107" t="s">
        <v>1321</v>
      </c>
      <c r="B620" s="129" t="s">
        <v>1322</v>
      </c>
      <c r="C620" s="129"/>
      <c r="D620" s="107">
        <v>1</v>
      </c>
      <c r="E620" s="129" t="s">
        <v>32</v>
      </c>
      <c r="F620" s="44">
        <f t="shared" si="20"/>
        <v>2</v>
      </c>
      <c r="G620" s="85" t="s">
        <v>1323</v>
      </c>
      <c r="H620" s="46" t="s">
        <v>18</v>
      </c>
      <c r="I620" s="47"/>
      <c r="J620" s="48" t="s">
        <v>42</v>
      </c>
      <c r="K620" s="86" t="s">
        <v>1321</v>
      </c>
      <c r="L620" s="87" t="s">
        <v>25</v>
      </c>
      <c r="M620" s="87" t="s">
        <v>26</v>
      </c>
      <c r="N620" s="14" t="s">
        <v>27</v>
      </c>
      <c r="O620" s="14" t="s">
        <v>28</v>
      </c>
      <c r="P620" s="51">
        <v>130</v>
      </c>
      <c r="Q620" s="47">
        <f t="shared" si="19"/>
        <v>260</v>
      </c>
      <c r="R620" s="47"/>
      <c r="S620" s="47"/>
      <c r="T620" s="47"/>
    </row>
    <row r="621" customHeight="1" spans="1:20">
      <c r="A621" s="107" t="s">
        <v>1324</v>
      </c>
      <c r="B621" s="129" t="s">
        <v>1325</v>
      </c>
      <c r="C621" s="129"/>
      <c r="D621" s="107">
        <v>1</v>
      </c>
      <c r="E621" s="129" t="s">
        <v>32</v>
      </c>
      <c r="F621" s="44">
        <f t="shared" si="20"/>
        <v>2</v>
      </c>
      <c r="G621" s="91" t="s">
        <v>1326</v>
      </c>
      <c r="H621" s="46" t="s">
        <v>18</v>
      </c>
      <c r="I621" s="47"/>
      <c r="J621" s="48" t="s">
        <v>42</v>
      </c>
      <c r="K621" s="92" t="s">
        <v>1324</v>
      </c>
      <c r="L621" s="93" t="s">
        <v>25</v>
      </c>
      <c r="M621" s="93" t="s">
        <v>26</v>
      </c>
      <c r="N621" s="14" t="s">
        <v>27</v>
      </c>
      <c r="O621" s="14" t="s">
        <v>28</v>
      </c>
      <c r="P621" s="51">
        <v>180</v>
      </c>
      <c r="Q621" s="47">
        <f t="shared" si="19"/>
        <v>360</v>
      </c>
      <c r="R621" s="47"/>
      <c r="S621" s="47"/>
      <c r="T621" s="47"/>
    </row>
    <row r="622" customHeight="1" spans="1:20">
      <c r="A622" s="107" t="s">
        <v>1327</v>
      </c>
      <c r="B622" s="129" t="s">
        <v>406</v>
      </c>
      <c r="C622" s="129"/>
      <c r="D622" s="107">
        <v>1</v>
      </c>
      <c r="E622" s="129" t="s">
        <v>54</v>
      </c>
      <c r="F622" s="44">
        <f t="shared" si="20"/>
        <v>2</v>
      </c>
      <c r="G622" s="85" t="s">
        <v>1328</v>
      </c>
      <c r="H622" s="46" t="s">
        <v>18</v>
      </c>
      <c r="I622" s="47"/>
      <c r="J622" s="48" t="s">
        <v>42</v>
      </c>
      <c r="K622" s="86" t="s">
        <v>1327</v>
      </c>
      <c r="L622" s="87" t="s">
        <v>25</v>
      </c>
      <c r="M622" s="87" t="s">
        <v>26</v>
      </c>
      <c r="N622" s="14" t="s">
        <v>27</v>
      </c>
      <c r="O622" s="14" t="s">
        <v>28</v>
      </c>
      <c r="P622" s="51">
        <v>170</v>
      </c>
      <c r="Q622" s="47">
        <f t="shared" si="19"/>
        <v>340</v>
      </c>
      <c r="R622" s="47"/>
      <c r="S622" s="47"/>
      <c r="T622" s="47">
        <v>22009</v>
      </c>
    </row>
    <row r="623" customHeight="1" spans="1:20">
      <c r="A623" s="107" t="s">
        <v>1329</v>
      </c>
      <c r="B623" s="129" t="s">
        <v>1330</v>
      </c>
      <c r="C623" s="129"/>
      <c r="D623" s="107">
        <f>D466</f>
        <v>56</v>
      </c>
      <c r="E623" s="129" t="s">
        <v>32</v>
      </c>
      <c r="F623" s="44">
        <f t="shared" si="20"/>
        <v>112</v>
      </c>
      <c r="G623" s="85" t="s">
        <v>1331</v>
      </c>
      <c r="H623" s="46" t="s">
        <v>18</v>
      </c>
      <c r="I623" s="47"/>
      <c r="J623" s="48" t="s">
        <v>42</v>
      </c>
      <c r="K623" s="86" t="s">
        <v>1329</v>
      </c>
      <c r="L623" s="87" t="s">
        <v>25</v>
      </c>
      <c r="M623" s="87" t="s">
        <v>26</v>
      </c>
      <c r="N623" s="14" t="s">
        <v>27</v>
      </c>
      <c r="O623" s="14" t="s">
        <v>28</v>
      </c>
      <c r="P623" s="51">
        <v>20</v>
      </c>
      <c r="Q623" s="47">
        <f t="shared" si="19"/>
        <v>2240</v>
      </c>
      <c r="R623" s="47"/>
      <c r="S623" s="47"/>
      <c r="T623" s="47"/>
    </row>
    <row r="624" customHeight="1" spans="1:20">
      <c r="A624" s="107" t="s">
        <v>1332</v>
      </c>
      <c r="B624" s="129" t="s">
        <v>442</v>
      </c>
      <c r="C624" s="129"/>
      <c r="D624" s="107">
        <v>4</v>
      </c>
      <c r="E624" s="129" t="s">
        <v>32</v>
      </c>
      <c r="F624" s="44">
        <f t="shared" si="20"/>
        <v>8</v>
      </c>
      <c r="G624" s="85" t="s">
        <v>1333</v>
      </c>
      <c r="H624" s="46" t="s">
        <v>18</v>
      </c>
      <c r="I624" s="47"/>
      <c r="J624" s="48" t="s">
        <v>42</v>
      </c>
      <c r="K624" s="86" t="s">
        <v>1332</v>
      </c>
      <c r="L624" s="87" t="s">
        <v>25</v>
      </c>
      <c r="M624" s="87" t="s">
        <v>26</v>
      </c>
      <c r="N624" s="14" t="s">
        <v>27</v>
      </c>
      <c r="O624" s="14" t="s">
        <v>28</v>
      </c>
      <c r="P624" s="51">
        <v>25</v>
      </c>
      <c r="Q624" s="47">
        <f t="shared" si="19"/>
        <v>200</v>
      </c>
      <c r="R624" s="47"/>
      <c r="S624" s="47"/>
      <c r="T624" s="47">
        <v>22202</v>
      </c>
    </row>
    <row r="625" customHeight="1" spans="1:20">
      <c r="A625" s="107" t="s">
        <v>1334</v>
      </c>
      <c r="B625" s="129" t="s">
        <v>444</v>
      </c>
      <c r="C625" s="129"/>
      <c r="D625" s="107">
        <v>4</v>
      </c>
      <c r="E625" s="129" t="s">
        <v>21</v>
      </c>
      <c r="F625" s="44">
        <f t="shared" si="20"/>
        <v>8</v>
      </c>
      <c r="G625" s="82" t="s">
        <v>445</v>
      </c>
      <c r="H625" s="46" t="s">
        <v>18</v>
      </c>
      <c r="I625" s="47"/>
      <c r="J625" s="48" t="s">
        <v>42</v>
      </c>
      <c r="K625" s="83" t="s">
        <v>1334</v>
      </c>
      <c r="L625" s="84" t="s">
        <v>25</v>
      </c>
      <c r="M625" s="84" t="s">
        <v>26</v>
      </c>
      <c r="N625" s="14" t="s">
        <v>27</v>
      </c>
      <c r="O625" s="14" t="s">
        <v>28</v>
      </c>
      <c r="P625" s="51">
        <v>16</v>
      </c>
      <c r="Q625" s="47">
        <f t="shared" si="19"/>
        <v>128</v>
      </c>
      <c r="R625" s="47"/>
      <c r="S625" s="47"/>
      <c r="T625" s="47">
        <v>22203</v>
      </c>
    </row>
    <row r="626" customHeight="1" spans="1:20">
      <c r="A626" s="107" t="s">
        <v>1335</v>
      </c>
      <c r="B626" s="129" t="s">
        <v>1336</v>
      </c>
      <c r="C626" s="129"/>
      <c r="D626" s="107">
        <v>2</v>
      </c>
      <c r="E626" s="129" t="s">
        <v>32</v>
      </c>
      <c r="F626" s="44">
        <f t="shared" si="20"/>
        <v>4</v>
      </c>
      <c r="G626" s="102" t="s">
        <v>1337</v>
      </c>
      <c r="H626" s="46" t="s">
        <v>18</v>
      </c>
      <c r="I626" s="47"/>
      <c r="J626" s="48" t="s">
        <v>42</v>
      </c>
      <c r="K626" s="83" t="s">
        <v>1335</v>
      </c>
      <c r="L626" s="103" t="s">
        <v>25</v>
      </c>
      <c r="M626" s="103" t="s">
        <v>26</v>
      </c>
      <c r="N626" s="14" t="s">
        <v>27</v>
      </c>
      <c r="O626" s="14" t="s">
        <v>28</v>
      </c>
      <c r="P626" s="51">
        <v>35</v>
      </c>
      <c r="Q626" s="47">
        <f t="shared" si="19"/>
        <v>140</v>
      </c>
      <c r="R626" s="47"/>
      <c r="S626" s="47"/>
      <c r="T626" s="47"/>
    </row>
    <row r="627" customHeight="1" spans="1:20">
      <c r="A627" s="107" t="s">
        <v>1338</v>
      </c>
      <c r="B627" s="129" t="s">
        <v>1339</v>
      </c>
      <c r="C627" s="129"/>
      <c r="D627" s="107">
        <v>1</v>
      </c>
      <c r="E627" s="129" t="s">
        <v>32</v>
      </c>
      <c r="F627" s="44">
        <f t="shared" si="20"/>
        <v>2</v>
      </c>
      <c r="G627" s="91" t="s">
        <v>1340</v>
      </c>
      <c r="H627" s="46" t="s">
        <v>18</v>
      </c>
      <c r="I627" s="47"/>
      <c r="J627" s="48" t="s">
        <v>42</v>
      </c>
      <c r="K627" s="92" t="s">
        <v>1338</v>
      </c>
      <c r="L627" s="93" t="s">
        <v>25</v>
      </c>
      <c r="M627" s="93" t="s">
        <v>26</v>
      </c>
      <c r="N627" s="14" t="s">
        <v>27</v>
      </c>
      <c r="O627" s="14" t="s">
        <v>28</v>
      </c>
      <c r="P627" s="51">
        <v>22.5</v>
      </c>
      <c r="Q627" s="47">
        <f t="shared" si="19"/>
        <v>45</v>
      </c>
      <c r="R627" s="47"/>
      <c r="S627" s="47"/>
      <c r="T627" s="47"/>
    </row>
    <row r="628" customHeight="1" spans="1:20">
      <c r="A628" s="107" t="s">
        <v>1341</v>
      </c>
      <c r="B628" s="129" t="s">
        <v>1342</v>
      </c>
      <c r="C628" s="129"/>
      <c r="D628" s="107">
        <v>1</v>
      </c>
      <c r="E628" s="129" t="s">
        <v>21</v>
      </c>
      <c r="F628" s="44">
        <f t="shared" si="20"/>
        <v>2</v>
      </c>
      <c r="G628" s="91" t="s">
        <v>1343</v>
      </c>
      <c r="H628" s="46" t="s">
        <v>18</v>
      </c>
      <c r="I628" s="47"/>
      <c r="J628" s="48" t="s">
        <v>42</v>
      </c>
      <c r="K628" s="92" t="s">
        <v>1341</v>
      </c>
      <c r="L628" s="93" t="s">
        <v>25</v>
      </c>
      <c r="M628" s="93" t="s">
        <v>26</v>
      </c>
      <c r="N628" s="14" t="s">
        <v>27</v>
      </c>
      <c r="O628" s="14" t="s">
        <v>28</v>
      </c>
      <c r="P628" s="51">
        <v>55</v>
      </c>
      <c r="Q628" s="47">
        <f t="shared" si="19"/>
        <v>110</v>
      </c>
      <c r="R628" s="47"/>
      <c r="S628" s="47"/>
      <c r="T628" s="47"/>
    </row>
    <row r="629" customHeight="1" spans="1:20">
      <c r="A629" s="107" t="s">
        <v>1344</v>
      </c>
      <c r="B629" s="129" t="s">
        <v>1345</v>
      </c>
      <c r="C629" s="129"/>
      <c r="D629" s="107">
        <v>1</v>
      </c>
      <c r="E629" s="129" t="s">
        <v>21</v>
      </c>
      <c r="F629" s="44">
        <f t="shared" si="20"/>
        <v>2</v>
      </c>
      <c r="G629" s="102" t="s">
        <v>1346</v>
      </c>
      <c r="H629" s="46" t="s">
        <v>18</v>
      </c>
      <c r="I629" s="47"/>
      <c r="J629" s="48" t="s">
        <v>42</v>
      </c>
      <c r="K629" s="83" t="s">
        <v>1344</v>
      </c>
      <c r="L629" s="103" t="s">
        <v>25</v>
      </c>
      <c r="M629" s="103" t="s">
        <v>26</v>
      </c>
      <c r="N629" s="14" t="s">
        <v>27</v>
      </c>
      <c r="O629" s="14" t="s">
        <v>28</v>
      </c>
      <c r="P629" s="51">
        <v>80</v>
      </c>
      <c r="Q629" s="47">
        <f t="shared" si="19"/>
        <v>160</v>
      </c>
      <c r="R629" s="47"/>
      <c r="S629" s="47"/>
      <c r="T629" s="47"/>
    </row>
    <row r="630" customHeight="1" spans="1:20">
      <c r="A630" s="107" t="s">
        <v>1347</v>
      </c>
      <c r="B630" s="129" t="s">
        <v>1348</v>
      </c>
      <c r="C630" s="129"/>
      <c r="D630" s="107">
        <v>2</v>
      </c>
      <c r="E630" s="129" t="s">
        <v>21</v>
      </c>
      <c r="F630" s="44">
        <f t="shared" si="20"/>
        <v>4</v>
      </c>
      <c r="G630" s="104" t="s">
        <v>1349</v>
      </c>
      <c r="H630" s="46" t="s">
        <v>18</v>
      </c>
      <c r="I630" s="47"/>
      <c r="J630" s="48" t="s">
        <v>42</v>
      </c>
      <c r="K630" s="105" t="s">
        <v>1347</v>
      </c>
      <c r="L630" s="106" t="s">
        <v>25</v>
      </c>
      <c r="M630" s="106" t="s">
        <v>26</v>
      </c>
      <c r="N630" s="14" t="s">
        <v>27</v>
      </c>
      <c r="O630" s="14" t="s">
        <v>28</v>
      </c>
      <c r="P630" s="51">
        <v>16</v>
      </c>
      <c r="Q630" s="47">
        <f t="shared" si="19"/>
        <v>64</v>
      </c>
      <c r="R630" s="47"/>
      <c r="S630" s="47"/>
      <c r="T630" s="47"/>
    </row>
    <row r="631" customHeight="1" spans="1:20">
      <c r="A631" s="107" t="s">
        <v>1350</v>
      </c>
      <c r="B631" s="129" t="s">
        <v>446</v>
      </c>
      <c r="C631" s="129"/>
      <c r="D631" s="107">
        <v>2</v>
      </c>
      <c r="E631" s="129" t="s">
        <v>21</v>
      </c>
      <c r="F631" s="44">
        <f t="shared" si="20"/>
        <v>4</v>
      </c>
      <c r="G631" s="82" t="s">
        <v>447</v>
      </c>
      <c r="H631" s="46" t="s">
        <v>18</v>
      </c>
      <c r="I631" s="47"/>
      <c r="J631" s="48" t="s">
        <v>42</v>
      </c>
      <c r="K631" s="83" t="s">
        <v>1350</v>
      </c>
      <c r="L631" s="84" t="s">
        <v>25</v>
      </c>
      <c r="M631" s="84" t="s">
        <v>26</v>
      </c>
      <c r="N631" s="14" t="s">
        <v>27</v>
      </c>
      <c r="O631" s="14" t="s">
        <v>28</v>
      </c>
      <c r="P631" s="51">
        <v>9</v>
      </c>
      <c r="Q631" s="47">
        <f t="shared" si="19"/>
        <v>36</v>
      </c>
      <c r="R631" s="47"/>
      <c r="S631" s="47"/>
      <c r="T631" s="47">
        <v>22209</v>
      </c>
    </row>
    <row r="632" customHeight="1" spans="1:20">
      <c r="A632" s="107" t="s">
        <v>1351</v>
      </c>
      <c r="B632" s="129" t="s">
        <v>448</v>
      </c>
      <c r="C632" s="129"/>
      <c r="D632" s="107">
        <v>2</v>
      </c>
      <c r="E632" s="129" t="s">
        <v>32</v>
      </c>
      <c r="F632" s="44">
        <f t="shared" si="20"/>
        <v>4</v>
      </c>
      <c r="G632" s="85" t="s">
        <v>449</v>
      </c>
      <c r="H632" s="46" t="s">
        <v>18</v>
      </c>
      <c r="I632" s="47"/>
      <c r="J632" s="48" t="s">
        <v>42</v>
      </c>
      <c r="K632" s="86" t="s">
        <v>1351</v>
      </c>
      <c r="L632" s="87" t="s">
        <v>25</v>
      </c>
      <c r="M632" s="87" t="s">
        <v>26</v>
      </c>
      <c r="N632" s="14" t="s">
        <v>27</v>
      </c>
      <c r="O632" s="14" t="s">
        <v>28</v>
      </c>
      <c r="P632" s="51">
        <v>45</v>
      </c>
      <c r="Q632" s="47">
        <f t="shared" si="19"/>
        <v>180</v>
      </c>
      <c r="R632" s="47"/>
      <c r="S632" s="47"/>
      <c r="T632" s="47">
        <v>22210</v>
      </c>
    </row>
    <row r="633" customHeight="1" spans="1:20">
      <c r="A633" s="43">
        <v>22212</v>
      </c>
      <c r="B633" s="78" t="s">
        <v>1352</v>
      </c>
      <c r="C633" s="78"/>
      <c r="D633" s="107">
        <f>D466</f>
        <v>56</v>
      </c>
      <c r="E633" s="78" t="s">
        <v>32</v>
      </c>
      <c r="F633" s="44">
        <f t="shared" si="20"/>
        <v>112</v>
      </c>
      <c r="G633" s="85" t="s">
        <v>1353</v>
      </c>
      <c r="H633" s="46" t="s">
        <v>18</v>
      </c>
      <c r="I633" s="47"/>
      <c r="J633" s="48" t="s">
        <v>42</v>
      </c>
      <c r="K633" s="86">
        <v>22212</v>
      </c>
      <c r="L633" s="87" t="s">
        <v>25</v>
      </c>
      <c r="M633" s="87" t="s">
        <v>26</v>
      </c>
      <c r="N633" s="14" t="s">
        <v>27</v>
      </c>
      <c r="O633" s="14" t="s">
        <v>28</v>
      </c>
      <c r="P633" s="51">
        <v>40</v>
      </c>
      <c r="Q633" s="47">
        <f t="shared" si="19"/>
        <v>4480</v>
      </c>
      <c r="R633" s="47"/>
      <c r="S633" s="47"/>
      <c r="T633" s="47"/>
    </row>
    <row r="634" customHeight="1" spans="1:20">
      <c r="A634" s="107" t="s">
        <v>1354</v>
      </c>
      <c r="B634" s="129" t="s">
        <v>1355</v>
      </c>
      <c r="C634" s="129"/>
      <c r="D634" s="107">
        <v>2</v>
      </c>
      <c r="E634" s="129" t="s">
        <v>54</v>
      </c>
      <c r="F634" s="44">
        <f t="shared" si="20"/>
        <v>4</v>
      </c>
      <c r="G634" s="85" t="s">
        <v>1356</v>
      </c>
      <c r="H634" s="46" t="s">
        <v>18</v>
      </c>
      <c r="I634" s="47"/>
      <c r="J634" s="48" t="s">
        <v>42</v>
      </c>
      <c r="K634" s="86" t="s">
        <v>1354</v>
      </c>
      <c r="L634" s="87" t="s">
        <v>25</v>
      </c>
      <c r="M634" s="87" t="s">
        <v>26</v>
      </c>
      <c r="N634" s="14" t="s">
        <v>27</v>
      </c>
      <c r="O634" s="14" t="s">
        <v>28</v>
      </c>
      <c r="P634" s="51">
        <v>22</v>
      </c>
      <c r="Q634" s="47">
        <f t="shared" si="19"/>
        <v>88</v>
      </c>
      <c r="R634" s="47"/>
      <c r="S634" s="47"/>
      <c r="T634" s="47"/>
    </row>
    <row r="635" customHeight="1" spans="1:20">
      <c r="A635" s="107" t="s">
        <v>1357</v>
      </c>
      <c r="B635" s="129" t="s">
        <v>1358</v>
      </c>
      <c r="C635" s="129"/>
      <c r="D635" s="107">
        <v>2</v>
      </c>
      <c r="E635" s="129" t="s">
        <v>21</v>
      </c>
      <c r="F635" s="44">
        <f t="shared" si="20"/>
        <v>4</v>
      </c>
      <c r="G635" s="85" t="s">
        <v>1359</v>
      </c>
      <c r="H635" s="46" t="s">
        <v>18</v>
      </c>
      <c r="I635" s="47"/>
      <c r="J635" s="48" t="s">
        <v>42</v>
      </c>
      <c r="K635" s="86" t="s">
        <v>1357</v>
      </c>
      <c r="L635" s="87" t="s">
        <v>25</v>
      </c>
      <c r="M635" s="87" t="s">
        <v>26</v>
      </c>
      <c r="N635" s="14" t="s">
        <v>27</v>
      </c>
      <c r="O635" s="14" t="s">
        <v>28</v>
      </c>
      <c r="P635" s="51">
        <v>40</v>
      </c>
      <c r="Q635" s="47">
        <f t="shared" si="19"/>
        <v>160</v>
      </c>
      <c r="R635" s="47"/>
      <c r="S635" s="47"/>
      <c r="T635" s="47"/>
    </row>
    <row r="636" customHeight="1" spans="1:20">
      <c r="A636" s="107">
        <v>23</v>
      </c>
      <c r="B636" s="129" t="s">
        <v>473</v>
      </c>
      <c r="C636" s="129"/>
      <c r="D636" s="107"/>
      <c r="E636" s="129"/>
      <c r="F636" s="44">
        <f t="shared" si="20"/>
        <v>0</v>
      </c>
      <c r="G636" s="131"/>
      <c r="H636" s="46"/>
      <c r="I636" s="47"/>
      <c r="J636" s="48" t="s">
        <v>42</v>
      </c>
      <c r="K636" s="132"/>
      <c r="L636" s="133"/>
      <c r="M636" s="133"/>
      <c r="O636" s="14" t="s">
        <v>28</v>
      </c>
      <c r="P636" s="51"/>
      <c r="Q636" s="47">
        <f t="shared" si="19"/>
        <v>0</v>
      </c>
      <c r="R636" s="47"/>
      <c r="S636" s="47"/>
      <c r="T636" s="47">
        <v>23</v>
      </c>
    </row>
    <row r="637" customHeight="1" spans="1:20">
      <c r="A637" s="43">
        <v>23001</v>
      </c>
      <c r="B637" s="78" t="s">
        <v>1360</v>
      </c>
      <c r="C637" s="78"/>
      <c r="D637" s="43">
        <v>2</v>
      </c>
      <c r="E637" s="78" t="s">
        <v>409</v>
      </c>
      <c r="F637" s="44">
        <f t="shared" si="20"/>
        <v>4</v>
      </c>
      <c r="G637" s="91" t="s">
        <v>1361</v>
      </c>
      <c r="H637" s="46" t="s">
        <v>18</v>
      </c>
      <c r="I637" s="47"/>
      <c r="J637" s="48" t="s">
        <v>42</v>
      </c>
      <c r="K637" s="92">
        <v>23001</v>
      </c>
      <c r="L637" s="93" t="s">
        <v>25</v>
      </c>
      <c r="M637" s="93" t="s">
        <v>26</v>
      </c>
      <c r="N637" s="14" t="s">
        <v>27</v>
      </c>
      <c r="O637" s="14" t="s">
        <v>28</v>
      </c>
      <c r="P637" s="51">
        <v>6.5</v>
      </c>
      <c r="Q637" s="47">
        <f t="shared" si="19"/>
        <v>26</v>
      </c>
      <c r="R637" s="47"/>
      <c r="S637" s="47"/>
      <c r="T637" s="47"/>
    </row>
    <row r="638" customHeight="1" spans="1:20">
      <c r="A638" s="43">
        <v>23002</v>
      </c>
      <c r="B638" s="78" t="s">
        <v>1360</v>
      </c>
      <c r="C638" s="78"/>
      <c r="D638" s="43">
        <f>D466</f>
        <v>56</v>
      </c>
      <c r="E638" s="78" t="s">
        <v>409</v>
      </c>
      <c r="F638" s="44">
        <f t="shared" si="20"/>
        <v>112</v>
      </c>
      <c r="G638" s="91" t="s">
        <v>1362</v>
      </c>
      <c r="H638" s="46" t="s">
        <v>18</v>
      </c>
      <c r="I638" s="47"/>
      <c r="J638" s="48" t="s">
        <v>42</v>
      </c>
      <c r="K638" s="92">
        <v>23002</v>
      </c>
      <c r="L638" s="93" t="s">
        <v>25</v>
      </c>
      <c r="M638" s="93" t="s">
        <v>26</v>
      </c>
      <c r="N638" s="14" t="s">
        <v>27</v>
      </c>
      <c r="O638" s="14" t="s">
        <v>28</v>
      </c>
      <c r="P638" s="51">
        <v>3</v>
      </c>
      <c r="Q638" s="47">
        <f t="shared" si="19"/>
        <v>336</v>
      </c>
      <c r="R638" s="47"/>
      <c r="S638" s="47"/>
      <c r="T638" s="47"/>
    </row>
    <row r="639" customHeight="1" spans="1:20">
      <c r="A639" s="107">
        <v>23003</v>
      </c>
      <c r="B639" s="129" t="s">
        <v>476</v>
      </c>
      <c r="C639" s="129"/>
      <c r="D639" s="107">
        <v>2</v>
      </c>
      <c r="E639" s="129" t="s">
        <v>409</v>
      </c>
      <c r="F639" s="44">
        <f t="shared" si="20"/>
        <v>4</v>
      </c>
      <c r="G639" s="85" t="s">
        <v>1363</v>
      </c>
      <c r="H639" s="46" t="s">
        <v>18</v>
      </c>
      <c r="I639" s="47"/>
      <c r="J639" s="48" t="s">
        <v>42</v>
      </c>
      <c r="K639" s="86">
        <v>23003</v>
      </c>
      <c r="L639" s="87" t="s">
        <v>25</v>
      </c>
      <c r="M639" s="87" t="s">
        <v>26</v>
      </c>
      <c r="N639" s="14" t="s">
        <v>27</v>
      </c>
      <c r="O639" s="14" t="s">
        <v>28</v>
      </c>
      <c r="P639" s="51">
        <v>6.5</v>
      </c>
      <c r="Q639" s="47">
        <f t="shared" si="19"/>
        <v>26</v>
      </c>
      <c r="R639" s="47"/>
      <c r="S639" s="47"/>
      <c r="T639" s="47">
        <v>23003</v>
      </c>
    </row>
    <row r="640" customHeight="1" spans="1:20">
      <c r="A640" s="43">
        <v>23004</v>
      </c>
      <c r="B640" s="78" t="s">
        <v>1364</v>
      </c>
      <c r="C640" s="78"/>
      <c r="D640" s="43">
        <f>D466</f>
        <v>56</v>
      </c>
      <c r="E640" s="78" t="s">
        <v>409</v>
      </c>
      <c r="F640" s="44">
        <f t="shared" si="20"/>
        <v>112</v>
      </c>
      <c r="G640" s="91" t="s">
        <v>1365</v>
      </c>
      <c r="H640" s="46" t="s">
        <v>18</v>
      </c>
      <c r="I640" s="47"/>
      <c r="J640" s="48" t="s">
        <v>42</v>
      </c>
      <c r="K640" s="92">
        <v>23003</v>
      </c>
      <c r="L640" s="93" t="s">
        <v>25</v>
      </c>
      <c r="M640" s="93" t="s">
        <v>26</v>
      </c>
      <c r="N640" s="14" t="s">
        <v>27</v>
      </c>
      <c r="O640" s="14" t="s">
        <v>28</v>
      </c>
      <c r="P640" s="51">
        <v>3</v>
      </c>
      <c r="Q640" s="47">
        <f t="shared" si="19"/>
        <v>336</v>
      </c>
      <c r="R640" s="47"/>
      <c r="S640" s="47"/>
      <c r="T640" s="47"/>
    </row>
    <row r="641" customHeight="1" spans="1:20">
      <c r="A641" s="107">
        <v>23005</v>
      </c>
      <c r="B641" s="129" t="s">
        <v>478</v>
      </c>
      <c r="C641" s="129"/>
      <c r="D641" s="107">
        <v>2</v>
      </c>
      <c r="E641" s="129" t="s">
        <v>409</v>
      </c>
      <c r="F641" s="44">
        <f t="shared" si="20"/>
        <v>4</v>
      </c>
      <c r="G641" s="91" t="s">
        <v>1366</v>
      </c>
      <c r="H641" s="46" t="s">
        <v>18</v>
      </c>
      <c r="I641" s="47"/>
      <c r="J641" s="48" t="s">
        <v>42</v>
      </c>
      <c r="K641" s="92">
        <v>23005</v>
      </c>
      <c r="L641" s="93" t="s">
        <v>25</v>
      </c>
      <c r="M641" s="93" t="s">
        <v>26</v>
      </c>
      <c r="N641" s="14" t="s">
        <v>27</v>
      </c>
      <c r="O641" s="14" t="s">
        <v>28</v>
      </c>
      <c r="P641" s="51">
        <v>15</v>
      </c>
      <c r="Q641" s="47">
        <f t="shared" si="19"/>
        <v>60</v>
      </c>
      <c r="R641" s="47"/>
      <c r="S641" s="47"/>
      <c r="T641" s="47">
        <v>23005</v>
      </c>
    </row>
    <row r="642" customHeight="1" spans="1:20">
      <c r="A642" s="43">
        <v>23006</v>
      </c>
      <c r="B642" s="78" t="s">
        <v>478</v>
      </c>
      <c r="C642" s="78"/>
      <c r="D642" s="43">
        <f>D466</f>
        <v>56</v>
      </c>
      <c r="E642" s="78" t="s">
        <v>409</v>
      </c>
      <c r="F642" s="44">
        <f t="shared" si="20"/>
        <v>112</v>
      </c>
      <c r="G642" s="85" t="s">
        <v>1367</v>
      </c>
      <c r="H642" s="46" t="s">
        <v>18</v>
      </c>
      <c r="I642" s="47"/>
      <c r="J642" s="48" t="s">
        <v>42</v>
      </c>
      <c r="K642" s="86">
        <v>23006</v>
      </c>
      <c r="L642" s="87" t="s">
        <v>25</v>
      </c>
      <c r="M642" s="87" t="s">
        <v>26</v>
      </c>
      <c r="N642" s="14" t="s">
        <v>27</v>
      </c>
      <c r="O642" s="14" t="s">
        <v>28</v>
      </c>
      <c r="P642" s="51">
        <v>9</v>
      </c>
      <c r="Q642" s="47">
        <f t="shared" si="19"/>
        <v>1008</v>
      </c>
      <c r="R642" s="47"/>
      <c r="S642" s="47"/>
      <c r="T642" s="47">
        <v>23005</v>
      </c>
    </row>
    <row r="643" customHeight="1" spans="1:20">
      <c r="A643" s="107">
        <v>23007</v>
      </c>
      <c r="B643" s="129" t="s">
        <v>1368</v>
      </c>
      <c r="C643" s="129"/>
      <c r="D643" s="107">
        <v>2</v>
      </c>
      <c r="E643" s="129" t="s">
        <v>409</v>
      </c>
      <c r="F643" s="44">
        <f t="shared" si="20"/>
        <v>4</v>
      </c>
      <c r="G643" s="85" t="s">
        <v>482</v>
      </c>
      <c r="H643" s="46" t="s">
        <v>18</v>
      </c>
      <c r="I643" s="47"/>
      <c r="J643" s="48" t="s">
        <v>42</v>
      </c>
      <c r="K643" s="86">
        <v>23007</v>
      </c>
      <c r="L643" s="87" t="s">
        <v>25</v>
      </c>
      <c r="M643" s="87" t="s">
        <v>26</v>
      </c>
      <c r="N643" s="14" t="s">
        <v>27</v>
      </c>
      <c r="O643" s="14" t="s">
        <v>28</v>
      </c>
      <c r="P643" s="51">
        <v>75</v>
      </c>
      <c r="Q643" s="47">
        <f t="shared" si="19"/>
        <v>300</v>
      </c>
      <c r="R643" s="47"/>
      <c r="S643" s="47"/>
      <c r="T643" s="47">
        <v>23007</v>
      </c>
    </row>
    <row r="644" customHeight="1" spans="1:20">
      <c r="A644" s="107">
        <v>23008</v>
      </c>
      <c r="B644" s="129" t="s">
        <v>483</v>
      </c>
      <c r="C644" s="129"/>
      <c r="D644" s="107">
        <v>2</v>
      </c>
      <c r="E644" s="129" t="s">
        <v>54</v>
      </c>
      <c r="F644" s="44">
        <f t="shared" si="20"/>
        <v>4</v>
      </c>
      <c r="G644" s="102" t="s">
        <v>484</v>
      </c>
      <c r="H644" s="46" t="s">
        <v>18</v>
      </c>
      <c r="I644" s="47"/>
      <c r="J644" s="48" t="s">
        <v>42</v>
      </c>
      <c r="K644" s="83">
        <v>23008</v>
      </c>
      <c r="L644" s="103" t="s">
        <v>25</v>
      </c>
      <c r="M644" s="103" t="s">
        <v>26</v>
      </c>
      <c r="N644" s="14" t="s">
        <v>27</v>
      </c>
      <c r="O644" s="14" t="s">
        <v>28</v>
      </c>
      <c r="P644" s="51">
        <v>95</v>
      </c>
      <c r="Q644" s="47">
        <f t="shared" ref="Q644:Q707" si="21">P644*F644</f>
        <v>380</v>
      </c>
      <c r="R644" s="47"/>
      <c r="S644" s="47"/>
      <c r="T644" s="47">
        <v>23008</v>
      </c>
    </row>
    <row r="645" customHeight="1" spans="1:20">
      <c r="A645" s="107" t="s">
        <v>1369</v>
      </c>
      <c r="B645" s="129" t="s">
        <v>485</v>
      </c>
      <c r="C645" s="129"/>
      <c r="D645" s="107">
        <v>2</v>
      </c>
      <c r="E645" s="129" t="s">
        <v>486</v>
      </c>
      <c r="F645" s="44">
        <f t="shared" si="20"/>
        <v>4</v>
      </c>
      <c r="G645" s="85" t="s">
        <v>1370</v>
      </c>
      <c r="H645" s="46" t="s">
        <v>18</v>
      </c>
      <c r="I645" s="47"/>
      <c r="J645" s="48" t="s">
        <v>42</v>
      </c>
      <c r="K645" s="86" t="s">
        <v>1369</v>
      </c>
      <c r="L645" s="87" t="s">
        <v>25</v>
      </c>
      <c r="M645" s="87" t="s">
        <v>26</v>
      </c>
      <c r="N645" s="14" t="s">
        <v>27</v>
      </c>
      <c r="O645" s="14" t="s">
        <v>28</v>
      </c>
      <c r="P645" s="51">
        <v>35</v>
      </c>
      <c r="Q645" s="47">
        <f t="shared" si="21"/>
        <v>140</v>
      </c>
      <c r="R645" s="47"/>
      <c r="S645" s="47"/>
      <c r="T645" s="47">
        <v>23009</v>
      </c>
    </row>
    <row r="646" customHeight="1" spans="1:20">
      <c r="A646" s="107" t="s">
        <v>1371</v>
      </c>
      <c r="B646" s="129" t="s">
        <v>488</v>
      </c>
      <c r="C646" s="129"/>
      <c r="D646" s="107">
        <v>100</v>
      </c>
      <c r="E646" s="129" t="s">
        <v>21</v>
      </c>
      <c r="F646" s="44">
        <f t="shared" si="20"/>
        <v>200</v>
      </c>
      <c r="G646" s="82" t="s">
        <v>489</v>
      </c>
      <c r="H646" s="46" t="s">
        <v>18</v>
      </c>
      <c r="I646" s="47"/>
      <c r="J646" s="48" t="s">
        <v>42</v>
      </c>
      <c r="K646" s="83" t="s">
        <v>1371</v>
      </c>
      <c r="L646" s="84" t="s">
        <v>25</v>
      </c>
      <c r="M646" s="84" t="s">
        <v>26</v>
      </c>
      <c r="N646" s="14" t="s">
        <v>27</v>
      </c>
      <c r="O646" s="14" t="s">
        <v>28</v>
      </c>
      <c r="P646" s="51">
        <v>1.5</v>
      </c>
      <c r="Q646" s="47">
        <f t="shared" si="21"/>
        <v>300</v>
      </c>
      <c r="R646" s="47"/>
      <c r="S646" s="47"/>
      <c r="T646" s="47">
        <v>23010</v>
      </c>
    </row>
    <row r="647" customHeight="1" spans="1:20">
      <c r="A647" s="107" t="s">
        <v>1372</v>
      </c>
      <c r="B647" s="129" t="s">
        <v>490</v>
      </c>
      <c r="C647" s="129"/>
      <c r="D647" s="107">
        <v>100</v>
      </c>
      <c r="E647" s="129" t="s">
        <v>21</v>
      </c>
      <c r="F647" s="44">
        <f t="shared" si="20"/>
        <v>200</v>
      </c>
      <c r="G647" s="82" t="s">
        <v>491</v>
      </c>
      <c r="H647" s="46" t="s">
        <v>18</v>
      </c>
      <c r="I647" s="47"/>
      <c r="J647" s="48" t="s">
        <v>42</v>
      </c>
      <c r="K647" s="83" t="s">
        <v>1372</v>
      </c>
      <c r="L647" s="84" t="s">
        <v>25</v>
      </c>
      <c r="M647" s="84" t="s">
        <v>26</v>
      </c>
      <c r="N647" s="14" t="s">
        <v>27</v>
      </c>
      <c r="O647" s="14" t="s">
        <v>28</v>
      </c>
      <c r="P647" s="51">
        <v>2.5</v>
      </c>
      <c r="Q647" s="47">
        <f t="shared" si="21"/>
        <v>500</v>
      </c>
      <c r="R647" s="47"/>
      <c r="S647" s="47"/>
      <c r="T647" s="47">
        <v>23011</v>
      </c>
    </row>
    <row r="648" customHeight="1" spans="1:20">
      <c r="A648" s="107" t="s">
        <v>1373</v>
      </c>
      <c r="B648" s="129" t="s">
        <v>492</v>
      </c>
      <c r="C648" s="129"/>
      <c r="D648" s="107">
        <v>100</v>
      </c>
      <c r="E648" s="129" t="s">
        <v>21</v>
      </c>
      <c r="F648" s="44">
        <f t="shared" si="20"/>
        <v>200</v>
      </c>
      <c r="G648" s="91" t="s">
        <v>493</v>
      </c>
      <c r="H648" s="46" t="s">
        <v>18</v>
      </c>
      <c r="I648" s="47"/>
      <c r="J648" s="48" t="s">
        <v>42</v>
      </c>
      <c r="K648" s="92" t="s">
        <v>1373</v>
      </c>
      <c r="L648" s="93" t="s">
        <v>25</v>
      </c>
      <c r="M648" s="93" t="s">
        <v>26</v>
      </c>
      <c r="N648" s="14" t="s">
        <v>27</v>
      </c>
      <c r="O648" s="14" t="s">
        <v>28</v>
      </c>
      <c r="P648" s="51">
        <v>15</v>
      </c>
      <c r="Q648" s="47">
        <f t="shared" si="21"/>
        <v>3000</v>
      </c>
      <c r="R648" s="47"/>
      <c r="S648" s="47"/>
      <c r="T648" s="47">
        <v>23012</v>
      </c>
    </row>
    <row r="649" customHeight="1" spans="1:20">
      <c r="A649" s="107" t="s">
        <v>1374</v>
      </c>
      <c r="B649" s="129" t="s">
        <v>492</v>
      </c>
      <c r="C649" s="129"/>
      <c r="D649" s="107">
        <v>3</v>
      </c>
      <c r="E649" s="129" t="s">
        <v>21</v>
      </c>
      <c r="F649" s="44">
        <f t="shared" si="20"/>
        <v>6</v>
      </c>
      <c r="G649" s="91" t="s">
        <v>1375</v>
      </c>
      <c r="H649" s="46" t="s">
        <v>18</v>
      </c>
      <c r="I649" s="47"/>
      <c r="J649" s="48" t="s">
        <v>42</v>
      </c>
      <c r="K649" s="92" t="s">
        <v>1374</v>
      </c>
      <c r="L649" s="93" t="s">
        <v>25</v>
      </c>
      <c r="M649" s="93" t="s">
        <v>26</v>
      </c>
      <c r="N649" s="14" t="s">
        <v>27</v>
      </c>
      <c r="O649" s="14" t="s">
        <v>28</v>
      </c>
      <c r="P649" s="51">
        <v>20</v>
      </c>
      <c r="Q649" s="47">
        <f t="shared" si="21"/>
        <v>120</v>
      </c>
      <c r="R649" s="47"/>
      <c r="S649" s="47"/>
      <c r="T649" s="47">
        <v>23012</v>
      </c>
    </row>
    <row r="650" customHeight="1" spans="1:20">
      <c r="A650" s="107" t="s">
        <v>1376</v>
      </c>
      <c r="B650" s="129" t="s">
        <v>492</v>
      </c>
      <c r="C650" s="129"/>
      <c r="D650" s="107">
        <v>3</v>
      </c>
      <c r="E650" s="129" t="s">
        <v>21</v>
      </c>
      <c r="F650" s="44">
        <f t="shared" si="20"/>
        <v>6</v>
      </c>
      <c r="G650" s="85" t="s">
        <v>1377</v>
      </c>
      <c r="H650" s="46" t="s">
        <v>18</v>
      </c>
      <c r="I650" s="47"/>
      <c r="J650" s="48" t="s">
        <v>42</v>
      </c>
      <c r="K650" s="86" t="s">
        <v>1376</v>
      </c>
      <c r="L650" s="87" t="s">
        <v>25</v>
      </c>
      <c r="M650" s="87" t="s">
        <v>26</v>
      </c>
      <c r="N650" s="14" t="s">
        <v>27</v>
      </c>
      <c r="O650" s="14" t="s">
        <v>28</v>
      </c>
      <c r="P650" s="51">
        <v>15</v>
      </c>
      <c r="Q650" s="47">
        <f t="shared" si="21"/>
        <v>90</v>
      </c>
      <c r="R650" s="47"/>
      <c r="S650" s="47"/>
      <c r="T650" s="47">
        <v>23012</v>
      </c>
    </row>
    <row r="651" customHeight="1" spans="1:20">
      <c r="A651" s="107" t="s">
        <v>1378</v>
      </c>
      <c r="B651" s="129" t="s">
        <v>1379</v>
      </c>
      <c r="C651" s="129"/>
      <c r="D651" s="107">
        <f>D466</f>
        <v>56</v>
      </c>
      <c r="E651" s="129" t="s">
        <v>142</v>
      </c>
      <c r="F651" s="44">
        <f t="shared" si="20"/>
        <v>112</v>
      </c>
      <c r="G651" s="91" t="s">
        <v>1380</v>
      </c>
      <c r="H651" s="46" t="s">
        <v>18</v>
      </c>
      <c r="I651" s="47"/>
      <c r="J651" s="48" t="s">
        <v>42</v>
      </c>
      <c r="K651" s="92" t="s">
        <v>1378</v>
      </c>
      <c r="L651" s="93" t="s">
        <v>25</v>
      </c>
      <c r="M651" s="93" t="s">
        <v>26</v>
      </c>
      <c r="N651" s="14" t="s">
        <v>27</v>
      </c>
      <c r="O651" s="14" t="s">
        <v>28</v>
      </c>
      <c r="P651" s="51">
        <v>9</v>
      </c>
      <c r="Q651" s="47">
        <f t="shared" si="21"/>
        <v>1008</v>
      </c>
      <c r="R651" s="47"/>
      <c r="S651" s="47"/>
      <c r="T651" s="47"/>
    </row>
    <row r="652" customHeight="1" spans="1:20">
      <c r="A652" s="107" t="s">
        <v>1381</v>
      </c>
      <c r="B652" s="129" t="s">
        <v>496</v>
      </c>
      <c r="C652" s="129"/>
      <c r="D652" s="107">
        <v>2</v>
      </c>
      <c r="E652" s="129" t="s">
        <v>54</v>
      </c>
      <c r="F652" s="44">
        <f t="shared" si="20"/>
        <v>4</v>
      </c>
      <c r="G652" s="85" t="s">
        <v>497</v>
      </c>
      <c r="H652" s="46" t="s">
        <v>18</v>
      </c>
      <c r="I652" s="47"/>
      <c r="J652" s="48" t="s">
        <v>42</v>
      </c>
      <c r="K652" s="86" t="s">
        <v>1381</v>
      </c>
      <c r="L652" s="87" t="s">
        <v>25</v>
      </c>
      <c r="M652" s="87" t="s">
        <v>26</v>
      </c>
      <c r="N652" s="14" t="s">
        <v>27</v>
      </c>
      <c r="O652" s="14" t="s">
        <v>28</v>
      </c>
      <c r="P652" s="51">
        <v>45</v>
      </c>
      <c r="Q652" s="47">
        <f t="shared" si="21"/>
        <v>180</v>
      </c>
      <c r="R652" s="47"/>
      <c r="S652" s="47"/>
      <c r="T652" s="47">
        <v>23019</v>
      </c>
    </row>
    <row r="653" customHeight="1" spans="1:20">
      <c r="A653" s="107" t="s">
        <v>1382</v>
      </c>
      <c r="B653" s="129" t="s">
        <v>498</v>
      </c>
      <c r="C653" s="129"/>
      <c r="D653" s="107">
        <f>D466/2</f>
        <v>28</v>
      </c>
      <c r="E653" s="129" t="s">
        <v>54</v>
      </c>
      <c r="F653" s="44">
        <f t="shared" si="20"/>
        <v>56</v>
      </c>
      <c r="G653" s="85" t="s">
        <v>1383</v>
      </c>
      <c r="H653" s="46" t="s">
        <v>18</v>
      </c>
      <c r="I653" s="47"/>
      <c r="J653" s="48" t="s">
        <v>42</v>
      </c>
      <c r="K653" s="86" t="s">
        <v>1382</v>
      </c>
      <c r="L653" s="87" t="s">
        <v>25</v>
      </c>
      <c r="M653" s="87" t="s">
        <v>26</v>
      </c>
      <c r="N653" s="14" t="s">
        <v>27</v>
      </c>
      <c r="O653" s="14" t="s">
        <v>28</v>
      </c>
      <c r="P653" s="51">
        <v>20</v>
      </c>
      <c r="Q653" s="47">
        <f t="shared" si="21"/>
        <v>1120</v>
      </c>
      <c r="R653" s="47"/>
      <c r="S653" s="47"/>
      <c r="T653" s="47">
        <v>23024</v>
      </c>
    </row>
    <row r="654" customHeight="1" spans="1:20">
      <c r="A654" s="43">
        <v>23021</v>
      </c>
      <c r="B654" s="78" t="s">
        <v>1384</v>
      </c>
      <c r="C654" s="78"/>
      <c r="D654" s="43">
        <v>2</v>
      </c>
      <c r="E654" s="78" t="s">
        <v>21</v>
      </c>
      <c r="F654" s="44">
        <f t="shared" si="20"/>
        <v>4</v>
      </c>
      <c r="G654" s="91" t="s">
        <v>1385</v>
      </c>
      <c r="H654" s="46" t="s">
        <v>18</v>
      </c>
      <c r="I654" s="47"/>
      <c r="J654" s="48" t="s">
        <v>42</v>
      </c>
      <c r="K654" s="92">
        <v>23021</v>
      </c>
      <c r="L654" s="93" t="s">
        <v>25</v>
      </c>
      <c r="M654" s="93" t="s">
        <v>26</v>
      </c>
      <c r="N654" s="14" t="s">
        <v>27</v>
      </c>
      <c r="O654" s="14" t="s">
        <v>28</v>
      </c>
      <c r="P654" s="51">
        <v>15</v>
      </c>
      <c r="Q654" s="47">
        <f t="shared" si="21"/>
        <v>60</v>
      </c>
      <c r="R654" s="47"/>
      <c r="S654" s="47"/>
      <c r="T654" s="47"/>
    </row>
    <row r="655" customHeight="1" spans="1:20">
      <c r="A655" s="107" t="s">
        <v>1386</v>
      </c>
      <c r="B655" s="129" t="s">
        <v>1387</v>
      </c>
      <c r="C655" s="129"/>
      <c r="D655" s="107">
        <v>2</v>
      </c>
      <c r="E655" s="129" t="s">
        <v>21</v>
      </c>
      <c r="F655" s="44">
        <f t="shared" si="20"/>
        <v>4</v>
      </c>
      <c r="G655" s="85" t="s">
        <v>1388</v>
      </c>
      <c r="H655" s="46" t="s">
        <v>18</v>
      </c>
      <c r="I655" s="47"/>
      <c r="J655" s="48" t="s">
        <v>42</v>
      </c>
      <c r="K655" s="86" t="s">
        <v>1386</v>
      </c>
      <c r="L655" s="87" t="s">
        <v>25</v>
      </c>
      <c r="M655" s="87" t="s">
        <v>26</v>
      </c>
      <c r="N655" s="14" t="s">
        <v>27</v>
      </c>
      <c r="O655" s="14" t="s">
        <v>28</v>
      </c>
      <c r="P655" s="51">
        <v>65</v>
      </c>
      <c r="Q655" s="47">
        <f t="shared" si="21"/>
        <v>260</v>
      </c>
      <c r="R655" s="47"/>
      <c r="S655" s="47"/>
      <c r="T655" s="47"/>
    </row>
    <row r="656" customHeight="1" spans="1:20">
      <c r="A656" s="43">
        <v>23023</v>
      </c>
      <c r="B656" s="78" t="s">
        <v>1389</v>
      </c>
      <c r="C656" s="78"/>
      <c r="D656" s="107">
        <f>D466/2</f>
        <v>28</v>
      </c>
      <c r="E656" s="78" t="s">
        <v>21</v>
      </c>
      <c r="F656" s="44">
        <f t="shared" si="20"/>
        <v>56</v>
      </c>
      <c r="G656" s="91" t="s">
        <v>1390</v>
      </c>
      <c r="H656" s="46" t="s">
        <v>18</v>
      </c>
      <c r="I656" s="47"/>
      <c r="J656" s="48" t="s">
        <v>42</v>
      </c>
      <c r="K656" s="92">
        <v>23023</v>
      </c>
      <c r="L656" s="93" t="s">
        <v>25</v>
      </c>
      <c r="M656" s="93" t="s">
        <v>26</v>
      </c>
      <c r="N656" s="14" t="s">
        <v>27</v>
      </c>
      <c r="O656" s="14" t="s">
        <v>28</v>
      </c>
      <c r="P656" s="51">
        <v>45</v>
      </c>
      <c r="Q656" s="47">
        <f t="shared" si="21"/>
        <v>2520</v>
      </c>
      <c r="R656" s="47"/>
      <c r="S656" s="47"/>
      <c r="T656" s="47"/>
    </row>
    <row r="657" customHeight="1" spans="1:20">
      <c r="A657" s="107" t="s">
        <v>1391</v>
      </c>
      <c r="B657" s="129" t="s">
        <v>500</v>
      </c>
      <c r="C657" s="129"/>
      <c r="D657" s="107">
        <v>1</v>
      </c>
      <c r="E657" s="129" t="s">
        <v>32</v>
      </c>
      <c r="F657" s="44">
        <f t="shared" si="20"/>
        <v>2</v>
      </c>
      <c r="G657" s="85" t="s">
        <v>1392</v>
      </c>
      <c r="H657" s="46" t="s">
        <v>18</v>
      </c>
      <c r="I657" s="47"/>
      <c r="J657" s="48" t="s">
        <v>42</v>
      </c>
      <c r="K657" s="86" t="s">
        <v>1391</v>
      </c>
      <c r="L657" s="87" t="s">
        <v>25</v>
      </c>
      <c r="M657" s="87" t="s">
        <v>26</v>
      </c>
      <c r="N657" s="14" t="s">
        <v>27</v>
      </c>
      <c r="O657" s="14" t="s">
        <v>28</v>
      </c>
      <c r="P657" s="51">
        <v>130</v>
      </c>
      <c r="Q657" s="47">
        <f t="shared" si="21"/>
        <v>260</v>
      </c>
      <c r="R657" s="47"/>
      <c r="S657" s="47"/>
      <c r="T657" s="47">
        <v>23030</v>
      </c>
    </row>
    <row r="658" customHeight="1" spans="1:20">
      <c r="A658" s="107" t="s">
        <v>1393</v>
      </c>
      <c r="B658" s="154" t="s">
        <v>1394</v>
      </c>
      <c r="C658" s="154"/>
      <c r="D658" s="107">
        <v>1</v>
      </c>
      <c r="E658" s="129" t="s">
        <v>32</v>
      </c>
      <c r="F658" s="44">
        <f t="shared" si="20"/>
        <v>2</v>
      </c>
      <c r="G658" s="85" t="s">
        <v>1395</v>
      </c>
      <c r="H658" s="46" t="s">
        <v>18</v>
      </c>
      <c r="I658" s="47"/>
      <c r="J658" s="48" t="s">
        <v>42</v>
      </c>
      <c r="K658" s="86" t="s">
        <v>1393</v>
      </c>
      <c r="L658" s="87" t="s">
        <v>25</v>
      </c>
      <c r="M658" s="87" t="s">
        <v>26</v>
      </c>
      <c r="N658" s="14" t="s">
        <v>27</v>
      </c>
      <c r="O658" s="14" t="s">
        <v>28</v>
      </c>
      <c r="P658" s="51">
        <v>880</v>
      </c>
      <c r="Q658" s="47">
        <f t="shared" si="21"/>
        <v>1760</v>
      </c>
      <c r="R658" s="47"/>
      <c r="S658" s="47"/>
      <c r="T658" s="47"/>
    </row>
    <row r="659" customHeight="1" spans="1:20">
      <c r="A659" s="107" t="s">
        <v>1396</v>
      </c>
      <c r="B659" s="129" t="s">
        <v>502</v>
      </c>
      <c r="C659" s="129"/>
      <c r="D659" s="107">
        <f>D466</f>
        <v>56</v>
      </c>
      <c r="E659" s="129" t="s">
        <v>32</v>
      </c>
      <c r="F659" s="44">
        <f t="shared" si="20"/>
        <v>112</v>
      </c>
      <c r="G659" s="85" t="s">
        <v>1397</v>
      </c>
      <c r="H659" s="46" t="s">
        <v>18</v>
      </c>
      <c r="I659" s="47"/>
      <c r="J659" s="48" t="s">
        <v>42</v>
      </c>
      <c r="K659" s="86" t="s">
        <v>1396</v>
      </c>
      <c r="L659" s="87" t="s">
        <v>25</v>
      </c>
      <c r="M659" s="87" t="s">
        <v>26</v>
      </c>
      <c r="N659" s="14" t="s">
        <v>27</v>
      </c>
      <c r="O659" s="14" t="s">
        <v>28</v>
      </c>
      <c r="P659" s="51">
        <v>52</v>
      </c>
      <c r="Q659" s="47">
        <f t="shared" si="21"/>
        <v>5824</v>
      </c>
      <c r="R659" s="47"/>
      <c r="S659" s="47"/>
      <c r="T659" s="47">
        <v>23032</v>
      </c>
    </row>
    <row r="660" customHeight="1" spans="1:20">
      <c r="A660" s="43">
        <v>23033</v>
      </c>
      <c r="B660" s="78" t="s">
        <v>504</v>
      </c>
      <c r="C660" s="78"/>
      <c r="D660" s="107">
        <f>D466</f>
        <v>56</v>
      </c>
      <c r="E660" s="78" t="s">
        <v>21</v>
      </c>
      <c r="F660" s="44">
        <f t="shared" ref="F660:F723" si="22">D660*2</f>
        <v>112</v>
      </c>
      <c r="G660" s="91" t="s">
        <v>1398</v>
      </c>
      <c r="H660" s="46" t="s">
        <v>18</v>
      </c>
      <c r="I660" s="47"/>
      <c r="J660" s="48" t="s">
        <v>42</v>
      </c>
      <c r="K660" s="92">
        <v>23033</v>
      </c>
      <c r="L660" s="93" t="s">
        <v>25</v>
      </c>
      <c r="M660" s="93" t="s">
        <v>26</v>
      </c>
      <c r="N660" s="14" t="s">
        <v>27</v>
      </c>
      <c r="O660" s="14" t="s">
        <v>28</v>
      </c>
      <c r="P660" s="51">
        <v>3.5</v>
      </c>
      <c r="Q660" s="47">
        <f t="shared" si="21"/>
        <v>392</v>
      </c>
      <c r="R660" s="47"/>
      <c r="S660" s="47"/>
      <c r="T660" s="47">
        <v>23033</v>
      </c>
    </row>
    <row r="661" customHeight="1" spans="1:20">
      <c r="A661" s="107" t="s">
        <v>1399</v>
      </c>
      <c r="B661" s="129" t="s">
        <v>506</v>
      </c>
      <c r="C661" s="129"/>
      <c r="D661" s="107">
        <v>2</v>
      </c>
      <c r="E661" s="129" t="s">
        <v>21</v>
      </c>
      <c r="F661" s="44">
        <f t="shared" si="22"/>
        <v>4</v>
      </c>
      <c r="G661" s="91" t="s">
        <v>1398</v>
      </c>
      <c r="H661" s="46" t="s">
        <v>18</v>
      </c>
      <c r="I661" s="47"/>
      <c r="J661" s="48" t="s">
        <v>42</v>
      </c>
      <c r="K661" s="92" t="s">
        <v>1399</v>
      </c>
      <c r="L661" s="93" t="s">
        <v>25</v>
      </c>
      <c r="M661" s="93" t="s">
        <v>26</v>
      </c>
      <c r="N661" s="14" t="s">
        <v>27</v>
      </c>
      <c r="O661" s="14" t="s">
        <v>28</v>
      </c>
      <c r="P661" s="51">
        <v>5.5</v>
      </c>
      <c r="Q661" s="47">
        <f t="shared" si="21"/>
        <v>22</v>
      </c>
      <c r="R661" s="47"/>
      <c r="S661" s="47"/>
      <c r="T661" s="47">
        <v>23034</v>
      </c>
    </row>
    <row r="662" customHeight="1" spans="1:20">
      <c r="A662" s="107" t="s">
        <v>1400</v>
      </c>
      <c r="B662" s="129" t="s">
        <v>508</v>
      </c>
      <c r="C662" s="129"/>
      <c r="D662" s="107">
        <v>2</v>
      </c>
      <c r="E662" s="129" t="s">
        <v>32</v>
      </c>
      <c r="F662" s="44">
        <f t="shared" si="22"/>
        <v>4</v>
      </c>
      <c r="G662" s="91" t="s">
        <v>1401</v>
      </c>
      <c r="H662" s="46" t="s">
        <v>18</v>
      </c>
      <c r="I662" s="47"/>
      <c r="J662" s="48" t="s">
        <v>42</v>
      </c>
      <c r="K662" s="92" t="s">
        <v>1400</v>
      </c>
      <c r="L662" s="93" t="s">
        <v>25</v>
      </c>
      <c r="M662" s="93" t="s">
        <v>26</v>
      </c>
      <c r="N662" s="14" t="s">
        <v>27</v>
      </c>
      <c r="O662" s="14" t="s">
        <v>28</v>
      </c>
      <c r="P662" s="51">
        <v>38</v>
      </c>
      <c r="Q662" s="47">
        <f t="shared" si="21"/>
        <v>152</v>
      </c>
      <c r="R662" s="47"/>
      <c r="S662" s="47"/>
      <c r="T662" s="47">
        <v>23035</v>
      </c>
    </row>
    <row r="663" customHeight="1" spans="1:20">
      <c r="A663" s="107" t="s">
        <v>1402</v>
      </c>
      <c r="B663" s="129" t="s">
        <v>1403</v>
      </c>
      <c r="C663" s="129"/>
      <c r="D663" s="107">
        <f>D466/2</f>
        <v>28</v>
      </c>
      <c r="E663" s="129" t="s">
        <v>32</v>
      </c>
      <c r="F663" s="44">
        <f t="shared" si="22"/>
        <v>56</v>
      </c>
      <c r="G663" s="91" t="s">
        <v>1404</v>
      </c>
      <c r="H663" s="46" t="s">
        <v>18</v>
      </c>
      <c r="I663" s="47"/>
      <c r="J663" s="48" t="s">
        <v>42</v>
      </c>
      <c r="K663" s="92" t="s">
        <v>1402</v>
      </c>
      <c r="L663" s="93" t="s">
        <v>25</v>
      </c>
      <c r="M663" s="93" t="s">
        <v>26</v>
      </c>
      <c r="N663" s="14" t="s">
        <v>27</v>
      </c>
      <c r="O663" s="14" t="s">
        <v>28</v>
      </c>
      <c r="P663" s="51">
        <v>20</v>
      </c>
      <c r="Q663" s="47">
        <f t="shared" si="21"/>
        <v>1120</v>
      </c>
      <c r="R663" s="47"/>
      <c r="S663" s="47"/>
      <c r="T663" s="47"/>
    </row>
    <row r="664" customHeight="1" spans="1:20">
      <c r="A664" s="43">
        <v>23037</v>
      </c>
      <c r="B664" s="78" t="s">
        <v>510</v>
      </c>
      <c r="C664" s="78"/>
      <c r="D664" s="43">
        <v>2</v>
      </c>
      <c r="E664" s="78" t="s">
        <v>32</v>
      </c>
      <c r="F664" s="44">
        <f t="shared" si="22"/>
        <v>4</v>
      </c>
      <c r="G664" s="82" t="s">
        <v>511</v>
      </c>
      <c r="H664" s="46" t="s">
        <v>18</v>
      </c>
      <c r="I664" s="47"/>
      <c r="J664" s="48" t="s">
        <v>42</v>
      </c>
      <c r="K664" s="83">
        <v>23037</v>
      </c>
      <c r="L664" s="84" t="s">
        <v>130</v>
      </c>
      <c r="M664" s="84" t="s">
        <v>131</v>
      </c>
      <c r="N664" s="14" t="s">
        <v>27</v>
      </c>
      <c r="O664" s="14" t="s">
        <v>28</v>
      </c>
      <c r="P664" s="51">
        <v>150</v>
      </c>
      <c r="Q664" s="47">
        <f t="shared" si="21"/>
        <v>600</v>
      </c>
      <c r="R664" s="47"/>
      <c r="S664" s="47"/>
      <c r="T664" s="47">
        <v>23037</v>
      </c>
    </row>
    <row r="665" customHeight="1" spans="1:20">
      <c r="A665" s="107" t="s">
        <v>1405</v>
      </c>
      <c r="B665" s="129" t="s">
        <v>1406</v>
      </c>
      <c r="C665" s="129"/>
      <c r="D665" s="107">
        <v>56</v>
      </c>
      <c r="E665" s="129" t="s">
        <v>32</v>
      </c>
      <c r="F665" s="44">
        <f t="shared" si="22"/>
        <v>112</v>
      </c>
      <c r="G665" s="91" t="s">
        <v>1407</v>
      </c>
      <c r="H665" s="46" t="s">
        <v>18</v>
      </c>
      <c r="I665" s="47"/>
      <c r="J665" s="48" t="s">
        <v>42</v>
      </c>
      <c r="K665" s="92" t="s">
        <v>1405</v>
      </c>
      <c r="L665" s="93" t="s">
        <v>25</v>
      </c>
      <c r="M665" s="93" t="s">
        <v>26</v>
      </c>
      <c r="N665" s="14" t="s">
        <v>27</v>
      </c>
      <c r="O665" s="14" t="s">
        <v>28</v>
      </c>
      <c r="P665" s="51">
        <v>8</v>
      </c>
      <c r="Q665" s="47">
        <f t="shared" si="21"/>
        <v>896</v>
      </c>
      <c r="R665" s="47"/>
      <c r="S665" s="47"/>
      <c r="T665" s="47"/>
    </row>
    <row r="666" customHeight="1" spans="1:20">
      <c r="A666" s="107" t="s">
        <v>1408</v>
      </c>
      <c r="B666" s="129" t="s">
        <v>1409</v>
      </c>
      <c r="C666" s="129"/>
      <c r="D666" s="107">
        <v>56</v>
      </c>
      <c r="E666" s="129" t="s">
        <v>32</v>
      </c>
      <c r="F666" s="44">
        <f t="shared" si="22"/>
        <v>112</v>
      </c>
      <c r="G666" s="91" t="s">
        <v>1410</v>
      </c>
      <c r="H666" s="46" t="s">
        <v>18</v>
      </c>
      <c r="I666" s="47"/>
      <c r="J666" s="48" t="s">
        <v>42</v>
      </c>
      <c r="K666" s="92" t="s">
        <v>1408</v>
      </c>
      <c r="L666" s="93" t="s">
        <v>25</v>
      </c>
      <c r="M666" s="93" t="s">
        <v>26</v>
      </c>
      <c r="N666" s="14" t="s">
        <v>27</v>
      </c>
      <c r="O666" s="14" t="s">
        <v>28</v>
      </c>
      <c r="P666" s="51">
        <v>8</v>
      </c>
      <c r="Q666" s="47">
        <f t="shared" si="21"/>
        <v>896</v>
      </c>
      <c r="R666" s="47"/>
      <c r="S666" s="47"/>
      <c r="T666" s="47"/>
    </row>
    <row r="667" customHeight="1" spans="1:20">
      <c r="A667" s="107">
        <v>24</v>
      </c>
      <c r="B667" s="129" t="s">
        <v>558</v>
      </c>
      <c r="C667" s="129"/>
      <c r="D667" s="107"/>
      <c r="E667" s="129"/>
      <c r="F667" s="44">
        <f t="shared" si="22"/>
        <v>0</v>
      </c>
      <c r="G667" s="131"/>
      <c r="H667" s="46"/>
      <c r="I667" s="47"/>
      <c r="J667" s="48" t="s">
        <v>42</v>
      </c>
      <c r="K667" s="132"/>
      <c r="L667" s="133"/>
      <c r="M667" s="133"/>
      <c r="O667" s="14" t="s">
        <v>28</v>
      </c>
      <c r="P667" s="51"/>
      <c r="Q667" s="47">
        <f t="shared" si="21"/>
        <v>0</v>
      </c>
      <c r="R667" s="47"/>
      <c r="S667" s="47"/>
      <c r="T667" s="47">
        <v>24</v>
      </c>
    </row>
    <row r="668" customHeight="1" spans="1:20">
      <c r="A668" s="107" t="s">
        <v>1411</v>
      </c>
      <c r="B668" s="129" t="s">
        <v>559</v>
      </c>
      <c r="C668" s="129"/>
      <c r="D668" s="107">
        <v>28</v>
      </c>
      <c r="E668" s="129" t="s">
        <v>409</v>
      </c>
      <c r="F668" s="44">
        <f t="shared" si="22"/>
        <v>56</v>
      </c>
      <c r="G668" s="85" t="s">
        <v>1412</v>
      </c>
      <c r="H668" s="46" t="s">
        <v>18</v>
      </c>
      <c r="I668" s="47"/>
      <c r="J668" s="48" t="s">
        <v>42</v>
      </c>
      <c r="K668" s="86" t="s">
        <v>1411</v>
      </c>
      <c r="L668" s="87" t="s">
        <v>25</v>
      </c>
      <c r="M668" s="87" t="s">
        <v>26</v>
      </c>
      <c r="N668" s="14" t="s">
        <v>27</v>
      </c>
      <c r="O668" s="14" t="s">
        <v>28</v>
      </c>
      <c r="P668" s="51">
        <v>26</v>
      </c>
      <c r="Q668" s="47">
        <f t="shared" si="21"/>
        <v>1456</v>
      </c>
      <c r="R668" s="47"/>
      <c r="S668" s="47"/>
      <c r="T668" s="47">
        <v>24001</v>
      </c>
    </row>
    <row r="669" customHeight="1" spans="1:20">
      <c r="A669" s="43">
        <v>24002</v>
      </c>
      <c r="B669" s="78" t="s">
        <v>561</v>
      </c>
      <c r="C669" s="78"/>
      <c r="D669" s="43">
        <v>1</v>
      </c>
      <c r="E669" s="78" t="s">
        <v>21</v>
      </c>
      <c r="F669" s="44">
        <f t="shared" si="22"/>
        <v>2</v>
      </c>
      <c r="G669" s="85" t="s">
        <v>1413</v>
      </c>
      <c r="H669" s="46" t="s">
        <v>18</v>
      </c>
      <c r="I669" s="47"/>
      <c r="J669" s="48" t="s">
        <v>42</v>
      </c>
      <c r="K669" s="86">
        <v>24002</v>
      </c>
      <c r="L669" s="87" t="s">
        <v>25</v>
      </c>
      <c r="M669" s="87" t="s">
        <v>26</v>
      </c>
      <c r="N669" s="14" t="s">
        <v>27</v>
      </c>
      <c r="O669" s="14" t="s">
        <v>28</v>
      </c>
      <c r="P669" s="51">
        <v>24</v>
      </c>
      <c r="Q669" s="47">
        <f t="shared" si="21"/>
        <v>48</v>
      </c>
      <c r="R669" s="47"/>
      <c r="S669" s="47"/>
      <c r="T669" s="47">
        <v>24002</v>
      </c>
    </row>
    <row r="670" customHeight="1" spans="1:20">
      <c r="A670" s="107" t="s">
        <v>1414</v>
      </c>
      <c r="B670" s="129" t="s">
        <v>563</v>
      </c>
      <c r="C670" s="129"/>
      <c r="D670" s="107">
        <v>1</v>
      </c>
      <c r="E670" s="129" t="s">
        <v>32</v>
      </c>
      <c r="F670" s="44">
        <f t="shared" si="22"/>
        <v>2</v>
      </c>
      <c r="G670" s="82" t="s">
        <v>564</v>
      </c>
      <c r="H670" s="46" t="s">
        <v>18</v>
      </c>
      <c r="I670" s="47"/>
      <c r="J670" s="48" t="s">
        <v>42</v>
      </c>
      <c r="K670" s="83" t="s">
        <v>1414</v>
      </c>
      <c r="L670" s="84" t="s">
        <v>25</v>
      </c>
      <c r="M670" s="84" t="s">
        <v>26</v>
      </c>
      <c r="N670" s="14" t="s">
        <v>27</v>
      </c>
      <c r="O670" s="14" t="s">
        <v>28</v>
      </c>
      <c r="P670" s="51">
        <v>32</v>
      </c>
      <c r="Q670" s="47">
        <f t="shared" si="21"/>
        <v>64</v>
      </c>
      <c r="R670" s="47"/>
      <c r="S670" s="47"/>
      <c r="T670" s="47">
        <v>24003</v>
      </c>
    </row>
    <row r="671" customHeight="1" spans="1:20">
      <c r="A671" s="107" t="s">
        <v>1415</v>
      </c>
      <c r="B671" s="129" t="s">
        <v>565</v>
      </c>
      <c r="C671" s="129"/>
      <c r="D671" s="107">
        <v>1</v>
      </c>
      <c r="E671" s="129" t="s">
        <v>32</v>
      </c>
      <c r="F671" s="44">
        <f t="shared" si="22"/>
        <v>2</v>
      </c>
      <c r="G671" s="85" t="s">
        <v>1416</v>
      </c>
      <c r="H671" s="46" t="s">
        <v>18</v>
      </c>
      <c r="I671" s="47"/>
      <c r="J671" s="48" t="s">
        <v>42</v>
      </c>
      <c r="K671" s="86" t="s">
        <v>1415</v>
      </c>
      <c r="L671" s="87" t="s">
        <v>25</v>
      </c>
      <c r="M671" s="87" t="s">
        <v>26</v>
      </c>
      <c r="N671" s="14" t="s">
        <v>27</v>
      </c>
      <c r="O671" s="14" t="s">
        <v>28</v>
      </c>
      <c r="P671" s="51">
        <v>75</v>
      </c>
      <c r="Q671" s="47">
        <f t="shared" si="21"/>
        <v>150</v>
      </c>
      <c r="R671" s="47"/>
      <c r="S671" s="47"/>
      <c r="T671" s="47">
        <v>24004</v>
      </c>
    </row>
    <row r="672" customHeight="1" spans="1:20">
      <c r="A672" s="107" t="s">
        <v>1417</v>
      </c>
      <c r="B672" s="129" t="s">
        <v>567</v>
      </c>
      <c r="C672" s="129"/>
      <c r="D672" s="107">
        <v>1</v>
      </c>
      <c r="E672" s="129" t="s">
        <v>32</v>
      </c>
      <c r="F672" s="44">
        <f t="shared" si="22"/>
        <v>2</v>
      </c>
      <c r="G672" s="102" t="s">
        <v>568</v>
      </c>
      <c r="H672" s="46" t="s">
        <v>18</v>
      </c>
      <c r="I672" s="47"/>
      <c r="J672" s="48" t="s">
        <v>42</v>
      </c>
      <c r="K672" s="83" t="s">
        <v>1417</v>
      </c>
      <c r="L672" s="103" t="s">
        <v>25</v>
      </c>
      <c r="M672" s="103" t="s">
        <v>26</v>
      </c>
      <c r="N672" s="14" t="s">
        <v>27</v>
      </c>
      <c r="O672" s="14" t="s">
        <v>28</v>
      </c>
      <c r="P672" s="51">
        <v>36</v>
      </c>
      <c r="Q672" s="47">
        <f t="shared" si="21"/>
        <v>72</v>
      </c>
      <c r="R672" s="47"/>
      <c r="S672" s="47"/>
      <c r="T672" s="47">
        <v>24005</v>
      </c>
    </row>
    <row r="673" customHeight="1" spans="1:20">
      <c r="A673" s="107" t="s">
        <v>1418</v>
      </c>
      <c r="B673" s="129" t="s">
        <v>569</v>
      </c>
      <c r="C673" s="129"/>
      <c r="D673" s="107">
        <v>1</v>
      </c>
      <c r="E673" s="129" t="s">
        <v>32</v>
      </c>
      <c r="F673" s="44">
        <f t="shared" si="22"/>
        <v>2</v>
      </c>
      <c r="G673" s="82" t="s">
        <v>570</v>
      </c>
      <c r="H673" s="46" t="s">
        <v>18</v>
      </c>
      <c r="I673" s="47"/>
      <c r="J673" s="48" t="s">
        <v>42</v>
      </c>
      <c r="K673" s="83" t="s">
        <v>1418</v>
      </c>
      <c r="L673" s="84" t="s">
        <v>25</v>
      </c>
      <c r="M673" s="84" t="s">
        <v>26</v>
      </c>
      <c r="N673" s="14" t="s">
        <v>27</v>
      </c>
      <c r="O673" s="14" t="s">
        <v>28</v>
      </c>
      <c r="P673" s="51">
        <v>45</v>
      </c>
      <c r="Q673" s="47">
        <f t="shared" si="21"/>
        <v>90</v>
      </c>
      <c r="R673" s="47"/>
      <c r="S673" s="47"/>
      <c r="T673" s="47">
        <v>24006</v>
      </c>
    </row>
    <row r="674" customHeight="1" spans="1:20">
      <c r="A674" s="107" t="s">
        <v>1419</v>
      </c>
      <c r="B674" s="129" t="s">
        <v>571</v>
      </c>
      <c r="C674" s="129"/>
      <c r="D674" s="107">
        <f>D466</f>
        <v>56</v>
      </c>
      <c r="E674" s="129" t="s">
        <v>32</v>
      </c>
      <c r="F674" s="44">
        <f t="shared" si="22"/>
        <v>112</v>
      </c>
      <c r="G674" s="85" t="s">
        <v>572</v>
      </c>
      <c r="H674" s="46" t="s">
        <v>18</v>
      </c>
      <c r="I674" s="47"/>
      <c r="J674" s="48" t="s">
        <v>42</v>
      </c>
      <c r="K674" s="86" t="s">
        <v>1419</v>
      </c>
      <c r="L674" s="87" t="s">
        <v>25</v>
      </c>
      <c r="M674" s="87" t="s">
        <v>26</v>
      </c>
      <c r="N674" s="14" t="s">
        <v>27</v>
      </c>
      <c r="O674" s="14" t="s">
        <v>28</v>
      </c>
      <c r="P674" s="51">
        <v>6</v>
      </c>
      <c r="Q674" s="47">
        <f t="shared" si="21"/>
        <v>672</v>
      </c>
      <c r="R674" s="47"/>
      <c r="S674" s="47"/>
      <c r="T674" s="47">
        <v>24007</v>
      </c>
    </row>
    <row r="675" customHeight="1" spans="1:20">
      <c r="A675" s="107" t="s">
        <v>1420</v>
      </c>
      <c r="B675" s="129" t="s">
        <v>573</v>
      </c>
      <c r="C675" s="129"/>
      <c r="D675" s="107">
        <f>D466</f>
        <v>56</v>
      </c>
      <c r="E675" s="129" t="s">
        <v>409</v>
      </c>
      <c r="F675" s="44">
        <f t="shared" si="22"/>
        <v>112</v>
      </c>
      <c r="G675" s="85" t="s">
        <v>1421</v>
      </c>
      <c r="H675" s="46" t="s">
        <v>18</v>
      </c>
      <c r="I675" s="47"/>
      <c r="J675" s="48" t="s">
        <v>42</v>
      </c>
      <c r="K675" s="86" t="s">
        <v>1420</v>
      </c>
      <c r="L675" s="87" t="s">
        <v>25</v>
      </c>
      <c r="M675" s="87" t="s">
        <v>26</v>
      </c>
      <c r="N675" s="14" t="s">
        <v>27</v>
      </c>
      <c r="O675" s="14" t="s">
        <v>28</v>
      </c>
      <c r="P675" s="51">
        <v>4</v>
      </c>
      <c r="Q675" s="47">
        <f t="shared" si="21"/>
        <v>448</v>
      </c>
      <c r="R675" s="47"/>
      <c r="S675" s="47"/>
      <c r="T675" s="47">
        <v>24008</v>
      </c>
    </row>
    <row r="676" customHeight="1" spans="1:20">
      <c r="A676" s="107" t="s">
        <v>1422</v>
      </c>
      <c r="B676" s="129" t="s">
        <v>575</v>
      </c>
      <c r="C676" s="129"/>
      <c r="D676" s="107">
        <v>2</v>
      </c>
      <c r="E676" s="129" t="s">
        <v>32</v>
      </c>
      <c r="F676" s="44">
        <f t="shared" si="22"/>
        <v>4</v>
      </c>
      <c r="G676" s="85" t="s">
        <v>576</v>
      </c>
      <c r="H676" s="46" t="s">
        <v>18</v>
      </c>
      <c r="I676" s="47"/>
      <c r="J676" s="48" t="s">
        <v>42</v>
      </c>
      <c r="K676" s="86" t="s">
        <v>1422</v>
      </c>
      <c r="L676" s="87" t="s">
        <v>25</v>
      </c>
      <c r="M676" s="87" t="s">
        <v>26</v>
      </c>
      <c r="N676" s="14" t="s">
        <v>27</v>
      </c>
      <c r="O676" s="14" t="s">
        <v>28</v>
      </c>
      <c r="P676" s="51">
        <v>25</v>
      </c>
      <c r="Q676" s="47">
        <f t="shared" si="21"/>
        <v>100</v>
      </c>
      <c r="R676" s="47"/>
      <c r="S676" s="47"/>
      <c r="T676" s="47">
        <v>24009</v>
      </c>
    </row>
    <row r="677" customHeight="1" spans="1:20">
      <c r="A677" s="107" t="s">
        <v>1423</v>
      </c>
      <c r="B677" s="129" t="s">
        <v>577</v>
      </c>
      <c r="C677" s="129"/>
      <c r="D677" s="107">
        <f>D466</f>
        <v>56</v>
      </c>
      <c r="E677" s="129" t="s">
        <v>32</v>
      </c>
      <c r="F677" s="44">
        <f t="shared" si="22"/>
        <v>112</v>
      </c>
      <c r="G677" s="85" t="s">
        <v>578</v>
      </c>
      <c r="H677" s="46" t="s">
        <v>18</v>
      </c>
      <c r="I677" s="47"/>
      <c r="J677" s="48" t="s">
        <v>42</v>
      </c>
      <c r="K677" s="86" t="s">
        <v>1423</v>
      </c>
      <c r="L677" s="87" t="s">
        <v>25</v>
      </c>
      <c r="M677" s="87" t="s">
        <v>26</v>
      </c>
      <c r="N677" s="14" t="s">
        <v>27</v>
      </c>
      <c r="O677" s="14" t="s">
        <v>28</v>
      </c>
      <c r="P677" s="51">
        <v>12</v>
      </c>
      <c r="Q677" s="47">
        <f t="shared" si="21"/>
        <v>1344</v>
      </c>
      <c r="R677" s="47"/>
      <c r="S677" s="47"/>
      <c r="T677" s="47">
        <v>24010</v>
      </c>
    </row>
    <row r="678" customHeight="1" spans="1:20">
      <c r="A678" s="43">
        <v>24011</v>
      </c>
      <c r="B678" s="78" t="s">
        <v>1424</v>
      </c>
      <c r="C678" s="78"/>
      <c r="D678" s="107">
        <v>2</v>
      </c>
      <c r="E678" s="78" t="s">
        <v>142</v>
      </c>
      <c r="F678" s="44">
        <f t="shared" si="22"/>
        <v>4</v>
      </c>
      <c r="G678" s="85" t="s">
        <v>1425</v>
      </c>
      <c r="H678" s="46" t="s">
        <v>18</v>
      </c>
      <c r="I678" s="47"/>
      <c r="J678" s="48" t="s">
        <v>42</v>
      </c>
      <c r="K678" s="86">
        <v>24011</v>
      </c>
      <c r="L678" s="87" t="s">
        <v>25</v>
      </c>
      <c r="M678" s="87" t="s">
        <v>26</v>
      </c>
      <c r="N678" s="14" t="s">
        <v>27</v>
      </c>
      <c r="O678" s="14" t="s">
        <v>28</v>
      </c>
      <c r="P678" s="51">
        <v>25</v>
      </c>
      <c r="Q678" s="47">
        <f t="shared" si="21"/>
        <v>100</v>
      </c>
      <c r="R678" s="47"/>
      <c r="S678" s="47"/>
      <c r="T678" s="47"/>
    </row>
    <row r="679" customHeight="1" spans="1:20">
      <c r="A679" s="43">
        <v>24012</v>
      </c>
      <c r="B679" s="78" t="s">
        <v>1426</v>
      </c>
      <c r="C679" s="78"/>
      <c r="D679" s="107">
        <f>D466</f>
        <v>56</v>
      </c>
      <c r="E679" s="78" t="s">
        <v>54</v>
      </c>
      <c r="F679" s="44">
        <f t="shared" si="22"/>
        <v>112</v>
      </c>
      <c r="G679" s="85" t="s">
        <v>1427</v>
      </c>
      <c r="H679" s="46" t="s">
        <v>18</v>
      </c>
      <c r="I679" s="47"/>
      <c r="J679" s="48" t="s">
        <v>42</v>
      </c>
      <c r="K679" s="86">
        <v>24012</v>
      </c>
      <c r="L679" s="87" t="s">
        <v>25</v>
      </c>
      <c r="M679" s="87" t="s">
        <v>26</v>
      </c>
      <c r="N679" s="14" t="s">
        <v>27</v>
      </c>
      <c r="O679" s="14" t="s">
        <v>28</v>
      </c>
      <c r="P679" s="51">
        <v>13</v>
      </c>
      <c r="Q679" s="47">
        <f t="shared" si="21"/>
        <v>1456</v>
      </c>
      <c r="R679" s="47"/>
      <c r="S679" s="47"/>
      <c r="T679" s="47"/>
    </row>
    <row r="680" customHeight="1" spans="1:20">
      <c r="A680" s="43">
        <v>24013</v>
      </c>
      <c r="B680" s="78" t="s">
        <v>1428</v>
      </c>
      <c r="C680" s="78"/>
      <c r="D680" s="107">
        <v>2</v>
      </c>
      <c r="E680" s="78" t="s">
        <v>21</v>
      </c>
      <c r="F680" s="44">
        <f t="shared" si="22"/>
        <v>4</v>
      </c>
      <c r="G680" s="85" t="s">
        <v>1429</v>
      </c>
      <c r="H680" s="46" t="s">
        <v>18</v>
      </c>
      <c r="I680" s="47"/>
      <c r="J680" s="48" t="s">
        <v>42</v>
      </c>
      <c r="K680" s="86">
        <v>24013</v>
      </c>
      <c r="L680" s="87" t="s">
        <v>25</v>
      </c>
      <c r="M680" s="87" t="s">
        <v>26</v>
      </c>
      <c r="N680" s="14" t="s">
        <v>27</v>
      </c>
      <c r="O680" s="14" t="s">
        <v>28</v>
      </c>
      <c r="P680" s="51">
        <v>16</v>
      </c>
      <c r="Q680" s="47">
        <f t="shared" si="21"/>
        <v>64</v>
      </c>
      <c r="R680" s="47"/>
      <c r="S680" s="47"/>
      <c r="T680" s="47"/>
    </row>
    <row r="681" customHeight="1" spans="1:20">
      <c r="A681" s="43">
        <v>24014</v>
      </c>
      <c r="B681" s="78" t="s">
        <v>579</v>
      </c>
      <c r="C681" s="78"/>
      <c r="D681" s="107">
        <v>1</v>
      </c>
      <c r="E681" s="78" t="s">
        <v>21</v>
      </c>
      <c r="F681" s="44">
        <f t="shared" si="22"/>
        <v>2</v>
      </c>
      <c r="G681" s="102" t="s">
        <v>580</v>
      </c>
      <c r="H681" s="46" t="s">
        <v>18</v>
      </c>
      <c r="I681" s="47"/>
      <c r="J681" s="48" t="s">
        <v>42</v>
      </c>
      <c r="K681" s="83">
        <v>24014</v>
      </c>
      <c r="L681" s="103" t="s">
        <v>25</v>
      </c>
      <c r="M681" s="103" t="s">
        <v>26</v>
      </c>
      <c r="N681" s="14" t="s">
        <v>27</v>
      </c>
      <c r="O681" s="14" t="s">
        <v>28</v>
      </c>
      <c r="P681" s="51">
        <v>45</v>
      </c>
      <c r="Q681" s="47">
        <f t="shared" si="21"/>
        <v>90</v>
      </c>
      <c r="R681" s="47"/>
      <c r="S681" s="47"/>
      <c r="T681" s="47">
        <v>24014</v>
      </c>
    </row>
    <row r="682" customHeight="1" spans="1:20">
      <c r="A682" s="43">
        <v>24015</v>
      </c>
      <c r="B682" s="78" t="s">
        <v>1430</v>
      </c>
      <c r="C682" s="78"/>
      <c r="D682" s="107">
        <f>D466</f>
        <v>56</v>
      </c>
      <c r="E682" s="78" t="s">
        <v>21</v>
      </c>
      <c r="F682" s="44">
        <f t="shared" si="22"/>
        <v>112</v>
      </c>
      <c r="G682" s="102" t="s">
        <v>1431</v>
      </c>
      <c r="H682" s="46" t="s">
        <v>18</v>
      </c>
      <c r="I682" s="47"/>
      <c r="J682" s="48" t="s">
        <v>42</v>
      </c>
      <c r="K682" s="83">
        <v>24015</v>
      </c>
      <c r="L682" s="103" t="s">
        <v>25</v>
      </c>
      <c r="M682" s="103" t="s">
        <v>26</v>
      </c>
      <c r="N682" s="14" t="s">
        <v>27</v>
      </c>
      <c r="O682" s="14" t="s">
        <v>28</v>
      </c>
      <c r="P682" s="51">
        <v>6.5</v>
      </c>
      <c r="Q682" s="47">
        <f t="shared" si="21"/>
        <v>728</v>
      </c>
      <c r="R682" s="47"/>
      <c r="S682" s="47"/>
      <c r="T682" s="47"/>
    </row>
    <row r="683" customHeight="1" spans="1:20">
      <c r="A683" s="107" t="s">
        <v>1432</v>
      </c>
      <c r="B683" s="129" t="s">
        <v>1433</v>
      </c>
      <c r="C683" s="129"/>
      <c r="D683" s="107">
        <f>D466</f>
        <v>56</v>
      </c>
      <c r="E683" s="129" t="s">
        <v>32</v>
      </c>
      <c r="F683" s="44">
        <f t="shared" si="22"/>
        <v>112</v>
      </c>
      <c r="G683" s="85" t="s">
        <v>1434</v>
      </c>
      <c r="H683" s="46" t="s">
        <v>18</v>
      </c>
      <c r="I683" s="47"/>
      <c r="J683" s="48" t="s">
        <v>42</v>
      </c>
      <c r="K683" s="86" t="s">
        <v>1432</v>
      </c>
      <c r="L683" s="87" t="s">
        <v>25</v>
      </c>
      <c r="M683" s="87" t="s">
        <v>26</v>
      </c>
      <c r="N683" s="14" t="s">
        <v>27</v>
      </c>
      <c r="O683" s="14" t="s">
        <v>28</v>
      </c>
      <c r="P683" s="51">
        <v>21</v>
      </c>
      <c r="Q683" s="47">
        <f t="shared" si="21"/>
        <v>2352</v>
      </c>
      <c r="R683" s="47"/>
      <c r="S683" s="47"/>
      <c r="T683" s="47"/>
    </row>
    <row r="684" customHeight="1" spans="1:20">
      <c r="A684" s="107" t="s">
        <v>1435</v>
      </c>
      <c r="B684" s="129" t="s">
        <v>581</v>
      </c>
      <c r="C684" s="129"/>
      <c r="D684" s="107">
        <v>1</v>
      </c>
      <c r="E684" s="129" t="s">
        <v>21</v>
      </c>
      <c r="F684" s="44">
        <f t="shared" si="22"/>
        <v>2</v>
      </c>
      <c r="G684" s="82" t="s">
        <v>582</v>
      </c>
      <c r="H684" s="46" t="s">
        <v>18</v>
      </c>
      <c r="I684" s="47"/>
      <c r="J684" s="48" t="s">
        <v>42</v>
      </c>
      <c r="K684" s="83" t="s">
        <v>1435</v>
      </c>
      <c r="L684" s="84" t="s">
        <v>25</v>
      </c>
      <c r="M684" s="84" t="s">
        <v>26</v>
      </c>
      <c r="N684" s="14" t="s">
        <v>27</v>
      </c>
      <c r="O684" s="14" t="s">
        <v>28</v>
      </c>
      <c r="P684" s="51">
        <v>21.5</v>
      </c>
      <c r="Q684" s="47">
        <f t="shared" si="21"/>
        <v>43</v>
      </c>
      <c r="R684" s="47"/>
      <c r="S684" s="47"/>
      <c r="T684" s="47">
        <v>24017</v>
      </c>
    </row>
    <row r="685" customHeight="1" spans="1:20">
      <c r="A685" s="107" t="s">
        <v>1436</v>
      </c>
      <c r="B685" s="129" t="s">
        <v>1437</v>
      </c>
      <c r="C685" s="129"/>
      <c r="D685" s="107">
        <f>D466</f>
        <v>56</v>
      </c>
      <c r="E685" s="129" t="s">
        <v>32</v>
      </c>
      <c r="F685" s="44">
        <f t="shared" si="22"/>
        <v>112</v>
      </c>
      <c r="G685" s="85" t="s">
        <v>1438</v>
      </c>
      <c r="H685" s="46" t="s">
        <v>18</v>
      </c>
      <c r="I685" s="47"/>
      <c r="J685" s="48" t="s">
        <v>42</v>
      </c>
      <c r="K685" s="86" t="s">
        <v>1436</v>
      </c>
      <c r="L685" s="87" t="s">
        <v>25</v>
      </c>
      <c r="M685" s="87" t="s">
        <v>26</v>
      </c>
      <c r="N685" s="14" t="s">
        <v>27</v>
      </c>
      <c r="O685" s="14" t="s">
        <v>28</v>
      </c>
      <c r="P685" s="51">
        <v>11</v>
      </c>
      <c r="Q685" s="47">
        <f t="shared" si="21"/>
        <v>1232</v>
      </c>
      <c r="R685" s="47"/>
      <c r="S685" s="47"/>
      <c r="T685" s="47"/>
    </row>
    <row r="686" customHeight="1" spans="1:20">
      <c r="A686" s="107" t="s">
        <v>1439</v>
      </c>
      <c r="B686" s="129" t="s">
        <v>583</v>
      </c>
      <c r="C686" s="129"/>
      <c r="D686" s="107">
        <v>1</v>
      </c>
      <c r="E686" s="129" t="s">
        <v>21</v>
      </c>
      <c r="F686" s="44">
        <f t="shared" si="22"/>
        <v>2</v>
      </c>
      <c r="G686" s="82" t="s">
        <v>584</v>
      </c>
      <c r="H686" s="46" t="s">
        <v>18</v>
      </c>
      <c r="I686" s="47"/>
      <c r="J686" s="48" t="s">
        <v>42</v>
      </c>
      <c r="K686" s="83" t="s">
        <v>1439</v>
      </c>
      <c r="L686" s="84" t="s">
        <v>25</v>
      </c>
      <c r="M686" s="84" t="s">
        <v>26</v>
      </c>
      <c r="N686" s="14" t="s">
        <v>27</v>
      </c>
      <c r="O686" s="14" t="s">
        <v>28</v>
      </c>
      <c r="P686" s="51">
        <v>95</v>
      </c>
      <c r="Q686" s="47">
        <f t="shared" si="21"/>
        <v>190</v>
      </c>
      <c r="R686" s="47"/>
      <c r="S686" s="47"/>
      <c r="T686" s="47">
        <v>24019</v>
      </c>
    </row>
    <row r="687" customHeight="1" spans="1:20">
      <c r="A687" s="43">
        <v>24020</v>
      </c>
      <c r="B687" s="78" t="s">
        <v>1440</v>
      </c>
      <c r="C687" s="78"/>
      <c r="D687" s="107">
        <v>1</v>
      </c>
      <c r="E687" s="78" t="s">
        <v>21</v>
      </c>
      <c r="F687" s="44">
        <f t="shared" si="22"/>
        <v>2</v>
      </c>
      <c r="G687" s="82" t="s">
        <v>1441</v>
      </c>
      <c r="H687" s="46" t="s">
        <v>18</v>
      </c>
      <c r="I687" s="47"/>
      <c r="J687" s="48" t="s">
        <v>42</v>
      </c>
      <c r="K687" s="83">
        <v>24020</v>
      </c>
      <c r="L687" s="84" t="s">
        <v>25</v>
      </c>
      <c r="M687" s="84" t="s">
        <v>26</v>
      </c>
      <c r="N687" s="14" t="s">
        <v>27</v>
      </c>
      <c r="O687" s="14" t="s">
        <v>28</v>
      </c>
      <c r="P687" s="51">
        <v>150</v>
      </c>
      <c r="Q687" s="47">
        <f t="shared" si="21"/>
        <v>300</v>
      </c>
      <c r="R687" s="47"/>
      <c r="S687" s="47"/>
      <c r="T687" s="47"/>
    </row>
    <row r="688" customHeight="1" spans="1:20">
      <c r="A688" s="43">
        <v>24021</v>
      </c>
      <c r="B688" s="78" t="s">
        <v>1442</v>
      </c>
      <c r="C688" s="78"/>
      <c r="D688" s="107">
        <v>1</v>
      </c>
      <c r="E688" s="78" t="s">
        <v>21</v>
      </c>
      <c r="F688" s="44">
        <f t="shared" si="22"/>
        <v>2</v>
      </c>
      <c r="G688" s="85" t="s">
        <v>1443</v>
      </c>
      <c r="H688" s="46" t="s">
        <v>18</v>
      </c>
      <c r="I688" s="47"/>
      <c r="J688" s="48" t="s">
        <v>42</v>
      </c>
      <c r="K688" s="86">
        <v>24021</v>
      </c>
      <c r="L688" s="87" t="s">
        <v>587</v>
      </c>
      <c r="M688" s="87" t="s">
        <v>588</v>
      </c>
      <c r="N688" s="14" t="s">
        <v>27</v>
      </c>
      <c r="O688" s="14" t="s">
        <v>28</v>
      </c>
      <c r="P688" s="51">
        <v>155</v>
      </c>
      <c r="Q688" s="47">
        <f t="shared" si="21"/>
        <v>310</v>
      </c>
      <c r="R688" s="47"/>
      <c r="S688" s="47"/>
      <c r="T688" s="47"/>
    </row>
    <row r="689" customHeight="1" spans="1:20">
      <c r="A689" s="43">
        <v>24022</v>
      </c>
      <c r="B689" s="78" t="s">
        <v>592</v>
      </c>
      <c r="C689" s="78"/>
      <c r="D689" s="107">
        <v>1</v>
      </c>
      <c r="E689" s="78" t="s">
        <v>54</v>
      </c>
      <c r="F689" s="44">
        <f t="shared" si="22"/>
        <v>2</v>
      </c>
      <c r="G689" s="85" t="s">
        <v>1444</v>
      </c>
      <c r="H689" s="46" t="s">
        <v>18</v>
      </c>
      <c r="I689" s="47"/>
      <c r="J689" s="48" t="s">
        <v>42</v>
      </c>
      <c r="K689" s="86">
        <v>24022</v>
      </c>
      <c r="L689" s="87" t="s">
        <v>25</v>
      </c>
      <c r="M689" s="87" t="s">
        <v>26</v>
      </c>
      <c r="N689" s="14" t="s">
        <v>27</v>
      </c>
      <c r="O689" s="14" t="s">
        <v>28</v>
      </c>
      <c r="P689" s="51">
        <v>290</v>
      </c>
      <c r="Q689" s="47">
        <f t="shared" si="21"/>
        <v>580</v>
      </c>
      <c r="R689" s="47"/>
      <c r="S689" s="47"/>
      <c r="T689" s="47">
        <v>24022</v>
      </c>
    </row>
    <row r="690" customHeight="1" spans="1:20">
      <c r="A690" s="43">
        <v>24023</v>
      </c>
      <c r="B690" s="78" t="s">
        <v>1445</v>
      </c>
      <c r="C690" s="78"/>
      <c r="D690" s="107">
        <v>100</v>
      </c>
      <c r="E690" s="78" t="s">
        <v>21</v>
      </c>
      <c r="F690" s="44">
        <f t="shared" si="22"/>
        <v>200</v>
      </c>
      <c r="G690" s="104" t="s">
        <v>1446</v>
      </c>
      <c r="H690" s="46" t="s">
        <v>18</v>
      </c>
      <c r="I690" s="47"/>
      <c r="J690" s="48" t="s">
        <v>42</v>
      </c>
      <c r="K690" s="105">
        <v>24023</v>
      </c>
      <c r="L690" s="106" t="s">
        <v>25</v>
      </c>
      <c r="M690" s="106" t="s">
        <v>26</v>
      </c>
      <c r="N690" s="14" t="s">
        <v>27</v>
      </c>
      <c r="O690" s="14" t="s">
        <v>28</v>
      </c>
      <c r="P690" s="51">
        <v>30</v>
      </c>
      <c r="Q690" s="47">
        <f t="shared" si="21"/>
        <v>6000</v>
      </c>
      <c r="R690" s="47"/>
      <c r="S690" s="47"/>
      <c r="T690" s="47"/>
    </row>
    <row r="691" customHeight="1" spans="1:20">
      <c r="A691" s="107" t="s">
        <v>1447</v>
      </c>
      <c r="B691" s="129" t="s">
        <v>1448</v>
      </c>
      <c r="C691" s="129"/>
      <c r="D691" s="107">
        <v>1</v>
      </c>
      <c r="E691" s="129" t="s">
        <v>32</v>
      </c>
      <c r="F691" s="44">
        <f t="shared" si="22"/>
        <v>2</v>
      </c>
      <c r="G691" s="85" t="s">
        <v>1449</v>
      </c>
      <c r="H691" s="46" t="s">
        <v>18</v>
      </c>
      <c r="I691" s="47"/>
      <c r="J691" s="48" t="s">
        <v>42</v>
      </c>
      <c r="K691" s="86" t="s">
        <v>1447</v>
      </c>
      <c r="L691" s="87" t="s">
        <v>25</v>
      </c>
      <c r="M691" s="87" t="s">
        <v>26</v>
      </c>
      <c r="N691" s="14" t="s">
        <v>27</v>
      </c>
      <c r="O691" s="14" t="s">
        <v>28</v>
      </c>
      <c r="P691" s="51">
        <v>85</v>
      </c>
      <c r="Q691" s="47">
        <f t="shared" si="21"/>
        <v>170</v>
      </c>
      <c r="R691" s="47"/>
      <c r="S691" s="47"/>
      <c r="T691" s="47"/>
    </row>
    <row r="692" customHeight="1" spans="1:20">
      <c r="A692" s="107" t="s">
        <v>1450</v>
      </c>
      <c r="B692" s="129" t="s">
        <v>1451</v>
      </c>
      <c r="C692" s="129"/>
      <c r="D692" s="107">
        <f>D466</f>
        <v>56</v>
      </c>
      <c r="E692" s="129" t="s">
        <v>32</v>
      </c>
      <c r="F692" s="44">
        <f t="shared" si="22"/>
        <v>112</v>
      </c>
      <c r="G692" s="85" t="s">
        <v>1452</v>
      </c>
      <c r="H692" s="46" t="s">
        <v>18</v>
      </c>
      <c r="I692" s="47"/>
      <c r="J692" s="48" t="s">
        <v>42</v>
      </c>
      <c r="K692" s="86" t="s">
        <v>1450</v>
      </c>
      <c r="L692" s="87" t="s">
        <v>25</v>
      </c>
      <c r="M692" s="87" t="s">
        <v>26</v>
      </c>
      <c r="N692" s="14" t="s">
        <v>27</v>
      </c>
      <c r="O692" s="14" t="s">
        <v>28</v>
      </c>
      <c r="P692" s="51">
        <v>55</v>
      </c>
      <c r="Q692" s="47">
        <f t="shared" si="21"/>
        <v>6160</v>
      </c>
      <c r="R692" s="47"/>
      <c r="S692" s="47"/>
      <c r="T692" s="47"/>
    </row>
    <row r="693" customHeight="1" spans="1:20">
      <c r="A693" s="107" t="s">
        <v>1453</v>
      </c>
      <c r="B693" s="129" t="s">
        <v>1454</v>
      </c>
      <c r="C693" s="129"/>
      <c r="D693" s="107">
        <v>1</v>
      </c>
      <c r="E693" s="129" t="s">
        <v>32</v>
      </c>
      <c r="F693" s="44">
        <f t="shared" si="22"/>
        <v>2</v>
      </c>
      <c r="G693" s="91" t="s">
        <v>1455</v>
      </c>
      <c r="H693" s="46" t="s">
        <v>18</v>
      </c>
      <c r="I693" s="47"/>
      <c r="J693" s="48" t="s">
        <v>42</v>
      </c>
      <c r="K693" s="92" t="s">
        <v>1453</v>
      </c>
      <c r="L693" s="93" t="s">
        <v>25</v>
      </c>
      <c r="M693" s="93" t="s">
        <v>26</v>
      </c>
      <c r="N693" s="14" t="s">
        <v>27</v>
      </c>
      <c r="O693" s="14" t="s">
        <v>28</v>
      </c>
      <c r="P693" s="51">
        <v>25</v>
      </c>
      <c r="Q693" s="47">
        <f t="shared" si="21"/>
        <v>50</v>
      </c>
      <c r="R693" s="47"/>
      <c r="S693" s="47"/>
      <c r="T693" s="47"/>
    </row>
    <row r="694" customHeight="1" spans="1:20">
      <c r="A694" s="43">
        <v>24027</v>
      </c>
      <c r="B694" s="78" t="s">
        <v>1456</v>
      </c>
      <c r="C694" s="78"/>
      <c r="D694" s="43">
        <v>1</v>
      </c>
      <c r="E694" s="78" t="s">
        <v>54</v>
      </c>
      <c r="F694" s="44">
        <f t="shared" si="22"/>
        <v>2</v>
      </c>
      <c r="G694" s="85" t="s">
        <v>1457</v>
      </c>
      <c r="H694" s="46" t="s">
        <v>18</v>
      </c>
      <c r="I694" s="47"/>
      <c r="J694" s="48" t="s">
        <v>42</v>
      </c>
      <c r="K694" s="86">
        <v>24027</v>
      </c>
      <c r="L694" s="87" t="s">
        <v>25</v>
      </c>
      <c r="M694" s="87" t="s">
        <v>26</v>
      </c>
      <c r="N694" s="14" t="s">
        <v>27</v>
      </c>
      <c r="O694" s="14" t="s">
        <v>28</v>
      </c>
      <c r="P694" s="51">
        <v>268</v>
      </c>
      <c r="Q694" s="47">
        <f t="shared" si="21"/>
        <v>536</v>
      </c>
      <c r="R694" s="47"/>
      <c r="S694" s="47"/>
      <c r="T694" s="47"/>
    </row>
    <row r="695" customHeight="1" spans="1:20">
      <c r="A695" s="107">
        <v>25</v>
      </c>
      <c r="B695" s="129" t="s">
        <v>676</v>
      </c>
      <c r="C695" s="129"/>
      <c r="D695" s="107"/>
      <c r="E695" s="129"/>
      <c r="F695" s="44">
        <f t="shared" si="22"/>
        <v>0</v>
      </c>
      <c r="G695" s="85"/>
      <c r="H695" s="46"/>
      <c r="I695" s="47"/>
      <c r="J695" s="48" t="s">
        <v>42</v>
      </c>
      <c r="K695" s="86"/>
      <c r="L695" s="87"/>
      <c r="M695" s="87"/>
      <c r="O695" s="14" t="s">
        <v>28</v>
      </c>
      <c r="P695" s="51"/>
      <c r="Q695" s="47">
        <f t="shared" si="21"/>
        <v>0</v>
      </c>
      <c r="R695" s="47"/>
      <c r="S695" s="47"/>
      <c r="T695" s="47">
        <v>25</v>
      </c>
    </row>
    <row r="696" customHeight="1" spans="1:20">
      <c r="A696" s="107">
        <v>25001</v>
      </c>
      <c r="B696" s="129" t="s">
        <v>677</v>
      </c>
      <c r="C696" s="129"/>
      <c r="D696" s="107">
        <v>1</v>
      </c>
      <c r="E696" s="129" t="s">
        <v>32</v>
      </c>
      <c r="F696" s="44">
        <f t="shared" si="22"/>
        <v>2</v>
      </c>
      <c r="G696" s="104" t="s">
        <v>678</v>
      </c>
      <c r="H696" s="46" t="s">
        <v>18</v>
      </c>
      <c r="I696" s="47"/>
      <c r="J696" s="48" t="s">
        <v>42</v>
      </c>
      <c r="K696" s="105">
        <v>25001</v>
      </c>
      <c r="L696" s="106" t="s">
        <v>25</v>
      </c>
      <c r="M696" s="106" t="s">
        <v>26</v>
      </c>
      <c r="N696" s="14" t="s">
        <v>27</v>
      </c>
      <c r="O696" s="14" t="s">
        <v>28</v>
      </c>
      <c r="P696" s="51">
        <v>225</v>
      </c>
      <c r="Q696" s="47">
        <f t="shared" si="21"/>
        <v>450</v>
      </c>
      <c r="R696" s="47"/>
      <c r="S696" s="47"/>
      <c r="T696" s="47">
        <v>25001</v>
      </c>
    </row>
    <row r="697" customHeight="1" spans="1:20">
      <c r="A697" s="107">
        <v>25002</v>
      </c>
      <c r="B697" s="129" t="s">
        <v>679</v>
      </c>
      <c r="C697" s="129"/>
      <c r="D697" s="107">
        <v>1</v>
      </c>
      <c r="E697" s="129" t="s">
        <v>21</v>
      </c>
      <c r="F697" s="44">
        <f t="shared" si="22"/>
        <v>2</v>
      </c>
      <c r="G697" s="85" t="s">
        <v>680</v>
      </c>
      <c r="H697" s="46" t="s">
        <v>18</v>
      </c>
      <c r="I697" s="47"/>
      <c r="J697" s="48" t="s">
        <v>42</v>
      </c>
      <c r="K697" s="86">
        <v>25002</v>
      </c>
      <c r="L697" s="87" t="s">
        <v>25</v>
      </c>
      <c r="M697" s="87" t="s">
        <v>26</v>
      </c>
      <c r="N697" s="14" t="s">
        <v>27</v>
      </c>
      <c r="O697" s="14" t="s">
        <v>28</v>
      </c>
      <c r="P697" s="51">
        <v>9</v>
      </c>
      <c r="Q697" s="47">
        <f t="shared" si="21"/>
        <v>18</v>
      </c>
      <c r="R697" s="47"/>
      <c r="S697" s="47"/>
      <c r="T697" s="47">
        <v>25002</v>
      </c>
    </row>
    <row r="698" customHeight="1" spans="1:20">
      <c r="A698" s="107">
        <v>25003</v>
      </c>
      <c r="B698" s="129" t="s">
        <v>681</v>
      </c>
      <c r="C698" s="129"/>
      <c r="D698" s="107">
        <v>2</v>
      </c>
      <c r="E698" s="129" t="s">
        <v>21</v>
      </c>
      <c r="F698" s="44">
        <f t="shared" si="22"/>
        <v>4</v>
      </c>
      <c r="G698" s="85" t="s">
        <v>682</v>
      </c>
      <c r="H698" s="46" t="s">
        <v>18</v>
      </c>
      <c r="I698" s="47"/>
      <c r="J698" s="48" t="s">
        <v>42</v>
      </c>
      <c r="K698" s="86">
        <v>25003</v>
      </c>
      <c r="L698" s="87" t="s">
        <v>25</v>
      </c>
      <c r="M698" s="87" t="s">
        <v>26</v>
      </c>
      <c r="N698" s="14" t="s">
        <v>27</v>
      </c>
      <c r="O698" s="14" t="s">
        <v>28</v>
      </c>
      <c r="P698" s="51">
        <v>9</v>
      </c>
      <c r="Q698" s="47">
        <f t="shared" si="21"/>
        <v>36</v>
      </c>
      <c r="R698" s="47"/>
      <c r="S698" s="47"/>
      <c r="T698" s="47">
        <v>25003</v>
      </c>
    </row>
    <row r="699" customHeight="1" spans="1:20">
      <c r="A699" s="107">
        <v>25004</v>
      </c>
      <c r="B699" s="129" t="s">
        <v>683</v>
      </c>
      <c r="C699" s="129"/>
      <c r="D699" s="107">
        <v>1</v>
      </c>
      <c r="E699" s="129" t="s">
        <v>47</v>
      </c>
      <c r="F699" s="44">
        <f t="shared" si="22"/>
        <v>2</v>
      </c>
      <c r="G699" s="85" t="s">
        <v>1458</v>
      </c>
      <c r="H699" s="46" t="s">
        <v>18</v>
      </c>
      <c r="I699" s="47"/>
      <c r="J699" s="48" t="s">
        <v>42</v>
      </c>
      <c r="K699" s="86">
        <v>25004</v>
      </c>
      <c r="L699" s="87" t="s">
        <v>25</v>
      </c>
      <c r="M699" s="87" t="s">
        <v>26</v>
      </c>
      <c r="N699" s="14" t="s">
        <v>27</v>
      </c>
      <c r="O699" s="14" t="s">
        <v>28</v>
      </c>
      <c r="P699" s="51">
        <v>6</v>
      </c>
      <c r="Q699" s="47">
        <f t="shared" si="21"/>
        <v>12</v>
      </c>
      <c r="R699" s="47"/>
      <c r="S699" s="47"/>
      <c r="T699" s="47">
        <v>25004</v>
      </c>
    </row>
    <row r="700" customHeight="1" spans="1:20">
      <c r="A700" s="107" t="s">
        <v>1459</v>
      </c>
      <c r="B700" s="129" t="s">
        <v>685</v>
      </c>
      <c r="C700" s="129"/>
      <c r="D700" s="107">
        <f>D466</f>
        <v>56</v>
      </c>
      <c r="E700" s="129" t="s">
        <v>32</v>
      </c>
      <c r="F700" s="44">
        <f t="shared" si="22"/>
        <v>112</v>
      </c>
      <c r="G700" s="85" t="s">
        <v>686</v>
      </c>
      <c r="H700" s="46" t="s">
        <v>18</v>
      </c>
      <c r="I700" s="47"/>
      <c r="J700" s="48" t="s">
        <v>42</v>
      </c>
      <c r="K700" s="86" t="s">
        <v>1459</v>
      </c>
      <c r="L700" s="87" t="s">
        <v>25</v>
      </c>
      <c r="M700" s="87" t="s">
        <v>26</v>
      </c>
      <c r="N700" s="14" t="s">
        <v>27</v>
      </c>
      <c r="O700" s="14" t="s">
        <v>28</v>
      </c>
      <c r="P700" s="51">
        <v>58</v>
      </c>
      <c r="Q700" s="47">
        <f t="shared" si="21"/>
        <v>6496</v>
      </c>
      <c r="R700" s="47"/>
      <c r="S700" s="47"/>
      <c r="T700" s="47">
        <v>25005</v>
      </c>
    </row>
    <row r="701" customHeight="1" spans="1:20">
      <c r="A701" s="107" t="s">
        <v>1460</v>
      </c>
      <c r="B701" s="129" t="s">
        <v>1461</v>
      </c>
      <c r="C701" s="129"/>
      <c r="D701" s="107">
        <f>D466</f>
        <v>56</v>
      </c>
      <c r="E701" s="129" t="s">
        <v>32</v>
      </c>
      <c r="F701" s="44">
        <f t="shared" si="22"/>
        <v>112</v>
      </c>
      <c r="G701" s="85" t="s">
        <v>1462</v>
      </c>
      <c r="H701" s="46" t="s">
        <v>18</v>
      </c>
      <c r="I701" s="47"/>
      <c r="J701" s="48" t="s">
        <v>42</v>
      </c>
      <c r="K701" s="86" t="s">
        <v>1460</v>
      </c>
      <c r="L701" s="87" t="s">
        <v>25</v>
      </c>
      <c r="M701" s="87" t="s">
        <v>26</v>
      </c>
      <c r="N701" s="14" t="s">
        <v>27</v>
      </c>
      <c r="O701" s="14" t="s">
        <v>28</v>
      </c>
      <c r="P701" s="51">
        <v>28</v>
      </c>
      <c r="Q701" s="47">
        <f t="shared" si="21"/>
        <v>3136</v>
      </c>
      <c r="R701" s="47"/>
      <c r="S701" s="47"/>
      <c r="T701" s="47"/>
    </row>
    <row r="702" customHeight="1" spans="1:20">
      <c r="A702" s="107" t="s">
        <v>1463</v>
      </c>
      <c r="B702" s="129" t="s">
        <v>687</v>
      </c>
      <c r="C702" s="129"/>
      <c r="D702" s="107">
        <f>D466</f>
        <v>56</v>
      </c>
      <c r="E702" s="129" t="s">
        <v>21</v>
      </c>
      <c r="F702" s="44">
        <f t="shared" si="22"/>
        <v>112</v>
      </c>
      <c r="G702" s="85" t="s">
        <v>688</v>
      </c>
      <c r="H702" s="46" t="s">
        <v>18</v>
      </c>
      <c r="I702" s="47"/>
      <c r="J702" s="48" t="s">
        <v>42</v>
      </c>
      <c r="K702" s="86" t="s">
        <v>1463</v>
      </c>
      <c r="L702" s="87" t="s">
        <v>25</v>
      </c>
      <c r="M702" s="87" t="s">
        <v>26</v>
      </c>
      <c r="N702" s="14" t="s">
        <v>27</v>
      </c>
      <c r="O702" s="14" t="s">
        <v>28</v>
      </c>
      <c r="P702" s="51">
        <v>13</v>
      </c>
      <c r="Q702" s="47">
        <f t="shared" si="21"/>
        <v>1456</v>
      </c>
      <c r="R702" s="47"/>
      <c r="S702" s="47"/>
      <c r="T702" s="47">
        <v>25007</v>
      </c>
    </row>
    <row r="703" customHeight="1" spans="1:20">
      <c r="A703" s="107" t="s">
        <v>1464</v>
      </c>
      <c r="B703" s="129" t="s">
        <v>689</v>
      </c>
      <c r="C703" s="129"/>
      <c r="D703" s="107">
        <v>2</v>
      </c>
      <c r="E703" s="129" t="s">
        <v>32</v>
      </c>
      <c r="F703" s="44">
        <f t="shared" si="22"/>
        <v>4</v>
      </c>
      <c r="G703" s="82" t="s">
        <v>690</v>
      </c>
      <c r="H703" s="46" t="s">
        <v>18</v>
      </c>
      <c r="I703" s="47"/>
      <c r="J703" s="48" t="s">
        <v>42</v>
      </c>
      <c r="K703" s="83" t="s">
        <v>1464</v>
      </c>
      <c r="L703" s="84" t="s">
        <v>25</v>
      </c>
      <c r="M703" s="84" t="s">
        <v>26</v>
      </c>
      <c r="N703" s="14" t="s">
        <v>27</v>
      </c>
      <c r="O703" s="14" t="s">
        <v>28</v>
      </c>
      <c r="P703" s="51">
        <v>35</v>
      </c>
      <c r="Q703" s="47">
        <f t="shared" si="21"/>
        <v>140</v>
      </c>
      <c r="R703" s="47"/>
      <c r="S703" s="47"/>
      <c r="T703" s="47">
        <v>25008</v>
      </c>
    </row>
    <row r="704" customHeight="1" spans="1:20">
      <c r="A704" s="43">
        <v>25009</v>
      </c>
      <c r="B704" s="78" t="s">
        <v>691</v>
      </c>
      <c r="C704" s="78"/>
      <c r="D704" s="107">
        <f>D466</f>
        <v>56</v>
      </c>
      <c r="E704" s="78" t="s">
        <v>169</v>
      </c>
      <c r="F704" s="44">
        <f t="shared" si="22"/>
        <v>112</v>
      </c>
      <c r="G704" s="82" t="s">
        <v>692</v>
      </c>
      <c r="H704" s="46" t="s">
        <v>18</v>
      </c>
      <c r="I704" s="47"/>
      <c r="J704" s="48" t="s">
        <v>42</v>
      </c>
      <c r="K704" s="83">
        <v>25009</v>
      </c>
      <c r="L704" s="84" t="s">
        <v>25</v>
      </c>
      <c r="M704" s="84" t="s">
        <v>26</v>
      </c>
      <c r="N704" s="14" t="s">
        <v>27</v>
      </c>
      <c r="O704" s="14" t="s">
        <v>28</v>
      </c>
      <c r="P704" s="51">
        <v>18</v>
      </c>
      <c r="Q704" s="47">
        <f t="shared" si="21"/>
        <v>2016</v>
      </c>
      <c r="R704" s="47"/>
      <c r="S704" s="47"/>
      <c r="T704" s="47">
        <v>25009</v>
      </c>
    </row>
    <row r="705" customHeight="1" spans="1:20">
      <c r="A705" s="107" t="s">
        <v>1465</v>
      </c>
      <c r="B705" s="129" t="s">
        <v>1466</v>
      </c>
      <c r="C705" s="129"/>
      <c r="D705" s="107">
        <f>D466</f>
        <v>56</v>
      </c>
      <c r="E705" s="129" t="s">
        <v>32</v>
      </c>
      <c r="F705" s="44">
        <f t="shared" si="22"/>
        <v>112</v>
      </c>
      <c r="G705" s="91" t="s">
        <v>1467</v>
      </c>
      <c r="H705" s="46" t="s">
        <v>18</v>
      </c>
      <c r="I705" s="47"/>
      <c r="J705" s="48" t="s">
        <v>42</v>
      </c>
      <c r="K705" s="92" t="s">
        <v>1465</v>
      </c>
      <c r="L705" s="93" t="s">
        <v>25</v>
      </c>
      <c r="M705" s="93" t="s">
        <v>26</v>
      </c>
      <c r="N705" s="14" t="s">
        <v>27</v>
      </c>
      <c r="O705" s="14" t="s">
        <v>28</v>
      </c>
      <c r="P705" s="51">
        <v>11</v>
      </c>
      <c r="Q705" s="47">
        <f t="shared" si="21"/>
        <v>1232</v>
      </c>
      <c r="R705" s="47"/>
      <c r="S705" s="47"/>
      <c r="T705" s="47"/>
    </row>
    <row r="706" customHeight="1" spans="1:20">
      <c r="A706" s="107" t="s">
        <v>1468</v>
      </c>
      <c r="B706" s="129" t="s">
        <v>1469</v>
      </c>
      <c r="C706" s="129"/>
      <c r="D706" s="107">
        <f>D466</f>
        <v>56</v>
      </c>
      <c r="E706" s="129" t="s">
        <v>32</v>
      </c>
      <c r="F706" s="44">
        <f t="shared" si="22"/>
        <v>112</v>
      </c>
      <c r="G706" s="91" t="s">
        <v>1470</v>
      </c>
      <c r="H706" s="46" t="s">
        <v>18</v>
      </c>
      <c r="I706" s="47"/>
      <c r="J706" s="48" t="s">
        <v>42</v>
      </c>
      <c r="K706" s="92" t="s">
        <v>1468</v>
      </c>
      <c r="L706" s="93" t="s">
        <v>25</v>
      </c>
      <c r="M706" s="93" t="s">
        <v>26</v>
      </c>
      <c r="N706" s="14" t="s">
        <v>27</v>
      </c>
      <c r="O706" s="14" t="s">
        <v>28</v>
      </c>
      <c r="P706" s="51">
        <v>22</v>
      </c>
      <c r="Q706" s="47">
        <f t="shared" si="21"/>
        <v>2464</v>
      </c>
      <c r="R706" s="47"/>
      <c r="S706" s="47"/>
      <c r="T706" s="47"/>
    </row>
    <row r="707" customHeight="1" spans="1:20">
      <c r="A707" s="43" t="s">
        <v>1471</v>
      </c>
      <c r="B707" s="78" t="s">
        <v>1472</v>
      </c>
      <c r="C707" s="78"/>
      <c r="D707" s="107">
        <f>D466</f>
        <v>56</v>
      </c>
      <c r="E707" s="78" t="s">
        <v>21</v>
      </c>
      <c r="F707" s="44">
        <f t="shared" si="22"/>
        <v>112</v>
      </c>
      <c r="G707" s="85" t="s">
        <v>1473</v>
      </c>
      <c r="H707" s="46" t="s">
        <v>18</v>
      </c>
      <c r="I707" s="47"/>
      <c r="J707" s="48" t="s">
        <v>42</v>
      </c>
      <c r="K707" s="86" t="s">
        <v>1471</v>
      </c>
      <c r="L707" s="87" t="s">
        <v>25</v>
      </c>
      <c r="M707" s="87" t="s">
        <v>26</v>
      </c>
      <c r="N707" s="14" t="s">
        <v>27</v>
      </c>
      <c r="O707" s="14" t="s">
        <v>28</v>
      </c>
      <c r="P707" s="51">
        <v>5</v>
      </c>
      <c r="Q707" s="47">
        <f t="shared" si="21"/>
        <v>560</v>
      </c>
      <c r="R707" s="47"/>
      <c r="S707" s="47"/>
      <c r="T707" s="47"/>
    </row>
    <row r="708" customHeight="1" spans="1:20">
      <c r="A708" s="107" t="s">
        <v>1474</v>
      </c>
      <c r="B708" s="129" t="s">
        <v>1475</v>
      </c>
      <c r="C708" s="129"/>
      <c r="D708" s="107">
        <f>D466</f>
        <v>56</v>
      </c>
      <c r="E708" s="129" t="s">
        <v>32</v>
      </c>
      <c r="F708" s="44">
        <f t="shared" si="22"/>
        <v>112</v>
      </c>
      <c r="G708" s="85" t="s">
        <v>1476</v>
      </c>
      <c r="H708" s="46" t="s">
        <v>18</v>
      </c>
      <c r="I708" s="47"/>
      <c r="J708" s="48" t="s">
        <v>42</v>
      </c>
      <c r="K708" s="86" t="s">
        <v>1474</v>
      </c>
      <c r="L708" s="87" t="s">
        <v>25</v>
      </c>
      <c r="M708" s="87" t="s">
        <v>26</v>
      </c>
      <c r="N708" s="14" t="s">
        <v>27</v>
      </c>
      <c r="O708" s="14" t="s">
        <v>28</v>
      </c>
      <c r="P708" s="51">
        <v>24</v>
      </c>
      <c r="Q708" s="47">
        <f t="shared" ref="Q708:Q771" si="23">P708*F708</f>
        <v>2688</v>
      </c>
      <c r="R708" s="47"/>
      <c r="S708" s="47"/>
      <c r="T708" s="47"/>
    </row>
    <row r="709" customHeight="1" spans="1:20">
      <c r="A709" s="107" t="s">
        <v>1477</v>
      </c>
      <c r="B709" s="129" t="s">
        <v>1478</v>
      </c>
      <c r="C709" s="129"/>
      <c r="D709" s="107">
        <v>2</v>
      </c>
      <c r="E709" s="129" t="s">
        <v>32</v>
      </c>
      <c r="F709" s="44">
        <f t="shared" si="22"/>
        <v>4</v>
      </c>
      <c r="G709" s="85" t="s">
        <v>1479</v>
      </c>
      <c r="H709" s="46" t="s">
        <v>18</v>
      </c>
      <c r="I709" s="47"/>
      <c r="J709" s="48" t="s">
        <v>42</v>
      </c>
      <c r="K709" s="86" t="s">
        <v>1477</v>
      </c>
      <c r="L709" s="87" t="s">
        <v>25</v>
      </c>
      <c r="M709" s="87" t="s">
        <v>26</v>
      </c>
      <c r="N709" s="14" t="s">
        <v>27</v>
      </c>
      <c r="O709" s="14" t="s">
        <v>28</v>
      </c>
      <c r="P709" s="51">
        <v>26</v>
      </c>
      <c r="Q709" s="47">
        <f t="shared" si="23"/>
        <v>104</v>
      </c>
      <c r="R709" s="47"/>
      <c r="S709" s="47"/>
      <c r="T709" s="47"/>
    </row>
    <row r="710" customHeight="1" spans="1:20">
      <c r="A710" s="107" t="s">
        <v>1480</v>
      </c>
      <c r="B710" s="129" t="s">
        <v>710</v>
      </c>
      <c r="C710" s="129"/>
      <c r="D710" s="107">
        <v>1</v>
      </c>
      <c r="E710" s="129" t="s">
        <v>32</v>
      </c>
      <c r="F710" s="44">
        <f t="shared" si="22"/>
        <v>2</v>
      </c>
      <c r="G710" s="85" t="s">
        <v>1481</v>
      </c>
      <c r="H710" s="46" t="s">
        <v>18</v>
      </c>
      <c r="I710" s="47"/>
      <c r="J710" s="48" t="s">
        <v>42</v>
      </c>
      <c r="K710" s="86" t="s">
        <v>1480</v>
      </c>
      <c r="L710" s="87" t="s">
        <v>25</v>
      </c>
      <c r="M710" s="87" t="s">
        <v>26</v>
      </c>
      <c r="N710" s="14" t="s">
        <v>27</v>
      </c>
      <c r="O710" s="14" t="s">
        <v>28</v>
      </c>
      <c r="P710" s="51">
        <v>115</v>
      </c>
      <c r="Q710" s="47">
        <f t="shared" si="23"/>
        <v>230</v>
      </c>
      <c r="R710" s="47"/>
      <c r="S710" s="47"/>
      <c r="T710" s="47">
        <v>25101</v>
      </c>
    </row>
    <row r="711" customHeight="1" spans="1:20">
      <c r="A711" s="107" t="s">
        <v>1482</v>
      </c>
      <c r="B711" s="129" t="s">
        <v>712</v>
      </c>
      <c r="C711" s="129"/>
      <c r="D711" s="107">
        <v>1</v>
      </c>
      <c r="E711" s="129" t="s">
        <v>32</v>
      </c>
      <c r="F711" s="44">
        <f t="shared" si="22"/>
        <v>2</v>
      </c>
      <c r="G711" s="85" t="s">
        <v>1483</v>
      </c>
      <c r="H711" s="46" t="s">
        <v>18</v>
      </c>
      <c r="I711" s="47"/>
      <c r="J711" s="48" t="s">
        <v>42</v>
      </c>
      <c r="K711" s="86" t="s">
        <v>1482</v>
      </c>
      <c r="L711" s="87" t="s">
        <v>25</v>
      </c>
      <c r="M711" s="87" t="s">
        <v>26</v>
      </c>
      <c r="N711" s="14" t="s">
        <v>27</v>
      </c>
      <c r="O711" s="14" t="s">
        <v>28</v>
      </c>
      <c r="P711" s="51">
        <v>115</v>
      </c>
      <c r="Q711" s="47">
        <f t="shared" si="23"/>
        <v>230</v>
      </c>
      <c r="R711" s="47"/>
      <c r="S711" s="47"/>
      <c r="T711" s="47">
        <v>25102</v>
      </c>
    </row>
    <row r="712" customHeight="1" spans="1:20">
      <c r="A712" s="107" t="s">
        <v>1484</v>
      </c>
      <c r="B712" s="129" t="s">
        <v>714</v>
      </c>
      <c r="C712" s="129"/>
      <c r="D712" s="107">
        <f>D466</f>
        <v>56</v>
      </c>
      <c r="E712" s="129" t="s">
        <v>32</v>
      </c>
      <c r="F712" s="44">
        <f t="shared" si="22"/>
        <v>112</v>
      </c>
      <c r="G712" s="91" t="s">
        <v>1485</v>
      </c>
      <c r="H712" s="46" t="s">
        <v>18</v>
      </c>
      <c r="I712" s="47"/>
      <c r="J712" s="48" t="s">
        <v>42</v>
      </c>
      <c r="K712" s="92" t="s">
        <v>1484</v>
      </c>
      <c r="L712" s="93" t="s">
        <v>25</v>
      </c>
      <c r="M712" s="93" t="s">
        <v>26</v>
      </c>
      <c r="N712" s="14" t="s">
        <v>27</v>
      </c>
      <c r="O712" s="14" t="s">
        <v>28</v>
      </c>
      <c r="P712" s="51">
        <v>30</v>
      </c>
      <c r="Q712" s="47">
        <f t="shared" si="23"/>
        <v>3360</v>
      </c>
      <c r="R712" s="47"/>
      <c r="S712" s="47"/>
      <c r="T712" s="47">
        <v>25103</v>
      </c>
    </row>
    <row r="713" customHeight="1" spans="1:20">
      <c r="A713" s="107" t="s">
        <v>1486</v>
      </c>
      <c r="B713" s="129" t="s">
        <v>1487</v>
      </c>
      <c r="C713" s="129"/>
      <c r="D713" s="107">
        <v>1</v>
      </c>
      <c r="E713" s="129" t="s">
        <v>21</v>
      </c>
      <c r="F713" s="44">
        <f t="shared" si="22"/>
        <v>2</v>
      </c>
      <c r="G713" s="91" t="s">
        <v>1488</v>
      </c>
      <c r="H713" s="46" t="s">
        <v>18</v>
      </c>
      <c r="I713" s="47"/>
      <c r="J713" s="48" t="s">
        <v>42</v>
      </c>
      <c r="K713" s="92" t="s">
        <v>1486</v>
      </c>
      <c r="L713" s="93" t="s">
        <v>25</v>
      </c>
      <c r="M713" s="93" t="s">
        <v>26</v>
      </c>
      <c r="N713" s="14" t="s">
        <v>27</v>
      </c>
      <c r="O713" s="14" t="s">
        <v>28</v>
      </c>
      <c r="P713" s="51">
        <v>105</v>
      </c>
      <c r="Q713" s="47">
        <f t="shared" si="23"/>
        <v>210</v>
      </c>
      <c r="R713" s="47"/>
      <c r="S713" s="47"/>
      <c r="T713" s="47"/>
    </row>
    <row r="714" customHeight="1" spans="1:20">
      <c r="A714" s="107"/>
      <c r="B714" s="129" t="s">
        <v>1489</v>
      </c>
      <c r="C714" s="129"/>
      <c r="D714" s="107">
        <v>2</v>
      </c>
      <c r="E714" s="129" t="s">
        <v>32</v>
      </c>
      <c r="F714" s="44">
        <f t="shared" si="22"/>
        <v>4</v>
      </c>
      <c r="G714" s="85" t="s">
        <v>1490</v>
      </c>
      <c r="H714" s="46" t="s">
        <v>18</v>
      </c>
      <c r="I714" s="47"/>
      <c r="J714" s="48" t="s">
        <v>42</v>
      </c>
      <c r="K714" s="86" t="s">
        <v>1486</v>
      </c>
      <c r="L714" s="87" t="s">
        <v>25</v>
      </c>
      <c r="M714" s="87" t="s">
        <v>26</v>
      </c>
      <c r="N714" s="14" t="s">
        <v>27</v>
      </c>
      <c r="O714" s="14" t="s">
        <v>28</v>
      </c>
      <c r="P714" s="51">
        <v>25</v>
      </c>
      <c r="Q714" s="47">
        <f t="shared" si="23"/>
        <v>100</v>
      </c>
      <c r="R714" s="47"/>
      <c r="S714" s="47"/>
      <c r="T714" s="47"/>
    </row>
    <row r="715" customHeight="1" spans="1:20">
      <c r="A715" s="107"/>
      <c r="B715" s="129" t="s">
        <v>1491</v>
      </c>
      <c r="C715" s="129"/>
      <c r="D715" s="107">
        <v>2</v>
      </c>
      <c r="E715" s="129" t="s">
        <v>32</v>
      </c>
      <c r="F715" s="44">
        <f t="shared" si="22"/>
        <v>4</v>
      </c>
      <c r="G715" s="85" t="s">
        <v>1492</v>
      </c>
      <c r="H715" s="46" t="s">
        <v>18</v>
      </c>
      <c r="I715" s="47"/>
      <c r="J715" s="48" t="s">
        <v>42</v>
      </c>
      <c r="K715" s="86" t="s">
        <v>1493</v>
      </c>
      <c r="L715" s="87" t="s">
        <v>25</v>
      </c>
      <c r="M715" s="87" t="s">
        <v>26</v>
      </c>
      <c r="N715" s="14" t="s">
        <v>27</v>
      </c>
      <c r="O715" s="14" t="s">
        <v>28</v>
      </c>
      <c r="P715" s="51">
        <v>160</v>
      </c>
      <c r="Q715" s="47">
        <f t="shared" si="23"/>
        <v>640</v>
      </c>
      <c r="R715" s="47"/>
      <c r="S715" s="47"/>
      <c r="T715" s="47"/>
    </row>
    <row r="716" customHeight="1" spans="1:20">
      <c r="A716" s="107"/>
      <c r="B716" s="129" t="s">
        <v>1305</v>
      </c>
      <c r="C716" s="129"/>
      <c r="D716" s="107">
        <f>D466/2+2</f>
        <v>30</v>
      </c>
      <c r="E716" s="129" t="s">
        <v>32</v>
      </c>
      <c r="F716" s="44">
        <f t="shared" si="22"/>
        <v>60</v>
      </c>
      <c r="G716" s="85" t="s">
        <v>1494</v>
      </c>
      <c r="H716" s="46" t="s">
        <v>18</v>
      </c>
      <c r="I716" s="47"/>
      <c r="J716" s="48" t="s">
        <v>42</v>
      </c>
      <c r="K716" s="86">
        <v>21035</v>
      </c>
      <c r="L716" s="87" t="s">
        <v>25</v>
      </c>
      <c r="M716" s="87" t="s">
        <v>26</v>
      </c>
      <c r="N716" s="14" t="s">
        <v>27</v>
      </c>
      <c r="O716" s="14" t="s">
        <v>28</v>
      </c>
      <c r="P716" s="51">
        <v>30</v>
      </c>
      <c r="Q716" s="47">
        <f t="shared" si="23"/>
        <v>1800</v>
      </c>
      <c r="R716" s="47"/>
      <c r="S716" s="47"/>
      <c r="T716" s="47"/>
    </row>
    <row r="717" customHeight="1" spans="1:20">
      <c r="A717" s="107"/>
      <c r="B717" s="129" t="s">
        <v>1495</v>
      </c>
      <c r="C717" s="129"/>
      <c r="D717" s="107">
        <f>D466/2+2</f>
        <v>30</v>
      </c>
      <c r="E717" s="129" t="s">
        <v>32</v>
      </c>
      <c r="F717" s="44">
        <f t="shared" si="22"/>
        <v>60</v>
      </c>
      <c r="G717" s="85" t="s">
        <v>1496</v>
      </c>
      <c r="H717" s="46" t="s">
        <v>18</v>
      </c>
      <c r="I717" s="47"/>
      <c r="J717" s="48" t="s">
        <v>42</v>
      </c>
      <c r="K717" s="86" t="s">
        <v>1486</v>
      </c>
      <c r="L717" s="87" t="s">
        <v>25</v>
      </c>
      <c r="M717" s="87" t="s">
        <v>26</v>
      </c>
      <c r="N717" s="14" t="s">
        <v>27</v>
      </c>
      <c r="O717" s="14" t="s">
        <v>28</v>
      </c>
      <c r="P717" s="51">
        <v>60</v>
      </c>
      <c r="Q717" s="47">
        <f t="shared" si="23"/>
        <v>3600</v>
      </c>
      <c r="R717" s="47"/>
      <c r="S717" s="47"/>
      <c r="T717" s="47"/>
    </row>
    <row r="718" customHeight="1" spans="1:20">
      <c r="A718" s="107"/>
      <c r="B718" s="129" t="s">
        <v>1497</v>
      </c>
      <c r="C718" s="129"/>
      <c r="D718" s="107">
        <f>D466/2+2</f>
        <v>30</v>
      </c>
      <c r="E718" s="129" t="s">
        <v>32</v>
      </c>
      <c r="F718" s="44">
        <f t="shared" si="22"/>
        <v>60</v>
      </c>
      <c r="G718" s="85" t="s">
        <v>1498</v>
      </c>
      <c r="H718" s="46" t="s">
        <v>18</v>
      </c>
      <c r="I718" s="47"/>
      <c r="J718" s="48" t="s">
        <v>42</v>
      </c>
      <c r="K718" s="86" t="s">
        <v>1486</v>
      </c>
      <c r="L718" s="87" t="s">
        <v>25</v>
      </c>
      <c r="M718" s="87" t="s">
        <v>26</v>
      </c>
      <c r="N718" s="14" t="s">
        <v>27</v>
      </c>
      <c r="O718" s="14" t="s">
        <v>28</v>
      </c>
      <c r="P718" s="51">
        <v>65</v>
      </c>
      <c r="Q718" s="47">
        <f t="shared" si="23"/>
        <v>3900</v>
      </c>
      <c r="R718" s="47"/>
      <c r="S718" s="47"/>
      <c r="T718" s="47"/>
    </row>
    <row r="719" customHeight="1" spans="1:20">
      <c r="A719" s="107"/>
      <c r="B719" s="129" t="s">
        <v>1499</v>
      </c>
      <c r="C719" s="129"/>
      <c r="D719" s="107">
        <v>2</v>
      </c>
      <c r="E719" s="129" t="s">
        <v>32</v>
      </c>
      <c r="F719" s="44">
        <f t="shared" si="22"/>
        <v>4</v>
      </c>
      <c r="G719" s="85" t="s">
        <v>1500</v>
      </c>
      <c r="H719" s="46" t="s">
        <v>18</v>
      </c>
      <c r="I719" s="47"/>
      <c r="J719" s="48" t="s">
        <v>42</v>
      </c>
      <c r="K719" s="86" t="s">
        <v>1486</v>
      </c>
      <c r="L719" s="87" t="s">
        <v>25</v>
      </c>
      <c r="M719" s="87" t="s">
        <v>26</v>
      </c>
      <c r="N719" s="14" t="s">
        <v>27</v>
      </c>
      <c r="O719" s="14" t="s">
        <v>28</v>
      </c>
      <c r="P719" s="51">
        <v>990</v>
      </c>
      <c r="Q719" s="47">
        <f t="shared" si="23"/>
        <v>3960</v>
      </c>
      <c r="R719" s="47"/>
      <c r="S719" s="47"/>
      <c r="T719" s="47"/>
    </row>
    <row r="720" customHeight="1" spans="1:20">
      <c r="A720" s="107"/>
      <c r="B720" s="129" t="s">
        <v>1499</v>
      </c>
      <c r="C720" s="129"/>
      <c r="D720" s="107">
        <v>2</v>
      </c>
      <c r="E720" s="129" t="s">
        <v>32</v>
      </c>
      <c r="F720" s="44">
        <f t="shared" si="22"/>
        <v>4</v>
      </c>
      <c r="G720" s="85" t="s">
        <v>1501</v>
      </c>
      <c r="H720" s="46" t="s">
        <v>18</v>
      </c>
      <c r="I720" s="47"/>
      <c r="J720" s="48" t="s">
        <v>42</v>
      </c>
      <c r="K720" s="86" t="s">
        <v>1486</v>
      </c>
      <c r="L720" s="87" t="s">
        <v>25</v>
      </c>
      <c r="M720" s="87" t="s">
        <v>26</v>
      </c>
      <c r="N720" s="14" t="s">
        <v>27</v>
      </c>
      <c r="O720" s="14" t="s">
        <v>28</v>
      </c>
      <c r="P720" s="51">
        <v>990</v>
      </c>
      <c r="Q720" s="47">
        <f t="shared" si="23"/>
        <v>3960</v>
      </c>
      <c r="R720" s="47"/>
      <c r="S720" s="47"/>
      <c r="T720" s="47"/>
    </row>
    <row r="721" customHeight="1" spans="1:20">
      <c r="A721" s="75" t="s">
        <v>103</v>
      </c>
      <c r="B721" s="142" t="s">
        <v>741</v>
      </c>
      <c r="C721" s="142"/>
      <c r="D721" s="107"/>
      <c r="E721" s="129"/>
      <c r="F721" s="44">
        <f t="shared" si="22"/>
        <v>0</v>
      </c>
      <c r="G721" s="131"/>
      <c r="H721" s="46"/>
      <c r="I721" s="47"/>
      <c r="J721" s="48" t="s">
        <v>42</v>
      </c>
      <c r="K721" s="132"/>
      <c r="L721" s="133"/>
      <c r="M721" s="133"/>
      <c r="O721" s="14" t="s">
        <v>28</v>
      </c>
      <c r="P721" s="51"/>
      <c r="Q721" s="47">
        <f t="shared" si="23"/>
        <v>0</v>
      </c>
      <c r="R721" s="47"/>
      <c r="S721" s="47"/>
      <c r="T721" s="47">
        <v>3</v>
      </c>
    </row>
    <row r="722" customHeight="1" spans="1:20">
      <c r="A722" s="107">
        <v>31</v>
      </c>
      <c r="B722" s="129" t="s">
        <v>742</v>
      </c>
      <c r="C722" s="129"/>
      <c r="D722" s="107"/>
      <c r="E722" s="129"/>
      <c r="F722" s="44">
        <f t="shared" si="22"/>
        <v>0</v>
      </c>
      <c r="G722" s="131"/>
      <c r="H722" s="46"/>
      <c r="I722" s="47"/>
      <c r="J722" s="48" t="s">
        <v>42</v>
      </c>
      <c r="K722" s="132"/>
      <c r="L722" s="133"/>
      <c r="M722" s="133"/>
      <c r="O722" s="14" t="s">
        <v>28</v>
      </c>
      <c r="P722" s="51"/>
      <c r="Q722" s="47">
        <f t="shared" si="23"/>
        <v>0</v>
      </c>
      <c r="R722" s="47"/>
      <c r="S722" s="47"/>
      <c r="T722" s="47"/>
    </row>
    <row r="723" customHeight="1" spans="1:20">
      <c r="A723" s="107" t="s">
        <v>1502</v>
      </c>
      <c r="B723" s="129" t="s">
        <v>1503</v>
      </c>
      <c r="C723" s="129"/>
      <c r="D723" s="107">
        <v>1</v>
      </c>
      <c r="E723" s="129" t="s">
        <v>21</v>
      </c>
      <c r="F723" s="44">
        <f t="shared" si="22"/>
        <v>2</v>
      </c>
      <c r="G723" s="85" t="s">
        <v>1504</v>
      </c>
      <c r="H723" s="46" t="s">
        <v>18</v>
      </c>
      <c r="I723" s="47"/>
      <c r="J723" s="48" t="s">
        <v>42</v>
      </c>
      <c r="K723" s="86" t="s">
        <v>1502</v>
      </c>
      <c r="L723" s="87" t="s">
        <v>25</v>
      </c>
      <c r="M723" s="87" t="s">
        <v>26</v>
      </c>
      <c r="N723" s="14" t="s">
        <v>27</v>
      </c>
      <c r="O723" s="14" t="s">
        <v>28</v>
      </c>
      <c r="P723" s="51">
        <v>20</v>
      </c>
      <c r="Q723" s="47">
        <f t="shared" si="23"/>
        <v>40</v>
      </c>
      <c r="R723" s="47"/>
      <c r="S723" s="47"/>
      <c r="T723" s="47"/>
    </row>
    <row r="724" customHeight="1" spans="1:20">
      <c r="A724" s="107" t="s">
        <v>1505</v>
      </c>
      <c r="B724" s="129" t="s">
        <v>1506</v>
      </c>
      <c r="C724" s="129"/>
      <c r="D724" s="107">
        <v>1</v>
      </c>
      <c r="E724" s="129" t="s">
        <v>21</v>
      </c>
      <c r="F724" s="44">
        <f t="shared" ref="F724:F787" si="24">D724*2</f>
        <v>2</v>
      </c>
      <c r="G724" s="85" t="s">
        <v>1507</v>
      </c>
      <c r="H724" s="46" t="s">
        <v>18</v>
      </c>
      <c r="I724" s="47"/>
      <c r="J724" s="48" t="s">
        <v>42</v>
      </c>
      <c r="K724" s="86" t="s">
        <v>1505</v>
      </c>
      <c r="L724" s="87" t="s">
        <v>25</v>
      </c>
      <c r="M724" s="87" t="s">
        <v>26</v>
      </c>
      <c r="N724" s="14" t="s">
        <v>27</v>
      </c>
      <c r="O724" s="14" t="s">
        <v>28</v>
      </c>
      <c r="P724" s="51">
        <v>25</v>
      </c>
      <c r="Q724" s="47">
        <f t="shared" si="23"/>
        <v>50</v>
      </c>
      <c r="R724" s="47"/>
      <c r="S724" s="47"/>
      <c r="T724" s="47"/>
    </row>
    <row r="725" customHeight="1" spans="1:20">
      <c r="A725" s="107" t="s">
        <v>1508</v>
      </c>
      <c r="B725" s="129" t="s">
        <v>1509</v>
      </c>
      <c r="C725" s="129"/>
      <c r="D725" s="107">
        <v>1</v>
      </c>
      <c r="E725" s="129" t="s">
        <v>21</v>
      </c>
      <c r="F725" s="44">
        <f t="shared" si="24"/>
        <v>2</v>
      </c>
      <c r="G725" s="85" t="s">
        <v>1510</v>
      </c>
      <c r="H725" s="46" t="s">
        <v>18</v>
      </c>
      <c r="I725" s="47"/>
      <c r="J725" s="48" t="s">
        <v>42</v>
      </c>
      <c r="K725" s="86" t="s">
        <v>1508</v>
      </c>
      <c r="L725" s="87" t="s">
        <v>25</v>
      </c>
      <c r="M725" s="87" t="s">
        <v>26</v>
      </c>
      <c r="N725" s="14" t="s">
        <v>27</v>
      </c>
      <c r="O725" s="14" t="s">
        <v>28</v>
      </c>
      <c r="P725" s="51">
        <v>38</v>
      </c>
      <c r="Q725" s="47">
        <f t="shared" si="23"/>
        <v>76</v>
      </c>
      <c r="R725" s="47"/>
      <c r="S725" s="47"/>
      <c r="T725" s="47"/>
    </row>
    <row r="726" customHeight="1" spans="1:20">
      <c r="A726" s="107" t="s">
        <v>1511</v>
      </c>
      <c r="B726" s="129" t="s">
        <v>1512</v>
      </c>
      <c r="C726" s="129"/>
      <c r="D726" s="107">
        <v>1</v>
      </c>
      <c r="E726" s="129" t="s">
        <v>21</v>
      </c>
      <c r="F726" s="44">
        <f t="shared" si="24"/>
        <v>2</v>
      </c>
      <c r="G726" s="85" t="s">
        <v>1513</v>
      </c>
      <c r="H726" s="46" t="s">
        <v>18</v>
      </c>
      <c r="I726" s="47"/>
      <c r="J726" s="48" t="s">
        <v>42</v>
      </c>
      <c r="K726" s="86" t="s">
        <v>1511</v>
      </c>
      <c r="L726" s="87" t="s">
        <v>25</v>
      </c>
      <c r="M726" s="87" t="s">
        <v>26</v>
      </c>
      <c r="N726" s="14" t="s">
        <v>27</v>
      </c>
      <c r="O726" s="14" t="s">
        <v>28</v>
      </c>
      <c r="P726" s="51">
        <v>88</v>
      </c>
      <c r="Q726" s="47">
        <f t="shared" si="23"/>
        <v>176</v>
      </c>
      <c r="R726" s="47"/>
      <c r="S726" s="47"/>
      <c r="T726" s="47"/>
    </row>
    <row r="727" customHeight="1" spans="1:20">
      <c r="A727" s="107" t="s">
        <v>1514</v>
      </c>
      <c r="B727" s="129" t="s">
        <v>743</v>
      </c>
      <c r="C727" s="129"/>
      <c r="D727" s="107">
        <v>1</v>
      </c>
      <c r="E727" s="129" t="s">
        <v>21</v>
      </c>
      <c r="F727" s="44">
        <f t="shared" si="24"/>
        <v>2</v>
      </c>
      <c r="G727" s="82" t="s">
        <v>744</v>
      </c>
      <c r="H727" s="46" t="s">
        <v>18</v>
      </c>
      <c r="I727" s="47"/>
      <c r="J727" s="48" t="s">
        <v>42</v>
      </c>
      <c r="K727" s="83" t="s">
        <v>1514</v>
      </c>
      <c r="L727" s="84" t="s">
        <v>25</v>
      </c>
      <c r="M727" s="84" t="s">
        <v>26</v>
      </c>
      <c r="N727" s="14" t="s">
        <v>27</v>
      </c>
      <c r="O727" s="14" t="s">
        <v>28</v>
      </c>
      <c r="P727" s="51">
        <v>165</v>
      </c>
      <c r="Q727" s="47">
        <f t="shared" si="23"/>
        <v>330</v>
      </c>
      <c r="R727" s="47"/>
      <c r="S727" s="47"/>
      <c r="T727" s="47">
        <v>31005</v>
      </c>
    </row>
    <row r="728" customHeight="1" spans="1:20">
      <c r="A728" s="107" t="s">
        <v>1515</v>
      </c>
      <c r="B728" s="129" t="s">
        <v>1516</v>
      </c>
      <c r="C728" s="129"/>
      <c r="D728" s="107">
        <v>1</v>
      </c>
      <c r="E728" s="129" t="s">
        <v>32</v>
      </c>
      <c r="F728" s="44">
        <f t="shared" si="24"/>
        <v>2</v>
      </c>
      <c r="G728" s="85" t="s">
        <v>1517</v>
      </c>
      <c r="H728" s="46" t="s">
        <v>18</v>
      </c>
      <c r="I728" s="47"/>
      <c r="J728" s="48" t="s">
        <v>42</v>
      </c>
      <c r="K728" s="86" t="s">
        <v>1515</v>
      </c>
      <c r="L728" s="87" t="s">
        <v>25</v>
      </c>
      <c r="M728" s="87" t="s">
        <v>26</v>
      </c>
      <c r="N728" s="14" t="s">
        <v>27</v>
      </c>
      <c r="O728" s="14" t="s">
        <v>28</v>
      </c>
      <c r="P728" s="51">
        <v>22</v>
      </c>
      <c r="Q728" s="47">
        <f t="shared" si="23"/>
        <v>44</v>
      </c>
      <c r="R728" s="47"/>
      <c r="S728" s="47"/>
      <c r="T728" s="47"/>
    </row>
    <row r="729" customHeight="1" spans="1:20">
      <c r="A729" s="107" t="s">
        <v>1518</v>
      </c>
      <c r="B729" s="129" t="s">
        <v>745</v>
      </c>
      <c r="C729" s="129"/>
      <c r="D729" s="107">
        <v>1</v>
      </c>
      <c r="E729" s="129" t="s">
        <v>21</v>
      </c>
      <c r="F729" s="44">
        <f t="shared" si="24"/>
        <v>2</v>
      </c>
      <c r="G729" s="85" t="s">
        <v>1519</v>
      </c>
      <c r="H729" s="46" t="s">
        <v>18</v>
      </c>
      <c r="I729" s="47"/>
      <c r="J729" s="48" t="s">
        <v>42</v>
      </c>
      <c r="K729" s="86" t="s">
        <v>1518</v>
      </c>
      <c r="L729" s="87" t="s">
        <v>25</v>
      </c>
      <c r="M729" s="87" t="s">
        <v>26</v>
      </c>
      <c r="N729" s="14" t="s">
        <v>27</v>
      </c>
      <c r="O729" s="14" t="s">
        <v>28</v>
      </c>
      <c r="P729" s="51">
        <v>48</v>
      </c>
      <c r="Q729" s="47">
        <f t="shared" si="23"/>
        <v>96</v>
      </c>
      <c r="R729" s="47"/>
      <c r="S729" s="47"/>
      <c r="T729" s="47">
        <v>31008</v>
      </c>
    </row>
    <row r="730" customHeight="1" spans="1:20">
      <c r="A730" s="107" t="s">
        <v>1520</v>
      </c>
      <c r="B730" s="129" t="s">
        <v>747</v>
      </c>
      <c r="C730" s="129"/>
      <c r="D730" s="107">
        <v>1</v>
      </c>
      <c r="E730" s="129" t="s">
        <v>21</v>
      </c>
      <c r="F730" s="44">
        <f t="shared" si="24"/>
        <v>2</v>
      </c>
      <c r="G730" s="85" t="s">
        <v>748</v>
      </c>
      <c r="H730" s="46" t="s">
        <v>18</v>
      </c>
      <c r="I730" s="47"/>
      <c r="J730" s="48" t="s">
        <v>42</v>
      </c>
      <c r="K730" s="86" t="s">
        <v>1520</v>
      </c>
      <c r="L730" s="87" t="s">
        <v>25</v>
      </c>
      <c r="M730" s="87" t="s">
        <v>26</v>
      </c>
      <c r="N730" s="14" t="s">
        <v>27</v>
      </c>
      <c r="O730" s="14" t="s">
        <v>28</v>
      </c>
      <c r="P730" s="51">
        <v>48</v>
      </c>
      <c r="Q730" s="47">
        <f t="shared" si="23"/>
        <v>96</v>
      </c>
      <c r="R730" s="47"/>
      <c r="S730" s="47"/>
      <c r="T730" s="47">
        <v>31009</v>
      </c>
    </row>
    <row r="731" customHeight="1" spans="1:20">
      <c r="A731" s="43">
        <v>31010</v>
      </c>
      <c r="B731" s="78" t="s">
        <v>749</v>
      </c>
      <c r="C731" s="78"/>
      <c r="D731" s="43">
        <v>1</v>
      </c>
      <c r="E731" s="78" t="s">
        <v>32</v>
      </c>
      <c r="F731" s="44">
        <f t="shared" si="24"/>
        <v>2</v>
      </c>
      <c r="G731" s="85" t="s">
        <v>750</v>
      </c>
      <c r="H731" s="46" t="s">
        <v>18</v>
      </c>
      <c r="I731" s="47"/>
      <c r="J731" s="48" t="s">
        <v>42</v>
      </c>
      <c r="K731" s="86">
        <v>31010</v>
      </c>
      <c r="L731" s="87" t="s">
        <v>25</v>
      </c>
      <c r="M731" s="87" t="s">
        <v>26</v>
      </c>
      <c r="N731" s="14" t="s">
        <v>27</v>
      </c>
      <c r="O731" s="14" t="s">
        <v>28</v>
      </c>
      <c r="P731" s="51">
        <v>15</v>
      </c>
      <c r="Q731" s="47">
        <f t="shared" si="23"/>
        <v>30</v>
      </c>
      <c r="R731" s="47"/>
      <c r="S731" s="47"/>
      <c r="T731" s="47">
        <v>31010</v>
      </c>
    </row>
    <row r="732" customHeight="1" spans="1:20">
      <c r="A732" s="43">
        <v>31011</v>
      </c>
      <c r="B732" s="78" t="s">
        <v>1521</v>
      </c>
      <c r="C732" s="78"/>
      <c r="D732" s="43">
        <v>1</v>
      </c>
      <c r="E732" s="78" t="s">
        <v>21</v>
      </c>
      <c r="F732" s="44">
        <f t="shared" si="24"/>
        <v>2</v>
      </c>
      <c r="G732" s="91" t="s">
        <v>1522</v>
      </c>
      <c r="H732" s="46" t="s">
        <v>18</v>
      </c>
      <c r="I732" s="47"/>
      <c r="J732" s="48" t="s">
        <v>42</v>
      </c>
      <c r="K732" s="92">
        <v>31011</v>
      </c>
      <c r="L732" s="93" t="s">
        <v>25</v>
      </c>
      <c r="M732" s="93" t="s">
        <v>26</v>
      </c>
      <c r="N732" s="14" t="s">
        <v>27</v>
      </c>
      <c r="O732" s="14" t="s">
        <v>28</v>
      </c>
      <c r="P732" s="51">
        <v>120</v>
      </c>
      <c r="Q732" s="47">
        <f t="shared" si="23"/>
        <v>240</v>
      </c>
      <c r="R732" s="47"/>
      <c r="S732" s="47"/>
      <c r="T732" s="47"/>
    </row>
    <row r="733" customHeight="1" spans="1:20">
      <c r="A733" s="43">
        <v>31012</v>
      </c>
      <c r="B733" s="78" t="s">
        <v>1523</v>
      </c>
      <c r="C733" s="78"/>
      <c r="D733" s="43">
        <v>1</v>
      </c>
      <c r="E733" s="78" t="s">
        <v>21</v>
      </c>
      <c r="F733" s="44">
        <f t="shared" si="24"/>
        <v>2</v>
      </c>
      <c r="G733" s="91" t="s">
        <v>1524</v>
      </c>
      <c r="H733" s="46" t="s">
        <v>18</v>
      </c>
      <c r="I733" s="47"/>
      <c r="J733" s="48" t="s">
        <v>42</v>
      </c>
      <c r="K733" s="92">
        <v>31012</v>
      </c>
      <c r="L733" s="93" t="s">
        <v>25</v>
      </c>
      <c r="M733" s="93" t="s">
        <v>26</v>
      </c>
      <c r="N733" s="14" t="s">
        <v>27</v>
      </c>
      <c r="O733" s="14" t="s">
        <v>28</v>
      </c>
      <c r="P733" s="51">
        <v>90</v>
      </c>
      <c r="Q733" s="47">
        <f t="shared" si="23"/>
        <v>180</v>
      </c>
      <c r="R733" s="47"/>
      <c r="S733" s="47"/>
      <c r="T733" s="47"/>
    </row>
    <row r="734" customHeight="1" spans="1:20">
      <c r="A734" s="75" t="s">
        <v>775</v>
      </c>
      <c r="B734" s="142" t="s">
        <v>776</v>
      </c>
      <c r="C734" s="142"/>
      <c r="D734" s="107"/>
      <c r="E734" s="129"/>
      <c r="F734" s="44">
        <f t="shared" si="24"/>
        <v>0</v>
      </c>
      <c r="G734" s="131"/>
      <c r="H734" s="46"/>
      <c r="I734" s="47"/>
      <c r="J734" s="48" t="s">
        <v>42</v>
      </c>
      <c r="K734" s="132"/>
      <c r="L734" s="133"/>
      <c r="M734" s="133"/>
      <c r="O734" s="14" t="s">
        <v>28</v>
      </c>
      <c r="P734" s="51"/>
      <c r="Q734" s="47">
        <f t="shared" si="23"/>
        <v>0</v>
      </c>
      <c r="R734" s="47"/>
      <c r="S734" s="47"/>
      <c r="T734" s="47"/>
    </row>
    <row r="735" customHeight="1" spans="1:20">
      <c r="A735" s="107">
        <v>60</v>
      </c>
      <c r="B735" s="129" t="s">
        <v>777</v>
      </c>
      <c r="C735" s="129"/>
      <c r="D735" s="107"/>
      <c r="E735" s="129"/>
      <c r="F735" s="44">
        <f t="shared" si="24"/>
        <v>0</v>
      </c>
      <c r="G735" s="131"/>
      <c r="H735" s="46"/>
      <c r="I735" s="47"/>
      <c r="J735" s="48" t="s">
        <v>42</v>
      </c>
      <c r="K735" s="132"/>
      <c r="L735" s="133"/>
      <c r="M735" s="133"/>
      <c r="O735" s="14" t="s">
        <v>28</v>
      </c>
      <c r="P735" s="51"/>
      <c r="Q735" s="47">
        <f t="shared" si="23"/>
        <v>0</v>
      </c>
      <c r="R735" s="47"/>
      <c r="S735" s="47"/>
      <c r="T735" s="47"/>
    </row>
    <row r="736" customHeight="1" spans="1:20">
      <c r="A736" s="107">
        <v>60001</v>
      </c>
      <c r="B736" s="129" t="s">
        <v>778</v>
      </c>
      <c r="C736" s="129"/>
      <c r="D736" s="107">
        <v>30</v>
      </c>
      <c r="E736" s="129" t="s">
        <v>21</v>
      </c>
      <c r="F736" s="44">
        <f t="shared" si="24"/>
        <v>60</v>
      </c>
      <c r="G736" s="91" t="s">
        <v>1525</v>
      </c>
      <c r="H736" s="46" t="s">
        <v>18</v>
      </c>
      <c r="I736" s="47"/>
      <c r="J736" s="48" t="s">
        <v>42</v>
      </c>
      <c r="K736" s="92">
        <v>60001</v>
      </c>
      <c r="L736" s="93" t="s">
        <v>780</v>
      </c>
      <c r="M736" s="93" t="s">
        <v>781</v>
      </c>
      <c r="N736" s="14" t="s">
        <v>27</v>
      </c>
      <c r="O736" s="14" t="s">
        <v>28</v>
      </c>
      <c r="P736" s="51">
        <v>3.5</v>
      </c>
      <c r="Q736" s="47">
        <f t="shared" si="23"/>
        <v>210</v>
      </c>
      <c r="R736" s="47"/>
      <c r="S736" s="47"/>
      <c r="T736" s="47"/>
    </row>
    <row r="737" customHeight="1" spans="1:20">
      <c r="A737" s="107">
        <v>60002</v>
      </c>
      <c r="B737" s="129" t="s">
        <v>778</v>
      </c>
      <c r="C737" s="129"/>
      <c r="D737" s="107">
        <v>2</v>
      </c>
      <c r="E737" s="129" t="s">
        <v>21</v>
      </c>
      <c r="F737" s="44">
        <f t="shared" si="24"/>
        <v>4</v>
      </c>
      <c r="G737" s="91" t="s">
        <v>1526</v>
      </c>
      <c r="H737" s="46" t="s">
        <v>18</v>
      </c>
      <c r="I737" s="47"/>
      <c r="J737" s="48" t="s">
        <v>42</v>
      </c>
      <c r="K737" s="92">
        <v>60002</v>
      </c>
      <c r="L737" s="93" t="s">
        <v>780</v>
      </c>
      <c r="M737" s="93" t="s">
        <v>781</v>
      </c>
      <c r="N737" s="14" t="s">
        <v>27</v>
      </c>
      <c r="O737" s="14" t="s">
        <v>28</v>
      </c>
      <c r="P737" s="51">
        <v>4.5</v>
      </c>
      <c r="Q737" s="47">
        <f t="shared" si="23"/>
        <v>18</v>
      </c>
      <c r="R737" s="47"/>
      <c r="S737" s="47"/>
      <c r="T737" s="47"/>
    </row>
    <row r="738" customHeight="1" spans="1:20">
      <c r="A738" s="107">
        <v>60003</v>
      </c>
      <c r="B738" s="129" t="s">
        <v>778</v>
      </c>
      <c r="C738" s="129"/>
      <c r="D738" s="107">
        <v>60</v>
      </c>
      <c r="E738" s="129" t="s">
        <v>21</v>
      </c>
      <c r="F738" s="44">
        <f t="shared" si="24"/>
        <v>120</v>
      </c>
      <c r="G738" s="91" t="s">
        <v>1527</v>
      </c>
      <c r="H738" s="46" t="s">
        <v>18</v>
      </c>
      <c r="I738" s="47"/>
      <c r="J738" s="48" t="s">
        <v>42</v>
      </c>
      <c r="K738" s="92">
        <v>60003</v>
      </c>
      <c r="L738" s="93" t="s">
        <v>780</v>
      </c>
      <c r="M738" s="93" t="s">
        <v>781</v>
      </c>
      <c r="N738" s="14" t="s">
        <v>27</v>
      </c>
      <c r="O738" s="14" t="s">
        <v>28</v>
      </c>
      <c r="P738" s="51">
        <v>7</v>
      </c>
      <c r="Q738" s="47">
        <f t="shared" si="23"/>
        <v>840</v>
      </c>
      <c r="R738" s="47"/>
      <c r="S738" s="47"/>
      <c r="T738" s="47"/>
    </row>
    <row r="739" customHeight="1" spans="1:20">
      <c r="A739" s="107" t="s">
        <v>1528</v>
      </c>
      <c r="B739" s="129" t="s">
        <v>784</v>
      </c>
      <c r="C739" s="129"/>
      <c r="D739" s="107">
        <v>2</v>
      </c>
      <c r="E739" s="129" t="s">
        <v>21</v>
      </c>
      <c r="F739" s="44">
        <f t="shared" si="24"/>
        <v>4</v>
      </c>
      <c r="G739" s="91" t="s">
        <v>1529</v>
      </c>
      <c r="H739" s="46" t="s">
        <v>18</v>
      </c>
      <c r="I739" s="47"/>
      <c r="J739" s="48" t="s">
        <v>42</v>
      </c>
      <c r="K739" s="92" t="s">
        <v>1528</v>
      </c>
      <c r="L739" s="93" t="s">
        <v>780</v>
      </c>
      <c r="M739" s="93" t="s">
        <v>781</v>
      </c>
      <c r="N739" s="14" t="s">
        <v>27</v>
      </c>
      <c r="O739" s="14" t="s">
        <v>28</v>
      </c>
      <c r="P739" s="51">
        <v>11</v>
      </c>
      <c r="Q739" s="47">
        <f t="shared" si="23"/>
        <v>44</v>
      </c>
      <c r="R739" s="47"/>
      <c r="S739" s="47"/>
      <c r="T739" s="47"/>
    </row>
    <row r="740" customHeight="1" spans="1:20">
      <c r="A740" s="107">
        <v>61</v>
      </c>
      <c r="B740" s="129" t="s">
        <v>786</v>
      </c>
      <c r="C740" s="129"/>
      <c r="D740" s="107"/>
      <c r="E740" s="129"/>
      <c r="F740" s="44">
        <f t="shared" si="24"/>
        <v>0</v>
      </c>
      <c r="G740" s="131"/>
      <c r="H740" s="46"/>
      <c r="I740" s="47"/>
      <c r="J740" s="48" t="s">
        <v>42</v>
      </c>
      <c r="K740" s="132"/>
      <c r="L740" s="133"/>
      <c r="M740" s="133"/>
      <c r="O740" s="14" t="s">
        <v>28</v>
      </c>
      <c r="P740" s="51"/>
      <c r="Q740" s="47">
        <f t="shared" si="23"/>
        <v>0</v>
      </c>
      <c r="R740" s="47"/>
      <c r="S740" s="47"/>
      <c r="T740" s="47"/>
    </row>
    <row r="741" customHeight="1" spans="1:20">
      <c r="A741" s="107" t="s">
        <v>1530</v>
      </c>
      <c r="B741" s="129" t="s">
        <v>787</v>
      </c>
      <c r="C741" s="129"/>
      <c r="D741" s="107">
        <v>60</v>
      </c>
      <c r="E741" s="129" t="s">
        <v>221</v>
      </c>
      <c r="F741" s="44">
        <f t="shared" si="24"/>
        <v>120</v>
      </c>
      <c r="G741" s="91" t="s">
        <v>1531</v>
      </c>
      <c r="H741" s="46" t="s">
        <v>18</v>
      </c>
      <c r="I741" s="47"/>
      <c r="J741" s="48" t="s">
        <v>42</v>
      </c>
      <c r="K741" s="92" t="s">
        <v>1530</v>
      </c>
      <c r="L741" s="93" t="s">
        <v>780</v>
      </c>
      <c r="M741" s="93" t="s">
        <v>781</v>
      </c>
      <c r="N741" s="14" t="s">
        <v>27</v>
      </c>
      <c r="O741" s="14" t="s">
        <v>28</v>
      </c>
      <c r="P741" s="51">
        <v>0.7</v>
      </c>
      <c r="Q741" s="47">
        <f t="shared" si="23"/>
        <v>84</v>
      </c>
      <c r="R741" s="47"/>
      <c r="S741" s="47"/>
      <c r="T741" s="47"/>
    </row>
    <row r="742" customHeight="1" spans="1:20">
      <c r="A742" s="107" t="s">
        <v>1532</v>
      </c>
      <c r="B742" s="129" t="s">
        <v>787</v>
      </c>
      <c r="C742" s="129"/>
      <c r="D742" s="107">
        <v>10</v>
      </c>
      <c r="E742" s="129" t="s">
        <v>221</v>
      </c>
      <c r="F742" s="44">
        <f t="shared" si="24"/>
        <v>20</v>
      </c>
      <c r="G742" s="91" t="s">
        <v>1533</v>
      </c>
      <c r="H742" s="46" t="s">
        <v>18</v>
      </c>
      <c r="I742" s="47"/>
      <c r="J742" s="48" t="s">
        <v>42</v>
      </c>
      <c r="K742" s="92" t="s">
        <v>1532</v>
      </c>
      <c r="L742" s="93" t="s">
        <v>780</v>
      </c>
      <c r="M742" s="93" t="s">
        <v>781</v>
      </c>
      <c r="N742" s="14" t="s">
        <v>27</v>
      </c>
      <c r="O742" s="14" t="s">
        <v>28</v>
      </c>
      <c r="P742" s="51">
        <v>2</v>
      </c>
      <c r="Q742" s="47">
        <f t="shared" si="23"/>
        <v>40</v>
      </c>
      <c r="R742" s="47"/>
      <c r="S742" s="47"/>
      <c r="T742" s="47"/>
    </row>
    <row r="743" customHeight="1" spans="1:20">
      <c r="A743" s="107" t="s">
        <v>1534</v>
      </c>
      <c r="B743" s="129" t="s">
        <v>790</v>
      </c>
      <c r="C743" s="129"/>
      <c r="D743" s="107">
        <v>100</v>
      </c>
      <c r="E743" s="129" t="s">
        <v>21</v>
      </c>
      <c r="F743" s="44">
        <f t="shared" si="24"/>
        <v>200</v>
      </c>
      <c r="G743" s="91" t="s">
        <v>1535</v>
      </c>
      <c r="H743" s="46" t="s">
        <v>18</v>
      </c>
      <c r="I743" s="47"/>
      <c r="J743" s="48" t="s">
        <v>42</v>
      </c>
      <c r="K743" s="92">
        <v>61023</v>
      </c>
      <c r="L743" s="93" t="s">
        <v>780</v>
      </c>
      <c r="M743" s="93" t="s">
        <v>781</v>
      </c>
      <c r="N743" s="14" t="s">
        <v>27</v>
      </c>
      <c r="O743" s="14" t="s">
        <v>28</v>
      </c>
      <c r="P743" s="51">
        <v>5</v>
      </c>
      <c r="Q743" s="47">
        <f t="shared" si="23"/>
        <v>1000</v>
      </c>
      <c r="R743" s="47"/>
      <c r="S743" s="47"/>
      <c r="T743" s="47"/>
    </row>
    <row r="744" customHeight="1" spans="1:20">
      <c r="A744" s="107" t="s">
        <v>1536</v>
      </c>
      <c r="B744" s="129" t="s">
        <v>790</v>
      </c>
      <c r="C744" s="129"/>
      <c r="D744" s="107">
        <v>5</v>
      </c>
      <c r="E744" s="129" t="s">
        <v>21</v>
      </c>
      <c r="F744" s="44">
        <f t="shared" si="24"/>
        <v>10</v>
      </c>
      <c r="G744" s="91" t="s">
        <v>1537</v>
      </c>
      <c r="H744" s="46" t="s">
        <v>18</v>
      </c>
      <c r="I744" s="47"/>
      <c r="J744" s="48" t="s">
        <v>42</v>
      </c>
      <c r="K744" s="92">
        <v>61024</v>
      </c>
      <c r="L744" s="93" t="s">
        <v>780</v>
      </c>
      <c r="M744" s="93" t="s">
        <v>781</v>
      </c>
      <c r="N744" s="14" t="s">
        <v>27</v>
      </c>
      <c r="O744" s="14" t="s">
        <v>28</v>
      </c>
      <c r="P744" s="51">
        <v>8</v>
      </c>
      <c r="Q744" s="47">
        <f t="shared" si="23"/>
        <v>80</v>
      </c>
      <c r="R744" s="47"/>
      <c r="S744" s="47"/>
      <c r="T744" s="47"/>
    </row>
    <row r="745" customHeight="1" spans="1:20">
      <c r="A745" s="107" t="s">
        <v>795</v>
      </c>
      <c r="B745" s="129" t="s">
        <v>793</v>
      </c>
      <c r="C745" s="129"/>
      <c r="D745" s="107">
        <v>5</v>
      </c>
      <c r="E745" s="129" t="s">
        <v>21</v>
      </c>
      <c r="F745" s="44">
        <f t="shared" si="24"/>
        <v>10</v>
      </c>
      <c r="G745" s="91" t="s">
        <v>1538</v>
      </c>
      <c r="H745" s="46" t="s">
        <v>18</v>
      </c>
      <c r="I745" s="47"/>
      <c r="J745" s="48" t="s">
        <v>42</v>
      </c>
      <c r="K745" s="92" t="s">
        <v>795</v>
      </c>
      <c r="L745" s="93" t="s">
        <v>780</v>
      </c>
      <c r="M745" s="93" t="s">
        <v>781</v>
      </c>
      <c r="N745" s="14" t="s">
        <v>27</v>
      </c>
      <c r="O745" s="14" t="s">
        <v>28</v>
      </c>
      <c r="P745" s="51">
        <v>15</v>
      </c>
      <c r="Q745" s="47">
        <f t="shared" si="23"/>
        <v>150</v>
      </c>
      <c r="R745" s="47"/>
      <c r="S745" s="47"/>
      <c r="T745" s="47"/>
    </row>
    <row r="746" customHeight="1" spans="1:20">
      <c r="A746" s="107" t="s">
        <v>797</v>
      </c>
      <c r="B746" s="129" t="s">
        <v>793</v>
      </c>
      <c r="C746" s="129"/>
      <c r="D746" s="107">
        <v>5</v>
      </c>
      <c r="E746" s="129" t="s">
        <v>21</v>
      </c>
      <c r="F746" s="44">
        <f t="shared" si="24"/>
        <v>10</v>
      </c>
      <c r="G746" s="91" t="s">
        <v>1539</v>
      </c>
      <c r="H746" s="46" t="s">
        <v>18</v>
      </c>
      <c r="I746" s="47"/>
      <c r="J746" s="48" t="s">
        <v>42</v>
      </c>
      <c r="K746" s="92" t="s">
        <v>797</v>
      </c>
      <c r="L746" s="93" t="s">
        <v>780</v>
      </c>
      <c r="M746" s="93" t="s">
        <v>781</v>
      </c>
      <c r="N746" s="14" t="s">
        <v>27</v>
      </c>
      <c r="O746" s="14" t="s">
        <v>28</v>
      </c>
      <c r="P746" s="51">
        <v>13</v>
      </c>
      <c r="Q746" s="47">
        <f t="shared" si="23"/>
        <v>130</v>
      </c>
      <c r="R746" s="47"/>
      <c r="S746" s="47"/>
      <c r="T746" s="47"/>
    </row>
    <row r="747" customHeight="1" spans="1:20">
      <c r="A747" s="107">
        <v>62</v>
      </c>
      <c r="B747" s="129" t="s">
        <v>38</v>
      </c>
      <c r="C747" s="129"/>
      <c r="D747" s="107"/>
      <c r="E747" s="129"/>
      <c r="F747" s="44">
        <f t="shared" si="24"/>
        <v>0</v>
      </c>
      <c r="G747" s="131"/>
      <c r="H747" s="46"/>
      <c r="I747" s="47"/>
      <c r="J747" s="48"/>
      <c r="K747" s="132"/>
      <c r="L747" s="133"/>
      <c r="M747" s="133"/>
      <c r="O747" s="14" t="s">
        <v>28</v>
      </c>
      <c r="P747" s="51"/>
      <c r="Q747" s="47">
        <f t="shared" si="23"/>
        <v>0</v>
      </c>
      <c r="R747" s="47"/>
      <c r="S747" s="47"/>
      <c r="T747" s="47">
        <v>2</v>
      </c>
    </row>
    <row r="748" customHeight="1" spans="1:20">
      <c r="A748" s="107">
        <v>62001</v>
      </c>
      <c r="B748" s="129" t="s">
        <v>798</v>
      </c>
      <c r="C748" s="129"/>
      <c r="D748" s="107">
        <v>30</v>
      </c>
      <c r="E748" s="129" t="s">
        <v>21</v>
      </c>
      <c r="F748" s="44">
        <f t="shared" si="24"/>
        <v>60</v>
      </c>
      <c r="G748" s="91" t="s">
        <v>1540</v>
      </c>
      <c r="H748" s="46" t="s">
        <v>18</v>
      </c>
      <c r="I748" s="47"/>
      <c r="J748" s="48" t="s">
        <v>42</v>
      </c>
      <c r="K748" s="92">
        <v>62001</v>
      </c>
      <c r="L748" s="93" t="s">
        <v>780</v>
      </c>
      <c r="M748" s="93" t="s">
        <v>781</v>
      </c>
      <c r="N748" s="14" t="s">
        <v>27</v>
      </c>
      <c r="O748" s="14" t="s">
        <v>28</v>
      </c>
      <c r="P748" s="51">
        <v>2.5</v>
      </c>
      <c r="Q748" s="47">
        <f t="shared" si="23"/>
        <v>150</v>
      </c>
      <c r="R748" s="47"/>
      <c r="S748" s="47"/>
      <c r="T748" s="47"/>
    </row>
    <row r="749" customHeight="1" spans="1:20">
      <c r="A749" s="107" t="s">
        <v>1541</v>
      </c>
      <c r="B749" s="129" t="s">
        <v>800</v>
      </c>
      <c r="C749" s="129"/>
      <c r="D749" s="107">
        <v>5</v>
      </c>
      <c r="E749" s="129" t="s">
        <v>21</v>
      </c>
      <c r="F749" s="44">
        <f t="shared" si="24"/>
        <v>10</v>
      </c>
      <c r="G749" s="91" t="s">
        <v>1542</v>
      </c>
      <c r="H749" s="46" t="s">
        <v>18</v>
      </c>
      <c r="I749" s="47"/>
      <c r="J749" s="48" t="s">
        <v>42</v>
      </c>
      <c r="K749" s="92" t="s">
        <v>1541</v>
      </c>
      <c r="L749" s="93" t="s">
        <v>780</v>
      </c>
      <c r="M749" s="93" t="s">
        <v>781</v>
      </c>
      <c r="N749" s="14" t="s">
        <v>27</v>
      </c>
      <c r="O749" s="14" t="s">
        <v>28</v>
      </c>
      <c r="P749" s="51">
        <v>6</v>
      </c>
      <c r="Q749" s="47">
        <f t="shared" si="23"/>
        <v>60</v>
      </c>
      <c r="R749" s="47"/>
      <c r="S749" s="47"/>
      <c r="T749" s="47"/>
    </row>
    <row r="750" customHeight="1" spans="1:20">
      <c r="A750" s="107" t="s">
        <v>1543</v>
      </c>
      <c r="B750" s="129" t="s">
        <v>804</v>
      </c>
      <c r="C750" s="129"/>
      <c r="D750" s="107">
        <v>2</v>
      </c>
      <c r="E750" s="129" t="s">
        <v>221</v>
      </c>
      <c r="F750" s="44">
        <f t="shared" si="24"/>
        <v>4</v>
      </c>
      <c r="G750" s="91" t="s">
        <v>1544</v>
      </c>
      <c r="H750" s="46" t="s">
        <v>18</v>
      </c>
      <c r="I750" s="47"/>
      <c r="J750" s="48" t="s">
        <v>42</v>
      </c>
      <c r="K750" s="92" t="s">
        <v>1543</v>
      </c>
      <c r="L750" s="93" t="s">
        <v>780</v>
      </c>
      <c r="M750" s="93" t="s">
        <v>781</v>
      </c>
      <c r="N750" s="14" t="s">
        <v>27</v>
      </c>
      <c r="O750" s="14" t="s">
        <v>28</v>
      </c>
      <c r="P750" s="51">
        <v>1</v>
      </c>
      <c r="Q750" s="47">
        <f t="shared" si="23"/>
        <v>4</v>
      </c>
      <c r="R750" s="47"/>
      <c r="S750" s="47"/>
      <c r="T750" s="47"/>
    </row>
    <row r="751" customHeight="1" spans="1:20">
      <c r="A751" s="107" t="s">
        <v>1545</v>
      </c>
      <c r="B751" s="129" t="s">
        <v>806</v>
      </c>
      <c r="C751" s="129"/>
      <c r="D751" s="107">
        <v>5</v>
      </c>
      <c r="E751" s="129" t="s">
        <v>21</v>
      </c>
      <c r="F751" s="44">
        <f t="shared" si="24"/>
        <v>10</v>
      </c>
      <c r="G751" s="91" t="s">
        <v>1546</v>
      </c>
      <c r="H751" s="46" t="s">
        <v>18</v>
      </c>
      <c r="I751" s="47"/>
      <c r="J751" s="48" t="s">
        <v>42</v>
      </c>
      <c r="K751" s="92" t="s">
        <v>1545</v>
      </c>
      <c r="L751" s="93" t="s">
        <v>780</v>
      </c>
      <c r="M751" s="93" t="s">
        <v>781</v>
      </c>
      <c r="N751" s="14" t="s">
        <v>27</v>
      </c>
      <c r="O751" s="14" t="s">
        <v>28</v>
      </c>
      <c r="P751" s="51">
        <v>1</v>
      </c>
      <c r="Q751" s="47">
        <f t="shared" si="23"/>
        <v>10</v>
      </c>
      <c r="R751" s="47"/>
      <c r="S751" s="47"/>
      <c r="T751" s="47"/>
    </row>
    <row r="752" customHeight="1" spans="1:20">
      <c r="A752" s="107" t="s">
        <v>1547</v>
      </c>
      <c r="B752" s="129" t="s">
        <v>808</v>
      </c>
      <c r="C752" s="129"/>
      <c r="D752" s="107">
        <f>D466/2</f>
        <v>28</v>
      </c>
      <c r="E752" s="129" t="s">
        <v>221</v>
      </c>
      <c r="F752" s="44">
        <f t="shared" si="24"/>
        <v>56</v>
      </c>
      <c r="G752" s="131" t="s">
        <v>1548</v>
      </c>
      <c r="H752" s="46" t="s">
        <v>18</v>
      </c>
      <c r="I752" s="47"/>
      <c r="J752" s="48" t="s">
        <v>42</v>
      </c>
      <c r="K752" s="132" t="s">
        <v>1547</v>
      </c>
      <c r="L752" s="133" t="s">
        <v>780</v>
      </c>
      <c r="M752" s="133" t="s">
        <v>781</v>
      </c>
      <c r="N752" s="14" t="s">
        <v>27</v>
      </c>
      <c r="O752" s="14" t="s">
        <v>28</v>
      </c>
      <c r="P752" s="51">
        <v>15</v>
      </c>
      <c r="Q752" s="47">
        <f t="shared" si="23"/>
        <v>840</v>
      </c>
      <c r="R752" s="47"/>
      <c r="S752" s="47"/>
      <c r="T752" s="47"/>
    </row>
    <row r="753" customHeight="1" spans="1:20">
      <c r="A753" s="107" t="s">
        <v>1549</v>
      </c>
      <c r="B753" s="129" t="s">
        <v>810</v>
      </c>
      <c r="C753" s="129"/>
      <c r="D753" s="107"/>
      <c r="E753" s="129"/>
      <c r="F753" s="44">
        <f t="shared" si="24"/>
        <v>0</v>
      </c>
      <c r="G753" s="131"/>
      <c r="H753" s="46"/>
      <c r="I753" s="47"/>
      <c r="J753" s="48" t="s">
        <v>42</v>
      </c>
      <c r="K753" s="132"/>
      <c r="L753" s="133"/>
      <c r="M753" s="133"/>
      <c r="O753" s="14" t="s">
        <v>28</v>
      </c>
      <c r="P753" s="51"/>
      <c r="Q753" s="47">
        <f t="shared" si="23"/>
        <v>0</v>
      </c>
      <c r="R753" s="47"/>
      <c r="S753" s="47"/>
      <c r="T753" s="47"/>
    </row>
    <row r="754" customHeight="1" spans="1:20">
      <c r="A754" s="107" t="s">
        <v>1550</v>
      </c>
      <c r="B754" s="129" t="s">
        <v>811</v>
      </c>
      <c r="C754" s="129"/>
      <c r="D754" s="107">
        <v>1</v>
      </c>
      <c r="E754" s="129" t="s">
        <v>221</v>
      </c>
      <c r="F754" s="44">
        <f t="shared" si="24"/>
        <v>2</v>
      </c>
      <c r="G754" s="85" t="s">
        <v>1551</v>
      </c>
      <c r="H754" s="46" t="s">
        <v>18</v>
      </c>
      <c r="I754" s="47"/>
      <c r="J754" s="48" t="s">
        <v>42</v>
      </c>
      <c r="K754" s="86" t="s">
        <v>1550</v>
      </c>
      <c r="L754" s="87" t="s">
        <v>780</v>
      </c>
      <c r="M754" s="87" t="s">
        <v>781</v>
      </c>
      <c r="N754" s="14" t="s">
        <v>27</v>
      </c>
      <c r="O754" s="14" t="s">
        <v>28</v>
      </c>
      <c r="P754" s="51">
        <v>2.5</v>
      </c>
      <c r="Q754" s="47">
        <f t="shared" si="23"/>
        <v>5</v>
      </c>
      <c r="R754" s="47"/>
      <c r="S754" s="47"/>
      <c r="T754" s="47"/>
    </row>
    <row r="755" customHeight="1" spans="1:20">
      <c r="A755" s="107"/>
      <c r="B755" s="129" t="s">
        <v>813</v>
      </c>
      <c r="C755" s="129"/>
      <c r="D755" s="107">
        <v>30</v>
      </c>
      <c r="E755" s="129" t="s">
        <v>21</v>
      </c>
      <c r="F755" s="44">
        <f t="shared" si="24"/>
        <v>60</v>
      </c>
      <c r="G755" s="85" t="s">
        <v>814</v>
      </c>
      <c r="H755" s="46" t="s">
        <v>18</v>
      </c>
      <c r="I755" s="47"/>
      <c r="J755" s="48" t="s">
        <v>42</v>
      </c>
      <c r="K755" s="86">
        <v>82014</v>
      </c>
      <c r="L755" s="87" t="s">
        <v>780</v>
      </c>
      <c r="M755" s="87" t="s">
        <v>781</v>
      </c>
      <c r="N755" s="14" t="s">
        <v>27</v>
      </c>
      <c r="O755" s="14" t="s">
        <v>28</v>
      </c>
      <c r="P755" s="51">
        <v>1.4</v>
      </c>
      <c r="Q755" s="47">
        <f t="shared" si="23"/>
        <v>84</v>
      </c>
      <c r="R755" s="47"/>
      <c r="S755" s="47"/>
      <c r="T755" s="47"/>
    </row>
    <row r="756" customHeight="1" spans="1:20">
      <c r="A756" s="107" t="s">
        <v>1552</v>
      </c>
      <c r="B756" s="129" t="s">
        <v>815</v>
      </c>
      <c r="C756" s="129"/>
      <c r="D756" s="107">
        <v>1.5</v>
      </c>
      <c r="E756" s="129" t="s">
        <v>816</v>
      </c>
      <c r="F756" s="44">
        <f t="shared" si="24"/>
        <v>3</v>
      </c>
      <c r="G756" s="91" t="s">
        <v>1553</v>
      </c>
      <c r="H756" s="46" t="s">
        <v>18</v>
      </c>
      <c r="I756" s="47"/>
      <c r="J756" s="48" t="s">
        <v>42</v>
      </c>
      <c r="K756" s="92" t="s">
        <v>1552</v>
      </c>
      <c r="L756" s="93" t="s">
        <v>780</v>
      </c>
      <c r="M756" s="93" t="s">
        <v>781</v>
      </c>
      <c r="N756" s="14" t="s">
        <v>27</v>
      </c>
      <c r="O756" s="14" t="s">
        <v>28</v>
      </c>
      <c r="P756" s="51">
        <v>12</v>
      </c>
      <c r="Q756" s="47">
        <f t="shared" si="23"/>
        <v>36</v>
      </c>
      <c r="R756" s="47"/>
      <c r="S756" s="47"/>
      <c r="T756" s="47"/>
    </row>
    <row r="757" customHeight="1" spans="1:20">
      <c r="A757" s="107" t="s">
        <v>1554</v>
      </c>
      <c r="B757" s="129" t="s">
        <v>818</v>
      </c>
      <c r="C757" s="129"/>
      <c r="D757" s="107">
        <v>5</v>
      </c>
      <c r="E757" s="129" t="s">
        <v>819</v>
      </c>
      <c r="F757" s="44">
        <f t="shared" si="24"/>
        <v>10</v>
      </c>
      <c r="G757" s="85" t="s">
        <v>1555</v>
      </c>
      <c r="H757" s="46" t="s">
        <v>18</v>
      </c>
      <c r="I757" s="47"/>
      <c r="J757" s="48" t="s">
        <v>42</v>
      </c>
      <c r="K757" s="86" t="s">
        <v>1554</v>
      </c>
      <c r="L757" s="87" t="s">
        <v>780</v>
      </c>
      <c r="M757" s="87" t="s">
        <v>781</v>
      </c>
      <c r="N757" s="14" t="s">
        <v>27</v>
      </c>
      <c r="O757" s="14" t="s">
        <v>28</v>
      </c>
      <c r="P757" s="51">
        <v>3</v>
      </c>
      <c r="Q757" s="47">
        <f t="shared" si="23"/>
        <v>30</v>
      </c>
      <c r="R757" s="47"/>
      <c r="S757" s="47"/>
      <c r="T757" s="47"/>
    </row>
    <row r="758" customHeight="1" spans="1:20">
      <c r="A758" s="107" t="s">
        <v>1556</v>
      </c>
      <c r="B758" s="129" t="s">
        <v>1557</v>
      </c>
      <c r="C758" s="129"/>
      <c r="D758" s="107">
        <v>28</v>
      </c>
      <c r="E758" s="129" t="s">
        <v>21</v>
      </c>
      <c r="F758" s="44">
        <f t="shared" si="24"/>
        <v>56</v>
      </c>
      <c r="G758" s="85" t="s">
        <v>1558</v>
      </c>
      <c r="H758" s="46" t="s">
        <v>18</v>
      </c>
      <c r="I758" s="47"/>
      <c r="J758" s="48" t="s">
        <v>42</v>
      </c>
      <c r="K758" s="86" t="s">
        <v>1556</v>
      </c>
      <c r="L758" s="87" t="s">
        <v>780</v>
      </c>
      <c r="M758" s="87" t="s">
        <v>781</v>
      </c>
      <c r="N758" s="14" t="s">
        <v>27</v>
      </c>
      <c r="O758" s="14" t="s">
        <v>28</v>
      </c>
      <c r="P758" s="51">
        <v>3</v>
      </c>
      <c r="Q758" s="47">
        <f t="shared" si="23"/>
        <v>168</v>
      </c>
      <c r="R758" s="47"/>
      <c r="S758" s="47"/>
      <c r="T758" s="47"/>
    </row>
    <row r="759" customHeight="1" spans="1:20">
      <c r="A759" s="75" t="s">
        <v>821</v>
      </c>
      <c r="B759" s="142" t="s">
        <v>822</v>
      </c>
      <c r="C759" s="142"/>
      <c r="D759" s="107"/>
      <c r="E759" s="129"/>
      <c r="F759" s="44">
        <f t="shared" si="24"/>
        <v>0</v>
      </c>
      <c r="G759" s="85"/>
      <c r="H759" s="46"/>
      <c r="I759" s="47"/>
      <c r="J759" s="48" t="s">
        <v>42</v>
      </c>
      <c r="K759" s="86"/>
      <c r="L759" s="87"/>
      <c r="M759" s="87"/>
      <c r="O759" s="14" t="s">
        <v>28</v>
      </c>
      <c r="P759" s="51"/>
      <c r="Q759" s="47">
        <f t="shared" si="23"/>
        <v>0</v>
      </c>
      <c r="R759" s="47"/>
      <c r="S759" s="47"/>
      <c r="T759" s="47">
        <v>8</v>
      </c>
    </row>
    <row r="760" customHeight="1" spans="1:20">
      <c r="A760" s="107">
        <v>80</v>
      </c>
      <c r="B760" s="129" t="s">
        <v>823</v>
      </c>
      <c r="C760" s="129"/>
      <c r="D760" s="107"/>
      <c r="E760" s="129"/>
      <c r="F760" s="44">
        <f t="shared" si="24"/>
        <v>0</v>
      </c>
      <c r="G760" s="85"/>
      <c r="H760" s="46"/>
      <c r="I760" s="47"/>
      <c r="J760" s="48" t="s">
        <v>42</v>
      </c>
      <c r="K760" s="86"/>
      <c r="L760" s="87"/>
      <c r="M760" s="87"/>
      <c r="O760" s="14" t="s">
        <v>28</v>
      </c>
      <c r="P760" s="51"/>
      <c r="Q760" s="47">
        <f t="shared" si="23"/>
        <v>0</v>
      </c>
      <c r="R760" s="47"/>
      <c r="S760" s="47"/>
      <c r="T760" s="47">
        <v>80</v>
      </c>
    </row>
    <row r="761" customHeight="1" spans="1:20">
      <c r="A761" s="107" t="s">
        <v>1559</v>
      </c>
      <c r="B761" s="129" t="s">
        <v>824</v>
      </c>
      <c r="C761" s="129"/>
      <c r="D761" s="107">
        <f>D466/2</f>
        <v>28</v>
      </c>
      <c r="E761" s="129" t="s">
        <v>32</v>
      </c>
      <c r="F761" s="44">
        <f t="shared" si="24"/>
        <v>56</v>
      </c>
      <c r="G761" s="85" t="s">
        <v>1560</v>
      </c>
      <c r="H761" s="46" t="s">
        <v>18</v>
      </c>
      <c r="I761" s="47"/>
      <c r="J761" s="48" t="s">
        <v>42</v>
      </c>
      <c r="K761" s="86" t="s">
        <v>1559</v>
      </c>
      <c r="L761" s="87" t="s">
        <v>25</v>
      </c>
      <c r="M761" s="87" t="s">
        <v>26</v>
      </c>
      <c r="N761" s="14" t="s">
        <v>27</v>
      </c>
      <c r="O761" s="14" t="s">
        <v>28</v>
      </c>
      <c r="P761" s="51">
        <v>40</v>
      </c>
      <c r="Q761" s="47">
        <f t="shared" si="23"/>
        <v>2240</v>
      </c>
      <c r="R761" s="47"/>
      <c r="S761" s="47"/>
      <c r="T761" s="47">
        <v>80101</v>
      </c>
    </row>
    <row r="762" customHeight="1" spans="1:20">
      <c r="A762" s="107" t="s">
        <v>1561</v>
      </c>
      <c r="B762" s="129" t="s">
        <v>1562</v>
      </c>
      <c r="C762" s="129"/>
      <c r="D762" s="107">
        <f>D466/2</f>
        <v>28</v>
      </c>
      <c r="E762" s="129" t="s">
        <v>32</v>
      </c>
      <c r="F762" s="44">
        <f t="shared" si="24"/>
        <v>56</v>
      </c>
      <c r="G762" s="85" t="s">
        <v>1563</v>
      </c>
      <c r="H762" s="46" t="s">
        <v>18</v>
      </c>
      <c r="I762" s="47"/>
      <c r="J762" s="48" t="s">
        <v>42</v>
      </c>
      <c r="K762" s="86" t="s">
        <v>1561</v>
      </c>
      <c r="L762" s="87" t="s">
        <v>25</v>
      </c>
      <c r="M762" s="87" t="s">
        <v>26</v>
      </c>
      <c r="N762" s="14" t="s">
        <v>27</v>
      </c>
      <c r="O762" s="14" t="s">
        <v>28</v>
      </c>
      <c r="P762" s="51">
        <v>70</v>
      </c>
      <c r="Q762" s="47">
        <f t="shared" si="23"/>
        <v>3920</v>
      </c>
      <c r="R762" s="47"/>
      <c r="S762" s="47"/>
      <c r="T762" s="47"/>
    </row>
    <row r="763" customHeight="1" spans="1:20">
      <c r="A763" s="107" t="s">
        <v>1564</v>
      </c>
      <c r="B763" s="129" t="s">
        <v>1565</v>
      </c>
      <c r="C763" s="129"/>
      <c r="D763" s="107">
        <v>5</v>
      </c>
      <c r="E763" s="129" t="s">
        <v>32</v>
      </c>
      <c r="F763" s="44">
        <f t="shared" si="24"/>
        <v>10</v>
      </c>
      <c r="G763" s="85" t="s">
        <v>1566</v>
      </c>
      <c r="H763" s="46" t="s">
        <v>18</v>
      </c>
      <c r="I763" s="47"/>
      <c r="J763" s="48" t="s">
        <v>42</v>
      </c>
      <c r="K763" s="86" t="s">
        <v>1564</v>
      </c>
      <c r="L763" s="87" t="s">
        <v>25</v>
      </c>
      <c r="M763" s="87" t="s">
        <v>26</v>
      </c>
      <c r="N763" s="14" t="s">
        <v>27</v>
      </c>
      <c r="O763" s="14" t="s">
        <v>28</v>
      </c>
      <c r="P763" s="51">
        <v>105</v>
      </c>
      <c r="Q763" s="47">
        <f t="shared" si="23"/>
        <v>1050</v>
      </c>
      <c r="R763" s="47"/>
      <c r="S763" s="47"/>
      <c r="T763" s="47"/>
    </row>
    <row r="764" customHeight="1" spans="1:20">
      <c r="A764" s="107" t="s">
        <v>1567</v>
      </c>
      <c r="B764" s="129" t="s">
        <v>828</v>
      </c>
      <c r="C764" s="129"/>
      <c r="D764" s="107">
        <v>5</v>
      </c>
      <c r="E764" s="129" t="s">
        <v>32</v>
      </c>
      <c r="F764" s="44">
        <f t="shared" si="24"/>
        <v>10</v>
      </c>
      <c r="G764" s="85" t="s">
        <v>1568</v>
      </c>
      <c r="H764" s="46" t="s">
        <v>18</v>
      </c>
      <c r="I764" s="47"/>
      <c r="J764" s="48" t="s">
        <v>42</v>
      </c>
      <c r="K764" s="86" t="s">
        <v>1567</v>
      </c>
      <c r="L764" s="87" t="s">
        <v>25</v>
      </c>
      <c r="M764" s="87" t="s">
        <v>26</v>
      </c>
      <c r="N764" s="14" t="s">
        <v>27</v>
      </c>
      <c r="O764" s="14" t="s">
        <v>28</v>
      </c>
      <c r="P764" s="51">
        <v>105</v>
      </c>
      <c r="Q764" s="47">
        <f t="shared" si="23"/>
        <v>1050</v>
      </c>
      <c r="R764" s="47"/>
      <c r="S764" s="47"/>
      <c r="T764" s="47">
        <v>80104</v>
      </c>
    </row>
    <row r="765" customHeight="1" spans="1:20">
      <c r="A765" s="107" t="s">
        <v>1569</v>
      </c>
      <c r="B765" s="129" t="s">
        <v>830</v>
      </c>
      <c r="C765" s="129"/>
      <c r="D765" s="107">
        <v>5</v>
      </c>
      <c r="E765" s="129" t="s">
        <v>32</v>
      </c>
      <c r="F765" s="44">
        <f t="shared" si="24"/>
        <v>10</v>
      </c>
      <c r="G765" s="85" t="s">
        <v>1570</v>
      </c>
      <c r="H765" s="46" t="s">
        <v>18</v>
      </c>
      <c r="I765" s="47"/>
      <c r="J765" s="48" t="s">
        <v>42</v>
      </c>
      <c r="K765" s="86" t="s">
        <v>1569</v>
      </c>
      <c r="L765" s="87" t="s">
        <v>25</v>
      </c>
      <c r="M765" s="87" t="s">
        <v>26</v>
      </c>
      <c r="N765" s="14" t="s">
        <v>27</v>
      </c>
      <c r="O765" s="14" t="s">
        <v>28</v>
      </c>
      <c r="P765" s="51">
        <v>70</v>
      </c>
      <c r="Q765" s="47">
        <f t="shared" si="23"/>
        <v>700</v>
      </c>
      <c r="R765" s="47"/>
      <c r="S765" s="47"/>
      <c r="T765" s="47">
        <v>80105</v>
      </c>
    </row>
    <row r="766" customHeight="1" spans="1:20">
      <c r="A766" s="107" t="s">
        <v>1571</v>
      </c>
      <c r="B766" s="129" t="s">
        <v>832</v>
      </c>
      <c r="C766" s="129"/>
      <c r="D766" s="107">
        <f>D466</f>
        <v>56</v>
      </c>
      <c r="E766" s="129" t="s">
        <v>32</v>
      </c>
      <c r="F766" s="44">
        <f t="shared" si="24"/>
        <v>112</v>
      </c>
      <c r="G766" s="117" t="s">
        <v>1572</v>
      </c>
      <c r="H766" s="46" t="s">
        <v>18</v>
      </c>
      <c r="I766" s="47"/>
      <c r="J766" s="48" t="s">
        <v>42</v>
      </c>
      <c r="K766" s="118" t="s">
        <v>1571</v>
      </c>
      <c r="L766" s="119" t="s">
        <v>25</v>
      </c>
      <c r="M766" s="119" t="s">
        <v>26</v>
      </c>
      <c r="N766" s="14" t="s">
        <v>27</v>
      </c>
      <c r="O766" s="14" t="s">
        <v>28</v>
      </c>
      <c r="P766" s="51">
        <v>6</v>
      </c>
      <c r="Q766" s="47">
        <f t="shared" si="23"/>
        <v>672</v>
      </c>
      <c r="R766" s="47"/>
      <c r="S766" s="47"/>
      <c r="T766" s="47">
        <v>80106</v>
      </c>
    </row>
    <row r="767" customHeight="1" spans="1:20">
      <c r="A767" s="107" t="s">
        <v>1573</v>
      </c>
      <c r="B767" s="129" t="s">
        <v>1574</v>
      </c>
      <c r="C767" s="129"/>
      <c r="D767" s="107">
        <f>D466</f>
        <v>56</v>
      </c>
      <c r="E767" s="129" t="s">
        <v>32</v>
      </c>
      <c r="F767" s="44">
        <f t="shared" si="24"/>
        <v>112</v>
      </c>
      <c r="G767" s="117" t="s">
        <v>1575</v>
      </c>
      <c r="H767" s="46" t="s">
        <v>18</v>
      </c>
      <c r="I767" s="47"/>
      <c r="J767" s="48" t="s">
        <v>42</v>
      </c>
      <c r="K767" s="118" t="s">
        <v>1573</v>
      </c>
      <c r="L767" s="119" t="s">
        <v>25</v>
      </c>
      <c r="M767" s="119" t="s">
        <v>26</v>
      </c>
      <c r="N767" s="14" t="s">
        <v>27</v>
      </c>
      <c r="O767" s="14" t="s">
        <v>28</v>
      </c>
      <c r="P767" s="51">
        <v>12</v>
      </c>
      <c r="Q767" s="47">
        <f t="shared" si="23"/>
        <v>1344</v>
      </c>
      <c r="R767" s="47"/>
      <c r="S767" s="47"/>
      <c r="T767" s="47"/>
    </row>
    <row r="768" customHeight="1" spans="1:20">
      <c r="A768" s="43">
        <v>80108</v>
      </c>
      <c r="B768" s="78" t="s">
        <v>834</v>
      </c>
      <c r="C768" s="78"/>
      <c r="D768" s="107">
        <f>D466</f>
        <v>56</v>
      </c>
      <c r="E768" s="78" t="s">
        <v>21</v>
      </c>
      <c r="F768" s="44">
        <f t="shared" si="24"/>
        <v>112</v>
      </c>
      <c r="G768" s="85" t="s">
        <v>1576</v>
      </c>
      <c r="H768" s="46" t="s">
        <v>18</v>
      </c>
      <c r="I768" s="47"/>
      <c r="J768" s="48" t="s">
        <v>42</v>
      </c>
      <c r="K768" s="86">
        <v>80108</v>
      </c>
      <c r="L768" s="87" t="s">
        <v>836</v>
      </c>
      <c r="M768" s="87" t="s">
        <v>837</v>
      </c>
      <c r="N768" s="14" t="s">
        <v>27</v>
      </c>
      <c r="O768" s="14" t="s">
        <v>28</v>
      </c>
      <c r="P768" s="51">
        <v>28</v>
      </c>
      <c r="Q768" s="47">
        <f t="shared" si="23"/>
        <v>3136</v>
      </c>
      <c r="R768" s="47"/>
      <c r="S768" s="47"/>
      <c r="T768" s="47">
        <v>80108</v>
      </c>
    </row>
    <row r="769" customHeight="1" spans="1:20">
      <c r="A769" s="43">
        <v>80109</v>
      </c>
      <c r="B769" s="78" t="s">
        <v>838</v>
      </c>
      <c r="C769" s="78"/>
      <c r="D769" s="107">
        <v>100</v>
      </c>
      <c r="E769" s="78" t="s">
        <v>142</v>
      </c>
      <c r="F769" s="44">
        <f t="shared" si="24"/>
        <v>200</v>
      </c>
      <c r="G769" s="85" t="s">
        <v>1577</v>
      </c>
      <c r="H769" s="46" t="s">
        <v>18</v>
      </c>
      <c r="I769" s="47"/>
      <c r="J769" s="48" t="s">
        <v>42</v>
      </c>
      <c r="K769" s="86">
        <v>80109</v>
      </c>
      <c r="L769" s="87" t="s">
        <v>840</v>
      </c>
      <c r="M769" s="87" t="s">
        <v>841</v>
      </c>
      <c r="N769" s="14" t="s">
        <v>27</v>
      </c>
      <c r="O769" s="14" t="s">
        <v>28</v>
      </c>
      <c r="P769" s="51">
        <v>4.5</v>
      </c>
      <c r="Q769" s="47">
        <f t="shared" si="23"/>
        <v>900</v>
      </c>
      <c r="R769" s="47"/>
      <c r="S769" s="47"/>
      <c r="T769" s="47">
        <v>80109</v>
      </c>
    </row>
    <row r="770" customHeight="1" spans="1:20">
      <c r="A770" s="43">
        <v>80110</v>
      </c>
      <c r="B770" s="78" t="s">
        <v>1578</v>
      </c>
      <c r="C770" s="78"/>
      <c r="D770" s="107">
        <v>100</v>
      </c>
      <c r="E770" s="78" t="s">
        <v>21</v>
      </c>
      <c r="F770" s="44">
        <f t="shared" si="24"/>
        <v>200</v>
      </c>
      <c r="G770" s="85" t="s">
        <v>1579</v>
      </c>
      <c r="H770" s="46" t="s">
        <v>18</v>
      </c>
      <c r="I770" s="47"/>
      <c r="J770" s="48" t="s">
        <v>42</v>
      </c>
      <c r="K770" s="86">
        <v>80110</v>
      </c>
      <c r="L770" s="87" t="s">
        <v>25</v>
      </c>
      <c r="M770" s="87" t="s">
        <v>26</v>
      </c>
      <c r="N770" s="14" t="s">
        <v>27</v>
      </c>
      <c r="O770" s="14" t="s">
        <v>28</v>
      </c>
      <c r="P770" s="51">
        <v>0.45</v>
      </c>
      <c r="Q770" s="47">
        <f t="shared" si="23"/>
        <v>90</v>
      </c>
      <c r="R770" s="47"/>
      <c r="S770" s="47"/>
      <c r="T770" s="47"/>
    </row>
    <row r="771" customHeight="1" spans="1:20">
      <c r="A771" s="43">
        <v>80111</v>
      </c>
      <c r="B771" s="78" t="s">
        <v>844</v>
      </c>
      <c r="C771" s="78"/>
      <c r="D771" s="43">
        <v>2</v>
      </c>
      <c r="E771" s="78" t="s">
        <v>845</v>
      </c>
      <c r="F771" s="44">
        <f t="shared" si="24"/>
        <v>4</v>
      </c>
      <c r="G771" s="85" t="s">
        <v>846</v>
      </c>
      <c r="H771" s="46" t="s">
        <v>18</v>
      </c>
      <c r="I771" s="47"/>
      <c r="J771" s="48" t="s">
        <v>42</v>
      </c>
      <c r="K771" s="86">
        <v>80111</v>
      </c>
      <c r="L771" s="87" t="s">
        <v>847</v>
      </c>
      <c r="M771" s="87" t="s">
        <v>848</v>
      </c>
      <c r="N771" s="14" t="s">
        <v>27</v>
      </c>
      <c r="O771" s="14" t="s">
        <v>28</v>
      </c>
      <c r="P771" s="51">
        <v>15</v>
      </c>
      <c r="Q771" s="47">
        <f t="shared" si="23"/>
        <v>60</v>
      </c>
      <c r="R771" s="47"/>
      <c r="S771" s="47"/>
      <c r="T771" s="47">
        <v>80111</v>
      </c>
    </row>
    <row r="772" customHeight="1" spans="1:20">
      <c r="A772" s="43">
        <v>80112</v>
      </c>
      <c r="B772" s="78" t="s">
        <v>849</v>
      </c>
      <c r="C772" s="78"/>
      <c r="D772" s="43">
        <v>2</v>
      </c>
      <c r="E772" s="78" t="s">
        <v>47</v>
      </c>
      <c r="F772" s="44">
        <f t="shared" si="24"/>
        <v>4</v>
      </c>
      <c r="G772" s="85" t="s">
        <v>850</v>
      </c>
      <c r="H772" s="46" t="s">
        <v>18</v>
      </c>
      <c r="I772" s="47"/>
      <c r="J772" s="48" t="s">
        <v>42</v>
      </c>
      <c r="K772" s="86">
        <v>80112</v>
      </c>
      <c r="L772" s="87" t="s">
        <v>25</v>
      </c>
      <c r="M772" s="87" t="s">
        <v>26</v>
      </c>
      <c r="N772" s="14" t="s">
        <v>27</v>
      </c>
      <c r="O772" s="14" t="s">
        <v>28</v>
      </c>
      <c r="P772" s="51">
        <v>25</v>
      </c>
      <c r="Q772" s="47">
        <f t="shared" ref="Q772:Q835" si="25">P772*F772</f>
        <v>100</v>
      </c>
      <c r="R772" s="47"/>
      <c r="S772" s="47"/>
      <c r="T772" s="47">
        <v>80112</v>
      </c>
    </row>
    <row r="773" customHeight="1" spans="1:20">
      <c r="A773" s="43"/>
      <c r="B773" s="78" t="s">
        <v>875</v>
      </c>
      <c r="C773" s="78"/>
      <c r="D773" s="43"/>
      <c r="E773" s="78"/>
      <c r="F773" s="44">
        <f t="shared" si="24"/>
        <v>0</v>
      </c>
      <c r="G773" s="85"/>
      <c r="H773" s="46"/>
      <c r="I773" s="47"/>
      <c r="J773" s="48" t="s">
        <v>42</v>
      </c>
      <c r="K773" s="86"/>
      <c r="L773" s="87"/>
      <c r="M773" s="87"/>
      <c r="O773" s="14" t="s">
        <v>28</v>
      </c>
      <c r="P773" s="51"/>
      <c r="Q773" s="47">
        <f t="shared" si="25"/>
        <v>0</v>
      </c>
      <c r="R773" s="47"/>
      <c r="S773" s="47"/>
      <c r="T773" s="47"/>
    </row>
    <row r="774" customHeight="1" spans="1:20">
      <c r="A774" s="43">
        <v>80131</v>
      </c>
      <c r="B774" s="78" t="s">
        <v>1580</v>
      </c>
      <c r="C774" s="78"/>
      <c r="D774" s="43">
        <f>D466/2</f>
        <v>28</v>
      </c>
      <c r="E774" s="78" t="s">
        <v>32</v>
      </c>
      <c r="F774" s="44">
        <f t="shared" si="24"/>
        <v>56</v>
      </c>
      <c r="G774" s="120" t="s">
        <v>1581</v>
      </c>
      <c r="H774" s="46" t="s">
        <v>18</v>
      </c>
      <c r="I774" s="47"/>
      <c r="J774" s="48" t="s">
        <v>42</v>
      </c>
      <c r="K774" s="121">
        <v>80131</v>
      </c>
      <c r="L774" s="122" t="s">
        <v>25</v>
      </c>
      <c r="M774" s="122" t="s">
        <v>26</v>
      </c>
      <c r="N774" s="14" t="s">
        <v>27</v>
      </c>
      <c r="O774" s="14" t="s">
        <v>28</v>
      </c>
      <c r="P774" s="51">
        <v>35</v>
      </c>
      <c r="Q774" s="47">
        <f t="shared" si="25"/>
        <v>1960</v>
      </c>
      <c r="R774" s="47"/>
      <c r="S774" s="47"/>
      <c r="T774" s="47"/>
    </row>
    <row r="775" ht="45" customHeight="1" spans="1:20">
      <c r="A775" s="43">
        <v>80132</v>
      </c>
      <c r="B775" s="78" t="s">
        <v>1582</v>
      </c>
      <c r="C775" s="78"/>
      <c r="D775" s="43">
        <f>D466/2</f>
        <v>28</v>
      </c>
      <c r="E775" s="78" t="s">
        <v>32</v>
      </c>
      <c r="F775" s="44">
        <f t="shared" si="24"/>
        <v>56</v>
      </c>
      <c r="G775" s="155" t="s">
        <v>1583</v>
      </c>
      <c r="H775" s="46" t="s">
        <v>18</v>
      </c>
      <c r="I775" s="47"/>
      <c r="J775" s="48" t="s">
        <v>1584</v>
      </c>
      <c r="K775" s="156" t="s">
        <v>1585</v>
      </c>
      <c r="L775" s="157" t="s">
        <v>1586</v>
      </c>
      <c r="M775" s="157" t="s">
        <v>1587</v>
      </c>
      <c r="N775" s="14" t="s">
        <v>27</v>
      </c>
      <c r="O775" s="14" t="s">
        <v>28</v>
      </c>
      <c r="P775" s="51">
        <v>45</v>
      </c>
      <c r="Q775" s="47">
        <f t="shared" si="25"/>
        <v>2520</v>
      </c>
      <c r="R775" s="47"/>
      <c r="S775" s="47"/>
      <c r="T775" s="47"/>
    </row>
    <row r="776" customHeight="1" spans="1:20">
      <c r="A776" s="43">
        <v>80133</v>
      </c>
      <c r="B776" s="78" t="s">
        <v>1588</v>
      </c>
      <c r="C776" s="78"/>
      <c r="D776" s="43">
        <f>D466/2</f>
        <v>28</v>
      </c>
      <c r="E776" s="78" t="s">
        <v>32</v>
      </c>
      <c r="F776" s="44">
        <f t="shared" si="24"/>
        <v>56</v>
      </c>
      <c r="G776" s="120" t="s">
        <v>1589</v>
      </c>
      <c r="H776" s="46" t="s">
        <v>18</v>
      </c>
      <c r="I776" s="47"/>
      <c r="J776" s="48" t="s">
        <v>42</v>
      </c>
      <c r="K776" s="121">
        <v>80133</v>
      </c>
      <c r="L776" s="122" t="s">
        <v>25</v>
      </c>
      <c r="M776" s="122" t="s">
        <v>26</v>
      </c>
      <c r="N776" s="14" t="s">
        <v>27</v>
      </c>
      <c r="O776" s="14" t="s">
        <v>28</v>
      </c>
      <c r="P776" s="51">
        <v>45</v>
      </c>
      <c r="Q776" s="47">
        <f t="shared" si="25"/>
        <v>2520</v>
      </c>
      <c r="R776" s="47"/>
      <c r="S776" s="47"/>
      <c r="T776" s="47"/>
    </row>
    <row r="777" customHeight="1" spans="1:20">
      <c r="A777" s="43">
        <v>80134</v>
      </c>
      <c r="B777" s="78" t="s">
        <v>1590</v>
      </c>
      <c r="C777" s="78"/>
      <c r="D777" s="43">
        <f>D466/2</f>
        <v>28</v>
      </c>
      <c r="E777" s="78" t="s">
        <v>32</v>
      </c>
      <c r="F777" s="44">
        <f t="shared" si="24"/>
        <v>56</v>
      </c>
      <c r="G777" s="85" t="s">
        <v>1591</v>
      </c>
      <c r="H777" s="46" t="s">
        <v>18</v>
      </c>
      <c r="I777" s="47"/>
      <c r="J777" s="48" t="s">
        <v>42</v>
      </c>
      <c r="K777" s="86">
        <v>80134</v>
      </c>
      <c r="L777" s="87" t="s">
        <v>25</v>
      </c>
      <c r="M777" s="87" t="s">
        <v>26</v>
      </c>
      <c r="N777" s="14" t="s">
        <v>27</v>
      </c>
      <c r="O777" s="14" t="s">
        <v>28</v>
      </c>
      <c r="P777" s="51">
        <v>45</v>
      </c>
      <c r="Q777" s="47">
        <f t="shared" si="25"/>
        <v>2520</v>
      </c>
      <c r="R777" s="47"/>
      <c r="S777" s="47"/>
      <c r="T777" s="47"/>
    </row>
    <row r="778" customHeight="1" spans="1:20">
      <c r="A778" s="43">
        <v>80135</v>
      </c>
      <c r="B778" s="78" t="s">
        <v>1592</v>
      </c>
      <c r="C778" s="78"/>
      <c r="D778" s="43">
        <f>D466/2</f>
        <v>28</v>
      </c>
      <c r="E778" s="78" t="s">
        <v>32</v>
      </c>
      <c r="F778" s="44">
        <f t="shared" si="24"/>
        <v>56</v>
      </c>
      <c r="G778" s="85" t="s">
        <v>1593</v>
      </c>
      <c r="H778" s="46" t="s">
        <v>18</v>
      </c>
      <c r="I778" s="47"/>
      <c r="J778" s="48" t="s">
        <v>42</v>
      </c>
      <c r="K778" s="86">
        <v>80135</v>
      </c>
      <c r="L778" s="87" t="s">
        <v>25</v>
      </c>
      <c r="M778" s="87" t="s">
        <v>26</v>
      </c>
      <c r="N778" s="14" t="s">
        <v>27</v>
      </c>
      <c r="O778" s="14" t="s">
        <v>28</v>
      </c>
      <c r="P778" s="51">
        <v>45</v>
      </c>
      <c r="Q778" s="47">
        <f t="shared" si="25"/>
        <v>2520</v>
      </c>
      <c r="R778" s="47"/>
      <c r="S778" s="47"/>
      <c r="T778" s="47"/>
    </row>
    <row r="779" customHeight="1" spans="1:20">
      <c r="A779" s="43">
        <v>80136</v>
      </c>
      <c r="B779" s="78" t="s">
        <v>1594</v>
      </c>
      <c r="C779" s="78"/>
      <c r="D779" s="43">
        <f>D466/2</f>
        <v>28</v>
      </c>
      <c r="E779" s="78" t="s">
        <v>32</v>
      </c>
      <c r="F779" s="44">
        <f t="shared" si="24"/>
        <v>56</v>
      </c>
      <c r="G779" s="123" t="s">
        <v>1595</v>
      </c>
      <c r="H779" s="46" t="s">
        <v>18</v>
      </c>
      <c r="I779" s="47"/>
      <c r="J779" s="48" t="s">
        <v>42</v>
      </c>
      <c r="K779" s="124">
        <v>80136</v>
      </c>
      <c r="L779" s="125" t="s">
        <v>25</v>
      </c>
      <c r="M779" s="125" t="s">
        <v>26</v>
      </c>
      <c r="N779" s="14" t="s">
        <v>27</v>
      </c>
      <c r="O779" s="14" t="s">
        <v>28</v>
      </c>
      <c r="P779" s="51">
        <v>30</v>
      </c>
      <c r="Q779" s="47">
        <f t="shared" si="25"/>
        <v>1680</v>
      </c>
      <c r="R779" s="47"/>
      <c r="S779" s="47"/>
      <c r="T779" s="47"/>
    </row>
    <row r="780" customHeight="1" spans="1:20">
      <c r="A780" s="43">
        <v>80137</v>
      </c>
      <c r="B780" s="78" t="s">
        <v>1596</v>
      </c>
      <c r="C780" s="78"/>
      <c r="D780" s="43">
        <f>D466/2</f>
        <v>28</v>
      </c>
      <c r="E780" s="78" t="s">
        <v>32</v>
      </c>
      <c r="F780" s="44">
        <f t="shared" si="24"/>
        <v>56</v>
      </c>
      <c r="G780" s="120" t="s">
        <v>1597</v>
      </c>
      <c r="H780" s="46" t="s">
        <v>18</v>
      </c>
      <c r="I780" s="47"/>
      <c r="J780" s="48" t="s">
        <v>42</v>
      </c>
      <c r="K780" s="121">
        <v>80137</v>
      </c>
      <c r="L780" s="122" t="s">
        <v>25</v>
      </c>
      <c r="M780" s="122" t="s">
        <v>26</v>
      </c>
      <c r="N780" s="14" t="s">
        <v>27</v>
      </c>
      <c r="O780" s="14" t="s">
        <v>28</v>
      </c>
      <c r="P780" s="51">
        <v>60</v>
      </c>
      <c r="Q780" s="47">
        <f t="shared" si="25"/>
        <v>3360</v>
      </c>
      <c r="R780" s="47"/>
      <c r="S780" s="47"/>
      <c r="T780" s="47"/>
    </row>
    <row r="781" customHeight="1" spans="1:20">
      <c r="A781" s="43">
        <v>80138</v>
      </c>
      <c r="B781" s="78" t="s">
        <v>1598</v>
      </c>
      <c r="C781" s="78"/>
      <c r="D781" s="43">
        <f>D466/2</f>
        <v>28</v>
      </c>
      <c r="E781" s="78" t="s">
        <v>32</v>
      </c>
      <c r="F781" s="44">
        <f t="shared" si="24"/>
        <v>56</v>
      </c>
      <c r="G781" s="117" t="s">
        <v>1599</v>
      </c>
      <c r="H781" s="46" t="s">
        <v>18</v>
      </c>
      <c r="I781" s="47"/>
      <c r="J781" s="48" t="s">
        <v>42</v>
      </c>
      <c r="K781" s="118">
        <v>80138</v>
      </c>
      <c r="L781" s="119" t="s">
        <v>25</v>
      </c>
      <c r="M781" s="119" t="s">
        <v>26</v>
      </c>
      <c r="N781" s="14" t="s">
        <v>27</v>
      </c>
      <c r="O781" s="14" t="s">
        <v>28</v>
      </c>
      <c r="P781" s="51">
        <v>100</v>
      </c>
      <c r="Q781" s="47">
        <f t="shared" si="25"/>
        <v>5600</v>
      </c>
      <c r="R781" s="47"/>
      <c r="S781" s="47"/>
      <c r="T781" s="47"/>
    </row>
    <row r="782" customHeight="1" spans="1:20">
      <c r="A782" s="43">
        <v>80139</v>
      </c>
      <c r="B782" s="78" t="s">
        <v>1600</v>
      </c>
      <c r="C782" s="78"/>
      <c r="D782" s="43">
        <f>D466/2</f>
        <v>28</v>
      </c>
      <c r="E782" s="78" t="s">
        <v>32</v>
      </c>
      <c r="F782" s="44">
        <f t="shared" si="24"/>
        <v>56</v>
      </c>
      <c r="G782" s="120" t="s">
        <v>1601</v>
      </c>
      <c r="H782" s="46" t="s">
        <v>18</v>
      </c>
      <c r="I782" s="47"/>
      <c r="J782" s="48" t="s">
        <v>42</v>
      </c>
      <c r="K782" s="121">
        <v>80139</v>
      </c>
      <c r="L782" s="122" t="s">
        <v>25</v>
      </c>
      <c r="M782" s="122" t="s">
        <v>26</v>
      </c>
      <c r="N782" s="14" t="s">
        <v>27</v>
      </c>
      <c r="O782" s="14" t="s">
        <v>28</v>
      </c>
      <c r="P782" s="51">
        <v>90</v>
      </c>
      <c r="Q782" s="47">
        <f t="shared" si="25"/>
        <v>5040</v>
      </c>
      <c r="R782" s="47"/>
      <c r="S782" s="47"/>
      <c r="T782" s="47"/>
    </row>
    <row r="783" customHeight="1" spans="1:20">
      <c r="A783" s="43"/>
      <c r="B783" s="78" t="s">
        <v>898</v>
      </c>
      <c r="C783" s="78"/>
      <c r="D783" s="43"/>
      <c r="E783" s="78"/>
      <c r="F783" s="44">
        <f t="shared" si="24"/>
        <v>0</v>
      </c>
      <c r="G783" s="85"/>
      <c r="H783" s="46"/>
      <c r="I783" s="47"/>
      <c r="J783" s="48" t="s">
        <v>42</v>
      </c>
      <c r="K783" s="86"/>
      <c r="L783" s="87"/>
      <c r="M783" s="87"/>
      <c r="O783" s="14" t="s">
        <v>28</v>
      </c>
      <c r="P783" s="51"/>
      <c r="Q783" s="47">
        <f t="shared" si="25"/>
        <v>0</v>
      </c>
      <c r="R783" s="47"/>
      <c r="S783" s="47"/>
      <c r="T783" s="47" t="s">
        <v>899</v>
      </c>
    </row>
    <row r="784" customHeight="1" spans="1:20">
      <c r="A784" s="43">
        <v>80151</v>
      </c>
      <c r="B784" s="78" t="s">
        <v>1602</v>
      </c>
      <c r="C784" s="78"/>
      <c r="D784" s="43">
        <f>D466/2</f>
        <v>28</v>
      </c>
      <c r="E784" s="78" t="s">
        <v>32</v>
      </c>
      <c r="F784" s="44">
        <f t="shared" si="24"/>
        <v>56</v>
      </c>
      <c r="G784" s="85" t="s">
        <v>1603</v>
      </c>
      <c r="H784" s="46" t="s">
        <v>18</v>
      </c>
      <c r="I784" s="47"/>
      <c r="J784" s="48" t="s">
        <v>42</v>
      </c>
      <c r="K784" s="86">
        <v>80151</v>
      </c>
      <c r="L784" s="87" t="s">
        <v>25</v>
      </c>
      <c r="M784" s="87" t="s">
        <v>26</v>
      </c>
      <c r="N784" s="14" t="s">
        <v>27</v>
      </c>
      <c r="O784" s="14" t="s">
        <v>28</v>
      </c>
      <c r="P784" s="51">
        <v>70</v>
      </c>
      <c r="Q784" s="47">
        <f t="shared" si="25"/>
        <v>3920</v>
      </c>
      <c r="R784" s="47"/>
      <c r="S784" s="47"/>
      <c r="T784" s="47"/>
    </row>
    <row r="785" customHeight="1" spans="1:20">
      <c r="A785" s="43">
        <v>80152</v>
      </c>
      <c r="B785" s="78" t="s">
        <v>1604</v>
      </c>
      <c r="C785" s="78"/>
      <c r="D785" s="43">
        <f>D466/2</f>
        <v>28</v>
      </c>
      <c r="E785" s="78" t="s">
        <v>32</v>
      </c>
      <c r="F785" s="44">
        <f t="shared" si="24"/>
        <v>56</v>
      </c>
      <c r="G785" s="85" t="s">
        <v>1605</v>
      </c>
      <c r="H785" s="46" t="s">
        <v>18</v>
      </c>
      <c r="I785" s="47"/>
      <c r="J785" s="48" t="s">
        <v>42</v>
      </c>
      <c r="K785" s="86">
        <v>80152</v>
      </c>
      <c r="L785" s="87" t="s">
        <v>25</v>
      </c>
      <c r="M785" s="87" t="s">
        <v>26</v>
      </c>
      <c r="N785" s="14" t="s">
        <v>27</v>
      </c>
      <c r="O785" s="14" t="s">
        <v>28</v>
      </c>
      <c r="P785" s="51">
        <v>45</v>
      </c>
      <c r="Q785" s="47">
        <f t="shared" si="25"/>
        <v>2520</v>
      </c>
      <c r="R785" s="47"/>
      <c r="S785" s="47"/>
      <c r="T785" s="47"/>
    </row>
    <row r="786" customHeight="1" spans="1:20">
      <c r="A786" s="43">
        <v>80153</v>
      </c>
      <c r="B786" s="78" t="s">
        <v>1606</v>
      </c>
      <c r="C786" s="78"/>
      <c r="D786" s="43">
        <f>D466/2</f>
        <v>28</v>
      </c>
      <c r="E786" s="78" t="s">
        <v>32</v>
      </c>
      <c r="F786" s="44">
        <f t="shared" si="24"/>
        <v>56</v>
      </c>
      <c r="G786" s="85" t="s">
        <v>1607</v>
      </c>
      <c r="H786" s="46" t="s">
        <v>18</v>
      </c>
      <c r="I786" s="47"/>
      <c r="J786" s="48" t="s">
        <v>42</v>
      </c>
      <c r="K786" s="86">
        <v>80153</v>
      </c>
      <c r="L786" s="87" t="s">
        <v>25</v>
      </c>
      <c r="M786" s="87" t="s">
        <v>26</v>
      </c>
      <c r="N786" s="14" t="s">
        <v>27</v>
      </c>
      <c r="O786" s="14" t="s">
        <v>28</v>
      </c>
      <c r="P786" s="51">
        <v>45</v>
      </c>
      <c r="Q786" s="47">
        <f t="shared" si="25"/>
        <v>2520</v>
      </c>
      <c r="R786" s="47"/>
      <c r="S786" s="47"/>
      <c r="T786" s="47"/>
    </row>
    <row r="787" customHeight="1" spans="1:20">
      <c r="A787" s="43">
        <v>80154</v>
      </c>
      <c r="B787" s="78" t="s">
        <v>1608</v>
      </c>
      <c r="C787" s="78"/>
      <c r="D787" s="43">
        <f>D466/2</f>
        <v>28</v>
      </c>
      <c r="E787" s="78" t="s">
        <v>32</v>
      </c>
      <c r="F787" s="44">
        <f t="shared" si="24"/>
        <v>56</v>
      </c>
      <c r="G787" s="82" t="s">
        <v>1609</v>
      </c>
      <c r="H787" s="46" t="s">
        <v>18</v>
      </c>
      <c r="I787" s="47"/>
      <c r="J787" s="48" t="s">
        <v>42</v>
      </c>
      <c r="K787" s="83">
        <v>80154</v>
      </c>
      <c r="L787" s="84" t="s">
        <v>25</v>
      </c>
      <c r="M787" s="84" t="s">
        <v>26</v>
      </c>
      <c r="N787" s="14" t="s">
        <v>27</v>
      </c>
      <c r="O787" s="14" t="s">
        <v>28</v>
      </c>
      <c r="P787" s="51">
        <v>30</v>
      </c>
      <c r="Q787" s="47">
        <f t="shared" si="25"/>
        <v>1680</v>
      </c>
      <c r="R787" s="47"/>
      <c r="S787" s="47"/>
      <c r="T787" s="47"/>
    </row>
    <row r="788" customHeight="1" spans="1:20">
      <c r="A788" s="43">
        <v>80155</v>
      </c>
      <c r="B788" s="78" t="s">
        <v>1610</v>
      </c>
      <c r="C788" s="78"/>
      <c r="D788" s="43">
        <f>D466/2</f>
        <v>28</v>
      </c>
      <c r="E788" s="78" t="s">
        <v>32</v>
      </c>
      <c r="F788" s="44">
        <f t="shared" ref="F788:F825" si="26">D788*2</f>
        <v>56</v>
      </c>
      <c r="G788" s="120" t="s">
        <v>1611</v>
      </c>
      <c r="H788" s="46" t="s">
        <v>18</v>
      </c>
      <c r="I788" s="47"/>
      <c r="J788" s="48" t="s">
        <v>42</v>
      </c>
      <c r="K788" s="121">
        <v>80155</v>
      </c>
      <c r="L788" s="122" t="s">
        <v>25</v>
      </c>
      <c r="M788" s="122" t="s">
        <v>26</v>
      </c>
      <c r="N788" s="14" t="s">
        <v>27</v>
      </c>
      <c r="O788" s="14" t="s">
        <v>28</v>
      </c>
      <c r="P788" s="51">
        <v>40</v>
      </c>
      <c r="Q788" s="47">
        <f t="shared" si="25"/>
        <v>2240</v>
      </c>
      <c r="R788" s="47"/>
      <c r="S788" s="47"/>
      <c r="T788" s="47"/>
    </row>
    <row r="789" customHeight="1" spans="1:20">
      <c r="A789" s="43">
        <v>80156</v>
      </c>
      <c r="B789" s="78" t="s">
        <v>1612</v>
      </c>
      <c r="C789" s="78"/>
      <c r="D789" s="43">
        <f>D466/2</f>
        <v>28</v>
      </c>
      <c r="E789" s="78" t="s">
        <v>32</v>
      </c>
      <c r="F789" s="44">
        <f t="shared" si="26"/>
        <v>56</v>
      </c>
      <c r="G789" s="82" t="s">
        <v>1613</v>
      </c>
      <c r="H789" s="46" t="s">
        <v>18</v>
      </c>
      <c r="I789" s="47"/>
      <c r="J789" s="48" t="s">
        <v>42</v>
      </c>
      <c r="K789" s="83">
        <v>80156</v>
      </c>
      <c r="L789" s="84" t="s">
        <v>25</v>
      </c>
      <c r="M789" s="84" t="s">
        <v>26</v>
      </c>
      <c r="N789" s="14" t="s">
        <v>27</v>
      </c>
      <c r="O789" s="14" t="s">
        <v>28</v>
      </c>
      <c r="P789" s="51">
        <v>90</v>
      </c>
      <c r="Q789" s="47">
        <f t="shared" si="25"/>
        <v>5040</v>
      </c>
      <c r="R789" s="47"/>
      <c r="S789" s="47"/>
      <c r="T789" s="47"/>
    </row>
    <row r="790" customHeight="1" spans="1:20">
      <c r="A790" s="43">
        <v>80157</v>
      </c>
      <c r="B790" s="78" t="s">
        <v>902</v>
      </c>
      <c r="C790" s="78"/>
      <c r="D790" s="43">
        <f>D466/2</f>
        <v>28</v>
      </c>
      <c r="E790" s="78" t="s">
        <v>32</v>
      </c>
      <c r="F790" s="44">
        <f t="shared" si="26"/>
        <v>56</v>
      </c>
      <c r="G790" s="85" t="s">
        <v>1614</v>
      </c>
      <c r="H790" s="46" t="s">
        <v>18</v>
      </c>
      <c r="I790" s="47"/>
      <c r="J790" s="48" t="s">
        <v>42</v>
      </c>
      <c r="K790" s="86">
        <v>80157</v>
      </c>
      <c r="L790" s="87" t="s">
        <v>25</v>
      </c>
      <c r="M790" s="87" t="s">
        <v>26</v>
      </c>
      <c r="N790" s="14" t="s">
        <v>27</v>
      </c>
      <c r="O790" s="14" t="s">
        <v>28</v>
      </c>
      <c r="P790" s="51">
        <v>40</v>
      </c>
      <c r="Q790" s="47">
        <f t="shared" si="25"/>
        <v>2240</v>
      </c>
      <c r="R790" s="47"/>
      <c r="S790" s="47"/>
      <c r="T790" s="47">
        <v>80157</v>
      </c>
    </row>
    <row r="791" customHeight="1" spans="1:20">
      <c r="A791" s="43">
        <v>80158</v>
      </c>
      <c r="B791" s="78" t="s">
        <v>672</v>
      </c>
      <c r="C791" s="78"/>
      <c r="D791" s="43">
        <f>D466/2</f>
        <v>28</v>
      </c>
      <c r="E791" s="78" t="s">
        <v>32</v>
      </c>
      <c r="F791" s="44">
        <f t="shared" si="26"/>
        <v>56</v>
      </c>
      <c r="G791" s="120" t="s">
        <v>1615</v>
      </c>
      <c r="H791" s="46" t="s">
        <v>18</v>
      </c>
      <c r="I791" s="47"/>
      <c r="J791" s="48" t="s">
        <v>42</v>
      </c>
      <c r="K791" s="121">
        <v>24066</v>
      </c>
      <c r="L791" s="122" t="s">
        <v>25</v>
      </c>
      <c r="M791" s="122" t="s">
        <v>26</v>
      </c>
      <c r="N791" s="14" t="s">
        <v>27</v>
      </c>
      <c r="O791" s="14" t="s">
        <v>28</v>
      </c>
      <c r="P791" s="51">
        <v>85</v>
      </c>
      <c r="Q791" s="47">
        <f t="shared" si="25"/>
        <v>4760</v>
      </c>
      <c r="R791" s="47"/>
      <c r="S791" s="47"/>
      <c r="T791" s="47">
        <v>24066</v>
      </c>
    </row>
    <row r="792" customHeight="1" spans="1:20">
      <c r="A792" s="43">
        <v>80159</v>
      </c>
      <c r="B792" s="78" t="s">
        <v>904</v>
      </c>
      <c r="C792" s="78"/>
      <c r="D792" s="43">
        <f>D466/2</f>
        <v>28</v>
      </c>
      <c r="E792" s="78" t="s">
        <v>32</v>
      </c>
      <c r="F792" s="44">
        <f t="shared" si="26"/>
        <v>56</v>
      </c>
      <c r="G792" s="102" t="s">
        <v>1616</v>
      </c>
      <c r="H792" s="46" t="s">
        <v>18</v>
      </c>
      <c r="I792" s="47"/>
      <c r="J792" s="48" t="s">
        <v>42</v>
      </c>
      <c r="K792" s="83">
        <v>80159</v>
      </c>
      <c r="L792" s="103" t="s">
        <v>25</v>
      </c>
      <c r="M792" s="103" t="s">
        <v>26</v>
      </c>
      <c r="N792" s="14" t="s">
        <v>27</v>
      </c>
      <c r="O792" s="14" t="s">
        <v>28</v>
      </c>
      <c r="P792" s="51">
        <v>30</v>
      </c>
      <c r="Q792" s="47">
        <f t="shared" si="25"/>
        <v>1680</v>
      </c>
      <c r="R792" s="47"/>
      <c r="S792" s="47"/>
      <c r="T792" s="47">
        <v>80159</v>
      </c>
    </row>
    <row r="793" customHeight="1" spans="1:20">
      <c r="A793" s="107" t="s">
        <v>1617</v>
      </c>
      <c r="B793" s="129" t="s">
        <v>930</v>
      </c>
      <c r="C793" s="129"/>
      <c r="D793" s="107"/>
      <c r="E793" s="129"/>
      <c r="F793" s="44">
        <f t="shared" si="26"/>
        <v>0</v>
      </c>
      <c r="G793" s="123"/>
      <c r="H793" s="46"/>
      <c r="I793" s="47"/>
      <c r="J793" s="48" t="s">
        <v>42</v>
      </c>
      <c r="K793" s="124"/>
      <c r="L793" s="125"/>
      <c r="M793" s="125"/>
      <c r="O793" s="14" t="s">
        <v>28</v>
      </c>
      <c r="P793" s="51"/>
      <c r="Q793" s="47">
        <f t="shared" si="25"/>
        <v>0</v>
      </c>
      <c r="R793" s="47"/>
      <c r="S793" s="47"/>
      <c r="T793" s="47">
        <v>81</v>
      </c>
    </row>
    <row r="794" customHeight="1" spans="1:20">
      <c r="A794" s="107" t="s">
        <v>1618</v>
      </c>
      <c r="B794" s="129" t="s">
        <v>931</v>
      </c>
      <c r="C794" s="129"/>
      <c r="D794" s="107">
        <f>D466/2</f>
        <v>28</v>
      </c>
      <c r="E794" s="129" t="s">
        <v>221</v>
      </c>
      <c r="F794" s="44">
        <f t="shared" si="26"/>
        <v>56</v>
      </c>
      <c r="G794" s="117" t="s">
        <v>1619</v>
      </c>
      <c r="H794" s="46" t="s">
        <v>18</v>
      </c>
      <c r="I794" s="47"/>
      <c r="J794" s="48" t="s">
        <v>42</v>
      </c>
      <c r="K794" s="118" t="s">
        <v>1618</v>
      </c>
      <c r="L794" s="119" t="s">
        <v>25</v>
      </c>
      <c r="M794" s="119" t="s">
        <v>26</v>
      </c>
      <c r="N794" s="14" t="s">
        <v>27</v>
      </c>
      <c r="O794" s="14" t="s">
        <v>28</v>
      </c>
      <c r="P794" s="51">
        <v>4</v>
      </c>
      <c r="Q794" s="47">
        <f t="shared" si="25"/>
        <v>224</v>
      </c>
      <c r="R794" s="47"/>
      <c r="S794" s="47"/>
      <c r="T794" s="47">
        <v>81001</v>
      </c>
    </row>
    <row r="795" customHeight="1" spans="1:20">
      <c r="A795" s="107" t="s">
        <v>1620</v>
      </c>
      <c r="B795" s="129" t="s">
        <v>933</v>
      </c>
      <c r="C795" s="129"/>
      <c r="D795" s="107">
        <f>D466/2</f>
        <v>28</v>
      </c>
      <c r="E795" s="129" t="s">
        <v>221</v>
      </c>
      <c r="F795" s="44">
        <f t="shared" si="26"/>
        <v>56</v>
      </c>
      <c r="G795" s="85" t="s">
        <v>1621</v>
      </c>
      <c r="H795" s="46" t="s">
        <v>18</v>
      </c>
      <c r="I795" s="47"/>
      <c r="J795" s="48" t="s">
        <v>42</v>
      </c>
      <c r="K795" s="86" t="s">
        <v>1620</v>
      </c>
      <c r="L795" s="87" t="s">
        <v>25</v>
      </c>
      <c r="M795" s="87" t="s">
        <v>26</v>
      </c>
      <c r="N795" s="14" t="s">
        <v>27</v>
      </c>
      <c r="O795" s="14" t="s">
        <v>28</v>
      </c>
      <c r="P795" s="51">
        <v>4</v>
      </c>
      <c r="Q795" s="47">
        <f t="shared" si="25"/>
        <v>224</v>
      </c>
      <c r="R795" s="47"/>
      <c r="S795" s="47"/>
      <c r="T795" s="47">
        <v>81002</v>
      </c>
    </row>
    <row r="796" customHeight="1" spans="1:20">
      <c r="A796" s="43">
        <v>81003</v>
      </c>
      <c r="B796" s="78" t="s">
        <v>935</v>
      </c>
      <c r="C796" s="78"/>
      <c r="D796" s="107">
        <f>D466/2</f>
        <v>28</v>
      </c>
      <c r="E796" s="78" t="s">
        <v>221</v>
      </c>
      <c r="F796" s="44">
        <f t="shared" si="26"/>
        <v>56</v>
      </c>
      <c r="G796" s="85" t="s">
        <v>1622</v>
      </c>
      <c r="H796" s="46" t="s">
        <v>18</v>
      </c>
      <c r="I796" s="47"/>
      <c r="J796" s="48" t="s">
        <v>42</v>
      </c>
      <c r="K796" s="86">
        <v>81003</v>
      </c>
      <c r="L796" s="87" t="s">
        <v>25</v>
      </c>
      <c r="M796" s="87" t="s">
        <v>26</v>
      </c>
      <c r="N796" s="14" t="s">
        <v>27</v>
      </c>
      <c r="O796" s="14" t="s">
        <v>28</v>
      </c>
      <c r="P796" s="51">
        <v>4</v>
      </c>
      <c r="Q796" s="47">
        <f t="shared" si="25"/>
        <v>224</v>
      </c>
      <c r="R796" s="47"/>
      <c r="S796" s="47"/>
      <c r="T796" s="47">
        <v>81003</v>
      </c>
    </row>
    <row r="797" customHeight="1" spans="1:20">
      <c r="A797" s="107" t="s">
        <v>1623</v>
      </c>
      <c r="B797" s="129" t="s">
        <v>1624</v>
      </c>
      <c r="C797" s="129"/>
      <c r="D797" s="107">
        <f>D466/2</f>
        <v>28</v>
      </c>
      <c r="E797" s="129" t="s">
        <v>21</v>
      </c>
      <c r="F797" s="44">
        <f t="shared" si="26"/>
        <v>56</v>
      </c>
      <c r="G797" s="85" t="s">
        <v>1625</v>
      </c>
      <c r="H797" s="46" t="s">
        <v>18</v>
      </c>
      <c r="I797" s="47"/>
      <c r="J797" s="48" t="s">
        <v>42</v>
      </c>
      <c r="K797" s="86" t="s">
        <v>1623</v>
      </c>
      <c r="L797" s="87" t="s">
        <v>25</v>
      </c>
      <c r="M797" s="87" t="s">
        <v>26</v>
      </c>
      <c r="N797" s="14" t="s">
        <v>27</v>
      </c>
      <c r="O797" s="14" t="s">
        <v>28</v>
      </c>
      <c r="P797" s="51">
        <v>12</v>
      </c>
      <c r="Q797" s="47">
        <f t="shared" si="25"/>
        <v>672</v>
      </c>
      <c r="R797" s="47"/>
      <c r="S797" s="47"/>
      <c r="T797" s="47"/>
    </row>
    <row r="798" customHeight="1" spans="1:20">
      <c r="A798" s="107" t="s">
        <v>1626</v>
      </c>
      <c r="B798" s="129" t="s">
        <v>939</v>
      </c>
      <c r="C798" s="129"/>
      <c r="D798" s="107">
        <v>15</v>
      </c>
      <c r="E798" s="129" t="s">
        <v>21</v>
      </c>
      <c r="F798" s="44">
        <f t="shared" si="26"/>
        <v>30</v>
      </c>
      <c r="G798" s="85" t="s">
        <v>1627</v>
      </c>
      <c r="H798" s="46" t="s">
        <v>18</v>
      </c>
      <c r="I798" s="47"/>
      <c r="J798" s="48" t="s">
        <v>42</v>
      </c>
      <c r="K798" s="86" t="s">
        <v>1626</v>
      </c>
      <c r="L798" s="87" t="s">
        <v>25</v>
      </c>
      <c r="M798" s="87" t="s">
        <v>26</v>
      </c>
      <c r="N798" s="14" t="s">
        <v>27</v>
      </c>
      <c r="O798" s="14" t="s">
        <v>28</v>
      </c>
      <c r="P798" s="51">
        <v>11</v>
      </c>
      <c r="Q798" s="47">
        <f t="shared" si="25"/>
        <v>330</v>
      </c>
      <c r="R798" s="47"/>
      <c r="S798" s="47"/>
      <c r="T798" s="47">
        <v>81005</v>
      </c>
    </row>
    <row r="799" customHeight="1" spans="1:20">
      <c r="A799" s="107" t="s">
        <v>1628</v>
      </c>
      <c r="B799" s="129" t="s">
        <v>941</v>
      </c>
      <c r="C799" s="129"/>
      <c r="D799" s="107">
        <v>2</v>
      </c>
      <c r="E799" s="129" t="s">
        <v>21</v>
      </c>
      <c r="F799" s="44">
        <f t="shared" si="26"/>
        <v>4</v>
      </c>
      <c r="G799" s="85" t="s">
        <v>1629</v>
      </c>
      <c r="H799" s="46" t="s">
        <v>18</v>
      </c>
      <c r="I799" s="47"/>
      <c r="J799" s="48" t="s">
        <v>42</v>
      </c>
      <c r="K799" s="86" t="s">
        <v>1628</v>
      </c>
      <c r="L799" s="87" t="s">
        <v>25</v>
      </c>
      <c r="M799" s="87" t="s">
        <v>26</v>
      </c>
      <c r="N799" s="14" t="s">
        <v>27</v>
      </c>
      <c r="O799" s="14" t="s">
        <v>28</v>
      </c>
      <c r="P799" s="51">
        <v>65</v>
      </c>
      <c r="Q799" s="47">
        <f t="shared" si="25"/>
        <v>260</v>
      </c>
      <c r="R799" s="47"/>
      <c r="S799" s="47"/>
      <c r="T799" s="47">
        <v>81006</v>
      </c>
    </row>
    <row r="800" customHeight="1" spans="1:20">
      <c r="A800" s="43">
        <v>81007</v>
      </c>
      <c r="B800" s="78" t="s">
        <v>943</v>
      </c>
      <c r="C800" s="78"/>
      <c r="D800" s="43">
        <v>2</v>
      </c>
      <c r="E800" s="78" t="s">
        <v>21</v>
      </c>
      <c r="F800" s="44">
        <f t="shared" si="26"/>
        <v>4</v>
      </c>
      <c r="G800" s="85" t="s">
        <v>1630</v>
      </c>
      <c r="H800" s="46" t="s">
        <v>18</v>
      </c>
      <c r="I800" s="47"/>
      <c r="J800" s="48" t="s">
        <v>42</v>
      </c>
      <c r="K800" s="86">
        <v>81007</v>
      </c>
      <c r="L800" s="87" t="s">
        <v>25</v>
      </c>
      <c r="M800" s="87" t="s">
        <v>26</v>
      </c>
      <c r="N800" s="14" t="s">
        <v>27</v>
      </c>
      <c r="O800" s="14" t="s">
        <v>28</v>
      </c>
      <c r="P800" s="51">
        <v>10</v>
      </c>
      <c r="Q800" s="47">
        <f t="shared" si="25"/>
        <v>40</v>
      </c>
      <c r="R800" s="47"/>
      <c r="S800" s="47"/>
      <c r="T800" s="47">
        <v>81007</v>
      </c>
    </row>
    <row r="801" customHeight="1" spans="1:20">
      <c r="A801" s="43">
        <v>81008</v>
      </c>
      <c r="B801" s="78" t="s">
        <v>1631</v>
      </c>
      <c r="C801" s="78"/>
      <c r="D801" s="43">
        <v>2</v>
      </c>
      <c r="E801" s="78" t="s">
        <v>172</v>
      </c>
      <c r="F801" s="44">
        <f t="shared" si="26"/>
        <v>4</v>
      </c>
      <c r="G801" s="85" t="s">
        <v>1632</v>
      </c>
      <c r="H801" s="46" t="s">
        <v>18</v>
      </c>
      <c r="I801" s="47"/>
      <c r="J801" s="48" t="s">
        <v>42</v>
      </c>
      <c r="K801" s="86">
        <v>81008</v>
      </c>
      <c r="L801" s="87" t="s">
        <v>25</v>
      </c>
      <c r="M801" s="87" t="s">
        <v>26</v>
      </c>
      <c r="N801" s="14" t="s">
        <v>27</v>
      </c>
      <c r="O801" s="14" t="s">
        <v>28</v>
      </c>
      <c r="P801" s="51">
        <v>15</v>
      </c>
      <c r="Q801" s="47">
        <f t="shared" si="25"/>
        <v>60</v>
      </c>
      <c r="R801" s="47"/>
      <c r="S801" s="47"/>
      <c r="T801" s="47">
        <v>81008</v>
      </c>
    </row>
    <row r="802" customHeight="1" spans="1:20">
      <c r="A802" s="43">
        <v>81009</v>
      </c>
      <c r="B802" s="78" t="s">
        <v>945</v>
      </c>
      <c r="C802" s="78"/>
      <c r="D802" s="43">
        <v>2</v>
      </c>
      <c r="E802" s="78" t="s">
        <v>172</v>
      </c>
      <c r="F802" s="44">
        <f t="shared" si="26"/>
        <v>4</v>
      </c>
      <c r="G802" s="85" t="s">
        <v>1633</v>
      </c>
      <c r="H802" s="46" t="s">
        <v>18</v>
      </c>
      <c r="I802" s="47"/>
      <c r="J802" s="48" t="s">
        <v>42</v>
      </c>
      <c r="K802" s="86">
        <v>81009</v>
      </c>
      <c r="L802" s="87" t="s">
        <v>25</v>
      </c>
      <c r="M802" s="87" t="s">
        <v>26</v>
      </c>
      <c r="N802" s="14" t="s">
        <v>27</v>
      </c>
      <c r="O802" s="14" t="s">
        <v>28</v>
      </c>
      <c r="P802" s="51">
        <v>11</v>
      </c>
      <c r="Q802" s="47">
        <f t="shared" si="25"/>
        <v>44</v>
      </c>
      <c r="R802" s="47"/>
      <c r="S802" s="47"/>
      <c r="T802" s="47">
        <v>81009</v>
      </c>
    </row>
    <row r="803" customHeight="1" spans="1:20">
      <c r="A803" s="43">
        <v>81010</v>
      </c>
      <c r="B803" s="78" t="s">
        <v>1634</v>
      </c>
      <c r="C803" s="78"/>
      <c r="D803" s="43">
        <v>2</v>
      </c>
      <c r="E803" s="78" t="s">
        <v>21</v>
      </c>
      <c r="F803" s="44">
        <f t="shared" si="26"/>
        <v>4</v>
      </c>
      <c r="G803" s="85" t="s">
        <v>1635</v>
      </c>
      <c r="H803" s="46" t="s">
        <v>18</v>
      </c>
      <c r="I803" s="47"/>
      <c r="J803" s="48" t="s">
        <v>42</v>
      </c>
      <c r="K803" s="86">
        <v>81010</v>
      </c>
      <c r="L803" s="87" t="s">
        <v>25</v>
      </c>
      <c r="M803" s="87" t="s">
        <v>26</v>
      </c>
      <c r="N803" s="14" t="s">
        <v>27</v>
      </c>
      <c r="O803" s="14" t="s">
        <v>28</v>
      </c>
      <c r="P803" s="51">
        <v>60</v>
      </c>
      <c r="Q803" s="47">
        <f t="shared" si="25"/>
        <v>240</v>
      </c>
      <c r="R803" s="47"/>
      <c r="S803" s="47"/>
      <c r="T803" s="47">
        <v>81010</v>
      </c>
    </row>
    <row r="804" customHeight="1" spans="1:20">
      <c r="A804" s="43">
        <v>81011</v>
      </c>
      <c r="B804" s="78" t="s">
        <v>1636</v>
      </c>
      <c r="C804" s="78"/>
      <c r="D804" s="43">
        <v>2</v>
      </c>
      <c r="E804" s="78" t="s">
        <v>172</v>
      </c>
      <c r="F804" s="44">
        <f t="shared" si="26"/>
        <v>4</v>
      </c>
      <c r="G804" s="85" t="s">
        <v>1637</v>
      </c>
      <c r="H804" s="46" t="s">
        <v>18</v>
      </c>
      <c r="I804" s="47"/>
      <c r="J804" s="48" t="s">
        <v>42</v>
      </c>
      <c r="K804" s="86">
        <v>81011</v>
      </c>
      <c r="L804" s="87" t="s">
        <v>25</v>
      </c>
      <c r="M804" s="87" t="s">
        <v>26</v>
      </c>
      <c r="N804" s="14" t="s">
        <v>27</v>
      </c>
      <c r="O804" s="14" t="s">
        <v>28</v>
      </c>
      <c r="P804" s="51">
        <v>60</v>
      </c>
      <c r="Q804" s="47">
        <f t="shared" si="25"/>
        <v>240</v>
      </c>
      <c r="R804" s="47"/>
      <c r="S804" s="47"/>
      <c r="T804" s="47">
        <v>81011</v>
      </c>
    </row>
    <row r="805" customHeight="1" spans="1:20">
      <c r="A805" s="43">
        <v>81012</v>
      </c>
      <c r="B805" s="78" t="s">
        <v>1638</v>
      </c>
      <c r="C805" s="78"/>
      <c r="D805" s="43">
        <v>2</v>
      </c>
      <c r="E805" s="78" t="s">
        <v>172</v>
      </c>
      <c r="F805" s="44">
        <f t="shared" si="26"/>
        <v>4</v>
      </c>
      <c r="G805" s="85" t="s">
        <v>948</v>
      </c>
      <c r="H805" s="46" t="s">
        <v>18</v>
      </c>
      <c r="I805" s="47"/>
      <c r="J805" s="48" t="s">
        <v>42</v>
      </c>
      <c r="K805" s="86">
        <v>81012</v>
      </c>
      <c r="L805" s="87" t="s">
        <v>25</v>
      </c>
      <c r="M805" s="87" t="s">
        <v>26</v>
      </c>
      <c r="N805" s="14" t="s">
        <v>27</v>
      </c>
      <c r="O805" s="14" t="s">
        <v>28</v>
      </c>
      <c r="P805" s="51">
        <v>15</v>
      </c>
      <c r="Q805" s="47">
        <f t="shared" si="25"/>
        <v>60</v>
      </c>
      <c r="R805" s="47"/>
      <c r="S805" s="47"/>
      <c r="T805" s="47"/>
    </row>
    <row r="806" customHeight="1" spans="1:20">
      <c r="A806" s="43">
        <v>81013</v>
      </c>
      <c r="B806" s="78" t="s">
        <v>949</v>
      </c>
      <c r="C806" s="78"/>
      <c r="D806" s="43">
        <v>2</v>
      </c>
      <c r="E806" s="78" t="s">
        <v>172</v>
      </c>
      <c r="F806" s="44">
        <f t="shared" si="26"/>
        <v>4</v>
      </c>
      <c r="G806" s="91" t="s">
        <v>1639</v>
      </c>
      <c r="H806" s="46" t="s">
        <v>18</v>
      </c>
      <c r="I806" s="47"/>
      <c r="J806" s="48" t="s">
        <v>42</v>
      </c>
      <c r="K806" s="92">
        <v>81013</v>
      </c>
      <c r="L806" s="93" t="s">
        <v>25</v>
      </c>
      <c r="M806" s="93" t="s">
        <v>26</v>
      </c>
      <c r="N806" s="14" t="s">
        <v>27</v>
      </c>
      <c r="O806" s="14" t="s">
        <v>28</v>
      </c>
      <c r="P806" s="51">
        <v>12</v>
      </c>
      <c r="Q806" s="47">
        <f t="shared" si="25"/>
        <v>48</v>
      </c>
      <c r="R806" s="47"/>
      <c r="S806" s="47"/>
      <c r="T806" s="47">
        <v>81013</v>
      </c>
    </row>
    <row r="807" customHeight="1" spans="1:20">
      <c r="A807" s="43">
        <v>81014</v>
      </c>
      <c r="B807" s="78" t="s">
        <v>951</v>
      </c>
      <c r="C807" s="78"/>
      <c r="D807" s="43">
        <v>2</v>
      </c>
      <c r="E807" s="78" t="s">
        <v>172</v>
      </c>
      <c r="F807" s="44">
        <f t="shared" si="26"/>
        <v>4</v>
      </c>
      <c r="G807" s="91" t="s">
        <v>1640</v>
      </c>
      <c r="H807" s="46" t="s">
        <v>18</v>
      </c>
      <c r="I807" s="47"/>
      <c r="J807" s="48" t="s">
        <v>42</v>
      </c>
      <c r="K807" s="92">
        <v>81014</v>
      </c>
      <c r="L807" s="93" t="s">
        <v>25</v>
      </c>
      <c r="M807" s="93" t="s">
        <v>26</v>
      </c>
      <c r="N807" s="14" t="s">
        <v>27</v>
      </c>
      <c r="O807" s="14" t="s">
        <v>28</v>
      </c>
      <c r="P807" s="51">
        <v>22</v>
      </c>
      <c r="Q807" s="47">
        <f t="shared" si="25"/>
        <v>88</v>
      </c>
      <c r="R807" s="47"/>
      <c r="S807" s="47"/>
      <c r="T807" s="47">
        <v>81014</v>
      </c>
    </row>
    <row r="808" customHeight="1" spans="1:20">
      <c r="A808" s="43">
        <v>81015</v>
      </c>
      <c r="B808" s="78" t="s">
        <v>953</v>
      </c>
      <c r="C808" s="78"/>
      <c r="D808" s="43">
        <v>2</v>
      </c>
      <c r="E808" s="78" t="s">
        <v>172</v>
      </c>
      <c r="F808" s="44">
        <f t="shared" si="26"/>
        <v>4</v>
      </c>
      <c r="G808" s="123" t="s">
        <v>1641</v>
      </c>
      <c r="H808" s="46" t="s">
        <v>18</v>
      </c>
      <c r="I808" s="47"/>
      <c r="J808" s="48" t="s">
        <v>42</v>
      </c>
      <c r="K808" s="124">
        <v>81015</v>
      </c>
      <c r="L808" s="125" t="s">
        <v>25</v>
      </c>
      <c r="M808" s="125" t="s">
        <v>26</v>
      </c>
      <c r="N808" s="14" t="s">
        <v>27</v>
      </c>
      <c r="O808" s="14" t="s">
        <v>28</v>
      </c>
      <c r="P808" s="51">
        <v>11</v>
      </c>
      <c r="Q808" s="47">
        <f t="shared" si="25"/>
        <v>44</v>
      </c>
      <c r="R808" s="47"/>
      <c r="S808" s="47"/>
      <c r="T808" s="47">
        <v>81015</v>
      </c>
    </row>
    <row r="809" customHeight="1" spans="1:20">
      <c r="A809" s="43">
        <v>81016</v>
      </c>
      <c r="B809" s="78" t="s">
        <v>955</v>
      </c>
      <c r="C809" s="78"/>
      <c r="D809" s="43">
        <v>2</v>
      </c>
      <c r="E809" s="78" t="s">
        <v>21</v>
      </c>
      <c r="F809" s="44">
        <f t="shared" si="26"/>
        <v>4</v>
      </c>
      <c r="G809" s="85" t="s">
        <v>1642</v>
      </c>
      <c r="H809" s="46" t="s">
        <v>18</v>
      </c>
      <c r="I809" s="47"/>
      <c r="J809" s="48" t="s">
        <v>42</v>
      </c>
      <c r="K809" s="86">
        <v>81016</v>
      </c>
      <c r="L809" s="87" t="s">
        <v>25</v>
      </c>
      <c r="M809" s="87" t="s">
        <v>26</v>
      </c>
      <c r="N809" s="14" t="s">
        <v>27</v>
      </c>
      <c r="O809" s="14" t="s">
        <v>28</v>
      </c>
      <c r="P809" s="51">
        <v>8</v>
      </c>
      <c r="Q809" s="47">
        <f t="shared" si="25"/>
        <v>32</v>
      </c>
      <c r="R809" s="47"/>
      <c r="S809" s="47"/>
      <c r="T809" s="47">
        <v>81016</v>
      </c>
    </row>
    <row r="810" customHeight="1" spans="1:20">
      <c r="A810" s="43">
        <v>81017</v>
      </c>
      <c r="B810" s="78" t="s">
        <v>1643</v>
      </c>
      <c r="C810" s="78"/>
      <c r="D810" s="43">
        <v>2</v>
      </c>
      <c r="E810" s="78" t="s">
        <v>21</v>
      </c>
      <c r="F810" s="44">
        <f t="shared" si="26"/>
        <v>4</v>
      </c>
      <c r="G810" s="85" t="s">
        <v>1644</v>
      </c>
      <c r="H810" s="46" t="s">
        <v>18</v>
      </c>
      <c r="I810" s="47"/>
      <c r="J810" s="48" t="s">
        <v>42</v>
      </c>
      <c r="K810" s="86">
        <v>81017</v>
      </c>
      <c r="L810" s="87" t="s">
        <v>25</v>
      </c>
      <c r="M810" s="87" t="s">
        <v>26</v>
      </c>
      <c r="N810" s="14" t="s">
        <v>27</v>
      </c>
      <c r="O810" s="14" t="s">
        <v>28</v>
      </c>
      <c r="P810" s="51">
        <v>10</v>
      </c>
      <c r="Q810" s="47">
        <f t="shared" si="25"/>
        <v>40</v>
      </c>
      <c r="R810" s="47"/>
      <c r="S810" s="47"/>
      <c r="T810" s="47"/>
    </row>
    <row r="811" customHeight="1" spans="1:20">
      <c r="A811" s="43">
        <v>81018</v>
      </c>
      <c r="B811" s="78" t="s">
        <v>959</v>
      </c>
      <c r="C811" s="78"/>
      <c r="D811" s="43">
        <v>2</v>
      </c>
      <c r="E811" s="78" t="s">
        <v>21</v>
      </c>
      <c r="F811" s="44">
        <f t="shared" si="26"/>
        <v>4</v>
      </c>
      <c r="G811" s="85" t="s">
        <v>1645</v>
      </c>
      <c r="H811" s="46" t="s">
        <v>18</v>
      </c>
      <c r="I811" s="47"/>
      <c r="J811" s="48" t="s">
        <v>42</v>
      </c>
      <c r="K811" s="86">
        <v>81018</v>
      </c>
      <c r="L811" s="87" t="s">
        <v>25</v>
      </c>
      <c r="M811" s="87" t="s">
        <v>26</v>
      </c>
      <c r="N811" s="14" t="s">
        <v>27</v>
      </c>
      <c r="O811" s="14" t="s">
        <v>28</v>
      </c>
      <c r="P811" s="51">
        <v>10</v>
      </c>
      <c r="Q811" s="47">
        <f t="shared" si="25"/>
        <v>40</v>
      </c>
      <c r="R811" s="47"/>
      <c r="S811" s="47"/>
      <c r="T811" s="47">
        <v>81018</v>
      </c>
    </row>
    <row r="812" customHeight="1" spans="1:20">
      <c r="A812" s="43">
        <v>81019</v>
      </c>
      <c r="B812" s="78" t="s">
        <v>960</v>
      </c>
      <c r="C812" s="78"/>
      <c r="D812" s="43">
        <v>2</v>
      </c>
      <c r="E812" s="78" t="s">
        <v>32</v>
      </c>
      <c r="F812" s="44">
        <f t="shared" si="26"/>
        <v>4</v>
      </c>
      <c r="G812" s="85" t="s">
        <v>1646</v>
      </c>
      <c r="H812" s="46" t="s">
        <v>18</v>
      </c>
      <c r="I812" s="47"/>
      <c r="J812" s="48" t="s">
        <v>42</v>
      </c>
      <c r="K812" s="86">
        <v>81019</v>
      </c>
      <c r="L812" s="87" t="s">
        <v>25</v>
      </c>
      <c r="M812" s="87" t="s">
        <v>26</v>
      </c>
      <c r="N812" s="14" t="s">
        <v>27</v>
      </c>
      <c r="O812" s="14" t="s">
        <v>28</v>
      </c>
      <c r="P812" s="51">
        <v>32</v>
      </c>
      <c r="Q812" s="47">
        <f t="shared" si="25"/>
        <v>128</v>
      </c>
      <c r="R812" s="47"/>
      <c r="S812" s="47"/>
      <c r="T812" s="47">
        <v>81019</v>
      </c>
    </row>
    <row r="813" customHeight="1" spans="1:20">
      <c r="A813" s="43">
        <v>81020</v>
      </c>
      <c r="B813" s="78" t="s">
        <v>962</v>
      </c>
      <c r="C813" s="78"/>
      <c r="D813" s="43">
        <v>2</v>
      </c>
      <c r="E813" s="78" t="s">
        <v>172</v>
      </c>
      <c r="F813" s="44">
        <f t="shared" si="26"/>
        <v>4</v>
      </c>
      <c r="G813" s="91" t="s">
        <v>1647</v>
      </c>
      <c r="H813" s="46" t="s">
        <v>18</v>
      </c>
      <c r="I813" s="47"/>
      <c r="J813" s="48" t="s">
        <v>42</v>
      </c>
      <c r="K813" s="92">
        <v>81020</v>
      </c>
      <c r="L813" s="93" t="s">
        <v>25</v>
      </c>
      <c r="M813" s="93" t="s">
        <v>26</v>
      </c>
      <c r="N813" s="14" t="s">
        <v>27</v>
      </c>
      <c r="O813" s="14" t="s">
        <v>28</v>
      </c>
      <c r="P813" s="51">
        <v>12</v>
      </c>
      <c r="Q813" s="47">
        <f t="shared" si="25"/>
        <v>48</v>
      </c>
      <c r="R813" s="47"/>
      <c r="S813" s="47"/>
      <c r="T813" s="47">
        <v>81020</v>
      </c>
    </row>
    <row r="814" customHeight="1" spans="1:20">
      <c r="A814" s="107" t="s">
        <v>1648</v>
      </c>
      <c r="B814" s="129" t="s">
        <v>964</v>
      </c>
      <c r="C814" s="129"/>
      <c r="D814" s="107">
        <v>2</v>
      </c>
      <c r="E814" s="129" t="s">
        <v>21</v>
      </c>
      <c r="F814" s="44">
        <f t="shared" si="26"/>
        <v>4</v>
      </c>
      <c r="G814" s="85" t="s">
        <v>1649</v>
      </c>
      <c r="H814" s="46" t="s">
        <v>18</v>
      </c>
      <c r="I814" s="47"/>
      <c r="J814" s="48" t="s">
        <v>42</v>
      </c>
      <c r="K814" s="86" t="s">
        <v>1648</v>
      </c>
      <c r="L814" s="87" t="s">
        <v>25</v>
      </c>
      <c r="M814" s="87" t="s">
        <v>26</v>
      </c>
      <c r="N814" s="14" t="s">
        <v>27</v>
      </c>
      <c r="O814" s="14" t="s">
        <v>28</v>
      </c>
      <c r="P814" s="51">
        <v>60</v>
      </c>
      <c r="Q814" s="47">
        <f t="shared" si="25"/>
        <v>240</v>
      </c>
      <c r="R814" s="47"/>
      <c r="S814" s="47"/>
      <c r="T814" s="47">
        <v>81021</v>
      </c>
    </row>
    <row r="815" customHeight="1" spans="1:20">
      <c r="A815" s="107" t="s">
        <v>1650</v>
      </c>
      <c r="B815" s="129" t="s">
        <v>966</v>
      </c>
      <c r="C815" s="129"/>
      <c r="D815" s="107">
        <v>2</v>
      </c>
      <c r="E815" s="129" t="s">
        <v>21</v>
      </c>
      <c r="F815" s="44">
        <f t="shared" si="26"/>
        <v>4</v>
      </c>
      <c r="G815" s="85" t="s">
        <v>1651</v>
      </c>
      <c r="H815" s="46" t="s">
        <v>18</v>
      </c>
      <c r="I815" s="47"/>
      <c r="J815" s="48" t="s">
        <v>42</v>
      </c>
      <c r="K815" s="86" t="s">
        <v>1650</v>
      </c>
      <c r="L815" s="87" t="s">
        <v>25</v>
      </c>
      <c r="M815" s="87" t="s">
        <v>26</v>
      </c>
      <c r="N815" s="14" t="s">
        <v>27</v>
      </c>
      <c r="O815" s="14" t="s">
        <v>28</v>
      </c>
      <c r="P815" s="51">
        <v>12</v>
      </c>
      <c r="Q815" s="47">
        <f t="shared" si="25"/>
        <v>48</v>
      </c>
      <c r="R815" s="47"/>
      <c r="S815" s="47"/>
      <c r="T815" s="47">
        <v>81022</v>
      </c>
    </row>
    <row r="816" customHeight="1" spans="1:20">
      <c r="A816" s="107" t="s">
        <v>1652</v>
      </c>
      <c r="B816" s="129" t="s">
        <v>1653</v>
      </c>
      <c r="C816" s="129"/>
      <c r="D816" s="107">
        <v>1</v>
      </c>
      <c r="E816" s="129" t="s">
        <v>21</v>
      </c>
      <c r="F816" s="44">
        <f t="shared" si="26"/>
        <v>2</v>
      </c>
      <c r="G816" s="85" t="s">
        <v>1654</v>
      </c>
      <c r="H816" s="46" t="s">
        <v>18</v>
      </c>
      <c r="I816" s="47"/>
      <c r="J816" s="48" t="s">
        <v>42</v>
      </c>
      <c r="K816" s="86" t="s">
        <v>1652</v>
      </c>
      <c r="L816" s="87" t="s">
        <v>174</v>
      </c>
      <c r="M816" s="87" t="s">
        <v>175</v>
      </c>
      <c r="N816" s="14" t="s">
        <v>27</v>
      </c>
      <c r="O816" s="14" t="s">
        <v>28</v>
      </c>
      <c r="P816" s="51">
        <v>290</v>
      </c>
      <c r="Q816" s="47">
        <f t="shared" si="25"/>
        <v>580</v>
      </c>
      <c r="R816" s="47"/>
      <c r="S816" s="47"/>
      <c r="T816" s="47"/>
    </row>
    <row r="817" customHeight="1" spans="1:20">
      <c r="A817" s="107" t="s">
        <v>1655</v>
      </c>
      <c r="B817" s="129" t="s">
        <v>968</v>
      </c>
      <c r="C817" s="129"/>
      <c r="D817" s="107">
        <v>2</v>
      </c>
      <c r="E817" s="129" t="s">
        <v>221</v>
      </c>
      <c r="F817" s="44">
        <f t="shared" si="26"/>
        <v>4</v>
      </c>
      <c r="G817" s="85" t="s">
        <v>1656</v>
      </c>
      <c r="H817" s="46" t="s">
        <v>18</v>
      </c>
      <c r="I817" s="47"/>
      <c r="J817" s="48" t="s">
        <v>42</v>
      </c>
      <c r="K817" s="86" t="s">
        <v>1655</v>
      </c>
      <c r="L817" s="87" t="s">
        <v>970</v>
      </c>
      <c r="M817" s="87" t="s">
        <v>971</v>
      </c>
      <c r="N817" s="14" t="s">
        <v>27</v>
      </c>
      <c r="O817" s="14" t="s">
        <v>28</v>
      </c>
      <c r="P817" s="51">
        <v>48</v>
      </c>
      <c r="Q817" s="47">
        <f t="shared" si="25"/>
        <v>192</v>
      </c>
      <c r="R817" s="47"/>
      <c r="S817" s="47"/>
      <c r="T817" s="47">
        <v>81024</v>
      </c>
    </row>
    <row r="818" customHeight="1" spans="1:20">
      <c r="A818" s="107" t="s">
        <v>1657</v>
      </c>
      <c r="B818" s="129" t="s">
        <v>972</v>
      </c>
      <c r="C818" s="129"/>
      <c r="D818" s="107">
        <v>2</v>
      </c>
      <c r="E818" s="129" t="s">
        <v>21</v>
      </c>
      <c r="F818" s="44">
        <f t="shared" si="26"/>
        <v>4</v>
      </c>
      <c r="G818" s="85" t="s">
        <v>1658</v>
      </c>
      <c r="H818" s="46" t="s">
        <v>18</v>
      </c>
      <c r="I818" s="47"/>
      <c r="J818" s="48" t="s">
        <v>42</v>
      </c>
      <c r="K818" s="86" t="s">
        <v>1657</v>
      </c>
      <c r="L818" s="87" t="s">
        <v>25</v>
      </c>
      <c r="M818" s="87" t="s">
        <v>26</v>
      </c>
      <c r="N818" s="14" t="s">
        <v>27</v>
      </c>
      <c r="O818" s="14" t="s">
        <v>28</v>
      </c>
      <c r="P818" s="51">
        <v>65</v>
      </c>
      <c r="Q818" s="47">
        <f t="shared" si="25"/>
        <v>260</v>
      </c>
      <c r="R818" s="47"/>
      <c r="S818" s="47"/>
      <c r="T818" s="47">
        <v>81025</v>
      </c>
    </row>
    <row r="819" customHeight="1" spans="1:20">
      <c r="A819" s="107" t="s">
        <v>1659</v>
      </c>
      <c r="B819" s="129" t="s">
        <v>974</v>
      </c>
      <c r="C819" s="129"/>
      <c r="D819" s="107">
        <v>1</v>
      </c>
      <c r="E819" s="129" t="s">
        <v>54</v>
      </c>
      <c r="F819" s="44">
        <f t="shared" si="26"/>
        <v>2</v>
      </c>
      <c r="G819" s="85" t="s">
        <v>1660</v>
      </c>
      <c r="H819" s="46" t="s">
        <v>18</v>
      </c>
      <c r="I819" s="47"/>
      <c r="J819" s="48" t="s">
        <v>42</v>
      </c>
      <c r="K819" s="86" t="s">
        <v>1659</v>
      </c>
      <c r="L819" s="87" t="s">
        <v>976</v>
      </c>
      <c r="M819" s="87" t="s">
        <v>977</v>
      </c>
      <c r="N819" s="14" t="s">
        <v>27</v>
      </c>
      <c r="O819" s="14" t="s">
        <v>28</v>
      </c>
      <c r="P819" s="51">
        <v>600</v>
      </c>
      <c r="Q819" s="47">
        <f t="shared" si="25"/>
        <v>1200</v>
      </c>
      <c r="R819" s="47"/>
      <c r="S819" s="47"/>
      <c r="T819" s="47">
        <v>81026</v>
      </c>
    </row>
    <row r="820" customHeight="1" spans="1:20">
      <c r="A820" s="107" t="s">
        <v>1661</v>
      </c>
      <c r="B820" s="154" t="s">
        <v>978</v>
      </c>
      <c r="C820" s="154"/>
      <c r="D820" s="107">
        <v>1</v>
      </c>
      <c r="E820" s="129" t="s">
        <v>54</v>
      </c>
      <c r="F820" s="44">
        <f t="shared" si="26"/>
        <v>2</v>
      </c>
      <c r="G820" s="85" t="s">
        <v>1662</v>
      </c>
      <c r="H820" s="46" t="s">
        <v>18</v>
      </c>
      <c r="I820" s="47"/>
      <c r="J820" s="48" t="s">
        <v>42</v>
      </c>
      <c r="K820" s="86" t="s">
        <v>1661</v>
      </c>
      <c r="L820" s="87" t="s">
        <v>980</v>
      </c>
      <c r="M820" s="87" t="s">
        <v>981</v>
      </c>
      <c r="N820" s="14" t="s">
        <v>27</v>
      </c>
      <c r="O820" s="14" t="s">
        <v>28</v>
      </c>
      <c r="P820" s="51">
        <v>165</v>
      </c>
      <c r="Q820" s="47">
        <f t="shared" si="25"/>
        <v>330</v>
      </c>
      <c r="R820" s="47"/>
      <c r="S820" s="47"/>
      <c r="T820" s="47">
        <v>81027</v>
      </c>
    </row>
    <row r="821" customHeight="1" spans="1:20">
      <c r="A821" s="107" t="s">
        <v>1663</v>
      </c>
      <c r="B821" s="154" t="s">
        <v>982</v>
      </c>
      <c r="C821" s="154"/>
      <c r="D821" s="107">
        <v>2</v>
      </c>
      <c r="E821" s="129" t="s">
        <v>32</v>
      </c>
      <c r="F821" s="44">
        <f t="shared" si="26"/>
        <v>4</v>
      </c>
      <c r="G821" s="85" t="s">
        <v>1664</v>
      </c>
      <c r="H821" s="46" t="s">
        <v>18</v>
      </c>
      <c r="I821" s="47"/>
      <c r="J821" s="48" t="s">
        <v>42</v>
      </c>
      <c r="K821" s="86" t="s">
        <v>1663</v>
      </c>
      <c r="L821" s="87" t="s">
        <v>25</v>
      </c>
      <c r="M821" s="87" t="s">
        <v>26</v>
      </c>
      <c r="N821" s="14" t="s">
        <v>27</v>
      </c>
      <c r="O821" s="14" t="s">
        <v>28</v>
      </c>
      <c r="P821" s="51">
        <v>70</v>
      </c>
      <c r="Q821" s="47">
        <f t="shared" si="25"/>
        <v>280</v>
      </c>
      <c r="R821" s="47"/>
      <c r="S821" s="47"/>
      <c r="T821" s="47">
        <v>81028</v>
      </c>
    </row>
    <row r="822" customHeight="1" spans="1:20">
      <c r="A822" s="107" t="s">
        <v>1665</v>
      </c>
      <c r="B822" s="129" t="s">
        <v>984</v>
      </c>
      <c r="C822" s="129"/>
      <c r="D822" s="107">
        <v>1</v>
      </c>
      <c r="E822" s="129" t="s">
        <v>54</v>
      </c>
      <c r="F822" s="44">
        <f t="shared" si="26"/>
        <v>2</v>
      </c>
      <c r="G822" s="85" t="s">
        <v>1666</v>
      </c>
      <c r="H822" s="46" t="s">
        <v>18</v>
      </c>
      <c r="I822" s="47"/>
      <c r="J822" s="48" t="s">
        <v>42</v>
      </c>
      <c r="K822" s="86" t="s">
        <v>1665</v>
      </c>
      <c r="L822" s="87" t="s">
        <v>25</v>
      </c>
      <c r="M822" s="87" t="s">
        <v>26</v>
      </c>
      <c r="N822" s="14" t="s">
        <v>27</v>
      </c>
      <c r="O822" s="14" t="s">
        <v>28</v>
      </c>
      <c r="P822" s="51">
        <v>145</v>
      </c>
      <c r="Q822" s="47">
        <f t="shared" si="25"/>
        <v>290</v>
      </c>
      <c r="R822" s="47"/>
      <c r="S822" s="47"/>
      <c r="T822" s="47">
        <v>81029</v>
      </c>
    </row>
    <row r="823" customHeight="1" spans="1:20">
      <c r="A823" s="43">
        <v>81031</v>
      </c>
      <c r="B823" s="78" t="s">
        <v>986</v>
      </c>
      <c r="C823" s="78"/>
      <c r="D823" s="43">
        <v>1</v>
      </c>
      <c r="E823" s="78" t="s">
        <v>54</v>
      </c>
      <c r="F823" s="44">
        <f t="shared" si="26"/>
        <v>2</v>
      </c>
      <c r="G823" s="85" t="s">
        <v>1667</v>
      </c>
      <c r="H823" s="46" t="s">
        <v>18</v>
      </c>
      <c r="I823" s="47"/>
      <c r="J823" s="48" t="s">
        <v>42</v>
      </c>
      <c r="K823" s="86">
        <v>81031</v>
      </c>
      <c r="L823" s="87" t="s">
        <v>988</v>
      </c>
      <c r="M823" s="87" t="s">
        <v>989</v>
      </c>
      <c r="N823" s="14" t="s">
        <v>27</v>
      </c>
      <c r="O823" s="14" t="s">
        <v>28</v>
      </c>
      <c r="P823" s="51">
        <v>280</v>
      </c>
      <c r="Q823" s="47">
        <f t="shared" si="25"/>
        <v>560</v>
      </c>
      <c r="R823" s="47"/>
      <c r="S823" s="47"/>
      <c r="T823" s="47">
        <v>81031</v>
      </c>
    </row>
    <row r="824" customHeight="1" spans="1:20">
      <c r="A824" s="107" t="s">
        <v>1668</v>
      </c>
      <c r="B824" s="129" t="s">
        <v>990</v>
      </c>
      <c r="C824" s="129"/>
      <c r="D824" s="107">
        <v>1</v>
      </c>
      <c r="E824" s="129" t="s">
        <v>21</v>
      </c>
      <c r="F824" s="44">
        <f t="shared" si="26"/>
        <v>2</v>
      </c>
      <c r="G824" s="102" t="s">
        <v>991</v>
      </c>
      <c r="H824" s="46" t="s">
        <v>18</v>
      </c>
      <c r="I824" s="47"/>
      <c r="J824" s="48" t="s">
        <v>42</v>
      </c>
      <c r="K824" s="83" t="s">
        <v>1668</v>
      </c>
      <c r="L824" s="103" t="s">
        <v>25</v>
      </c>
      <c r="M824" s="103" t="s">
        <v>26</v>
      </c>
      <c r="N824" s="14" t="s">
        <v>27</v>
      </c>
      <c r="O824" s="14" t="s">
        <v>28</v>
      </c>
      <c r="P824" s="51">
        <v>600</v>
      </c>
      <c r="Q824" s="47">
        <f t="shared" si="25"/>
        <v>1200</v>
      </c>
      <c r="R824" s="47"/>
      <c r="S824" s="47"/>
      <c r="T824" s="47">
        <v>81033</v>
      </c>
    </row>
    <row r="825" customHeight="1" spans="1:20">
      <c r="A825" s="107" t="s">
        <v>1669</v>
      </c>
      <c r="B825" s="129" t="s">
        <v>1670</v>
      </c>
      <c r="C825" s="129"/>
      <c r="D825" s="107">
        <v>5</v>
      </c>
      <c r="E825" s="129" t="s">
        <v>32</v>
      </c>
      <c r="F825" s="44">
        <f t="shared" si="26"/>
        <v>10</v>
      </c>
      <c r="G825" s="85" t="s">
        <v>1671</v>
      </c>
      <c r="H825" s="46" t="s">
        <v>18</v>
      </c>
      <c r="I825" s="47"/>
      <c r="J825" s="48" t="s">
        <v>42</v>
      </c>
      <c r="K825" s="86" t="s">
        <v>1669</v>
      </c>
      <c r="L825" s="87" t="s">
        <v>25</v>
      </c>
      <c r="M825" s="87" t="s">
        <v>26</v>
      </c>
      <c r="N825" s="14" t="s">
        <v>27</v>
      </c>
      <c r="O825" s="14" t="s">
        <v>28</v>
      </c>
      <c r="P825" s="51">
        <v>35</v>
      </c>
      <c r="Q825" s="47">
        <f t="shared" si="25"/>
        <v>350</v>
      </c>
      <c r="R825" s="47"/>
      <c r="S825" s="47"/>
      <c r="T825" s="47"/>
    </row>
    <row r="826" customHeight="1" spans="1:20">
      <c r="A826" s="43">
        <v>82</v>
      </c>
      <c r="B826" s="78" t="s">
        <v>1000</v>
      </c>
      <c r="C826" s="78"/>
      <c r="D826" s="107"/>
      <c r="E826" s="78"/>
      <c r="F826" s="44"/>
      <c r="G826" s="85"/>
      <c r="H826" s="46"/>
      <c r="I826" s="47"/>
      <c r="J826" s="48" t="s">
        <v>42</v>
      </c>
      <c r="K826" s="86"/>
      <c r="L826" s="87"/>
      <c r="M826" s="87"/>
      <c r="O826" s="14" t="s">
        <v>28</v>
      </c>
      <c r="P826" s="51"/>
      <c r="Q826" s="47">
        <f t="shared" si="25"/>
        <v>0</v>
      </c>
      <c r="R826" s="47"/>
      <c r="S826" s="47"/>
      <c r="T826" s="47">
        <v>82</v>
      </c>
    </row>
    <row r="827" customHeight="1" spans="1:20">
      <c r="A827" s="43">
        <v>82001</v>
      </c>
      <c r="B827" s="78" t="s">
        <v>1001</v>
      </c>
      <c r="C827" s="78"/>
      <c r="D827" s="107">
        <v>5</v>
      </c>
      <c r="E827" s="78" t="s">
        <v>1002</v>
      </c>
      <c r="F827" s="44">
        <f t="shared" ref="F827:F829" si="27">D827*2</f>
        <v>10</v>
      </c>
      <c r="G827" s="123" t="s">
        <v>1672</v>
      </c>
      <c r="H827" s="46" t="s">
        <v>18</v>
      </c>
      <c r="I827" s="47"/>
      <c r="J827" s="48" t="s">
        <v>42</v>
      </c>
      <c r="K827" s="124">
        <v>82001</v>
      </c>
      <c r="L827" s="125" t="s">
        <v>25</v>
      </c>
      <c r="M827" s="125" t="s">
        <v>26</v>
      </c>
      <c r="N827" s="14" t="s">
        <v>27</v>
      </c>
      <c r="O827" s="14" t="s">
        <v>28</v>
      </c>
      <c r="P827" s="51">
        <v>29</v>
      </c>
      <c r="Q827" s="47">
        <f t="shared" si="25"/>
        <v>290</v>
      </c>
      <c r="R827" s="47"/>
      <c r="S827" s="47"/>
      <c r="T827" s="47">
        <v>82001</v>
      </c>
    </row>
    <row r="828" customHeight="1" spans="1:20">
      <c r="A828" s="43">
        <v>82002</v>
      </c>
      <c r="B828" s="78" t="s">
        <v>1004</v>
      </c>
      <c r="C828" s="78"/>
      <c r="D828" s="107">
        <f>D466</f>
        <v>56</v>
      </c>
      <c r="E828" s="78" t="s">
        <v>21</v>
      </c>
      <c r="F828" s="44">
        <f t="shared" si="27"/>
        <v>112</v>
      </c>
      <c r="G828" s="85" t="s">
        <v>1673</v>
      </c>
      <c r="H828" s="46" t="s">
        <v>18</v>
      </c>
      <c r="I828" s="47"/>
      <c r="J828" s="48" t="s">
        <v>42</v>
      </c>
      <c r="K828" s="86">
        <v>82002</v>
      </c>
      <c r="L828" s="87" t="s">
        <v>25</v>
      </c>
      <c r="M828" s="87" t="s">
        <v>26</v>
      </c>
      <c r="N828" s="14" t="s">
        <v>27</v>
      </c>
      <c r="O828" s="14" t="s">
        <v>28</v>
      </c>
      <c r="P828" s="51">
        <v>15</v>
      </c>
      <c r="Q828" s="47">
        <f t="shared" si="25"/>
        <v>1680</v>
      </c>
      <c r="R828" s="47"/>
      <c r="S828" s="47"/>
      <c r="T828" s="47">
        <v>82002</v>
      </c>
    </row>
    <row r="829" customHeight="1" spans="1:20">
      <c r="A829" s="43">
        <v>82206</v>
      </c>
      <c r="B829" s="78" t="s">
        <v>1006</v>
      </c>
      <c r="C829" s="78"/>
      <c r="D829" s="107">
        <f>D466</f>
        <v>56</v>
      </c>
      <c r="E829" s="78" t="s">
        <v>1007</v>
      </c>
      <c r="F829" s="44">
        <f t="shared" si="27"/>
        <v>112</v>
      </c>
      <c r="G829" s="85" t="s">
        <v>1674</v>
      </c>
      <c r="H829" s="46" t="s">
        <v>18</v>
      </c>
      <c r="I829" s="47"/>
      <c r="J829" s="48" t="s">
        <v>42</v>
      </c>
      <c r="K829" s="86">
        <v>82206</v>
      </c>
      <c r="L829" s="87" t="s">
        <v>25</v>
      </c>
      <c r="M829" s="87" t="s">
        <v>26</v>
      </c>
      <c r="N829" s="14" t="s">
        <v>27</v>
      </c>
      <c r="O829" s="14" t="s">
        <v>28</v>
      </c>
      <c r="P829" s="51">
        <v>4</v>
      </c>
      <c r="Q829" s="47">
        <f t="shared" si="25"/>
        <v>448</v>
      </c>
      <c r="R829" s="47"/>
      <c r="S829" s="47"/>
      <c r="T829" s="47">
        <v>82006</v>
      </c>
    </row>
    <row r="830" s="13" customFormat="1" ht="21" customHeight="1" spans="1:20">
      <c r="A830" s="52" t="s">
        <v>1675</v>
      </c>
      <c r="B830" s="53"/>
      <c r="C830" s="53"/>
      <c r="D830" s="53"/>
      <c r="E830" s="53"/>
      <c r="F830" s="54"/>
      <c r="G830" s="55"/>
      <c r="H830" s="56"/>
      <c r="I830" s="57"/>
      <c r="J830" s="48"/>
      <c r="K830" s="58"/>
      <c r="L830" s="58"/>
      <c r="M830" s="59"/>
      <c r="P830" s="60"/>
      <c r="Q830" s="47">
        <f t="shared" si="25"/>
        <v>0</v>
      </c>
      <c r="R830" s="57"/>
      <c r="S830" s="57"/>
      <c r="T830" s="57"/>
    </row>
    <row r="831" s="13" customFormat="1" ht="21" customHeight="1" spans="1:20">
      <c r="A831" s="61" t="s">
        <v>1676</v>
      </c>
      <c r="B831" s="62"/>
      <c r="C831" s="62"/>
      <c r="D831" s="62"/>
      <c r="E831" s="62"/>
      <c r="F831" s="63"/>
      <c r="G831" s="64"/>
      <c r="H831" s="65"/>
      <c r="I831" s="66"/>
      <c r="J831" s="48"/>
      <c r="K831" s="58"/>
      <c r="L831" s="58"/>
      <c r="M831" s="59"/>
      <c r="P831" s="67"/>
      <c r="Q831" s="47">
        <f t="shared" si="25"/>
        <v>0</v>
      </c>
      <c r="R831" s="66"/>
      <c r="S831" s="66"/>
      <c r="T831" s="66"/>
    </row>
    <row r="832" s="12" customFormat="1" customHeight="1" spans="1:20">
      <c r="A832" s="29">
        <v>7</v>
      </c>
      <c r="B832" s="127" t="s">
        <v>1677</v>
      </c>
      <c r="C832" s="127"/>
      <c r="D832" s="29">
        <v>2</v>
      </c>
      <c r="E832" s="127" t="s">
        <v>1012</v>
      </c>
      <c r="F832" s="128"/>
      <c r="G832" s="70" t="s">
        <v>33</v>
      </c>
      <c r="H832" s="35" t="s">
        <v>18</v>
      </c>
      <c r="I832" s="36"/>
      <c r="J832" s="37"/>
      <c r="K832" s="38"/>
      <c r="L832" s="38"/>
      <c r="M832" s="39"/>
      <c r="N832" s="12"/>
      <c r="O832" s="12"/>
      <c r="P832" s="40"/>
      <c r="Q832" s="36">
        <f t="shared" si="25"/>
        <v>0</v>
      </c>
      <c r="R832" s="36"/>
      <c r="S832" s="36"/>
      <c r="T832" s="36"/>
    </row>
    <row r="833" customHeight="1" spans="1:20">
      <c r="A833" s="244" t="s">
        <v>1678</v>
      </c>
      <c r="B833" s="71" t="s">
        <v>35</v>
      </c>
      <c r="C833" s="71"/>
      <c r="D833" s="41">
        <v>56</v>
      </c>
      <c r="E833" s="71" t="s">
        <v>36</v>
      </c>
      <c r="F833" s="44"/>
      <c r="G833" s="72"/>
      <c r="H833" s="46"/>
      <c r="I833" s="47"/>
      <c r="J833" s="48"/>
      <c r="K833" s="73"/>
      <c r="L833" s="73"/>
      <c r="M833" s="74"/>
      <c r="P833" s="51"/>
      <c r="Q833" s="47">
        <f t="shared" si="25"/>
        <v>0</v>
      </c>
      <c r="R833" s="47"/>
      <c r="S833" s="47"/>
      <c r="T833" s="47"/>
    </row>
    <row r="834" customHeight="1" spans="1:20">
      <c r="A834" s="43" t="s">
        <v>39</v>
      </c>
      <c r="B834" s="78" t="s">
        <v>40</v>
      </c>
      <c r="C834" s="78"/>
      <c r="D834" s="43">
        <f>D833/2</f>
        <v>28</v>
      </c>
      <c r="E834" s="78" t="s">
        <v>21</v>
      </c>
      <c r="F834" s="44">
        <f t="shared" ref="F834:F897" si="28">D834*2</f>
        <v>56</v>
      </c>
      <c r="G834" s="115" t="s">
        <v>1679</v>
      </c>
      <c r="H834" s="46" t="s">
        <v>18</v>
      </c>
      <c r="I834" s="47"/>
      <c r="J834" s="48" t="s">
        <v>42</v>
      </c>
      <c r="K834" s="86" t="s">
        <v>39</v>
      </c>
      <c r="L834" s="86" t="s">
        <v>43</v>
      </c>
      <c r="M834" s="86" t="s">
        <v>44</v>
      </c>
      <c r="N834" s="14" t="s">
        <v>27</v>
      </c>
      <c r="O834" s="14" t="s">
        <v>28</v>
      </c>
      <c r="P834" s="51">
        <v>14</v>
      </c>
      <c r="Q834" s="47">
        <f t="shared" si="25"/>
        <v>784</v>
      </c>
      <c r="R834" s="47"/>
      <c r="S834" s="47"/>
      <c r="T834" s="47">
        <v>1011</v>
      </c>
    </row>
    <row r="835" customHeight="1" spans="1:20">
      <c r="A835" s="43">
        <v>2001</v>
      </c>
      <c r="B835" s="78" t="s">
        <v>46</v>
      </c>
      <c r="C835" s="78"/>
      <c r="D835" s="43">
        <v>1</v>
      </c>
      <c r="E835" s="78" t="s">
        <v>47</v>
      </c>
      <c r="F835" s="44">
        <f t="shared" si="28"/>
        <v>2</v>
      </c>
      <c r="G835" s="82" t="s">
        <v>48</v>
      </c>
      <c r="H835" s="46" t="s">
        <v>18</v>
      </c>
      <c r="I835" s="47"/>
      <c r="J835" s="48" t="s">
        <v>42</v>
      </c>
      <c r="K835" s="83" t="s">
        <v>45</v>
      </c>
      <c r="L835" s="84" t="s">
        <v>25</v>
      </c>
      <c r="M835" s="84" t="s">
        <v>26</v>
      </c>
      <c r="N835" s="14" t="s">
        <v>27</v>
      </c>
      <c r="O835" s="14" t="s">
        <v>28</v>
      </c>
      <c r="P835" s="51">
        <v>55</v>
      </c>
      <c r="Q835" s="47">
        <f t="shared" si="25"/>
        <v>110</v>
      </c>
      <c r="R835" s="47"/>
      <c r="S835" s="47"/>
      <c r="T835" s="47">
        <v>2001</v>
      </c>
    </row>
    <row r="836" customHeight="1" spans="1:20">
      <c r="A836" s="43">
        <v>2002</v>
      </c>
      <c r="B836" s="78" t="s">
        <v>50</v>
      </c>
      <c r="C836" s="78"/>
      <c r="D836" s="43">
        <v>2</v>
      </c>
      <c r="E836" s="78" t="s">
        <v>32</v>
      </c>
      <c r="F836" s="44">
        <f t="shared" si="28"/>
        <v>4</v>
      </c>
      <c r="G836" s="82" t="s">
        <v>51</v>
      </c>
      <c r="H836" s="46" t="s">
        <v>18</v>
      </c>
      <c r="I836" s="47"/>
      <c r="J836" s="48" t="s">
        <v>42</v>
      </c>
      <c r="K836" s="83" t="s">
        <v>49</v>
      </c>
      <c r="L836" s="84" t="s">
        <v>25</v>
      </c>
      <c r="M836" s="84" t="s">
        <v>26</v>
      </c>
      <c r="N836" s="14" t="s">
        <v>27</v>
      </c>
      <c r="O836" s="14" t="s">
        <v>28</v>
      </c>
      <c r="P836" s="51">
        <v>6</v>
      </c>
      <c r="Q836" s="47">
        <f t="shared" ref="Q836:Q899" si="29">P836*F836</f>
        <v>24</v>
      </c>
      <c r="R836" s="47"/>
      <c r="S836" s="47"/>
      <c r="T836" s="47">
        <v>2002</v>
      </c>
    </row>
    <row r="837" customHeight="1" spans="1:20">
      <c r="A837" s="43">
        <v>2003</v>
      </c>
      <c r="B837" s="78" t="s">
        <v>1016</v>
      </c>
      <c r="C837" s="78"/>
      <c r="D837" s="43">
        <v>1</v>
      </c>
      <c r="E837" s="78" t="s">
        <v>21</v>
      </c>
      <c r="F837" s="44">
        <f t="shared" si="28"/>
        <v>2</v>
      </c>
      <c r="G837" s="82" t="s">
        <v>1017</v>
      </c>
      <c r="H837" s="46" t="s">
        <v>18</v>
      </c>
      <c r="I837" s="47"/>
      <c r="J837" s="48" t="s">
        <v>42</v>
      </c>
      <c r="K837" s="83">
        <v>2003</v>
      </c>
      <c r="L837" s="84" t="s">
        <v>25</v>
      </c>
      <c r="M837" s="84" t="s">
        <v>26</v>
      </c>
      <c r="N837" s="14" t="s">
        <v>27</v>
      </c>
      <c r="O837" s="14" t="s">
        <v>28</v>
      </c>
      <c r="P837" s="51">
        <v>6</v>
      </c>
      <c r="Q837" s="47">
        <f t="shared" si="29"/>
        <v>12</v>
      </c>
      <c r="R837" s="47"/>
      <c r="S837" s="47"/>
      <c r="T837" s="47"/>
    </row>
    <row r="838" customHeight="1" spans="1:20">
      <c r="A838" s="43">
        <v>2004</v>
      </c>
      <c r="B838" s="78" t="s">
        <v>1019</v>
      </c>
      <c r="C838" s="78"/>
      <c r="D838" s="43">
        <v>1</v>
      </c>
      <c r="E838" s="78" t="s">
        <v>21</v>
      </c>
      <c r="F838" s="44">
        <f t="shared" si="28"/>
        <v>2</v>
      </c>
      <c r="G838" s="85" t="s">
        <v>1680</v>
      </c>
      <c r="H838" s="46" t="s">
        <v>18</v>
      </c>
      <c r="I838" s="47"/>
      <c r="J838" s="48" t="s">
        <v>42</v>
      </c>
      <c r="K838" s="86" t="s">
        <v>1018</v>
      </c>
      <c r="L838" s="87" t="s">
        <v>25</v>
      </c>
      <c r="M838" s="87" t="s">
        <v>26</v>
      </c>
      <c r="N838" s="14" t="s">
        <v>27</v>
      </c>
      <c r="O838" s="14" t="s">
        <v>28</v>
      </c>
      <c r="P838" s="51">
        <v>12</v>
      </c>
      <c r="Q838" s="47">
        <f t="shared" si="29"/>
        <v>24</v>
      </c>
      <c r="R838" s="47"/>
      <c r="S838" s="47"/>
      <c r="T838" s="47"/>
    </row>
    <row r="839" customHeight="1" spans="1:20">
      <c r="A839" s="43">
        <v>2005</v>
      </c>
      <c r="B839" s="78" t="s">
        <v>1022</v>
      </c>
      <c r="C839" s="78"/>
      <c r="D839" s="43">
        <v>1</v>
      </c>
      <c r="E839" s="78" t="s">
        <v>54</v>
      </c>
      <c r="F839" s="44">
        <f t="shared" si="28"/>
        <v>2</v>
      </c>
      <c r="G839" s="85" t="s">
        <v>1681</v>
      </c>
      <c r="H839" s="46" t="s">
        <v>18</v>
      </c>
      <c r="I839" s="47"/>
      <c r="J839" s="48" t="s">
        <v>42</v>
      </c>
      <c r="K839" s="86" t="s">
        <v>1021</v>
      </c>
      <c r="L839" s="87" t="s">
        <v>25</v>
      </c>
      <c r="M839" s="87" t="s">
        <v>26</v>
      </c>
      <c r="N839" s="14" t="s">
        <v>27</v>
      </c>
      <c r="O839" s="14" t="s">
        <v>28</v>
      </c>
      <c r="P839" s="51">
        <v>75</v>
      </c>
      <c r="Q839" s="47">
        <f t="shared" si="29"/>
        <v>150</v>
      </c>
      <c r="R839" s="47"/>
      <c r="S839" s="47"/>
      <c r="T839" s="47"/>
    </row>
    <row r="840" customHeight="1" spans="1:20">
      <c r="A840" s="43">
        <v>2006</v>
      </c>
      <c r="B840" s="78" t="s">
        <v>1682</v>
      </c>
      <c r="C840" s="78"/>
      <c r="D840" s="43">
        <v>1</v>
      </c>
      <c r="E840" s="78" t="s">
        <v>54</v>
      </c>
      <c r="F840" s="44">
        <f t="shared" si="28"/>
        <v>2</v>
      </c>
      <c r="G840" s="85" t="s">
        <v>1683</v>
      </c>
      <c r="H840" s="46" t="s">
        <v>18</v>
      </c>
      <c r="I840" s="47"/>
      <c r="J840" s="48" t="s">
        <v>42</v>
      </c>
      <c r="K840" s="86" t="s">
        <v>1684</v>
      </c>
      <c r="L840" s="87" t="s">
        <v>1685</v>
      </c>
      <c r="M840" s="87" t="s">
        <v>1686</v>
      </c>
      <c r="N840" s="14" t="s">
        <v>27</v>
      </c>
      <c r="O840" s="14" t="s">
        <v>28</v>
      </c>
      <c r="P840" s="51">
        <v>265</v>
      </c>
      <c r="Q840" s="47">
        <f t="shared" si="29"/>
        <v>530</v>
      </c>
      <c r="R840" s="47"/>
      <c r="S840" s="47"/>
      <c r="T840" s="47"/>
    </row>
    <row r="841" customHeight="1" spans="1:20">
      <c r="A841" s="43">
        <v>2020</v>
      </c>
      <c r="B841" s="78" t="s">
        <v>77</v>
      </c>
      <c r="C841" s="78"/>
      <c r="D841" s="43">
        <v>1</v>
      </c>
      <c r="E841" s="78" t="s">
        <v>78</v>
      </c>
      <c r="F841" s="44">
        <f t="shared" si="28"/>
        <v>2</v>
      </c>
      <c r="G841" s="85" t="s">
        <v>79</v>
      </c>
      <c r="H841" s="46" t="s">
        <v>18</v>
      </c>
      <c r="I841" s="47"/>
      <c r="J841" s="48" t="s">
        <v>42</v>
      </c>
      <c r="K841" s="86">
        <v>2020</v>
      </c>
      <c r="L841" s="87" t="s">
        <v>25</v>
      </c>
      <c r="M841" s="87" t="s">
        <v>26</v>
      </c>
      <c r="N841" s="14" t="s">
        <v>27</v>
      </c>
      <c r="O841" s="14" t="s">
        <v>28</v>
      </c>
      <c r="P841" s="51">
        <v>260</v>
      </c>
      <c r="Q841" s="47">
        <f t="shared" si="29"/>
        <v>520</v>
      </c>
      <c r="R841" s="47"/>
      <c r="S841" s="47"/>
      <c r="T841" s="47">
        <v>2020</v>
      </c>
    </row>
    <row r="842" customHeight="1" spans="1:20">
      <c r="A842" s="43">
        <v>2070</v>
      </c>
      <c r="B842" s="78" t="s">
        <v>1687</v>
      </c>
      <c r="C842" s="78"/>
      <c r="D842" s="43">
        <v>1</v>
      </c>
      <c r="E842" s="78" t="s">
        <v>54</v>
      </c>
      <c r="F842" s="44">
        <f t="shared" si="28"/>
        <v>2</v>
      </c>
      <c r="G842" s="85" t="s">
        <v>1688</v>
      </c>
      <c r="H842" s="46" t="s">
        <v>18</v>
      </c>
      <c r="I842" s="47"/>
      <c r="J842" s="48" t="s">
        <v>42</v>
      </c>
      <c r="K842" s="86" t="s">
        <v>1689</v>
      </c>
      <c r="L842" s="87" t="s">
        <v>25</v>
      </c>
      <c r="M842" s="87" t="s">
        <v>26</v>
      </c>
      <c r="N842" s="14" t="s">
        <v>27</v>
      </c>
      <c r="O842" s="14" t="s">
        <v>28</v>
      </c>
      <c r="P842" s="51">
        <v>280</v>
      </c>
      <c r="Q842" s="47">
        <f t="shared" si="29"/>
        <v>560</v>
      </c>
      <c r="R842" s="47"/>
      <c r="S842" s="47"/>
      <c r="T842" s="47"/>
    </row>
    <row r="843" customHeight="1" spans="1:20">
      <c r="A843" s="43">
        <v>2071</v>
      </c>
      <c r="B843" s="78" t="s">
        <v>1690</v>
      </c>
      <c r="C843" s="78"/>
      <c r="D843" s="43">
        <v>1</v>
      </c>
      <c r="E843" s="78" t="s">
        <v>54</v>
      </c>
      <c r="F843" s="44">
        <f t="shared" si="28"/>
        <v>2</v>
      </c>
      <c r="G843" s="79" t="s">
        <v>1691</v>
      </c>
      <c r="H843" s="46" t="s">
        <v>18</v>
      </c>
      <c r="I843" s="47"/>
      <c r="J843" s="48" t="s">
        <v>42</v>
      </c>
      <c r="K843" s="80">
        <v>2071</v>
      </c>
      <c r="L843" s="81" t="s">
        <v>25</v>
      </c>
      <c r="M843" s="81" t="s">
        <v>26</v>
      </c>
      <c r="N843" s="14" t="s">
        <v>27</v>
      </c>
      <c r="O843" s="14" t="s">
        <v>28</v>
      </c>
      <c r="P843" s="51">
        <v>48</v>
      </c>
      <c r="Q843" s="47">
        <f t="shared" si="29"/>
        <v>96</v>
      </c>
      <c r="R843" s="47"/>
      <c r="S843" s="47"/>
      <c r="T843" s="47"/>
    </row>
    <row r="844" customHeight="1" spans="1:20">
      <c r="A844" s="43">
        <v>2073</v>
      </c>
      <c r="B844" s="78" t="s">
        <v>1692</v>
      </c>
      <c r="C844" s="78"/>
      <c r="D844" s="43">
        <f>D833/2</f>
        <v>28</v>
      </c>
      <c r="E844" s="78" t="s">
        <v>54</v>
      </c>
      <c r="F844" s="44">
        <f t="shared" si="28"/>
        <v>56</v>
      </c>
      <c r="G844" s="79" t="s">
        <v>1693</v>
      </c>
      <c r="H844" s="46" t="s">
        <v>18</v>
      </c>
      <c r="I844" s="47"/>
      <c r="J844" s="48" t="s">
        <v>42</v>
      </c>
      <c r="K844" s="80" t="s">
        <v>1694</v>
      </c>
      <c r="L844" s="81" t="s">
        <v>25</v>
      </c>
      <c r="M844" s="81" t="s">
        <v>26</v>
      </c>
      <c r="N844" s="14" t="s">
        <v>27</v>
      </c>
      <c r="O844" s="14" t="s">
        <v>28</v>
      </c>
      <c r="P844" s="51">
        <v>150</v>
      </c>
      <c r="Q844" s="47">
        <f t="shared" si="29"/>
        <v>8400</v>
      </c>
      <c r="R844" s="47"/>
      <c r="S844" s="47"/>
      <c r="T844" s="47"/>
    </row>
    <row r="845" customHeight="1" spans="1:20">
      <c r="A845" s="43">
        <v>2074</v>
      </c>
      <c r="B845" s="78" t="s">
        <v>1695</v>
      </c>
      <c r="C845" s="78"/>
      <c r="D845" s="43">
        <f>D833/2</f>
        <v>28</v>
      </c>
      <c r="E845" s="78" t="s">
        <v>21</v>
      </c>
      <c r="F845" s="44">
        <f t="shared" si="28"/>
        <v>56</v>
      </c>
      <c r="G845" s="79" t="s">
        <v>1696</v>
      </c>
      <c r="H845" s="46" t="s">
        <v>18</v>
      </c>
      <c r="I845" s="47"/>
      <c r="J845" s="48" t="s">
        <v>42</v>
      </c>
      <c r="K845" s="80" t="s">
        <v>1697</v>
      </c>
      <c r="L845" s="81" t="s">
        <v>25</v>
      </c>
      <c r="M845" s="81" t="s">
        <v>26</v>
      </c>
      <c r="N845" s="14" t="s">
        <v>27</v>
      </c>
      <c r="O845" s="14" t="s">
        <v>28</v>
      </c>
      <c r="P845" s="51">
        <v>30</v>
      </c>
      <c r="Q845" s="47">
        <f t="shared" si="29"/>
        <v>1680</v>
      </c>
      <c r="R845" s="47"/>
      <c r="S845" s="47"/>
      <c r="T845" s="47"/>
    </row>
    <row r="846" customHeight="1" spans="1:20">
      <c r="A846" s="43">
        <v>2075</v>
      </c>
      <c r="B846" s="78" t="s">
        <v>87</v>
      </c>
      <c r="C846" s="78"/>
      <c r="D846" s="43">
        <v>4</v>
      </c>
      <c r="E846" s="78" t="s">
        <v>21</v>
      </c>
      <c r="F846" s="44">
        <f t="shared" si="28"/>
        <v>8</v>
      </c>
      <c r="G846" s="82" t="s">
        <v>88</v>
      </c>
      <c r="H846" s="46" t="s">
        <v>18</v>
      </c>
      <c r="I846" s="47"/>
      <c r="J846" s="48" t="s">
        <v>42</v>
      </c>
      <c r="K846" s="83">
        <v>2075</v>
      </c>
      <c r="L846" s="84" t="s">
        <v>89</v>
      </c>
      <c r="M846" s="84" t="s">
        <v>90</v>
      </c>
      <c r="N846" s="14" t="s">
        <v>27</v>
      </c>
      <c r="O846" s="14" t="s">
        <v>28</v>
      </c>
      <c r="P846" s="51">
        <v>48</v>
      </c>
      <c r="Q846" s="47">
        <f t="shared" si="29"/>
        <v>384</v>
      </c>
      <c r="R846" s="47"/>
      <c r="S846" s="47"/>
      <c r="T846" s="47">
        <v>2075</v>
      </c>
    </row>
    <row r="847" customHeight="1" spans="1:20">
      <c r="A847" s="43">
        <v>2077</v>
      </c>
      <c r="B847" s="78" t="s">
        <v>1698</v>
      </c>
      <c r="C847" s="78"/>
      <c r="D847" s="43">
        <v>1</v>
      </c>
      <c r="E847" s="78" t="s">
        <v>21</v>
      </c>
      <c r="F847" s="44">
        <f t="shared" si="28"/>
        <v>2</v>
      </c>
      <c r="G847" s="79" t="s">
        <v>1699</v>
      </c>
      <c r="H847" s="46" t="s">
        <v>18</v>
      </c>
      <c r="I847" s="47"/>
      <c r="J847" s="48" t="s">
        <v>42</v>
      </c>
      <c r="K847" s="80">
        <v>2077</v>
      </c>
      <c r="L847" s="81" t="s">
        <v>25</v>
      </c>
      <c r="M847" s="81" t="s">
        <v>26</v>
      </c>
      <c r="N847" s="14" t="s">
        <v>27</v>
      </c>
      <c r="O847" s="14" t="s">
        <v>28</v>
      </c>
      <c r="P847" s="51">
        <v>65</v>
      </c>
      <c r="Q847" s="47">
        <f t="shared" si="29"/>
        <v>130</v>
      </c>
      <c r="R847" s="47"/>
      <c r="S847" s="47"/>
      <c r="T847" s="47"/>
    </row>
    <row r="848" customHeight="1" spans="1:20">
      <c r="A848" s="43">
        <v>2081</v>
      </c>
      <c r="B848" s="78" t="s">
        <v>1700</v>
      </c>
      <c r="C848" s="78"/>
      <c r="D848" s="43">
        <v>1</v>
      </c>
      <c r="E848" s="78" t="s">
        <v>54</v>
      </c>
      <c r="F848" s="44">
        <f t="shared" si="28"/>
        <v>2</v>
      </c>
      <c r="G848" s="117" t="s">
        <v>1701</v>
      </c>
      <c r="H848" s="46" t="s">
        <v>18</v>
      </c>
      <c r="I848" s="47"/>
      <c r="J848" s="48" t="s">
        <v>42</v>
      </c>
      <c r="K848" s="118" t="s">
        <v>1702</v>
      </c>
      <c r="L848" s="119" t="s">
        <v>25</v>
      </c>
      <c r="M848" s="119" t="s">
        <v>26</v>
      </c>
      <c r="N848" s="14" t="s">
        <v>27</v>
      </c>
      <c r="O848" s="14" t="s">
        <v>28</v>
      </c>
      <c r="P848" s="51">
        <v>350</v>
      </c>
      <c r="Q848" s="47">
        <f t="shared" si="29"/>
        <v>700</v>
      </c>
      <c r="R848" s="47"/>
      <c r="S848" s="47"/>
      <c r="T848" s="47"/>
    </row>
    <row r="849" customHeight="1" spans="1:20">
      <c r="A849" s="43">
        <v>2081</v>
      </c>
      <c r="B849" s="78" t="s">
        <v>1700</v>
      </c>
      <c r="C849" s="78"/>
      <c r="D849" s="43">
        <v>1</v>
      </c>
      <c r="E849" s="78" t="s">
        <v>54</v>
      </c>
      <c r="F849" s="44">
        <f t="shared" si="28"/>
        <v>2</v>
      </c>
      <c r="G849" s="117" t="s">
        <v>1703</v>
      </c>
      <c r="H849" s="46" t="s">
        <v>18</v>
      </c>
      <c r="I849" s="47"/>
      <c r="J849" s="48" t="s">
        <v>42</v>
      </c>
      <c r="K849" s="118" t="s">
        <v>1702</v>
      </c>
      <c r="L849" s="119" t="s">
        <v>25</v>
      </c>
      <c r="M849" s="119" t="s">
        <v>26</v>
      </c>
      <c r="N849" s="14" t="s">
        <v>27</v>
      </c>
      <c r="O849" s="14" t="s">
        <v>28</v>
      </c>
      <c r="P849" s="51">
        <v>350</v>
      </c>
      <c r="Q849" s="47">
        <f t="shared" si="29"/>
        <v>700</v>
      </c>
      <c r="R849" s="47"/>
      <c r="S849" s="47"/>
      <c r="T849" s="47"/>
    </row>
    <row r="850" customHeight="1" spans="1:20">
      <c r="A850" s="43">
        <v>2083</v>
      </c>
      <c r="B850" s="78" t="s">
        <v>1704</v>
      </c>
      <c r="C850" s="78"/>
      <c r="D850" s="43">
        <v>1</v>
      </c>
      <c r="E850" s="78" t="s">
        <v>54</v>
      </c>
      <c r="F850" s="44">
        <f t="shared" si="28"/>
        <v>2</v>
      </c>
      <c r="G850" s="79" t="s">
        <v>1705</v>
      </c>
      <c r="H850" s="46" t="s">
        <v>18</v>
      </c>
      <c r="I850" s="47"/>
      <c r="J850" s="48" t="s">
        <v>42</v>
      </c>
      <c r="K850" s="80" t="s">
        <v>1706</v>
      </c>
      <c r="L850" s="81" t="s">
        <v>25</v>
      </c>
      <c r="M850" s="81" t="s">
        <v>26</v>
      </c>
      <c r="N850" s="14" t="s">
        <v>27</v>
      </c>
      <c r="O850" s="14" t="s">
        <v>28</v>
      </c>
      <c r="P850" s="51">
        <v>200</v>
      </c>
      <c r="Q850" s="47">
        <f t="shared" si="29"/>
        <v>400</v>
      </c>
      <c r="R850" s="47"/>
      <c r="S850" s="47"/>
      <c r="T850" s="47"/>
    </row>
    <row r="851" customHeight="1" spans="1:20">
      <c r="A851" s="43">
        <v>2084</v>
      </c>
      <c r="B851" s="78" t="s">
        <v>1707</v>
      </c>
      <c r="C851" s="78"/>
      <c r="D851" s="43">
        <v>1</v>
      </c>
      <c r="E851" s="78" t="s">
        <v>54</v>
      </c>
      <c r="F851" s="44">
        <f t="shared" si="28"/>
        <v>2</v>
      </c>
      <c r="G851" s="82" t="s">
        <v>1708</v>
      </c>
      <c r="H851" s="46" t="s">
        <v>18</v>
      </c>
      <c r="I851" s="47"/>
      <c r="J851" s="48" t="s">
        <v>42</v>
      </c>
      <c r="K851" s="83" t="s">
        <v>1709</v>
      </c>
      <c r="L851" s="84" t="s">
        <v>25</v>
      </c>
      <c r="M851" s="84" t="s">
        <v>26</v>
      </c>
      <c r="N851" s="14" t="s">
        <v>27</v>
      </c>
      <c r="O851" s="14" t="s">
        <v>28</v>
      </c>
      <c r="P851" s="51">
        <v>750</v>
      </c>
      <c r="Q851" s="47">
        <f t="shared" si="29"/>
        <v>1500</v>
      </c>
      <c r="R851" s="47"/>
      <c r="S851" s="47"/>
      <c r="T851" s="47"/>
    </row>
    <row r="852" customHeight="1" spans="1:20">
      <c r="A852" s="43">
        <v>2086</v>
      </c>
      <c r="B852" s="78" t="s">
        <v>1710</v>
      </c>
      <c r="C852" s="78"/>
      <c r="D852" s="43">
        <v>1</v>
      </c>
      <c r="E852" s="78" t="s">
        <v>21</v>
      </c>
      <c r="F852" s="44">
        <f t="shared" si="28"/>
        <v>2</v>
      </c>
      <c r="G852" s="85" t="s">
        <v>1711</v>
      </c>
      <c r="H852" s="46" t="s">
        <v>18</v>
      </c>
      <c r="I852" s="47"/>
      <c r="J852" s="48" t="s">
        <v>42</v>
      </c>
      <c r="K852" s="86" t="s">
        <v>1712</v>
      </c>
      <c r="L852" s="87" t="s">
        <v>1713</v>
      </c>
      <c r="M852" s="87" t="s">
        <v>1714</v>
      </c>
      <c r="N852" s="14" t="s">
        <v>27</v>
      </c>
      <c r="O852" s="14" t="s">
        <v>28</v>
      </c>
      <c r="P852" s="51">
        <v>2000</v>
      </c>
      <c r="Q852" s="47">
        <f t="shared" si="29"/>
        <v>4000</v>
      </c>
      <c r="R852" s="47"/>
      <c r="S852" s="47"/>
      <c r="T852" s="47"/>
    </row>
    <row r="853" customHeight="1" spans="1:20">
      <c r="A853" s="43"/>
      <c r="B853" s="78" t="s">
        <v>1715</v>
      </c>
      <c r="C853" s="78"/>
      <c r="D853" s="43">
        <v>1</v>
      </c>
      <c r="E853" s="78" t="s">
        <v>21</v>
      </c>
      <c r="F853" s="44">
        <f t="shared" si="28"/>
        <v>2</v>
      </c>
      <c r="G853" s="85" t="s">
        <v>1716</v>
      </c>
      <c r="H853" s="46" t="s">
        <v>18</v>
      </c>
      <c r="I853" s="47"/>
      <c r="J853" s="48" t="s">
        <v>42</v>
      </c>
      <c r="K853" s="86" t="s">
        <v>1717</v>
      </c>
      <c r="L853" s="87" t="s">
        <v>1718</v>
      </c>
      <c r="M853" s="87" t="s">
        <v>1719</v>
      </c>
      <c r="N853" s="14" t="s">
        <v>27</v>
      </c>
      <c r="O853" s="14" t="s">
        <v>28</v>
      </c>
      <c r="P853" s="51">
        <v>2600</v>
      </c>
      <c r="Q853" s="47">
        <f t="shared" si="29"/>
        <v>5200</v>
      </c>
      <c r="R853" s="47"/>
      <c r="S853" s="47"/>
      <c r="T853" s="47"/>
    </row>
    <row r="854" customHeight="1" spans="1:20">
      <c r="A854" s="43">
        <v>2094</v>
      </c>
      <c r="B854" s="78" t="s">
        <v>1720</v>
      </c>
      <c r="C854" s="78"/>
      <c r="D854" s="43">
        <v>1</v>
      </c>
      <c r="E854" s="78" t="s">
        <v>21</v>
      </c>
      <c r="F854" s="44">
        <f t="shared" si="28"/>
        <v>2</v>
      </c>
      <c r="G854" s="85" t="s">
        <v>1721</v>
      </c>
      <c r="H854" s="46" t="s">
        <v>18</v>
      </c>
      <c r="I854" s="47"/>
      <c r="J854" s="48" t="s">
        <v>42</v>
      </c>
      <c r="K854" s="86" t="s">
        <v>1722</v>
      </c>
      <c r="L854" s="87" t="s">
        <v>25</v>
      </c>
      <c r="M854" s="87" t="s">
        <v>26</v>
      </c>
      <c r="N854" s="14" t="s">
        <v>27</v>
      </c>
      <c r="O854" s="14" t="s">
        <v>28</v>
      </c>
      <c r="P854" s="51">
        <v>260</v>
      </c>
      <c r="Q854" s="47">
        <f t="shared" si="29"/>
        <v>520</v>
      </c>
      <c r="R854" s="47"/>
      <c r="S854" s="47"/>
      <c r="T854" s="47"/>
    </row>
    <row r="855" customHeight="1" spans="1:20">
      <c r="A855" s="43">
        <v>2100</v>
      </c>
      <c r="B855" s="78" t="s">
        <v>1723</v>
      </c>
      <c r="C855" s="78"/>
      <c r="D855" s="43">
        <v>2</v>
      </c>
      <c r="E855" s="78" t="s">
        <v>161</v>
      </c>
      <c r="F855" s="44">
        <f t="shared" si="28"/>
        <v>4</v>
      </c>
      <c r="G855" s="79" t="s">
        <v>1724</v>
      </c>
      <c r="H855" s="46" t="s">
        <v>18</v>
      </c>
      <c r="I855" s="47"/>
      <c r="J855" s="48" t="s">
        <v>42</v>
      </c>
      <c r="K855" s="80" t="s">
        <v>1725</v>
      </c>
      <c r="L855" s="81" t="s">
        <v>1726</v>
      </c>
      <c r="M855" s="81" t="s">
        <v>1727</v>
      </c>
      <c r="N855" s="14" t="s">
        <v>27</v>
      </c>
      <c r="O855" s="14" t="s">
        <v>28</v>
      </c>
      <c r="P855" s="51">
        <v>75</v>
      </c>
      <c r="Q855" s="47">
        <f t="shared" si="29"/>
        <v>300</v>
      </c>
      <c r="R855" s="47"/>
      <c r="S855" s="47"/>
      <c r="T855" s="47"/>
    </row>
    <row r="856" customHeight="1" spans="1:20">
      <c r="A856" s="43">
        <v>2101</v>
      </c>
      <c r="B856" s="78" t="s">
        <v>92</v>
      </c>
      <c r="C856" s="78"/>
      <c r="D856" s="43">
        <v>2</v>
      </c>
      <c r="E856" s="78" t="s">
        <v>161</v>
      </c>
      <c r="F856" s="44">
        <f t="shared" si="28"/>
        <v>4</v>
      </c>
      <c r="G856" s="91" t="s">
        <v>1728</v>
      </c>
      <c r="H856" s="46" t="s">
        <v>18</v>
      </c>
      <c r="I856" s="47"/>
      <c r="J856" s="48" t="s">
        <v>42</v>
      </c>
      <c r="K856" s="92" t="s">
        <v>91</v>
      </c>
      <c r="L856" s="93" t="s">
        <v>95</v>
      </c>
      <c r="M856" s="93" t="s">
        <v>96</v>
      </c>
      <c r="N856" s="14" t="s">
        <v>27</v>
      </c>
      <c r="O856" s="14" t="s">
        <v>28</v>
      </c>
      <c r="P856" s="51">
        <v>1</v>
      </c>
      <c r="Q856" s="47">
        <f t="shared" si="29"/>
        <v>4</v>
      </c>
      <c r="R856" s="47"/>
      <c r="S856" s="47"/>
      <c r="T856" s="47">
        <v>2102</v>
      </c>
    </row>
    <row r="857" customHeight="1" spans="1:20">
      <c r="A857" s="43">
        <v>2102</v>
      </c>
      <c r="B857" s="78" t="s">
        <v>92</v>
      </c>
      <c r="C857" s="78"/>
      <c r="D857" s="43">
        <v>2</v>
      </c>
      <c r="E857" s="78" t="s">
        <v>161</v>
      </c>
      <c r="F857" s="44">
        <f t="shared" si="28"/>
        <v>4</v>
      </c>
      <c r="G857" s="91" t="s">
        <v>1729</v>
      </c>
      <c r="H857" s="46" t="s">
        <v>18</v>
      </c>
      <c r="I857" s="47"/>
      <c r="J857" s="48" t="s">
        <v>42</v>
      </c>
      <c r="K857" s="92">
        <v>2102</v>
      </c>
      <c r="L857" s="93" t="s">
        <v>95</v>
      </c>
      <c r="M857" s="93" t="s">
        <v>96</v>
      </c>
      <c r="N857" s="14" t="s">
        <v>27</v>
      </c>
      <c r="O857" s="14" t="s">
        <v>28</v>
      </c>
      <c r="P857" s="51">
        <v>3</v>
      </c>
      <c r="Q857" s="47">
        <f t="shared" si="29"/>
        <v>12</v>
      </c>
      <c r="R857" s="47"/>
      <c r="S857" s="47"/>
      <c r="T857" s="47">
        <v>2102</v>
      </c>
    </row>
    <row r="858" customHeight="1" spans="1:20">
      <c r="A858" s="43">
        <v>2103</v>
      </c>
      <c r="B858" s="78" t="s">
        <v>92</v>
      </c>
      <c r="C858" s="78"/>
      <c r="D858" s="43">
        <v>2</v>
      </c>
      <c r="E858" s="78" t="s">
        <v>21</v>
      </c>
      <c r="F858" s="44">
        <f t="shared" si="28"/>
        <v>4</v>
      </c>
      <c r="G858" s="91" t="s">
        <v>1730</v>
      </c>
      <c r="H858" s="46" t="s">
        <v>18</v>
      </c>
      <c r="I858" s="47"/>
      <c r="J858" s="48" t="s">
        <v>42</v>
      </c>
      <c r="K858" s="92" t="s">
        <v>94</v>
      </c>
      <c r="L858" s="93" t="s">
        <v>95</v>
      </c>
      <c r="M858" s="93" t="s">
        <v>96</v>
      </c>
      <c r="N858" s="14" t="s">
        <v>27</v>
      </c>
      <c r="O858" s="14" t="s">
        <v>28</v>
      </c>
      <c r="P858" s="51">
        <v>9</v>
      </c>
      <c r="Q858" s="47">
        <f t="shared" si="29"/>
        <v>36</v>
      </c>
      <c r="R858" s="47"/>
      <c r="S858" s="47"/>
      <c r="T858" s="47">
        <v>2102</v>
      </c>
    </row>
    <row r="859" customHeight="1" spans="1:20">
      <c r="A859" s="43">
        <v>2121</v>
      </c>
      <c r="B859" s="78" t="s">
        <v>1731</v>
      </c>
      <c r="C859" s="78"/>
      <c r="D859" s="43">
        <f>D833</f>
        <v>56</v>
      </c>
      <c r="E859" s="78" t="s">
        <v>21</v>
      </c>
      <c r="F859" s="44">
        <f t="shared" si="28"/>
        <v>112</v>
      </c>
      <c r="G859" s="85" t="s">
        <v>1732</v>
      </c>
      <c r="H859" s="46" t="s">
        <v>18</v>
      </c>
      <c r="I859" s="47"/>
      <c r="J859" s="48" t="s">
        <v>42</v>
      </c>
      <c r="K859" s="86">
        <v>2121</v>
      </c>
      <c r="L859" s="87" t="s">
        <v>25</v>
      </c>
      <c r="M859" s="87" t="s">
        <v>26</v>
      </c>
      <c r="N859" s="14" t="s">
        <v>27</v>
      </c>
      <c r="O859" s="14" t="s">
        <v>28</v>
      </c>
      <c r="P859" s="51">
        <v>4</v>
      </c>
      <c r="Q859" s="47">
        <f t="shared" si="29"/>
        <v>448</v>
      </c>
      <c r="R859" s="47"/>
      <c r="S859" s="47"/>
      <c r="T859" s="47"/>
    </row>
    <row r="860" customHeight="1" spans="1:20">
      <c r="A860" s="43">
        <v>2122</v>
      </c>
      <c r="B860" s="78" t="s">
        <v>1733</v>
      </c>
      <c r="C860" s="78"/>
      <c r="D860" s="43">
        <v>80</v>
      </c>
      <c r="E860" s="78" t="s">
        <v>21</v>
      </c>
      <c r="F860" s="44">
        <f t="shared" si="28"/>
        <v>160</v>
      </c>
      <c r="G860" s="85" t="s">
        <v>1734</v>
      </c>
      <c r="H860" s="46" t="s">
        <v>18</v>
      </c>
      <c r="I860" s="47"/>
      <c r="J860" s="48" t="s">
        <v>42</v>
      </c>
      <c r="K860" s="86" t="s">
        <v>1735</v>
      </c>
      <c r="L860" s="87" t="s">
        <v>25</v>
      </c>
      <c r="M860" s="87" t="s">
        <v>26</v>
      </c>
      <c r="N860" s="14" t="s">
        <v>27</v>
      </c>
      <c r="O860" s="14" t="s">
        <v>28</v>
      </c>
      <c r="P860" s="51">
        <v>14</v>
      </c>
      <c r="Q860" s="47">
        <f t="shared" si="29"/>
        <v>2240</v>
      </c>
      <c r="R860" s="47"/>
      <c r="S860" s="47"/>
      <c r="T860" s="47"/>
    </row>
    <row r="861" customHeight="1" spans="1:20">
      <c r="A861" s="43">
        <v>2123</v>
      </c>
      <c r="B861" s="78" t="s">
        <v>1736</v>
      </c>
      <c r="C861" s="78"/>
      <c r="D861" s="43">
        <v>13</v>
      </c>
      <c r="E861" s="78" t="s">
        <v>21</v>
      </c>
      <c r="F861" s="44">
        <f t="shared" si="28"/>
        <v>26</v>
      </c>
      <c r="G861" s="85" t="s">
        <v>1737</v>
      </c>
      <c r="H861" s="46" t="s">
        <v>18</v>
      </c>
      <c r="I861" s="47"/>
      <c r="J861" s="48" t="s">
        <v>42</v>
      </c>
      <c r="K861" s="86" t="s">
        <v>1738</v>
      </c>
      <c r="L861" s="87" t="s">
        <v>25</v>
      </c>
      <c r="M861" s="87" t="s">
        <v>26</v>
      </c>
      <c r="N861" s="14" t="s">
        <v>27</v>
      </c>
      <c r="O861" s="14" t="s">
        <v>28</v>
      </c>
      <c r="P861" s="51">
        <v>45</v>
      </c>
      <c r="Q861" s="47">
        <f t="shared" si="29"/>
        <v>1170</v>
      </c>
      <c r="R861" s="47"/>
      <c r="S861" s="47"/>
      <c r="T861" s="47"/>
    </row>
    <row r="862" customHeight="1" spans="1:20">
      <c r="A862" s="43">
        <v>2124</v>
      </c>
      <c r="B862" s="78" t="s">
        <v>1739</v>
      </c>
      <c r="C862" s="78"/>
      <c r="D862" s="43">
        <f>D833</f>
        <v>56</v>
      </c>
      <c r="E862" s="78" t="s">
        <v>21</v>
      </c>
      <c r="F862" s="44">
        <f t="shared" si="28"/>
        <v>112</v>
      </c>
      <c r="G862" s="85" t="s">
        <v>1740</v>
      </c>
      <c r="H862" s="46" t="s">
        <v>18</v>
      </c>
      <c r="I862" s="47"/>
      <c r="J862" s="48" t="s">
        <v>42</v>
      </c>
      <c r="K862" s="86" t="s">
        <v>1741</v>
      </c>
      <c r="L862" s="87" t="s">
        <v>25</v>
      </c>
      <c r="M862" s="87" t="s">
        <v>26</v>
      </c>
      <c r="N862" s="14" t="s">
        <v>27</v>
      </c>
      <c r="O862" s="14" t="s">
        <v>28</v>
      </c>
      <c r="P862" s="51">
        <v>13</v>
      </c>
      <c r="Q862" s="47">
        <f t="shared" si="29"/>
        <v>1456</v>
      </c>
      <c r="R862" s="47"/>
      <c r="S862" s="47"/>
      <c r="T862" s="47"/>
    </row>
    <row r="863" customHeight="1" spans="1:20">
      <c r="A863" s="43">
        <v>2125</v>
      </c>
      <c r="B863" s="78" t="s">
        <v>1059</v>
      </c>
      <c r="C863" s="78"/>
      <c r="D863" s="43">
        <f>D833</f>
        <v>56</v>
      </c>
      <c r="E863" s="78" t="s">
        <v>221</v>
      </c>
      <c r="F863" s="44">
        <f t="shared" si="28"/>
        <v>112</v>
      </c>
      <c r="G863" s="158" t="s">
        <v>1060</v>
      </c>
      <c r="H863" s="46" t="s">
        <v>18</v>
      </c>
      <c r="I863" s="47"/>
      <c r="J863" s="48" t="s">
        <v>42</v>
      </c>
      <c r="K863" s="118">
        <v>2125</v>
      </c>
      <c r="L863" s="118" t="s">
        <v>25</v>
      </c>
      <c r="M863" s="118" t="s">
        <v>26</v>
      </c>
      <c r="N863" s="14" t="s">
        <v>27</v>
      </c>
      <c r="O863" s="14" t="s">
        <v>28</v>
      </c>
      <c r="P863" s="51">
        <v>4.5</v>
      </c>
      <c r="Q863" s="47">
        <f t="shared" si="29"/>
        <v>504</v>
      </c>
      <c r="R863" s="47"/>
      <c r="S863" s="47"/>
      <c r="T863" s="47"/>
    </row>
    <row r="864" customHeight="1" spans="1:20">
      <c r="A864" s="43">
        <v>2127</v>
      </c>
      <c r="B864" s="78" t="s">
        <v>1742</v>
      </c>
      <c r="C864" s="78"/>
      <c r="D864" s="43">
        <f>D833</f>
        <v>56</v>
      </c>
      <c r="E864" s="78" t="s">
        <v>21</v>
      </c>
      <c r="F864" s="44">
        <f t="shared" si="28"/>
        <v>112</v>
      </c>
      <c r="G864" s="79" t="s">
        <v>1743</v>
      </c>
      <c r="H864" s="46" t="s">
        <v>18</v>
      </c>
      <c r="I864" s="47"/>
      <c r="J864" s="48" t="s">
        <v>42</v>
      </c>
      <c r="K864" s="80">
        <v>2127</v>
      </c>
      <c r="L864" s="81" t="s">
        <v>25</v>
      </c>
      <c r="M864" s="81" t="s">
        <v>26</v>
      </c>
      <c r="N864" s="14" t="s">
        <v>27</v>
      </c>
      <c r="O864" s="14" t="s">
        <v>28</v>
      </c>
      <c r="P864" s="51"/>
      <c r="Q864" s="47">
        <f t="shared" si="29"/>
        <v>0</v>
      </c>
      <c r="R864" s="47"/>
      <c r="S864" s="47"/>
      <c r="T864" s="47"/>
    </row>
    <row r="865" customHeight="1" spans="1:20">
      <c r="A865" s="75" t="s">
        <v>103</v>
      </c>
      <c r="B865" s="2" t="s">
        <v>104</v>
      </c>
      <c r="C865" s="2"/>
      <c r="D865" s="6"/>
      <c r="E865" s="2"/>
      <c r="F865" s="44">
        <f t="shared" si="28"/>
        <v>0</v>
      </c>
      <c r="G865" s="77"/>
      <c r="H865" s="46"/>
      <c r="I865" s="47"/>
      <c r="J865" s="48"/>
      <c r="K865" s="94"/>
      <c r="L865" s="95"/>
      <c r="M865" s="95"/>
      <c r="O865" s="14" t="s">
        <v>28</v>
      </c>
      <c r="P865" s="51"/>
      <c r="Q865" s="47">
        <f t="shared" si="29"/>
        <v>0</v>
      </c>
      <c r="R865" s="47"/>
      <c r="S865" s="47"/>
      <c r="T865" s="47">
        <v>3</v>
      </c>
    </row>
    <row r="866" customHeight="1" spans="1:20">
      <c r="A866" s="43">
        <v>3002</v>
      </c>
      <c r="B866" s="78" t="s">
        <v>109</v>
      </c>
      <c r="C866" s="78"/>
      <c r="D866" s="43">
        <f>D833</f>
        <v>56</v>
      </c>
      <c r="E866" s="78" t="s">
        <v>32</v>
      </c>
      <c r="F866" s="44">
        <f t="shared" si="28"/>
        <v>112</v>
      </c>
      <c r="G866" s="85" t="s">
        <v>110</v>
      </c>
      <c r="H866" s="46" t="s">
        <v>18</v>
      </c>
      <c r="I866" s="47"/>
      <c r="J866" s="48" t="s">
        <v>42</v>
      </c>
      <c r="K866" s="86" t="s">
        <v>108</v>
      </c>
      <c r="L866" s="87" t="s">
        <v>25</v>
      </c>
      <c r="M866" s="87" t="s">
        <v>26</v>
      </c>
      <c r="N866" s="14" t="s">
        <v>27</v>
      </c>
      <c r="O866" s="14" t="s">
        <v>28</v>
      </c>
      <c r="P866" s="51">
        <v>36</v>
      </c>
      <c r="Q866" s="47">
        <f t="shared" si="29"/>
        <v>4032</v>
      </c>
      <c r="R866" s="47"/>
      <c r="S866" s="47"/>
      <c r="T866" s="47">
        <v>3002</v>
      </c>
    </row>
    <row r="867" customHeight="1" spans="1:20">
      <c r="A867" s="43">
        <v>3005</v>
      </c>
      <c r="B867" s="78" t="s">
        <v>1744</v>
      </c>
      <c r="C867" s="78"/>
      <c r="D867" s="43">
        <v>8</v>
      </c>
      <c r="E867" s="78" t="s">
        <v>21</v>
      </c>
      <c r="F867" s="44">
        <f t="shared" si="28"/>
        <v>16</v>
      </c>
      <c r="G867" s="82" t="s">
        <v>1745</v>
      </c>
      <c r="H867" s="46" t="s">
        <v>18</v>
      </c>
      <c r="I867" s="47"/>
      <c r="J867" s="48" t="s">
        <v>42</v>
      </c>
      <c r="K867" s="83" t="s">
        <v>1746</v>
      </c>
      <c r="L867" s="84" t="s">
        <v>25</v>
      </c>
      <c r="M867" s="84" t="s">
        <v>26</v>
      </c>
      <c r="N867" s="14" t="s">
        <v>27</v>
      </c>
      <c r="O867" s="14" t="s">
        <v>28</v>
      </c>
      <c r="P867" s="51">
        <v>12</v>
      </c>
      <c r="Q867" s="47">
        <f t="shared" si="29"/>
        <v>192</v>
      </c>
      <c r="R867" s="47"/>
      <c r="S867" s="47"/>
      <c r="T867" s="47"/>
    </row>
    <row r="868" customHeight="1" spans="1:20">
      <c r="A868" s="43">
        <v>3006</v>
      </c>
      <c r="B868" s="78" t="s">
        <v>118</v>
      </c>
      <c r="C868" s="78"/>
      <c r="D868" s="43">
        <f>D833/2</f>
        <v>28</v>
      </c>
      <c r="E868" s="78" t="s">
        <v>21</v>
      </c>
      <c r="F868" s="44">
        <f t="shared" si="28"/>
        <v>56</v>
      </c>
      <c r="G868" s="79" t="s">
        <v>119</v>
      </c>
      <c r="H868" s="46" t="s">
        <v>18</v>
      </c>
      <c r="I868" s="47"/>
      <c r="J868" s="48" t="s">
        <v>42</v>
      </c>
      <c r="K868" s="80" t="s">
        <v>117</v>
      </c>
      <c r="L868" s="81" t="s">
        <v>25</v>
      </c>
      <c r="M868" s="81" t="s">
        <v>26</v>
      </c>
      <c r="N868" s="14" t="s">
        <v>27</v>
      </c>
      <c r="O868" s="14" t="s">
        <v>28</v>
      </c>
      <c r="P868" s="51">
        <v>5</v>
      </c>
      <c r="Q868" s="47">
        <f t="shared" si="29"/>
        <v>280</v>
      </c>
      <c r="R868" s="47"/>
      <c r="S868" s="47"/>
      <c r="T868" s="47">
        <v>3006</v>
      </c>
    </row>
    <row r="869" customHeight="1" spans="1:20">
      <c r="A869" s="43"/>
      <c r="B869" s="78" t="s">
        <v>115</v>
      </c>
      <c r="C869" s="78"/>
      <c r="D869" s="43">
        <v>2</v>
      </c>
      <c r="E869" s="78" t="s">
        <v>21</v>
      </c>
      <c r="F869" s="44">
        <f t="shared" si="28"/>
        <v>4</v>
      </c>
      <c r="G869" s="159" t="s">
        <v>116</v>
      </c>
      <c r="H869" s="46" t="s">
        <v>18</v>
      </c>
      <c r="I869" s="47"/>
      <c r="J869" s="48" t="s">
        <v>42</v>
      </c>
      <c r="K869" s="80" t="s">
        <v>114</v>
      </c>
      <c r="L869" s="160" t="s">
        <v>25</v>
      </c>
      <c r="M869" s="160" t="s">
        <v>26</v>
      </c>
      <c r="N869" s="14" t="s">
        <v>27</v>
      </c>
      <c r="O869" s="14" t="s">
        <v>28</v>
      </c>
      <c r="P869" s="51">
        <v>55</v>
      </c>
      <c r="Q869" s="47">
        <f t="shared" si="29"/>
        <v>220</v>
      </c>
      <c r="R869" s="47"/>
      <c r="S869" s="47"/>
      <c r="T869" s="47">
        <v>3004</v>
      </c>
    </row>
    <row r="870" customHeight="1" spans="1:20">
      <c r="A870" s="43">
        <v>3006</v>
      </c>
      <c r="B870" s="78" t="s">
        <v>118</v>
      </c>
      <c r="C870" s="78"/>
      <c r="D870" s="43">
        <f>D833</f>
        <v>56</v>
      </c>
      <c r="E870" s="78" t="s">
        <v>21</v>
      </c>
      <c r="F870" s="44">
        <f t="shared" si="28"/>
        <v>112</v>
      </c>
      <c r="G870" s="85" t="s">
        <v>1747</v>
      </c>
      <c r="H870" s="46" t="s">
        <v>18</v>
      </c>
      <c r="I870" s="47"/>
      <c r="J870" s="48" t="s">
        <v>42</v>
      </c>
      <c r="K870" s="86" t="s">
        <v>117</v>
      </c>
      <c r="L870" s="87" t="s">
        <v>25</v>
      </c>
      <c r="M870" s="87" t="s">
        <v>26</v>
      </c>
      <c r="N870" s="14" t="s">
        <v>27</v>
      </c>
      <c r="O870" s="14" t="s">
        <v>28</v>
      </c>
      <c r="P870" s="51">
        <v>5</v>
      </c>
      <c r="Q870" s="47">
        <f t="shared" si="29"/>
        <v>560</v>
      </c>
      <c r="R870" s="47"/>
      <c r="S870" s="47"/>
      <c r="T870" s="47">
        <v>3006</v>
      </c>
    </row>
    <row r="871" customHeight="1" spans="1:20">
      <c r="A871" s="43">
        <v>3007</v>
      </c>
      <c r="B871" s="78" t="s">
        <v>1064</v>
      </c>
      <c r="C871" s="78"/>
      <c r="D871" s="43">
        <f>D833</f>
        <v>56</v>
      </c>
      <c r="E871" s="78" t="s">
        <v>21</v>
      </c>
      <c r="F871" s="44">
        <f t="shared" si="28"/>
        <v>112</v>
      </c>
      <c r="G871" s="85" t="s">
        <v>1748</v>
      </c>
      <c r="H871" s="46" t="s">
        <v>18</v>
      </c>
      <c r="I871" s="47"/>
      <c r="J871" s="48" t="s">
        <v>42</v>
      </c>
      <c r="K871" s="86" t="s">
        <v>1063</v>
      </c>
      <c r="L871" s="87" t="s">
        <v>25</v>
      </c>
      <c r="M871" s="87" t="s">
        <v>26</v>
      </c>
      <c r="N871" s="14" t="s">
        <v>27</v>
      </c>
      <c r="O871" s="14" t="s">
        <v>28</v>
      </c>
      <c r="P871" s="51">
        <v>2.5</v>
      </c>
      <c r="Q871" s="47">
        <f t="shared" si="29"/>
        <v>280</v>
      </c>
      <c r="R871" s="47"/>
      <c r="S871" s="47"/>
      <c r="T871" s="47"/>
    </row>
    <row r="872" customHeight="1" spans="1:20">
      <c r="A872" s="43">
        <v>3008</v>
      </c>
      <c r="B872" s="78" t="s">
        <v>1749</v>
      </c>
      <c r="C872" s="78"/>
      <c r="D872" s="43">
        <f>D833</f>
        <v>56</v>
      </c>
      <c r="E872" s="78" t="s">
        <v>21</v>
      </c>
      <c r="F872" s="44">
        <f t="shared" si="28"/>
        <v>112</v>
      </c>
      <c r="G872" s="85" t="s">
        <v>1750</v>
      </c>
      <c r="H872" s="46" t="s">
        <v>18</v>
      </c>
      <c r="I872" s="47"/>
      <c r="J872" s="48" t="s">
        <v>42</v>
      </c>
      <c r="K872" s="86" t="s">
        <v>1751</v>
      </c>
      <c r="L872" s="87" t="s">
        <v>25</v>
      </c>
      <c r="M872" s="87" t="s">
        <v>26</v>
      </c>
      <c r="N872" s="14" t="s">
        <v>27</v>
      </c>
      <c r="O872" s="14" t="s">
        <v>28</v>
      </c>
      <c r="P872" s="51">
        <v>6</v>
      </c>
      <c r="Q872" s="47">
        <f t="shared" si="29"/>
        <v>672</v>
      </c>
      <c r="R872" s="47"/>
      <c r="S872" s="47"/>
      <c r="T872" s="47"/>
    </row>
    <row r="873" customHeight="1" spans="1:20">
      <c r="A873" s="43">
        <v>3009</v>
      </c>
      <c r="B873" s="78" t="s">
        <v>1752</v>
      </c>
      <c r="C873" s="78"/>
      <c r="D873" s="43">
        <v>1</v>
      </c>
      <c r="E873" s="78" t="s">
        <v>21</v>
      </c>
      <c r="F873" s="44">
        <f t="shared" si="28"/>
        <v>2</v>
      </c>
      <c r="G873" s="85" t="s">
        <v>1753</v>
      </c>
      <c r="H873" s="46" t="s">
        <v>18</v>
      </c>
      <c r="I873" s="47"/>
      <c r="J873" s="48" t="s">
        <v>42</v>
      </c>
      <c r="K873" s="86" t="s">
        <v>1754</v>
      </c>
      <c r="L873" s="87" t="s">
        <v>25</v>
      </c>
      <c r="M873" s="87" t="s">
        <v>26</v>
      </c>
      <c r="N873" s="14" t="s">
        <v>27</v>
      </c>
      <c r="O873" s="14" t="s">
        <v>28</v>
      </c>
      <c r="P873" s="51">
        <v>12</v>
      </c>
      <c r="Q873" s="47">
        <f t="shared" si="29"/>
        <v>24</v>
      </c>
      <c r="R873" s="47"/>
      <c r="S873" s="47"/>
      <c r="T873" s="47"/>
    </row>
    <row r="874" customHeight="1" spans="1:20">
      <c r="A874" s="43">
        <v>3010</v>
      </c>
      <c r="B874" s="78" t="s">
        <v>1755</v>
      </c>
      <c r="C874" s="78"/>
      <c r="D874" s="43">
        <f>D833</f>
        <v>56</v>
      </c>
      <c r="E874" s="78" t="s">
        <v>21</v>
      </c>
      <c r="F874" s="44">
        <f t="shared" si="28"/>
        <v>112</v>
      </c>
      <c r="G874" s="85" t="s">
        <v>1756</v>
      </c>
      <c r="H874" s="46" t="s">
        <v>18</v>
      </c>
      <c r="I874" s="47"/>
      <c r="J874" s="48" t="s">
        <v>42</v>
      </c>
      <c r="K874" s="86" t="s">
        <v>1757</v>
      </c>
      <c r="L874" s="87" t="s">
        <v>25</v>
      </c>
      <c r="M874" s="87" t="s">
        <v>26</v>
      </c>
      <c r="N874" s="14" t="s">
        <v>27</v>
      </c>
      <c r="O874" s="14" t="s">
        <v>28</v>
      </c>
      <c r="P874" s="51">
        <v>32</v>
      </c>
      <c r="Q874" s="47">
        <f t="shared" si="29"/>
        <v>3584</v>
      </c>
      <c r="R874" s="47"/>
      <c r="S874" s="47"/>
      <c r="T874" s="47"/>
    </row>
    <row r="875" customHeight="1" spans="1:20">
      <c r="A875" s="43">
        <v>3011</v>
      </c>
      <c r="B875" s="78" t="s">
        <v>1758</v>
      </c>
      <c r="C875" s="78"/>
      <c r="D875" s="43">
        <f>D833</f>
        <v>56</v>
      </c>
      <c r="E875" s="78" t="s">
        <v>21</v>
      </c>
      <c r="F875" s="44">
        <f t="shared" si="28"/>
        <v>112</v>
      </c>
      <c r="G875" s="85" t="s">
        <v>1759</v>
      </c>
      <c r="H875" s="46" t="s">
        <v>18</v>
      </c>
      <c r="I875" s="47"/>
      <c r="J875" s="48" t="s">
        <v>42</v>
      </c>
      <c r="K875" s="86" t="s">
        <v>1760</v>
      </c>
      <c r="L875" s="87" t="s">
        <v>25</v>
      </c>
      <c r="M875" s="87" t="s">
        <v>26</v>
      </c>
      <c r="N875" s="14" t="s">
        <v>27</v>
      </c>
      <c r="O875" s="14" t="s">
        <v>28</v>
      </c>
      <c r="P875" s="51">
        <v>12</v>
      </c>
      <c r="Q875" s="47">
        <f t="shared" si="29"/>
        <v>1344</v>
      </c>
      <c r="R875" s="47"/>
      <c r="S875" s="47"/>
      <c r="T875" s="47"/>
    </row>
    <row r="876" customHeight="1" spans="1:20">
      <c r="A876" s="43">
        <v>3012</v>
      </c>
      <c r="B876" s="78" t="s">
        <v>1761</v>
      </c>
      <c r="C876" s="78"/>
      <c r="D876" s="43">
        <f>D833</f>
        <v>56</v>
      </c>
      <c r="E876" s="78" t="s">
        <v>21</v>
      </c>
      <c r="F876" s="44">
        <f t="shared" si="28"/>
        <v>112</v>
      </c>
      <c r="G876" s="158" t="s">
        <v>1762</v>
      </c>
      <c r="H876" s="46" t="s">
        <v>18</v>
      </c>
      <c r="I876" s="47"/>
      <c r="J876" s="48" t="s">
        <v>42</v>
      </c>
      <c r="K876" s="118" t="s">
        <v>1763</v>
      </c>
      <c r="L876" s="118" t="s">
        <v>25</v>
      </c>
      <c r="M876" s="118" t="s">
        <v>26</v>
      </c>
      <c r="N876" s="14" t="s">
        <v>27</v>
      </c>
      <c r="O876" s="14" t="s">
        <v>28</v>
      </c>
      <c r="P876" s="51">
        <v>5</v>
      </c>
      <c r="Q876" s="47">
        <f t="shared" si="29"/>
        <v>560</v>
      </c>
      <c r="R876" s="47"/>
      <c r="S876" s="47"/>
      <c r="T876" s="47"/>
    </row>
    <row r="877" customHeight="1" spans="1:20">
      <c r="A877" s="43">
        <v>3012</v>
      </c>
      <c r="B877" s="78" t="s">
        <v>1764</v>
      </c>
      <c r="C877" s="78"/>
      <c r="D877" s="43">
        <f>D833/2</f>
        <v>28</v>
      </c>
      <c r="E877" s="78" t="s">
        <v>21</v>
      </c>
      <c r="F877" s="44">
        <f t="shared" si="28"/>
        <v>56</v>
      </c>
      <c r="G877" s="117" t="s">
        <v>1765</v>
      </c>
      <c r="H877" s="46" t="s">
        <v>18</v>
      </c>
      <c r="I877" s="47"/>
      <c r="J877" s="48" t="s">
        <v>42</v>
      </c>
      <c r="K877" s="118">
        <v>3012</v>
      </c>
      <c r="L877" s="119" t="s">
        <v>25</v>
      </c>
      <c r="M877" s="119" t="s">
        <v>26</v>
      </c>
      <c r="N877" s="14" t="s">
        <v>27</v>
      </c>
      <c r="O877" s="14" t="s">
        <v>28</v>
      </c>
      <c r="P877" s="51">
        <v>50</v>
      </c>
      <c r="Q877" s="47">
        <f t="shared" si="29"/>
        <v>2800</v>
      </c>
      <c r="R877" s="47"/>
      <c r="S877" s="47"/>
      <c r="T877" s="47"/>
    </row>
    <row r="878" customHeight="1" spans="1:20">
      <c r="A878" s="43">
        <v>3015</v>
      </c>
      <c r="B878" s="78" t="s">
        <v>1766</v>
      </c>
      <c r="C878" s="78"/>
      <c r="D878" s="43">
        <f>D833/2</f>
        <v>28</v>
      </c>
      <c r="E878" s="78" t="s">
        <v>21</v>
      </c>
      <c r="F878" s="44">
        <f t="shared" si="28"/>
        <v>56</v>
      </c>
      <c r="G878" s="117" t="s">
        <v>1767</v>
      </c>
      <c r="H878" s="46" t="s">
        <v>18</v>
      </c>
      <c r="I878" s="47"/>
      <c r="J878" s="48" t="s">
        <v>42</v>
      </c>
      <c r="K878" s="118" t="s">
        <v>1768</v>
      </c>
      <c r="L878" s="119" t="s">
        <v>25</v>
      </c>
      <c r="M878" s="119" t="s">
        <v>26</v>
      </c>
      <c r="N878" s="14" t="s">
        <v>27</v>
      </c>
      <c r="O878" s="14" t="s">
        <v>28</v>
      </c>
      <c r="P878" s="51">
        <v>35</v>
      </c>
      <c r="Q878" s="47">
        <f t="shared" si="29"/>
        <v>1960</v>
      </c>
      <c r="R878" s="47"/>
      <c r="S878" s="47"/>
      <c r="T878" s="47"/>
    </row>
    <row r="879" customHeight="1" spans="1:20">
      <c r="A879" s="43">
        <v>3016</v>
      </c>
      <c r="B879" s="78" t="s">
        <v>1769</v>
      </c>
      <c r="C879" s="78"/>
      <c r="D879" s="43">
        <v>2</v>
      </c>
      <c r="E879" s="78" t="s">
        <v>21</v>
      </c>
      <c r="F879" s="44">
        <f t="shared" si="28"/>
        <v>4</v>
      </c>
      <c r="G879" s="102" t="s">
        <v>1770</v>
      </c>
      <c r="H879" s="46" t="s">
        <v>18</v>
      </c>
      <c r="I879" s="47"/>
      <c r="J879" s="48" t="s">
        <v>42</v>
      </c>
      <c r="K879" s="83">
        <v>3016</v>
      </c>
      <c r="L879" s="103" t="s">
        <v>25</v>
      </c>
      <c r="M879" s="103" t="s">
        <v>26</v>
      </c>
      <c r="N879" s="14" t="s">
        <v>27</v>
      </c>
      <c r="O879" s="14" t="s">
        <v>28</v>
      </c>
      <c r="P879" s="51">
        <v>150</v>
      </c>
      <c r="Q879" s="47">
        <f t="shared" si="29"/>
        <v>600</v>
      </c>
      <c r="R879" s="47"/>
      <c r="S879" s="47"/>
      <c r="T879" s="47"/>
    </row>
    <row r="880" customHeight="1" spans="1:20">
      <c r="A880" s="75" t="s">
        <v>120</v>
      </c>
      <c r="B880" s="2" t="s">
        <v>121</v>
      </c>
      <c r="C880" s="2"/>
      <c r="D880" s="6"/>
      <c r="E880" s="2"/>
      <c r="F880" s="44">
        <f t="shared" si="28"/>
        <v>0</v>
      </c>
      <c r="G880" s="77"/>
      <c r="H880" s="46"/>
      <c r="I880" s="47"/>
      <c r="J880" s="48"/>
      <c r="K880" s="94"/>
      <c r="L880" s="95"/>
      <c r="M880" s="95"/>
      <c r="O880" s="14" t="s">
        <v>28</v>
      </c>
      <c r="P880" s="51"/>
      <c r="Q880" s="47">
        <f t="shared" si="29"/>
        <v>0</v>
      </c>
      <c r="R880" s="47"/>
      <c r="S880" s="47"/>
      <c r="T880" s="47">
        <v>4</v>
      </c>
    </row>
    <row r="881" customHeight="1" spans="1:20">
      <c r="A881" s="43">
        <v>4003</v>
      </c>
      <c r="B881" s="78" t="s">
        <v>123</v>
      </c>
      <c r="C881" s="78"/>
      <c r="D881" s="43">
        <f>D833/2</f>
        <v>28</v>
      </c>
      <c r="E881" s="78" t="s">
        <v>54</v>
      </c>
      <c r="F881" s="44">
        <f t="shared" si="28"/>
        <v>56</v>
      </c>
      <c r="G881" s="85" t="s">
        <v>1771</v>
      </c>
      <c r="H881" s="46" t="s">
        <v>18</v>
      </c>
      <c r="I881" s="47"/>
      <c r="J881" s="48" t="s">
        <v>42</v>
      </c>
      <c r="K881" s="86" t="s">
        <v>122</v>
      </c>
      <c r="L881" s="87" t="s">
        <v>25</v>
      </c>
      <c r="M881" s="87" t="s">
        <v>26</v>
      </c>
      <c r="N881" s="14" t="s">
        <v>27</v>
      </c>
      <c r="O881" s="14" t="s">
        <v>28</v>
      </c>
      <c r="P881" s="51">
        <v>105</v>
      </c>
      <c r="Q881" s="47">
        <f t="shared" si="29"/>
        <v>5880</v>
      </c>
      <c r="R881" s="47"/>
      <c r="S881" s="47"/>
      <c r="T881" s="47">
        <v>4003</v>
      </c>
    </row>
    <row r="882" customHeight="1" spans="1:20">
      <c r="A882" s="43">
        <v>4006</v>
      </c>
      <c r="B882" s="78" t="s">
        <v>128</v>
      </c>
      <c r="C882" s="78"/>
      <c r="D882" s="43">
        <v>1</v>
      </c>
      <c r="E882" s="78" t="s">
        <v>54</v>
      </c>
      <c r="F882" s="44">
        <f t="shared" si="28"/>
        <v>2</v>
      </c>
      <c r="G882" s="85" t="s">
        <v>1772</v>
      </c>
      <c r="H882" s="46" t="s">
        <v>18</v>
      </c>
      <c r="I882" s="47"/>
      <c r="J882" s="48" t="s">
        <v>42</v>
      </c>
      <c r="K882" s="86" t="s">
        <v>127</v>
      </c>
      <c r="L882" s="87" t="s">
        <v>130</v>
      </c>
      <c r="M882" s="87" t="s">
        <v>131</v>
      </c>
      <c r="N882" s="14" t="s">
        <v>27</v>
      </c>
      <c r="O882" s="14" t="s">
        <v>28</v>
      </c>
      <c r="P882" s="51">
        <v>340</v>
      </c>
      <c r="Q882" s="47">
        <f t="shared" si="29"/>
        <v>680</v>
      </c>
      <c r="R882" s="47"/>
      <c r="S882" s="47"/>
      <c r="T882" s="47">
        <v>4006</v>
      </c>
    </row>
    <row r="883" customHeight="1" spans="1:20">
      <c r="A883" s="75" t="s">
        <v>37</v>
      </c>
      <c r="B883" s="2" t="s">
        <v>158</v>
      </c>
      <c r="C883" s="2"/>
      <c r="D883" s="6"/>
      <c r="E883" s="2"/>
      <c r="F883" s="44">
        <f t="shared" si="28"/>
        <v>0</v>
      </c>
      <c r="G883" s="77"/>
      <c r="H883" s="46"/>
      <c r="I883" s="47"/>
      <c r="J883" s="48"/>
      <c r="K883" s="94"/>
      <c r="L883" s="95"/>
      <c r="M883" s="95"/>
      <c r="O883" s="14" t="s">
        <v>28</v>
      </c>
      <c r="P883" s="51"/>
      <c r="Q883" s="47">
        <f t="shared" si="29"/>
        <v>0</v>
      </c>
      <c r="R883" s="47"/>
      <c r="S883" s="47"/>
      <c r="T883" s="47">
        <v>1</v>
      </c>
    </row>
    <row r="884" customHeight="1" spans="1:20">
      <c r="A884" s="6">
        <v>11</v>
      </c>
      <c r="B884" s="2" t="s">
        <v>181</v>
      </c>
      <c r="C884" s="2"/>
      <c r="D884" s="6"/>
      <c r="E884" s="2"/>
      <c r="F884" s="44">
        <f t="shared" si="28"/>
        <v>0</v>
      </c>
      <c r="G884" s="77"/>
      <c r="H884" s="46"/>
      <c r="I884" s="47"/>
      <c r="J884" s="48"/>
      <c r="K884" s="94"/>
      <c r="L884" s="95"/>
      <c r="M884" s="95"/>
      <c r="O884" s="14" t="s">
        <v>28</v>
      </c>
      <c r="P884" s="51"/>
      <c r="Q884" s="47">
        <f t="shared" si="29"/>
        <v>0</v>
      </c>
      <c r="R884" s="47"/>
      <c r="S884" s="47"/>
      <c r="T884" s="47">
        <v>11</v>
      </c>
    </row>
    <row r="885" customHeight="1" spans="1:20">
      <c r="A885" s="43">
        <v>11003</v>
      </c>
      <c r="B885" s="78" t="s">
        <v>186</v>
      </c>
      <c r="C885" s="78"/>
      <c r="D885" s="43">
        <f>D833</f>
        <v>56</v>
      </c>
      <c r="E885" s="78" t="s">
        <v>54</v>
      </c>
      <c r="F885" s="44">
        <f t="shared" si="28"/>
        <v>112</v>
      </c>
      <c r="G885" s="117" t="s">
        <v>1773</v>
      </c>
      <c r="H885" s="46" t="s">
        <v>18</v>
      </c>
      <c r="I885" s="47"/>
      <c r="J885" s="48" t="s">
        <v>42</v>
      </c>
      <c r="K885" s="118">
        <v>11003</v>
      </c>
      <c r="L885" s="119" t="s">
        <v>25</v>
      </c>
      <c r="M885" s="119" t="s">
        <v>26</v>
      </c>
      <c r="N885" s="14" t="s">
        <v>27</v>
      </c>
      <c r="O885" s="14" t="s">
        <v>28</v>
      </c>
      <c r="P885" s="51">
        <v>30</v>
      </c>
      <c r="Q885" s="47">
        <f t="shared" si="29"/>
        <v>3360</v>
      </c>
      <c r="R885" s="47"/>
      <c r="S885" s="47"/>
      <c r="T885" s="47">
        <v>11003</v>
      </c>
    </row>
    <row r="886" customHeight="1" spans="1:20">
      <c r="A886" s="43">
        <v>11003</v>
      </c>
      <c r="B886" s="78" t="s">
        <v>186</v>
      </c>
      <c r="C886" s="78"/>
      <c r="D886" s="43">
        <v>1</v>
      </c>
      <c r="E886" s="78" t="s">
        <v>54</v>
      </c>
      <c r="F886" s="44">
        <f t="shared" si="28"/>
        <v>2</v>
      </c>
      <c r="G886" s="104" t="s">
        <v>188</v>
      </c>
      <c r="H886" s="46" t="s">
        <v>18</v>
      </c>
      <c r="I886" s="47"/>
      <c r="J886" s="48" t="s">
        <v>42</v>
      </c>
      <c r="K886" s="105">
        <v>11005</v>
      </c>
      <c r="L886" s="106" t="s">
        <v>25</v>
      </c>
      <c r="M886" s="106" t="s">
        <v>26</v>
      </c>
      <c r="N886" s="14" t="s">
        <v>27</v>
      </c>
      <c r="O886" s="14" t="s">
        <v>28</v>
      </c>
      <c r="P886" s="51">
        <v>55</v>
      </c>
      <c r="Q886" s="47">
        <f t="shared" si="29"/>
        <v>110</v>
      </c>
      <c r="R886" s="47"/>
      <c r="S886" s="47"/>
      <c r="T886" s="47">
        <v>11003</v>
      </c>
    </row>
    <row r="887" customHeight="1" spans="1:20">
      <c r="A887" s="43">
        <v>11010</v>
      </c>
      <c r="B887" s="78" t="s">
        <v>189</v>
      </c>
      <c r="C887" s="78"/>
      <c r="D887" s="43">
        <v>14</v>
      </c>
      <c r="E887" s="78" t="s">
        <v>54</v>
      </c>
      <c r="F887" s="44">
        <f t="shared" si="28"/>
        <v>28</v>
      </c>
      <c r="G887" s="85" t="s">
        <v>1774</v>
      </c>
      <c r="H887" s="46" t="s">
        <v>18</v>
      </c>
      <c r="I887" s="47"/>
      <c r="J887" s="48" t="s">
        <v>42</v>
      </c>
      <c r="K887" s="86">
        <v>11010</v>
      </c>
      <c r="L887" s="87" t="s">
        <v>191</v>
      </c>
      <c r="M887" s="87" t="s">
        <v>192</v>
      </c>
      <c r="N887" s="14" t="s">
        <v>27</v>
      </c>
      <c r="O887" s="14" t="s">
        <v>28</v>
      </c>
      <c r="P887" s="51">
        <v>285</v>
      </c>
      <c r="Q887" s="47">
        <f t="shared" si="29"/>
        <v>7980</v>
      </c>
      <c r="R887" s="47"/>
      <c r="S887" s="47"/>
      <c r="T887" s="47">
        <v>11010</v>
      </c>
    </row>
    <row r="888" customHeight="1" spans="1:20">
      <c r="A888" s="43">
        <v>11011</v>
      </c>
      <c r="B888" s="78" t="s">
        <v>189</v>
      </c>
      <c r="C888" s="78"/>
      <c r="D888" s="43">
        <v>1</v>
      </c>
      <c r="E888" s="78" t="s">
        <v>54</v>
      </c>
      <c r="F888" s="44">
        <f t="shared" si="28"/>
        <v>2</v>
      </c>
      <c r="G888" s="85" t="s">
        <v>1775</v>
      </c>
      <c r="H888" s="46" t="s">
        <v>18</v>
      </c>
      <c r="I888" s="47"/>
      <c r="J888" s="48" t="s">
        <v>42</v>
      </c>
      <c r="K888" s="86">
        <v>11011</v>
      </c>
      <c r="L888" s="87" t="s">
        <v>191</v>
      </c>
      <c r="M888" s="87" t="s">
        <v>192</v>
      </c>
      <c r="N888" s="14" t="s">
        <v>27</v>
      </c>
      <c r="O888" s="14" t="s">
        <v>28</v>
      </c>
      <c r="P888" s="51">
        <v>285</v>
      </c>
      <c r="Q888" s="47">
        <f t="shared" si="29"/>
        <v>570</v>
      </c>
      <c r="R888" s="47"/>
      <c r="S888" s="47"/>
      <c r="T888" s="47">
        <v>11010</v>
      </c>
    </row>
    <row r="889" customHeight="1" spans="1:20">
      <c r="A889" s="43"/>
      <c r="B889" s="78" t="s">
        <v>189</v>
      </c>
      <c r="C889" s="78"/>
      <c r="D889" s="43">
        <v>1</v>
      </c>
      <c r="E889" s="78" t="s">
        <v>54</v>
      </c>
      <c r="F889" s="44">
        <f t="shared" si="28"/>
        <v>2</v>
      </c>
      <c r="G889" s="85" t="s">
        <v>1776</v>
      </c>
      <c r="H889" s="46" t="s">
        <v>18</v>
      </c>
      <c r="I889" s="47"/>
      <c r="J889" s="48" t="s">
        <v>42</v>
      </c>
      <c r="K889" s="86">
        <v>11011</v>
      </c>
      <c r="L889" s="87" t="s">
        <v>191</v>
      </c>
      <c r="M889" s="87" t="s">
        <v>192</v>
      </c>
      <c r="N889" s="14" t="s">
        <v>27</v>
      </c>
      <c r="O889" s="14" t="s">
        <v>28</v>
      </c>
      <c r="P889" s="51">
        <v>240</v>
      </c>
      <c r="Q889" s="47">
        <f t="shared" si="29"/>
        <v>480</v>
      </c>
      <c r="R889" s="47"/>
      <c r="S889" s="47"/>
      <c r="T889" s="47">
        <v>11010</v>
      </c>
    </row>
    <row r="890" customHeight="1" spans="1:20">
      <c r="A890" s="43">
        <v>11012</v>
      </c>
      <c r="B890" s="78" t="s">
        <v>189</v>
      </c>
      <c r="C890" s="78"/>
      <c r="D890" s="43">
        <v>1</v>
      </c>
      <c r="E890" s="78" t="s">
        <v>54</v>
      </c>
      <c r="F890" s="44">
        <f t="shared" si="28"/>
        <v>2</v>
      </c>
      <c r="G890" s="117" t="s">
        <v>1777</v>
      </c>
      <c r="H890" s="46" t="s">
        <v>18</v>
      </c>
      <c r="I890" s="47"/>
      <c r="J890" s="48" t="s">
        <v>42</v>
      </c>
      <c r="K890" s="118">
        <v>11012</v>
      </c>
      <c r="L890" s="119" t="s">
        <v>191</v>
      </c>
      <c r="M890" s="119" t="s">
        <v>192</v>
      </c>
      <c r="N890" s="14" t="s">
        <v>27</v>
      </c>
      <c r="O890" s="14" t="s">
        <v>28</v>
      </c>
      <c r="P890" s="51">
        <v>140</v>
      </c>
      <c r="Q890" s="47">
        <f t="shared" si="29"/>
        <v>280</v>
      </c>
      <c r="R890" s="47"/>
      <c r="S890" s="47"/>
      <c r="T890" s="47">
        <v>11010</v>
      </c>
    </row>
    <row r="891" customHeight="1" spans="1:20">
      <c r="A891" s="43">
        <v>11013</v>
      </c>
      <c r="B891" s="78" t="s">
        <v>189</v>
      </c>
      <c r="C891" s="78"/>
      <c r="D891" s="43">
        <v>1</v>
      </c>
      <c r="E891" s="78" t="s">
        <v>54</v>
      </c>
      <c r="F891" s="44">
        <f t="shared" si="28"/>
        <v>2</v>
      </c>
      <c r="G891" s="117" t="s">
        <v>1778</v>
      </c>
      <c r="H891" s="46" t="s">
        <v>18</v>
      </c>
      <c r="I891" s="47"/>
      <c r="J891" s="48" t="s">
        <v>42</v>
      </c>
      <c r="K891" s="118">
        <v>11013</v>
      </c>
      <c r="L891" s="119" t="s">
        <v>191</v>
      </c>
      <c r="M891" s="119" t="s">
        <v>192</v>
      </c>
      <c r="N891" s="14" t="s">
        <v>27</v>
      </c>
      <c r="O891" s="14" t="s">
        <v>28</v>
      </c>
      <c r="P891" s="51">
        <v>2300</v>
      </c>
      <c r="Q891" s="47">
        <f t="shared" si="29"/>
        <v>4600</v>
      </c>
      <c r="R891" s="47"/>
      <c r="S891" s="47"/>
      <c r="T891" s="47">
        <v>11010</v>
      </c>
    </row>
    <row r="892" customHeight="1" spans="1:20">
      <c r="A892" s="6">
        <v>12</v>
      </c>
      <c r="B892" s="2" t="s">
        <v>202</v>
      </c>
      <c r="C892" s="2"/>
      <c r="D892" s="6"/>
      <c r="E892" s="2"/>
      <c r="F892" s="44">
        <f t="shared" si="28"/>
        <v>0</v>
      </c>
      <c r="G892" s="77"/>
      <c r="H892" s="46"/>
      <c r="I892" s="47"/>
      <c r="J892" s="48" t="s">
        <v>42</v>
      </c>
      <c r="K892" s="94"/>
      <c r="L892" s="95"/>
      <c r="M892" s="95"/>
      <c r="O892" s="14" t="s">
        <v>28</v>
      </c>
      <c r="P892" s="51"/>
      <c r="Q892" s="47">
        <f t="shared" si="29"/>
        <v>0</v>
      </c>
      <c r="R892" s="47"/>
      <c r="S892" s="47"/>
      <c r="T892" s="47">
        <v>12</v>
      </c>
    </row>
    <row r="893" customHeight="1" spans="1:20">
      <c r="A893" s="43">
        <v>12003</v>
      </c>
      <c r="B893" s="78" t="s">
        <v>207</v>
      </c>
      <c r="C893" s="78"/>
      <c r="D893" s="43">
        <v>1</v>
      </c>
      <c r="E893" s="78" t="s">
        <v>161</v>
      </c>
      <c r="F893" s="44">
        <f t="shared" si="28"/>
        <v>2</v>
      </c>
      <c r="G893" s="79" t="s">
        <v>208</v>
      </c>
      <c r="H893" s="46" t="s">
        <v>18</v>
      </c>
      <c r="I893" s="47"/>
      <c r="J893" s="48" t="s">
        <v>42</v>
      </c>
      <c r="K893" s="80">
        <v>12003</v>
      </c>
      <c r="L893" s="81" t="s">
        <v>25</v>
      </c>
      <c r="M893" s="81" t="s">
        <v>26</v>
      </c>
      <c r="N893" s="14" t="s">
        <v>27</v>
      </c>
      <c r="O893" s="14" t="s">
        <v>28</v>
      </c>
      <c r="P893" s="51">
        <v>14</v>
      </c>
      <c r="Q893" s="47">
        <f t="shared" si="29"/>
        <v>28</v>
      </c>
      <c r="R893" s="47"/>
      <c r="S893" s="47"/>
      <c r="T893" s="47">
        <v>12003</v>
      </c>
    </row>
    <row r="894" customHeight="1" spans="1:20">
      <c r="A894" s="6">
        <v>13</v>
      </c>
      <c r="B894" s="2" t="s">
        <v>219</v>
      </c>
      <c r="C894" s="2"/>
      <c r="D894" s="6"/>
      <c r="E894" s="2"/>
      <c r="F894" s="44">
        <f t="shared" si="28"/>
        <v>0</v>
      </c>
      <c r="G894" s="77"/>
      <c r="H894" s="46"/>
      <c r="I894" s="47"/>
      <c r="J894" s="48" t="s">
        <v>42</v>
      </c>
      <c r="K894" s="94"/>
      <c r="L894" s="95"/>
      <c r="M894" s="95"/>
      <c r="O894" s="14" t="s">
        <v>28</v>
      </c>
      <c r="P894" s="51"/>
      <c r="Q894" s="47">
        <f t="shared" si="29"/>
        <v>0</v>
      </c>
      <c r="R894" s="47"/>
      <c r="S894" s="47"/>
      <c r="T894" s="47">
        <v>13</v>
      </c>
    </row>
    <row r="895" customHeight="1" spans="1:20">
      <c r="A895" s="43">
        <v>13001</v>
      </c>
      <c r="B895" s="78" t="s">
        <v>220</v>
      </c>
      <c r="C895" s="78"/>
      <c r="D895" s="43">
        <v>100</v>
      </c>
      <c r="E895" s="78" t="s">
        <v>221</v>
      </c>
      <c r="F895" s="44">
        <f t="shared" si="28"/>
        <v>200</v>
      </c>
      <c r="G895" s="117" t="s">
        <v>1779</v>
      </c>
      <c r="H895" s="46" t="s">
        <v>18</v>
      </c>
      <c r="I895" s="47"/>
      <c r="J895" s="48" t="s">
        <v>42</v>
      </c>
      <c r="K895" s="118">
        <v>13001</v>
      </c>
      <c r="L895" s="119" t="s">
        <v>25</v>
      </c>
      <c r="M895" s="119" t="s">
        <v>26</v>
      </c>
      <c r="N895" s="14" t="s">
        <v>27</v>
      </c>
      <c r="O895" s="14" t="s">
        <v>28</v>
      </c>
      <c r="P895" s="51">
        <v>2</v>
      </c>
      <c r="Q895" s="47">
        <f t="shared" si="29"/>
        <v>400</v>
      </c>
      <c r="R895" s="47"/>
      <c r="S895" s="47"/>
      <c r="T895" s="47">
        <v>13001</v>
      </c>
    </row>
    <row r="896" customHeight="1" spans="1:20">
      <c r="A896" s="43">
        <v>13004</v>
      </c>
      <c r="B896" s="78" t="s">
        <v>220</v>
      </c>
      <c r="C896" s="78"/>
      <c r="D896" s="43">
        <v>2</v>
      </c>
      <c r="E896" s="78" t="s">
        <v>221</v>
      </c>
      <c r="F896" s="44">
        <f t="shared" si="28"/>
        <v>4</v>
      </c>
      <c r="G896" s="117" t="s">
        <v>1780</v>
      </c>
      <c r="H896" s="46" t="s">
        <v>18</v>
      </c>
      <c r="I896" s="47"/>
      <c r="J896" s="48" t="s">
        <v>42</v>
      </c>
      <c r="K896" s="118">
        <v>13004</v>
      </c>
      <c r="L896" s="119" t="s">
        <v>25</v>
      </c>
      <c r="M896" s="119" t="s">
        <v>26</v>
      </c>
      <c r="N896" s="14" t="s">
        <v>27</v>
      </c>
      <c r="O896" s="14" t="s">
        <v>28</v>
      </c>
      <c r="P896" s="51">
        <v>3</v>
      </c>
      <c r="Q896" s="47">
        <f t="shared" si="29"/>
        <v>12</v>
      </c>
      <c r="R896" s="47"/>
      <c r="S896" s="47"/>
      <c r="T896" s="47">
        <v>13001</v>
      </c>
    </row>
    <row r="897" customHeight="1" spans="1:20">
      <c r="A897" s="43">
        <v>13007</v>
      </c>
      <c r="B897" s="78" t="s">
        <v>224</v>
      </c>
      <c r="C897" s="78"/>
      <c r="D897" s="43">
        <v>1</v>
      </c>
      <c r="E897" s="78" t="s">
        <v>54</v>
      </c>
      <c r="F897" s="44">
        <f t="shared" si="28"/>
        <v>2</v>
      </c>
      <c r="G897" s="158" t="s">
        <v>1781</v>
      </c>
      <c r="H897" s="46" t="s">
        <v>18</v>
      </c>
      <c r="I897" s="47"/>
      <c r="J897" s="48" t="s">
        <v>42</v>
      </c>
      <c r="K897" s="118">
        <v>13007</v>
      </c>
      <c r="L897" s="118" t="s">
        <v>25</v>
      </c>
      <c r="M897" s="118" t="s">
        <v>26</v>
      </c>
      <c r="N897" s="14" t="s">
        <v>27</v>
      </c>
      <c r="O897" s="14" t="s">
        <v>28</v>
      </c>
      <c r="P897" s="51">
        <v>16</v>
      </c>
      <c r="Q897" s="47">
        <f t="shared" si="29"/>
        <v>32</v>
      </c>
      <c r="R897" s="47"/>
      <c r="S897" s="47"/>
      <c r="T897" s="47"/>
    </row>
    <row r="898" customHeight="1" spans="1:20">
      <c r="A898" s="6">
        <v>15</v>
      </c>
      <c r="B898" s="2" t="s">
        <v>251</v>
      </c>
      <c r="C898" s="2"/>
      <c r="D898" s="6"/>
      <c r="E898" s="2"/>
      <c r="F898" s="44">
        <f t="shared" ref="F898:F961" si="30">D898*2</f>
        <v>0</v>
      </c>
      <c r="G898" s="77"/>
      <c r="H898" s="46"/>
      <c r="I898" s="47"/>
      <c r="J898" s="48" t="s">
        <v>42</v>
      </c>
      <c r="K898" s="94"/>
      <c r="L898" s="95"/>
      <c r="M898" s="95"/>
      <c r="O898" s="14" t="s">
        <v>28</v>
      </c>
      <c r="P898" s="51"/>
      <c r="Q898" s="47">
        <f t="shared" si="29"/>
        <v>0</v>
      </c>
      <c r="R898" s="47"/>
      <c r="S898" s="47"/>
      <c r="T898" s="47">
        <v>15</v>
      </c>
    </row>
    <row r="899" customHeight="1" spans="1:20">
      <c r="A899" s="43">
        <v>15008</v>
      </c>
      <c r="B899" s="78" t="s">
        <v>258</v>
      </c>
      <c r="C899" s="78"/>
      <c r="D899" s="43">
        <f>D833</f>
        <v>56</v>
      </c>
      <c r="E899" s="78" t="s">
        <v>161</v>
      </c>
      <c r="F899" s="44">
        <f t="shared" si="30"/>
        <v>112</v>
      </c>
      <c r="G899" s="117" t="s">
        <v>1782</v>
      </c>
      <c r="H899" s="46" t="s">
        <v>18</v>
      </c>
      <c r="I899" s="47"/>
      <c r="J899" s="48" t="s">
        <v>42</v>
      </c>
      <c r="K899" s="118">
        <v>15008</v>
      </c>
      <c r="L899" s="119" t="s">
        <v>25</v>
      </c>
      <c r="M899" s="119" t="s">
        <v>26</v>
      </c>
      <c r="N899" s="14" t="s">
        <v>27</v>
      </c>
      <c r="O899" s="14" t="s">
        <v>28</v>
      </c>
      <c r="P899" s="51">
        <v>17</v>
      </c>
      <c r="Q899" s="47">
        <f t="shared" si="29"/>
        <v>1904</v>
      </c>
      <c r="R899" s="47"/>
      <c r="S899" s="47"/>
      <c r="T899" s="47">
        <v>15008</v>
      </c>
    </row>
    <row r="900" customHeight="1" spans="1:20">
      <c r="A900" s="43">
        <v>15010</v>
      </c>
      <c r="B900" s="78" t="s">
        <v>263</v>
      </c>
      <c r="C900" s="78"/>
      <c r="D900" s="43">
        <f>D833</f>
        <v>56</v>
      </c>
      <c r="E900" s="78" t="s">
        <v>161</v>
      </c>
      <c r="F900" s="44">
        <f t="shared" si="30"/>
        <v>112</v>
      </c>
      <c r="G900" s="117" t="s">
        <v>1783</v>
      </c>
      <c r="H900" s="46" t="s">
        <v>18</v>
      </c>
      <c r="I900" s="47"/>
      <c r="J900" s="48" t="s">
        <v>42</v>
      </c>
      <c r="K900" s="118">
        <v>15010</v>
      </c>
      <c r="L900" s="119" t="s">
        <v>25</v>
      </c>
      <c r="M900" s="119" t="s">
        <v>26</v>
      </c>
      <c r="N900" s="14" t="s">
        <v>27</v>
      </c>
      <c r="O900" s="14" t="s">
        <v>28</v>
      </c>
      <c r="P900" s="51">
        <v>17</v>
      </c>
      <c r="Q900" s="47">
        <f t="shared" ref="Q900:Q963" si="31">P900*F900</f>
        <v>1904</v>
      </c>
      <c r="R900" s="47"/>
      <c r="S900" s="47"/>
      <c r="T900" s="47">
        <v>15010</v>
      </c>
    </row>
    <row r="901" customHeight="1" spans="1:20">
      <c r="A901" s="43">
        <v>15011</v>
      </c>
      <c r="B901" s="78" t="s">
        <v>265</v>
      </c>
      <c r="C901" s="78"/>
      <c r="D901" s="43">
        <v>1</v>
      </c>
      <c r="E901" s="78" t="s">
        <v>21</v>
      </c>
      <c r="F901" s="44">
        <f t="shared" si="30"/>
        <v>2</v>
      </c>
      <c r="G901" s="117" t="s">
        <v>1784</v>
      </c>
      <c r="H901" s="46" t="s">
        <v>18</v>
      </c>
      <c r="I901" s="47"/>
      <c r="J901" s="48" t="s">
        <v>42</v>
      </c>
      <c r="K901" s="118">
        <v>15011</v>
      </c>
      <c r="L901" s="119" t="s">
        <v>267</v>
      </c>
      <c r="M901" s="119" t="s">
        <v>268</v>
      </c>
      <c r="N901" s="14" t="s">
        <v>27</v>
      </c>
      <c r="O901" s="14" t="s">
        <v>28</v>
      </c>
      <c r="P901" s="51">
        <v>65</v>
      </c>
      <c r="Q901" s="47">
        <f t="shared" si="31"/>
        <v>130</v>
      </c>
      <c r="R901" s="47"/>
      <c r="S901" s="47"/>
      <c r="T901" s="47">
        <v>15011</v>
      </c>
    </row>
    <row r="902" customHeight="1" spans="1:20">
      <c r="A902" s="43">
        <v>15016</v>
      </c>
      <c r="B902" s="78" t="s">
        <v>273</v>
      </c>
      <c r="C902" s="78"/>
      <c r="D902" s="43">
        <v>1</v>
      </c>
      <c r="E902" s="78" t="s">
        <v>54</v>
      </c>
      <c r="F902" s="44">
        <f t="shared" si="30"/>
        <v>2</v>
      </c>
      <c r="G902" s="85" t="s">
        <v>1192</v>
      </c>
      <c r="H902" s="46" t="s">
        <v>18</v>
      </c>
      <c r="I902" s="47"/>
      <c r="J902" s="48" t="s">
        <v>42</v>
      </c>
      <c r="K902" s="86">
        <v>15016</v>
      </c>
      <c r="L902" s="87" t="s">
        <v>275</v>
      </c>
      <c r="M902" s="87" t="s">
        <v>276</v>
      </c>
      <c r="N902" s="14" t="s">
        <v>27</v>
      </c>
      <c r="O902" s="14" t="s">
        <v>28</v>
      </c>
      <c r="P902" s="51">
        <v>200</v>
      </c>
      <c r="Q902" s="47">
        <f t="shared" si="31"/>
        <v>400</v>
      </c>
      <c r="R902" s="47"/>
      <c r="S902" s="47"/>
      <c r="T902" s="47">
        <v>15016</v>
      </c>
    </row>
    <row r="903" customHeight="1" spans="1:20">
      <c r="A903" s="6">
        <v>16</v>
      </c>
      <c r="B903" s="2" t="s">
        <v>297</v>
      </c>
      <c r="C903" s="2"/>
      <c r="D903" s="6"/>
      <c r="E903" s="2"/>
      <c r="F903" s="44">
        <f t="shared" si="30"/>
        <v>0</v>
      </c>
      <c r="G903" s="77"/>
      <c r="H903" s="46"/>
      <c r="I903" s="47"/>
      <c r="J903" s="48" t="s">
        <v>42</v>
      </c>
      <c r="K903" s="94"/>
      <c r="L903" s="95"/>
      <c r="M903" s="95"/>
      <c r="O903" s="14" t="s">
        <v>28</v>
      </c>
      <c r="P903" s="51"/>
      <c r="Q903" s="47">
        <f t="shared" si="31"/>
        <v>0</v>
      </c>
      <c r="R903" s="47"/>
      <c r="S903" s="47"/>
      <c r="T903" s="47">
        <v>16</v>
      </c>
    </row>
    <row r="904" customHeight="1" spans="1:20">
      <c r="A904" s="43">
        <v>16001</v>
      </c>
      <c r="B904" s="78" t="s">
        <v>1228</v>
      </c>
      <c r="C904" s="78"/>
      <c r="D904" s="43">
        <v>1</v>
      </c>
      <c r="E904" s="78" t="s">
        <v>221</v>
      </c>
      <c r="F904" s="44">
        <f t="shared" si="30"/>
        <v>2</v>
      </c>
      <c r="G904" s="85" t="s">
        <v>1785</v>
      </c>
      <c r="H904" s="46" t="s">
        <v>18</v>
      </c>
      <c r="I904" s="47"/>
      <c r="J904" s="48" t="s">
        <v>42</v>
      </c>
      <c r="K904" s="86">
        <v>16001</v>
      </c>
      <c r="L904" s="87" t="s">
        <v>25</v>
      </c>
      <c r="M904" s="87" t="s">
        <v>26</v>
      </c>
      <c r="N904" s="14" t="s">
        <v>27</v>
      </c>
      <c r="O904" s="14" t="s">
        <v>28</v>
      </c>
      <c r="P904" s="51">
        <v>2.5</v>
      </c>
      <c r="Q904" s="47">
        <f t="shared" si="31"/>
        <v>5</v>
      </c>
      <c r="R904" s="47"/>
      <c r="S904" s="47"/>
      <c r="T904" s="47"/>
    </row>
    <row r="905" customHeight="1" spans="1:20">
      <c r="A905" s="43">
        <v>16001</v>
      </c>
      <c r="B905" s="78" t="s">
        <v>1228</v>
      </c>
      <c r="C905" s="78"/>
      <c r="D905" s="43">
        <v>1</v>
      </c>
      <c r="E905" s="78" t="s">
        <v>221</v>
      </c>
      <c r="F905" s="44">
        <f t="shared" si="30"/>
        <v>2</v>
      </c>
      <c r="G905" s="85" t="s">
        <v>1786</v>
      </c>
      <c r="H905" s="46" t="s">
        <v>18</v>
      </c>
      <c r="I905" s="47"/>
      <c r="J905" s="48" t="s">
        <v>42</v>
      </c>
      <c r="K905" s="86">
        <v>16001</v>
      </c>
      <c r="L905" s="87" t="s">
        <v>25</v>
      </c>
      <c r="M905" s="87" t="s">
        <v>26</v>
      </c>
      <c r="N905" s="14" t="s">
        <v>27</v>
      </c>
      <c r="O905" s="14" t="s">
        <v>28</v>
      </c>
      <c r="P905" s="51">
        <v>2.5</v>
      </c>
      <c r="Q905" s="47">
        <f t="shared" si="31"/>
        <v>5</v>
      </c>
      <c r="R905" s="47"/>
      <c r="S905" s="47"/>
      <c r="T905" s="47"/>
    </row>
    <row r="906" customHeight="1" spans="1:20">
      <c r="A906" s="43">
        <v>16003</v>
      </c>
      <c r="B906" s="78" t="s">
        <v>1787</v>
      </c>
      <c r="C906" s="78"/>
      <c r="D906" s="43">
        <f>D833/2</f>
        <v>28</v>
      </c>
      <c r="E906" s="78" t="s">
        <v>54</v>
      </c>
      <c r="F906" s="44">
        <f t="shared" si="30"/>
        <v>56</v>
      </c>
      <c r="G906" s="117" t="s">
        <v>1788</v>
      </c>
      <c r="H906" s="46" t="s">
        <v>18</v>
      </c>
      <c r="I906" s="47"/>
      <c r="J906" s="48" t="s">
        <v>42</v>
      </c>
      <c r="K906" s="118">
        <v>16003</v>
      </c>
      <c r="L906" s="119" t="s">
        <v>25</v>
      </c>
      <c r="M906" s="119" t="s">
        <v>26</v>
      </c>
      <c r="N906" s="14" t="s">
        <v>27</v>
      </c>
      <c r="O906" s="14" t="s">
        <v>28</v>
      </c>
      <c r="P906" s="51">
        <v>65</v>
      </c>
      <c r="Q906" s="47">
        <f t="shared" si="31"/>
        <v>3640</v>
      </c>
      <c r="R906" s="47"/>
      <c r="S906" s="47"/>
      <c r="T906" s="47"/>
    </row>
    <row r="907" customHeight="1" spans="1:20">
      <c r="A907" s="108" t="s">
        <v>306</v>
      </c>
      <c r="B907" s="2" t="s">
        <v>307</v>
      </c>
      <c r="C907" s="2"/>
      <c r="D907" s="6"/>
      <c r="E907" s="2"/>
      <c r="F907" s="44">
        <f t="shared" si="30"/>
        <v>0</v>
      </c>
      <c r="G907" s="77"/>
      <c r="H907" s="46"/>
      <c r="I907" s="47"/>
      <c r="J907" s="48" t="s">
        <v>42</v>
      </c>
      <c r="K907" s="94"/>
      <c r="L907" s="95"/>
      <c r="M907" s="95"/>
      <c r="O907" s="14" t="s">
        <v>28</v>
      </c>
      <c r="P907" s="51"/>
      <c r="Q907" s="47">
        <f t="shared" si="31"/>
        <v>0</v>
      </c>
      <c r="R907" s="47"/>
      <c r="S907" s="47"/>
      <c r="T907" s="47">
        <v>2</v>
      </c>
    </row>
    <row r="908" customHeight="1" spans="1:20">
      <c r="A908" s="6">
        <v>26</v>
      </c>
      <c r="B908" s="2" t="s">
        <v>1789</v>
      </c>
      <c r="C908" s="2"/>
      <c r="D908" s="6"/>
      <c r="E908" s="2"/>
      <c r="F908" s="44">
        <f t="shared" si="30"/>
        <v>0</v>
      </c>
      <c r="G908" s="77"/>
      <c r="H908" s="46"/>
      <c r="I908" s="47"/>
      <c r="J908" s="48" t="s">
        <v>42</v>
      </c>
      <c r="K908" s="94"/>
      <c r="L908" s="95"/>
      <c r="M908" s="95"/>
      <c r="O908" s="14" t="s">
        <v>28</v>
      </c>
      <c r="P908" s="51"/>
      <c r="Q908" s="47">
        <f t="shared" si="31"/>
        <v>0</v>
      </c>
      <c r="R908" s="47"/>
      <c r="S908" s="47"/>
      <c r="T908" s="47"/>
    </row>
    <row r="909" customHeight="1" spans="1:20">
      <c r="A909" s="43">
        <v>26003</v>
      </c>
      <c r="B909" s="78" t="s">
        <v>1790</v>
      </c>
      <c r="C909" s="78"/>
      <c r="D909" s="43">
        <f>D833/2</f>
        <v>28</v>
      </c>
      <c r="E909" s="78" t="s">
        <v>21</v>
      </c>
      <c r="F909" s="44">
        <f t="shared" si="30"/>
        <v>56</v>
      </c>
      <c r="G909" s="91" t="s">
        <v>1791</v>
      </c>
      <c r="H909" s="46" t="s">
        <v>18</v>
      </c>
      <c r="I909" s="47"/>
      <c r="J909" s="48" t="s">
        <v>42</v>
      </c>
      <c r="K909" s="92">
        <v>26003</v>
      </c>
      <c r="L909" s="93" t="s">
        <v>25</v>
      </c>
      <c r="M909" s="93" t="s">
        <v>26</v>
      </c>
      <c r="N909" s="14" t="s">
        <v>27</v>
      </c>
      <c r="O909" s="14" t="s">
        <v>28</v>
      </c>
      <c r="P909" s="51">
        <v>10</v>
      </c>
      <c r="Q909" s="47">
        <f t="shared" si="31"/>
        <v>560</v>
      </c>
      <c r="R909" s="47"/>
      <c r="S909" s="47"/>
      <c r="T909" s="47"/>
    </row>
    <row r="910" customHeight="1" spans="1:20">
      <c r="A910" s="43">
        <v>26005</v>
      </c>
      <c r="B910" s="78" t="s">
        <v>1792</v>
      </c>
      <c r="C910" s="78"/>
      <c r="D910" s="43">
        <v>2</v>
      </c>
      <c r="E910" s="78" t="s">
        <v>54</v>
      </c>
      <c r="F910" s="44">
        <f t="shared" si="30"/>
        <v>4</v>
      </c>
      <c r="G910" s="102" t="s">
        <v>1793</v>
      </c>
      <c r="H910" s="46" t="s">
        <v>18</v>
      </c>
      <c r="I910" s="47"/>
      <c r="J910" s="48" t="s">
        <v>42</v>
      </c>
      <c r="K910" s="83">
        <v>26005</v>
      </c>
      <c r="L910" s="103" t="s">
        <v>25</v>
      </c>
      <c r="M910" s="103" t="s">
        <v>26</v>
      </c>
      <c r="N910" s="14" t="s">
        <v>27</v>
      </c>
      <c r="O910" s="14" t="s">
        <v>28</v>
      </c>
      <c r="P910" s="51">
        <v>40</v>
      </c>
      <c r="Q910" s="47">
        <f t="shared" si="31"/>
        <v>160</v>
      </c>
      <c r="R910" s="47"/>
      <c r="S910" s="47"/>
      <c r="T910" s="47"/>
    </row>
    <row r="911" customHeight="1" spans="1:20">
      <c r="A911" s="43">
        <v>26007</v>
      </c>
      <c r="B911" s="78" t="s">
        <v>1794</v>
      </c>
      <c r="C911" s="78"/>
      <c r="D911" s="43">
        <f>D833/2</f>
        <v>28</v>
      </c>
      <c r="E911" s="78" t="s">
        <v>21</v>
      </c>
      <c r="F911" s="44">
        <f t="shared" si="30"/>
        <v>56</v>
      </c>
      <c r="G911" s="117" t="s">
        <v>1795</v>
      </c>
      <c r="H911" s="46" t="s">
        <v>18</v>
      </c>
      <c r="I911" s="47"/>
      <c r="J911" s="48" t="s">
        <v>42</v>
      </c>
      <c r="K911" s="118">
        <v>26007</v>
      </c>
      <c r="L911" s="119" t="s">
        <v>25</v>
      </c>
      <c r="M911" s="119" t="s">
        <v>26</v>
      </c>
      <c r="N911" s="14" t="s">
        <v>27</v>
      </c>
      <c r="O911" s="14" t="s">
        <v>28</v>
      </c>
      <c r="P911" s="51">
        <v>130</v>
      </c>
      <c r="Q911" s="47">
        <f t="shared" si="31"/>
        <v>7280</v>
      </c>
      <c r="R911" s="47"/>
      <c r="S911" s="47"/>
      <c r="T911" s="47"/>
    </row>
    <row r="912" customHeight="1" spans="1:20">
      <c r="A912" s="43">
        <v>26010</v>
      </c>
      <c r="B912" s="78" t="s">
        <v>1796</v>
      </c>
      <c r="C912" s="78"/>
      <c r="D912" s="43">
        <v>1</v>
      </c>
      <c r="E912" s="78" t="s">
        <v>54</v>
      </c>
      <c r="F912" s="44">
        <f t="shared" si="30"/>
        <v>2</v>
      </c>
      <c r="G912" s="102" t="s">
        <v>1797</v>
      </c>
      <c r="H912" s="46" t="s">
        <v>18</v>
      </c>
      <c r="I912" s="47"/>
      <c r="J912" s="48" t="s">
        <v>42</v>
      </c>
      <c r="K912" s="83">
        <v>26010</v>
      </c>
      <c r="L912" s="103" t="s">
        <v>25</v>
      </c>
      <c r="M912" s="103" t="s">
        <v>26</v>
      </c>
      <c r="N912" s="14" t="s">
        <v>27</v>
      </c>
      <c r="O912" s="14" t="s">
        <v>28</v>
      </c>
      <c r="P912" s="51">
        <v>75</v>
      </c>
      <c r="Q912" s="47">
        <f t="shared" si="31"/>
        <v>150</v>
      </c>
      <c r="R912" s="47"/>
      <c r="S912" s="47"/>
      <c r="T912" s="47"/>
    </row>
    <row r="913" customHeight="1" spans="1:20">
      <c r="A913" s="43">
        <v>26011</v>
      </c>
      <c r="B913" s="78" t="s">
        <v>1798</v>
      </c>
      <c r="C913" s="78"/>
      <c r="D913" s="43">
        <f>D833/2</f>
        <v>28</v>
      </c>
      <c r="E913" s="78" t="s">
        <v>32</v>
      </c>
      <c r="F913" s="44">
        <f t="shared" si="30"/>
        <v>56</v>
      </c>
      <c r="G913" s="102" t="s">
        <v>1799</v>
      </c>
      <c r="H913" s="46" t="s">
        <v>18</v>
      </c>
      <c r="I913" s="47"/>
      <c r="J913" s="48" t="s">
        <v>42</v>
      </c>
      <c r="K913" s="83">
        <v>26011</v>
      </c>
      <c r="L913" s="103" t="s">
        <v>25</v>
      </c>
      <c r="M913" s="103" t="s">
        <v>26</v>
      </c>
      <c r="N913" s="14" t="s">
        <v>27</v>
      </c>
      <c r="O913" s="14" t="s">
        <v>28</v>
      </c>
      <c r="P913" s="161">
        <v>11</v>
      </c>
      <c r="Q913" s="47">
        <f t="shared" si="31"/>
        <v>616</v>
      </c>
      <c r="R913" s="47"/>
      <c r="S913" s="47"/>
      <c r="T913" s="47"/>
    </row>
    <row r="914" customHeight="1" spans="1:20">
      <c r="A914" s="43">
        <v>26013</v>
      </c>
      <c r="B914" s="78" t="s">
        <v>1800</v>
      </c>
      <c r="C914" s="78"/>
      <c r="D914" s="43">
        <f>D833/2</f>
        <v>28</v>
      </c>
      <c r="E914" s="78" t="s">
        <v>32</v>
      </c>
      <c r="F914" s="44">
        <f t="shared" si="30"/>
        <v>56</v>
      </c>
      <c r="G914" s="79" t="s">
        <v>1801</v>
      </c>
      <c r="H914" s="46" t="s">
        <v>18</v>
      </c>
      <c r="I914" s="47"/>
      <c r="J914" s="48" t="s">
        <v>42</v>
      </c>
      <c r="K914" s="80">
        <v>26013</v>
      </c>
      <c r="L914" s="81" t="s">
        <v>25</v>
      </c>
      <c r="M914" s="81" t="s">
        <v>26</v>
      </c>
      <c r="N914" s="14" t="s">
        <v>27</v>
      </c>
      <c r="O914" s="14" t="s">
        <v>28</v>
      </c>
      <c r="P914" s="161">
        <v>20</v>
      </c>
      <c r="Q914" s="47">
        <f t="shared" si="31"/>
        <v>1120</v>
      </c>
      <c r="R914" s="47"/>
      <c r="S914" s="47"/>
      <c r="T914" s="47"/>
    </row>
    <row r="915" customHeight="1" spans="1:20">
      <c r="A915" s="43">
        <v>26016</v>
      </c>
      <c r="B915" s="78" t="s">
        <v>1802</v>
      </c>
      <c r="C915" s="78"/>
      <c r="D915" s="43">
        <v>2</v>
      </c>
      <c r="E915" s="78" t="s">
        <v>32</v>
      </c>
      <c r="F915" s="44">
        <f t="shared" si="30"/>
        <v>4</v>
      </c>
      <c r="G915" s="102" t="s">
        <v>1803</v>
      </c>
      <c r="H915" s="46" t="s">
        <v>18</v>
      </c>
      <c r="I915" s="47"/>
      <c r="J915" s="48" t="s">
        <v>42</v>
      </c>
      <c r="K915" s="83">
        <v>26016</v>
      </c>
      <c r="L915" s="103" t="s">
        <v>25</v>
      </c>
      <c r="M915" s="103" t="s">
        <v>26</v>
      </c>
      <c r="N915" s="14" t="s">
        <v>27</v>
      </c>
      <c r="O915" s="14" t="s">
        <v>28</v>
      </c>
      <c r="P915" s="161">
        <v>720</v>
      </c>
      <c r="Q915" s="47">
        <f t="shared" si="31"/>
        <v>2880</v>
      </c>
      <c r="R915" s="47"/>
      <c r="S915" s="47"/>
      <c r="T915" s="47"/>
    </row>
    <row r="916" customHeight="1" spans="1:20">
      <c r="A916" s="43">
        <v>26019</v>
      </c>
      <c r="B916" s="78" t="s">
        <v>1804</v>
      </c>
      <c r="C916" s="78"/>
      <c r="D916" s="43">
        <f>D833/2</f>
        <v>28</v>
      </c>
      <c r="E916" s="78" t="s">
        <v>32</v>
      </c>
      <c r="F916" s="44">
        <f t="shared" si="30"/>
        <v>56</v>
      </c>
      <c r="G916" s="85" t="s">
        <v>1805</v>
      </c>
      <c r="H916" s="46" t="s">
        <v>18</v>
      </c>
      <c r="I916" s="47"/>
      <c r="J916" s="48" t="s">
        <v>42</v>
      </c>
      <c r="K916" s="86">
        <v>26019</v>
      </c>
      <c r="L916" s="87" t="s">
        <v>25</v>
      </c>
      <c r="M916" s="87" t="s">
        <v>26</v>
      </c>
      <c r="N916" s="14" t="s">
        <v>27</v>
      </c>
      <c r="O916" s="14" t="s">
        <v>28</v>
      </c>
      <c r="P916" s="162">
        <v>40</v>
      </c>
      <c r="Q916" s="47">
        <f t="shared" si="31"/>
        <v>2240</v>
      </c>
      <c r="R916" s="47"/>
      <c r="S916" s="47"/>
      <c r="T916" s="47"/>
    </row>
    <row r="917" customHeight="1" spans="1:20">
      <c r="A917" s="43">
        <v>26020</v>
      </c>
      <c r="B917" s="78" t="s">
        <v>1806</v>
      </c>
      <c r="C917" s="78"/>
      <c r="D917" s="43">
        <v>1</v>
      </c>
      <c r="E917" s="78" t="s">
        <v>32</v>
      </c>
      <c r="F917" s="44">
        <f t="shared" si="30"/>
        <v>2</v>
      </c>
      <c r="G917" s="85" t="s">
        <v>1807</v>
      </c>
      <c r="H917" s="46" t="s">
        <v>18</v>
      </c>
      <c r="I917" s="47"/>
      <c r="J917" s="48" t="s">
        <v>42</v>
      </c>
      <c r="K917" s="86">
        <v>26020</v>
      </c>
      <c r="L917" s="87" t="s">
        <v>25</v>
      </c>
      <c r="M917" s="87" t="s">
        <v>26</v>
      </c>
      <c r="N917" s="14" t="s">
        <v>27</v>
      </c>
      <c r="O917" s="14" t="s">
        <v>28</v>
      </c>
      <c r="P917" s="161">
        <v>220</v>
      </c>
      <c r="Q917" s="47">
        <f t="shared" si="31"/>
        <v>440</v>
      </c>
      <c r="R917" s="47"/>
      <c r="S917" s="47"/>
      <c r="T917" s="47"/>
    </row>
    <row r="918" customHeight="1" spans="1:20">
      <c r="A918" s="43">
        <v>26021</v>
      </c>
      <c r="B918" s="78" t="s">
        <v>1808</v>
      </c>
      <c r="C918" s="78"/>
      <c r="D918" s="43">
        <f>D833/2</f>
        <v>28</v>
      </c>
      <c r="E918" s="78" t="s">
        <v>54</v>
      </c>
      <c r="F918" s="44">
        <f t="shared" si="30"/>
        <v>56</v>
      </c>
      <c r="G918" s="85" t="s">
        <v>1809</v>
      </c>
      <c r="H918" s="46" t="s">
        <v>18</v>
      </c>
      <c r="I918" s="47"/>
      <c r="J918" s="48" t="s">
        <v>42</v>
      </c>
      <c r="K918" s="86">
        <v>26021</v>
      </c>
      <c r="L918" s="87" t="s">
        <v>25</v>
      </c>
      <c r="M918" s="87" t="s">
        <v>26</v>
      </c>
      <c r="N918" s="14" t="s">
        <v>27</v>
      </c>
      <c r="O918" s="14" t="s">
        <v>28</v>
      </c>
      <c r="P918" s="161">
        <v>80</v>
      </c>
      <c r="Q918" s="47">
        <f t="shared" si="31"/>
        <v>4480</v>
      </c>
      <c r="R918" s="47"/>
      <c r="S918" s="47"/>
      <c r="T918" s="47"/>
    </row>
    <row r="919" customHeight="1" spans="1:20">
      <c r="A919" s="43">
        <v>26023</v>
      </c>
      <c r="B919" s="78" t="s">
        <v>1810</v>
      </c>
      <c r="C919" s="78"/>
      <c r="D919" s="43">
        <v>1</v>
      </c>
      <c r="E919" s="78" t="s">
        <v>221</v>
      </c>
      <c r="F919" s="44">
        <f t="shared" si="30"/>
        <v>2</v>
      </c>
      <c r="G919" s="117" t="s">
        <v>1811</v>
      </c>
      <c r="H919" s="46" t="s">
        <v>18</v>
      </c>
      <c r="I919" s="47"/>
      <c r="J919" s="48" t="s">
        <v>42</v>
      </c>
      <c r="K919" s="118">
        <v>26023</v>
      </c>
      <c r="L919" s="119" t="s">
        <v>25</v>
      </c>
      <c r="M919" s="119" t="s">
        <v>26</v>
      </c>
      <c r="N919" s="14" t="s">
        <v>27</v>
      </c>
      <c r="O919" s="14" t="s">
        <v>28</v>
      </c>
      <c r="P919" s="161">
        <v>250</v>
      </c>
      <c r="Q919" s="47">
        <f t="shared" si="31"/>
        <v>500</v>
      </c>
      <c r="R919" s="47"/>
      <c r="S919" s="47"/>
      <c r="T919" s="47"/>
    </row>
    <row r="920" customHeight="1" spans="1:20">
      <c r="A920" s="43">
        <v>26025</v>
      </c>
      <c r="B920" s="78" t="s">
        <v>1812</v>
      </c>
      <c r="C920" s="78"/>
      <c r="D920" s="43">
        <f>D833</f>
        <v>56</v>
      </c>
      <c r="E920" s="78" t="s">
        <v>54</v>
      </c>
      <c r="F920" s="44">
        <f t="shared" si="30"/>
        <v>112</v>
      </c>
      <c r="G920" s="99" t="s">
        <v>1813</v>
      </c>
      <c r="H920" s="46" t="s">
        <v>18</v>
      </c>
      <c r="I920" s="47"/>
      <c r="J920" s="48" t="s">
        <v>42</v>
      </c>
      <c r="K920" s="100">
        <v>26025</v>
      </c>
      <c r="L920" s="101" t="s">
        <v>25</v>
      </c>
      <c r="M920" s="101" t="s">
        <v>26</v>
      </c>
      <c r="N920" s="14" t="s">
        <v>27</v>
      </c>
      <c r="O920" s="14" t="s">
        <v>28</v>
      </c>
      <c r="P920" s="161">
        <v>35</v>
      </c>
      <c r="Q920" s="47">
        <f t="shared" si="31"/>
        <v>3920</v>
      </c>
      <c r="R920" s="47"/>
      <c r="S920" s="47"/>
      <c r="T920" s="47"/>
    </row>
    <row r="921" customHeight="1" spans="1:20">
      <c r="A921" s="43">
        <v>26027</v>
      </c>
      <c r="B921" s="78" t="s">
        <v>1814</v>
      </c>
      <c r="C921" s="78"/>
      <c r="D921" s="43">
        <v>1</v>
      </c>
      <c r="E921" s="78" t="s">
        <v>54</v>
      </c>
      <c r="F921" s="44">
        <f t="shared" si="30"/>
        <v>2</v>
      </c>
      <c r="G921" s="85" t="s">
        <v>1815</v>
      </c>
      <c r="H921" s="46" t="s">
        <v>18</v>
      </c>
      <c r="I921" s="47"/>
      <c r="J921" s="48" t="s">
        <v>42</v>
      </c>
      <c r="K921" s="86">
        <v>26027</v>
      </c>
      <c r="L921" s="87" t="s">
        <v>25</v>
      </c>
      <c r="M921" s="87" t="s">
        <v>26</v>
      </c>
      <c r="N921" s="14" t="s">
        <v>27</v>
      </c>
      <c r="O921" s="14" t="s">
        <v>28</v>
      </c>
      <c r="P921" s="161">
        <v>60</v>
      </c>
      <c r="Q921" s="47">
        <f t="shared" si="31"/>
        <v>120</v>
      </c>
      <c r="R921" s="47"/>
      <c r="S921" s="47"/>
      <c r="T921" s="47"/>
    </row>
    <row r="922" customHeight="1" spans="1:20">
      <c r="A922" s="43">
        <v>26029</v>
      </c>
      <c r="B922" s="78" t="s">
        <v>1816</v>
      </c>
      <c r="C922" s="78"/>
      <c r="D922" s="43">
        <f>D833/2</f>
        <v>28</v>
      </c>
      <c r="E922" s="78" t="s">
        <v>32</v>
      </c>
      <c r="F922" s="44">
        <f t="shared" si="30"/>
        <v>56</v>
      </c>
      <c r="G922" s="109" t="s">
        <v>1817</v>
      </c>
      <c r="H922" s="46" t="s">
        <v>18</v>
      </c>
      <c r="I922" s="47"/>
      <c r="J922" s="48" t="s">
        <v>42</v>
      </c>
      <c r="K922" s="110">
        <v>26029</v>
      </c>
      <c r="L922" s="111" t="s">
        <v>25</v>
      </c>
      <c r="M922" s="111" t="s">
        <v>26</v>
      </c>
      <c r="N922" s="14" t="s">
        <v>27</v>
      </c>
      <c r="O922" s="14" t="s">
        <v>28</v>
      </c>
      <c r="P922" s="161">
        <v>12</v>
      </c>
      <c r="Q922" s="47">
        <f t="shared" si="31"/>
        <v>672</v>
      </c>
      <c r="R922" s="47"/>
      <c r="S922" s="47"/>
      <c r="T922" s="47"/>
    </row>
    <row r="923" customHeight="1" spans="1:20">
      <c r="A923" s="43">
        <v>26031</v>
      </c>
      <c r="B923" s="78" t="s">
        <v>1818</v>
      </c>
      <c r="C923" s="78"/>
      <c r="D923" s="43">
        <f>D833/2</f>
        <v>28</v>
      </c>
      <c r="E923" s="78" t="s">
        <v>32</v>
      </c>
      <c r="F923" s="44">
        <f t="shared" si="30"/>
        <v>56</v>
      </c>
      <c r="G923" s="117" t="s">
        <v>1819</v>
      </c>
      <c r="H923" s="46" t="s">
        <v>18</v>
      </c>
      <c r="I923" s="47"/>
      <c r="J923" s="48" t="s">
        <v>42</v>
      </c>
      <c r="K923" s="118">
        <v>26031</v>
      </c>
      <c r="L923" s="119" t="s">
        <v>25</v>
      </c>
      <c r="M923" s="119" t="s">
        <v>26</v>
      </c>
      <c r="N923" s="14" t="s">
        <v>27</v>
      </c>
      <c r="O923" s="14" t="s">
        <v>28</v>
      </c>
      <c r="P923" s="161">
        <v>12</v>
      </c>
      <c r="Q923" s="47">
        <f t="shared" si="31"/>
        <v>672</v>
      </c>
      <c r="R923" s="47"/>
      <c r="S923" s="47"/>
      <c r="T923" s="47"/>
    </row>
    <row r="924" customHeight="1" spans="1:20">
      <c r="A924" s="43">
        <v>26033</v>
      </c>
      <c r="B924" s="78" t="s">
        <v>1820</v>
      </c>
      <c r="C924" s="78"/>
      <c r="D924" s="43">
        <f>D833/2</f>
        <v>28</v>
      </c>
      <c r="E924" s="78" t="s">
        <v>32</v>
      </c>
      <c r="F924" s="44">
        <f t="shared" si="30"/>
        <v>56</v>
      </c>
      <c r="G924" s="120" t="s">
        <v>1821</v>
      </c>
      <c r="H924" s="46" t="s">
        <v>18</v>
      </c>
      <c r="I924" s="47"/>
      <c r="J924" s="48" t="s">
        <v>42</v>
      </c>
      <c r="K924" s="121">
        <v>26033</v>
      </c>
      <c r="L924" s="122" t="s">
        <v>25</v>
      </c>
      <c r="M924" s="122" t="s">
        <v>26</v>
      </c>
      <c r="N924" s="14" t="s">
        <v>27</v>
      </c>
      <c r="O924" s="14" t="s">
        <v>28</v>
      </c>
      <c r="P924" s="161">
        <v>15</v>
      </c>
      <c r="Q924" s="47">
        <f t="shared" si="31"/>
        <v>840</v>
      </c>
      <c r="R924" s="47"/>
      <c r="S924" s="47"/>
      <c r="T924" s="47"/>
    </row>
    <row r="925" customHeight="1" spans="1:20">
      <c r="A925" s="43">
        <v>26035</v>
      </c>
      <c r="B925" s="78" t="s">
        <v>1822</v>
      </c>
      <c r="C925" s="78"/>
      <c r="D925" s="43">
        <f>D833/4</f>
        <v>14</v>
      </c>
      <c r="E925" s="78" t="s">
        <v>54</v>
      </c>
      <c r="F925" s="44">
        <f t="shared" si="30"/>
        <v>28</v>
      </c>
      <c r="G925" s="85" t="s">
        <v>1823</v>
      </c>
      <c r="H925" s="46" t="s">
        <v>18</v>
      </c>
      <c r="I925" s="47"/>
      <c r="J925" s="48" t="s">
        <v>42</v>
      </c>
      <c r="K925" s="86">
        <v>26035</v>
      </c>
      <c r="L925" s="87" t="s">
        <v>25</v>
      </c>
      <c r="M925" s="87" t="s">
        <v>26</v>
      </c>
      <c r="N925" s="14" t="s">
        <v>27</v>
      </c>
      <c r="O925" s="14" t="s">
        <v>28</v>
      </c>
      <c r="P925" s="161">
        <v>150</v>
      </c>
      <c r="Q925" s="47">
        <f t="shared" si="31"/>
        <v>4200</v>
      </c>
      <c r="R925" s="47"/>
      <c r="S925" s="47"/>
      <c r="T925" s="47"/>
    </row>
    <row r="926" customHeight="1" spans="1:20">
      <c r="A926" s="43">
        <v>26040</v>
      </c>
      <c r="B926" s="78" t="s">
        <v>1824</v>
      </c>
      <c r="C926" s="78"/>
      <c r="D926" s="43">
        <v>1</v>
      </c>
      <c r="E926" s="78" t="s">
        <v>32</v>
      </c>
      <c r="F926" s="44">
        <f t="shared" si="30"/>
        <v>2</v>
      </c>
      <c r="G926" s="120" t="s">
        <v>1825</v>
      </c>
      <c r="H926" s="46" t="s">
        <v>18</v>
      </c>
      <c r="I926" s="47"/>
      <c r="J926" s="48" t="s">
        <v>42</v>
      </c>
      <c r="K926" s="121">
        <v>26040</v>
      </c>
      <c r="L926" s="122" t="s">
        <v>25</v>
      </c>
      <c r="M926" s="122" t="s">
        <v>26</v>
      </c>
      <c r="N926" s="14" t="s">
        <v>27</v>
      </c>
      <c r="O926" s="14" t="s">
        <v>28</v>
      </c>
      <c r="P926" s="161">
        <v>130</v>
      </c>
      <c r="Q926" s="47">
        <f t="shared" si="31"/>
        <v>260</v>
      </c>
      <c r="R926" s="47"/>
      <c r="S926" s="47"/>
      <c r="T926" s="47"/>
    </row>
    <row r="927" customHeight="1" spans="1:20">
      <c r="A927" s="43">
        <v>26041</v>
      </c>
      <c r="B927" s="78" t="s">
        <v>1826</v>
      </c>
      <c r="C927" s="78"/>
      <c r="D927" s="43">
        <v>1</v>
      </c>
      <c r="E927" s="78" t="s">
        <v>32</v>
      </c>
      <c r="F927" s="44">
        <f t="shared" si="30"/>
        <v>2</v>
      </c>
      <c r="G927" s="85" t="s">
        <v>1827</v>
      </c>
      <c r="H927" s="46" t="s">
        <v>18</v>
      </c>
      <c r="I927" s="47"/>
      <c r="J927" s="48" t="s">
        <v>42</v>
      </c>
      <c r="K927" s="86">
        <v>26041</v>
      </c>
      <c r="L927" s="87" t="s">
        <v>25</v>
      </c>
      <c r="M927" s="87" t="s">
        <v>26</v>
      </c>
      <c r="N927" s="14" t="s">
        <v>27</v>
      </c>
      <c r="O927" s="14" t="s">
        <v>28</v>
      </c>
      <c r="P927" s="161">
        <v>360</v>
      </c>
      <c r="Q927" s="47">
        <f t="shared" si="31"/>
        <v>720</v>
      </c>
      <c r="R927" s="47"/>
      <c r="S927" s="47"/>
      <c r="T927" s="47"/>
    </row>
    <row r="928" customHeight="1" spans="1:20">
      <c r="A928" s="75" t="s">
        <v>103</v>
      </c>
      <c r="B928" s="2" t="s">
        <v>741</v>
      </c>
      <c r="C928" s="2"/>
      <c r="D928" s="6"/>
      <c r="E928" s="2"/>
      <c r="F928" s="44">
        <f t="shared" si="30"/>
        <v>0</v>
      </c>
      <c r="G928" s="77"/>
      <c r="H928" s="46"/>
      <c r="I928" s="47"/>
      <c r="J928" s="48" t="s">
        <v>42</v>
      </c>
      <c r="K928" s="94"/>
      <c r="L928" s="95"/>
      <c r="M928" s="95"/>
      <c r="O928" s="14" t="s">
        <v>28</v>
      </c>
      <c r="P928" s="51"/>
      <c r="Q928" s="47">
        <f t="shared" si="31"/>
        <v>0</v>
      </c>
      <c r="R928" s="47"/>
      <c r="S928" s="47"/>
      <c r="T928" s="47">
        <v>3</v>
      </c>
    </row>
    <row r="929" customHeight="1" spans="1:20">
      <c r="A929" s="6">
        <v>32</v>
      </c>
      <c r="B929" s="2" t="s">
        <v>1789</v>
      </c>
      <c r="C929" s="2"/>
      <c r="D929" s="6"/>
      <c r="E929" s="2"/>
      <c r="F929" s="44">
        <f t="shared" si="30"/>
        <v>0</v>
      </c>
      <c r="G929" s="77"/>
      <c r="H929" s="46"/>
      <c r="I929" s="47"/>
      <c r="J929" s="48" t="s">
        <v>42</v>
      </c>
      <c r="K929" s="94"/>
      <c r="L929" s="95"/>
      <c r="M929" s="95"/>
      <c r="O929" s="14" t="s">
        <v>28</v>
      </c>
      <c r="P929" s="51"/>
      <c r="Q929" s="47">
        <f t="shared" si="31"/>
        <v>0</v>
      </c>
      <c r="R929" s="47"/>
      <c r="S929" s="47"/>
      <c r="T929" s="47"/>
    </row>
    <row r="930" customHeight="1" spans="1:20">
      <c r="A930" s="43">
        <v>32001</v>
      </c>
      <c r="B930" s="78" t="s">
        <v>1828</v>
      </c>
      <c r="C930" s="78"/>
      <c r="D930" s="43">
        <v>1</v>
      </c>
      <c r="E930" s="78" t="s">
        <v>21</v>
      </c>
      <c r="F930" s="44">
        <f t="shared" si="30"/>
        <v>2</v>
      </c>
      <c r="G930" s="120" t="s">
        <v>1829</v>
      </c>
      <c r="H930" s="46" t="s">
        <v>18</v>
      </c>
      <c r="I930" s="47"/>
      <c r="J930" s="48" t="s">
        <v>42</v>
      </c>
      <c r="K930" s="121">
        <v>32001</v>
      </c>
      <c r="L930" s="122" t="s">
        <v>25</v>
      </c>
      <c r="M930" s="122" t="s">
        <v>26</v>
      </c>
      <c r="N930" s="14" t="s">
        <v>27</v>
      </c>
      <c r="O930" s="14" t="s">
        <v>28</v>
      </c>
      <c r="P930" s="161">
        <v>110</v>
      </c>
      <c r="Q930" s="47">
        <f t="shared" si="31"/>
        <v>220</v>
      </c>
      <c r="R930" s="47"/>
      <c r="S930" s="47"/>
      <c r="T930" s="47"/>
    </row>
    <row r="931" customHeight="1" spans="1:20">
      <c r="A931" s="43">
        <v>32002</v>
      </c>
      <c r="B931" s="78" t="s">
        <v>1830</v>
      </c>
      <c r="C931" s="78"/>
      <c r="D931" s="43">
        <v>3</v>
      </c>
      <c r="E931" s="78" t="s">
        <v>32</v>
      </c>
      <c r="F931" s="44">
        <f t="shared" si="30"/>
        <v>6</v>
      </c>
      <c r="G931" s="117" t="s">
        <v>1831</v>
      </c>
      <c r="H931" s="46" t="s">
        <v>18</v>
      </c>
      <c r="I931" s="47"/>
      <c r="J931" s="48" t="s">
        <v>42</v>
      </c>
      <c r="K931" s="118">
        <v>32002</v>
      </c>
      <c r="L931" s="119" t="s">
        <v>25</v>
      </c>
      <c r="M931" s="119" t="s">
        <v>26</v>
      </c>
      <c r="N931" s="14" t="s">
        <v>27</v>
      </c>
      <c r="O931" s="14" t="s">
        <v>28</v>
      </c>
      <c r="P931" s="161">
        <v>140</v>
      </c>
      <c r="Q931" s="47">
        <f t="shared" si="31"/>
        <v>840</v>
      </c>
      <c r="R931" s="47"/>
      <c r="S931" s="47"/>
      <c r="T931" s="47"/>
    </row>
    <row r="932" customHeight="1" spans="1:20">
      <c r="A932" s="43">
        <v>32003</v>
      </c>
      <c r="B932" s="78" t="s">
        <v>1830</v>
      </c>
      <c r="C932" s="78"/>
      <c r="D932" s="43">
        <f>D833</f>
        <v>56</v>
      </c>
      <c r="E932" s="78" t="s">
        <v>32</v>
      </c>
      <c r="F932" s="44">
        <f t="shared" si="30"/>
        <v>112</v>
      </c>
      <c r="G932" s="117" t="s">
        <v>1832</v>
      </c>
      <c r="H932" s="46" t="s">
        <v>18</v>
      </c>
      <c r="I932" s="47"/>
      <c r="J932" s="48" t="s">
        <v>42</v>
      </c>
      <c r="K932" s="118">
        <v>32003</v>
      </c>
      <c r="L932" s="119" t="s">
        <v>25</v>
      </c>
      <c r="M932" s="119" t="s">
        <v>26</v>
      </c>
      <c r="N932" s="14" t="s">
        <v>27</v>
      </c>
      <c r="O932" s="14" t="s">
        <v>28</v>
      </c>
      <c r="P932" s="161">
        <v>40</v>
      </c>
      <c r="Q932" s="47">
        <f t="shared" si="31"/>
        <v>4480</v>
      </c>
      <c r="R932" s="47"/>
      <c r="S932" s="47"/>
      <c r="T932" s="47"/>
    </row>
    <row r="933" customHeight="1" spans="1:20">
      <c r="A933" s="43">
        <v>32004</v>
      </c>
      <c r="B933" s="78" t="s">
        <v>1833</v>
      </c>
      <c r="C933" s="78"/>
      <c r="D933" s="43">
        <v>1</v>
      </c>
      <c r="E933" s="78" t="s">
        <v>32</v>
      </c>
      <c r="F933" s="44">
        <f t="shared" si="30"/>
        <v>2</v>
      </c>
      <c r="G933" s="117" t="s">
        <v>1834</v>
      </c>
      <c r="H933" s="46" t="s">
        <v>18</v>
      </c>
      <c r="I933" s="47"/>
      <c r="J933" s="48" t="s">
        <v>42</v>
      </c>
      <c r="K933" s="118">
        <v>32004</v>
      </c>
      <c r="L933" s="119" t="s">
        <v>25</v>
      </c>
      <c r="M933" s="119" t="s">
        <v>26</v>
      </c>
      <c r="N933" s="14" t="s">
        <v>27</v>
      </c>
      <c r="O933" s="14" t="s">
        <v>28</v>
      </c>
      <c r="P933" s="161">
        <v>75</v>
      </c>
      <c r="Q933" s="47">
        <f t="shared" si="31"/>
        <v>150</v>
      </c>
      <c r="R933" s="47"/>
      <c r="S933" s="47"/>
      <c r="T933" s="47"/>
    </row>
    <row r="934" customHeight="1" spans="1:20">
      <c r="A934" s="43">
        <v>32005</v>
      </c>
      <c r="B934" s="78" t="s">
        <v>1835</v>
      </c>
      <c r="C934" s="78"/>
      <c r="D934" s="43">
        <v>1</v>
      </c>
      <c r="E934" s="78" t="s">
        <v>32</v>
      </c>
      <c r="F934" s="44">
        <f t="shared" si="30"/>
        <v>2</v>
      </c>
      <c r="G934" s="117" t="s">
        <v>1836</v>
      </c>
      <c r="H934" s="46" t="s">
        <v>18</v>
      </c>
      <c r="I934" s="47"/>
      <c r="J934" s="48" t="s">
        <v>42</v>
      </c>
      <c r="K934" s="118">
        <v>32005</v>
      </c>
      <c r="L934" s="119" t="s">
        <v>25</v>
      </c>
      <c r="M934" s="119" t="s">
        <v>26</v>
      </c>
      <c r="N934" s="14" t="s">
        <v>27</v>
      </c>
      <c r="O934" s="14" t="s">
        <v>28</v>
      </c>
      <c r="P934" s="161">
        <v>70</v>
      </c>
      <c r="Q934" s="47">
        <f t="shared" si="31"/>
        <v>140</v>
      </c>
      <c r="R934" s="47"/>
      <c r="S934" s="47"/>
      <c r="T934" s="47"/>
    </row>
    <row r="935" customHeight="1" spans="1:20">
      <c r="A935" s="43">
        <v>32006</v>
      </c>
      <c r="B935" s="78" t="s">
        <v>1837</v>
      </c>
      <c r="C935" s="78"/>
      <c r="D935" s="43">
        <v>1</v>
      </c>
      <c r="E935" s="78" t="s">
        <v>32</v>
      </c>
      <c r="F935" s="44">
        <f t="shared" si="30"/>
        <v>2</v>
      </c>
      <c r="G935" s="117" t="s">
        <v>1838</v>
      </c>
      <c r="H935" s="46" t="s">
        <v>18</v>
      </c>
      <c r="I935" s="47"/>
      <c r="J935" s="48" t="s">
        <v>42</v>
      </c>
      <c r="K935" s="118">
        <v>32006</v>
      </c>
      <c r="L935" s="119" t="s">
        <v>25</v>
      </c>
      <c r="M935" s="119" t="s">
        <v>26</v>
      </c>
      <c r="N935" s="14" t="s">
        <v>27</v>
      </c>
      <c r="O935" s="14" t="s">
        <v>28</v>
      </c>
      <c r="P935" s="161">
        <v>70</v>
      </c>
      <c r="Q935" s="47">
        <f t="shared" si="31"/>
        <v>140</v>
      </c>
      <c r="R935" s="47"/>
      <c r="S935" s="47"/>
      <c r="T935" s="47"/>
    </row>
    <row r="936" customHeight="1" spans="1:20">
      <c r="A936" s="43">
        <v>32007</v>
      </c>
      <c r="B936" s="78" t="s">
        <v>1839</v>
      </c>
      <c r="C936" s="78"/>
      <c r="D936" s="43">
        <v>1</v>
      </c>
      <c r="E936" s="78" t="s">
        <v>32</v>
      </c>
      <c r="F936" s="44">
        <f t="shared" si="30"/>
        <v>2</v>
      </c>
      <c r="G936" s="117" t="s">
        <v>1840</v>
      </c>
      <c r="H936" s="46" t="s">
        <v>18</v>
      </c>
      <c r="I936" s="47"/>
      <c r="J936" s="48" t="s">
        <v>42</v>
      </c>
      <c r="K936" s="118">
        <v>32007</v>
      </c>
      <c r="L936" s="119" t="s">
        <v>25</v>
      </c>
      <c r="M936" s="119" t="s">
        <v>26</v>
      </c>
      <c r="N936" s="14" t="s">
        <v>27</v>
      </c>
      <c r="O936" s="14" t="s">
        <v>28</v>
      </c>
      <c r="P936" s="161">
        <v>70</v>
      </c>
      <c r="Q936" s="47">
        <f t="shared" si="31"/>
        <v>140</v>
      </c>
      <c r="R936" s="47"/>
      <c r="S936" s="47"/>
      <c r="T936" s="47"/>
    </row>
    <row r="937" customHeight="1" spans="1:20">
      <c r="A937" s="43">
        <v>32008</v>
      </c>
      <c r="B937" s="78" t="s">
        <v>1841</v>
      </c>
      <c r="C937" s="78"/>
      <c r="D937" s="43">
        <f>D833/2</f>
        <v>28</v>
      </c>
      <c r="E937" s="78" t="s">
        <v>32</v>
      </c>
      <c r="F937" s="44">
        <f t="shared" si="30"/>
        <v>56</v>
      </c>
      <c r="G937" s="117" t="s">
        <v>1842</v>
      </c>
      <c r="H937" s="46" t="s">
        <v>18</v>
      </c>
      <c r="I937" s="47"/>
      <c r="J937" s="48" t="s">
        <v>42</v>
      </c>
      <c r="K937" s="118">
        <v>32008</v>
      </c>
      <c r="L937" s="119" t="s">
        <v>25</v>
      </c>
      <c r="M937" s="119" t="s">
        <v>26</v>
      </c>
      <c r="N937" s="14" t="s">
        <v>27</v>
      </c>
      <c r="O937" s="14" t="s">
        <v>28</v>
      </c>
      <c r="P937" s="161">
        <v>30</v>
      </c>
      <c r="Q937" s="47">
        <f t="shared" si="31"/>
        <v>1680</v>
      </c>
      <c r="R937" s="47"/>
      <c r="S937" s="47"/>
      <c r="T937" s="47"/>
    </row>
    <row r="938" customHeight="1" spans="1:20">
      <c r="A938" s="43">
        <v>32010</v>
      </c>
      <c r="B938" s="78" t="s">
        <v>1843</v>
      </c>
      <c r="C938" s="78"/>
      <c r="D938" s="43">
        <v>1</v>
      </c>
      <c r="E938" s="78" t="s">
        <v>32</v>
      </c>
      <c r="F938" s="44">
        <f t="shared" si="30"/>
        <v>2</v>
      </c>
      <c r="G938" s="117" t="s">
        <v>1844</v>
      </c>
      <c r="H938" s="46" t="s">
        <v>18</v>
      </c>
      <c r="I938" s="47"/>
      <c r="J938" s="48" t="s">
        <v>42</v>
      </c>
      <c r="K938" s="118">
        <v>32010</v>
      </c>
      <c r="L938" s="119" t="s">
        <v>25</v>
      </c>
      <c r="M938" s="119" t="s">
        <v>26</v>
      </c>
      <c r="N938" s="14" t="s">
        <v>27</v>
      </c>
      <c r="O938" s="14" t="s">
        <v>28</v>
      </c>
      <c r="P938" s="161">
        <v>75</v>
      </c>
      <c r="Q938" s="47">
        <f t="shared" si="31"/>
        <v>150</v>
      </c>
      <c r="R938" s="47"/>
      <c r="S938" s="47"/>
      <c r="T938" s="47"/>
    </row>
    <row r="939" customHeight="1" spans="1:20">
      <c r="A939" s="43">
        <v>32013</v>
      </c>
      <c r="B939" s="78" t="s">
        <v>1845</v>
      </c>
      <c r="C939" s="78"/>
      <c r="D939" s="43">
        <v>1</v>
      </c>
      <c r="E939" s="78" t="s">
        <v>32</v>
      </c>
      <c r="F939" s="44">
        <f t="shared" si="30"/>
        <v>2</v>
      </c>
      <c r="G939" s="117" t="s">
        <v>1846</v>
      </c>
      <c r="H939" s="46" t="s">
        <v>18</v>
      </c>
      <c r="I939" s="47"/>
      <c r="J939" s="48" t="s">
        <v>42</v>
      </c>
      <c r="K939" s="118">
        <v>32013</v>
      </c>
      <c r="L939" s="119" t="s">
        <v>25</v>
      </c>
      <c r="M939" s="119" t="s">
        <v>26</v>
      </c>
      <c r="N939" s="14" t="s">
        <v>27</v>
      </c>
      <c r="O939" s="14" t="s">
        <v>28</v>
      </c>
      <c r="P939" s="161">
        <v>75</v>
      </c>
      <c r="Q939" s="47">
        <f t="shared" si="31"/>
        <v>150</v>
      </c>
      <c r="R939" s="47"/>
      <c r="S939" s="47"/>
      <c r="T939" s="47"/>
    </row>
    <row r="940" customHeight="1" spans="1:20">
      <c r="A940" s="43">
        <v>32016</v>
      </c>
      <c r="B940" s="78" t="s">
        <v>1847</v>
      </c>
      <c r="C940" s="78"/>
      <c r="D940" s="43">
        <v>1</v>
      </c>
      <c r="E940" s="78" t="s">
        <v>32</v>
      </c>
      <c r="F940" s="44">
        <f t="shared" si="30"/>
        <v>2</v>
      </c>
      <c r="G940" s="117" t="s">
        <v>1848</v>
      </c>
      <c r="H940" s="46" t="s">
        <v>18</v>
      </c>
      <c r="I940" s="47"/>
      <c r="J940" s="48" t="s">
        <v>42</v>
      </c>
      <c r="K940" s="118">
        <v>32016</v>
      </c>
      <c r="L940" s="119" t="s">
        <v>25</v>
      </c>
      <c r="M940" s="119" t="s">
        <v>26</v>
      </c>
      <c r="N940" s="14" t="s">
        <v>27</v>
      </c>
      <c r="O940" s="14" t="s">
        <v>28</v>
      </c>
      <c r="P940" s="161">
        <v>75</v>
      </c>
      <c r="Q940" s="47">
        <f t="shared" si="31"/>
        <v>150</v>
      </c>
      <c r="R940" s="47"/>
      <c r="S940" s="47"/>
      <c r="T940" s="47"/>
    </row>
    <row r="941" customHeight="1" spans="1:20">
      <c r="A941" s="43">
        <v>32019</v>
      </c>
      <c r="B941" s="78" t="s">
        <v>1849</v>
      </c>
      <c r="C941" s="78"/>
      <c r="D941" s="43">
        <v>1</v>
      </c>
      <c r="E941" s="78" t="s">
        <v>32</v>
      </c>
      <c r="F941" s="44">
        <f t="shared" si="30"/>
        <v>2</v>
      </c>
      <c r="G941" s="117" t="s">
        <v>1850</v>
      </c>
      <c r="H941" s="46" t="s">
        <v>18</v>
      </c>
      <c r="I941" s="47"/>
      <c r="J941" s="48" t="s">
        <v>42</v>
      </c>
      <c r="K941" s="118">
        <v>32019</v>
      </c>
      <c r="L941" s="119" t="s">
        <v>25</v>
      </c>
      <c r="M941" s="119" t="s">
        <v>26</v>
      </c>
      <c r="N941" s="14" t="s">
        <v>27</v>
      </c>
      <c r="O941" s="14" t="s">
        <v>28</v>
      </c>
      <c r="P941" s="161">
        <v>75</v>
      </c>
      <c r="Q941" s="47">
        <f t="shared" si="31"/>
        <v>150</v>
      </c>
      <c r="R941" s="47"/>
      <c r="S941" s="47"/>
      <c r="T941" s="47"/>
    </row>
    <row r="942" customHeight="1" spans="1:20">
      <c r="A942" s="43">
        <v>32024</v>
      </c>
      <c r="B942" s="78" t="s">
        <v>1851</v>
      </c>
      <c r="C942" s="78"/>
      <c r="D942" s="43">
        <v>1</v>
      </c>
      <c r="E942" s="78" t="s">
        <v>32</v>
      </c>
      <c r="F942" s="44">
        <f t="shared" si="30"/>
        <v>2</v>
      </c>
      <c r="G942" s="120" t="s">
        <v>1852</v>
      </c>
      <c r="H942" s="46" t="s">
        <v>18</v>
      </c>
      <c r="I942" s="47"/>
      <c r="J942" s="48" t="s">
        <v>42</v>
      </c>
      <c r="K942" s="121">
        <v>32024</v>
      </c>
      <c r="L942" s="122" t="s">
        <v>25</v>
      </c>
      <c r="M942" s="122" t="s">
        <v>26</v>
      </c>
      <c r="N942" s="14" t="s">
        <v>27</v>
      </c>
      <c r="O942" s="14" t="s">
        <v>28</v>
      </c>
      <c r="P942" s="161">
        <v>220</v>
      </c>
      <c r="Q942" s="47">
        <f t="shared" si="31"/>
        <v>440</v>
      </c>
      <c r="R942" s="47"/>
      <c r="S942" s="47"/>
      <c r="T942" s="47"/>
    </row>
    <row r="943" customHeight="1" spans="1:20">
      <c r="A943" s="43">
        <v>32027</v>
      </c>
      <c r="B943" s="78" t="s">
        <v>1853</v>
      </c>
      <c r="C943" s="78"/>
      <c r="D943" s="43">
        <v>1</v>
      </c>
      <c r="E943" s="78" t="s">
        <v>21</v>
      </c>
      <c r="F943" s="44">
        <f t="shared" si="30"/>
        <v>2</v>
      </c>
      <c r="G943" s="120" t="s">
        <v>1854</v>
      </c>
      <c r="H943" s="46" t="s">
        <v>18</v>
      </c>
      <c r="I943" s="47"/>
      <c r="J943" s="48" t="s">
        <v>42</v>
      </c>
      <c r="K943" s="121">
        <v>32027</v>
      </c>
      <c r="L943" s="122" t="s">
        <v>25</v>
      </c>
      <c r="M943" s="122" t="s">
        <v>26</v>
      </c>
      <c r="N943" s="14" t="s">
        <v>27</v>
      </c>
      <c r="O943" s="14" t="s">
        <v>28</v>
      </c>
      <c r="P943" s="161">
        <v>65</v>
      </c>
      <c r="Q943" s="47">
        <f t="shared" si="31"/>
        <v>130</v>
      </c>
      <c r="R943" s="47"/>
      <c r="S943" s="47"/>
      <c r="T943" s="47"/>
    </row>
    <row r="944" customHeight="1" spans="1:20">
      <c r="A944" s="43">
        <v>32031</v>
      </c>
      <c r="B944" s="78" t="s">
        <v>1855</v>
      </c>
      <c r="C944" s="78"/>
      <c r="D944" s="43">
        <v>1</v>
      </c>
      <c r="E944" s="78" t="s">
        <v>21</v>
      </c>
      <c r="F944" s="44">
        <f t="shared" si="30"/>
        <v>2</v>
      </c>
      <c r="G944" s="109" t="s">
        <v>1856</v>
      </c>
      <c r="H944" s="46" t="s">
        <v>18</v>
      </c>
      <c r="I944" s="47"/>
      <c r="J944" s="48" t="s">
        <v>42</v>
      </c>
      <c r="K944" s="110">
        <v>32031</v>
      </c>
      <c r="L944" s="111" t="s">
        <v>25</v>
      </c>
      <c r="M944" s="111" t="s">
        <v>26</v>
      </c>
      <c r="N944" s="14" t="s">
        <v>27</v>
      </c>
      <c r="O944" s="14" t="s">
        <v>28</v>
      </c>
      <c r="P944" s="161">
        <v>95</v>
      </c>
      <c r="Q944" s="47">
        <f t="shared" si="31"/>
        <v>190</v>
      </c>
      <c r="R944" s="47"/>
      <c r="S944" s="47"/>
      <c r="T944" s="47"/>
    </row>
    <row r="945" customHeight="1" spans="1:20">
      <c r="A945" s="43">
        <v>32034</v>
      </c>
      <c r="B945" s="78" t="s">
        <v>1857</v>
      </c>
      <c r="C945" s="78"/>
      <c r="D945" s="43">
        <v>1</v>
      </c>
      <c r="E945" s="78" t="s">
        <v>21</v>
      </c>
      <c r="F945" s="44">
        <f t="shared" si="30"/>
        <v>2</v>
      </c>
      <c r="G945" s="109" t="s">
        <v>1858</v>
      </c>
      <c r="H945" s="46" t="s">
        <v>18</v>
      </c>
      <c r="I945" s="47"/>
      <c r="J945" s="48" t="s">
        <v>42</v>
      </c>
      <c r="K945" s="110">
        <v>32034</v>
      </c>
      <c r="L945" s="111" t="s">
        <v>25</v>
      </c>
      <c r="M945" s="111" t="s">
        <v>26</v>
      </c>
      <c r="N945" s="14" t="s">
        <v>27</v>
      </c>
      <c r="O945" s="14" t="s">
        <v>28</v>
      </c>
      <c r="P945" s="161">
        <v>85</v>
      </c>
      <c r="Q945" s="47">
        <f t="shared" si="31"/>
        <v>170</v>
      </c>
      <c r="R945" s="47"/>
      <c r="S945" s="47"/>
      <c r="T945" s="47"/>
    </row>
    <row r="946" customHeight="1" spans="1:20">
      <c r="A946" s="43">
        <v>32036</v>
      </c>
      <c r="B946" s="78" t="s">
        <v>1859</v>
      </c>
      <c r="C946" s="78"/>
      <c r="D946" s="43">
        <v>1</v>
      </c>
      <c r="E946" s="78" t="s">
        <v>21</v>
      </c>
      <c r="F946" s="44">
        <f t="shared" si="30"/>
        <v>2</v>
      </c>
      <c r="G946" s="109" t="s">
        <v>1860</v>
      </c>
      <c r="H946" s="46" t="s">
        <v>18</v>
      </c>
      <c r="I946" s="47"/>
      <c r="J946" s="48" t="s">
        <v>42</v>
      </c>
      <c r="K946" s="110">
        <v>32036</v>
      </c>
      <c r="L946" s="111" t="s">
        <v>25</v>
      </c>
      <c r="M946" s="111" t="s">
        <v>26</v>
      </c>
      <c r="N946" s="14" t="s">
        <v>27</v>
      </c>
      <c r="O946" s="14" t="s">
        <v>28</v>
      </c>
      <c r="P946" s="161">
        <v>85</v>
      </c>
      <c r="Q946" s="47">
        <f t="shared" si="31"/>
        <v>170</v>
      </c>
      <c r="R946" s="47"/>
      <c r="S946" s="47"/>
      <c r="T946" s="47"/>
    </row>
    <row r="947" customHeight="1" spans="1:20">
      <c r="A947" s="43">
        <v>32040</v>
      </c>
      <c r="B947" s="78" t="s">
        <v>1861</v>
      </c>
      <c r="C947" s="78"/>
      <c r="D947" s="43">
        <v>1</v>
      </c>
      <c r="E947" s="78" t="s">
        <v>21</v>
      </c>
      <c r="F947" s="44">
        <f t="shared" si="30"/>
        <v>2</v>
      </c>
      <c r="G947" s="79" t="s">
        <v>1862</v>
      </c>
      <c r="H947" s="46" t="s">
        <v>18</v>
      </c>
      <c r="I947" s="47"/>
      <c r="J947" s="48" t="s">
        <v>42</v>
      </c>
      <c r="K947" s="80">
        <v>32040</v>
      </c>
      <c r="L947" s="81" t="s">
        <v>25</v>
      </c>
      <c r="M947" s="81" t="s">
        <v>26</v>
      </c>
      <c r="N947" s="14" t="s">
        <v>27</v>
      </c>
      <c r="O947" s="14" t="s">
        <v>28</v>
      </c>
      <c r="P947" s="161">
        <v>120</v>
      </c>
      <c r="Q947" s="47">
        <f t="shared" si="31"/>
        <v>240</v>
      </c>
      <c r="R947" s="47"/>
      <c r="S947" s="47"/>
      <c r="T947" s="47"/>
    </row>
    <row r="948" customHeight="1" spans="1:20">
      <c r="A948" s="75" t="s">
        <v>120</v>
      </c>
      <c r="B948" s="2" t="s">
        <v>1863</v>
      </c>
      <c r="C948" s="2"/>
      <c r="D948" s="6"/>
      <c r="E948" s="2"/>
      <c r="F948" s="44">
        <f t="shared" si="30"/>
        <v>0</v>
      </c>
      <c r="G948" s="77"/>
      <c r="H948" s="46"/>
      <c r="I948" s="47"/>
      <c r="J948" s="48" t="s">
        <v>42</v>
      </c>
      <c r="K948" s="94"/>
      <c r="L948" s="95"/>
      <c r="M948" s="95"/>
      <c r="O948" s="14" t="s">
        <v>28</v>
      </c>
      <c r="P948" s="51"/>
      <c r="Q948" s="47">
        <f t="shared" si="31"/>
        <v>0</v>
      </c>
      <c r="R948" s="47"/>
      <c r="S948" s="47"/>
      <c r="T948" s="47"/>
    </row>
    <row r="949" customHeight="1" spans="1:20">
      <c r="A949" s="6">
        <v>42</v>
      </c>
      <c r="B949" s="2" t="s">
        <v>1789</v>
      </c>
      <c r="C949" s="2"/>
      <c r="D949" s="6"/>
      <c r="E949" s="2"/>
      <c r="F949" s="44">
        <f t="shared" si="30"/>
        <v>0</v>
      </c>
      <c r="G949" s="77"/>
      <c r="H949" s="46"/>
      <c r="I949" s="47"/>
      <c r="J949" s="48" t="s">
        <v>42</v>
      </c>
      <c r="K949" s="94"/>
      <c r="L949" s="95"/>
      <c r="M949" s="95"/>
      <c r="O949" s="14" t="s">
        <v>28</v>
      </c>
      <c r="P949" s="51"/>
      <c r="Q949" s="47">
        <f t="shared" si="31"/>
        <v>0</v>
      </c>
      <c r="R949" s="47"/>
      <c r="S949" s="47"/>
      <c r="T949" s="47"/>
    </row>
    <row r="950" customHeight="1" spans="1:20">
      <c r="A950" s="43">
        <v>42001</v>
      </c>
      <c r="B950" s="78" t="s">
        <v>1864</v>
      </c>
      <c r="C950" s="78"/>
      <c r="D950" s="43">
        <v>1</v>
      </c>
      <c r="E950" s="78" t="s">
        <v>169</v>
      </c>
      <c r="F950" s="44">
        <f t="shared" si="30"/>
        <v>2</v>
      </c>
      <c r="G950" s="117" t="s">
        <v>1865</v>
      </c>
      <c r="H950" s="46" t="s">
        <v>18</v>
      </c>
      <c r="I950" s="47"/>
      <c r="J950" s="48" t="s">
        <v>42</v>
      </c>
      <c r="K950" s="118">
        <v>42001</v>
      </c>
      <c r="L950" s="119" t="s">
        <v>25</v>
      </c>
      <c r="M950" s="119" t="s">
        <v>26</v>
      </c>
      <c r="N950" s="14" t="s">
        <v>27</v>
      </c>
      <c r="O950" s="14" t="s">
        <v>28</v>
      </c>
      <c r="P950" s="161">
        <v>25</v>
      </c>
      <c r="Q950" s="47">
        <f t="shared" si="31"/>
        <v>50</v>
      </c>
      <c r="R950" s="47"/>
      <c r="S950" s="47"/>
      <c r="T950" s="47"/>
    </row>
    <row r="951" customHeight="1" spans="1:20">
      <c r="A951" s="43">
        <v>42002</v>
      </c>
      <c r="B951" s="78" t="s">
        <v>1866</v>
      </c>
      <c r="C951" s="78"/>
      <c r="D951" s="43">
        <v>1</v>
      </c>
      <c r="E951" s="78" t="s">
        <v>169</v>
      </c>
      <c r="F951" s="44">
        <f t="shared" si="30"/>
        <v>2</v>
      </c>
      <c r="G951" s="117" t="s">
        <v>1867</v>
      </c>
      <c r="H951" s="46" t="s">
        <v>18</v>
      </c>
      <c r="I951" s="47"/>
      <c r="J951" s="48" t="s">
        <v>42</v>
      </c>
      <c r="K951" s="118">
        <v>42002</v>
      </c>
      <c r="L951" s="119" t="s">
        <v>25</v>
      </c>
      <c r="M951" s="119" t="s">
        <v>26</v>
      </c>
      <c r="N951" s="14" t="s">
        <v>27</v>
      </c>
      <c r="O951" s="14" t="s">
        <v>28</v>
      </c>
      <c r="P951" s="161">
        <v>25</v>
      </c>
      <c r="Q951" s="47">
        <f t="shared" si="31"/>
        <v>50</v>
      </c>
      <c r="R951" s="47"/>
      <c r="S951" s="47"/>
      <c r="T951" s="47"/>
    </row>
    <row r="952" customHeight="1" spans="1:20">
      <c r="A952" s="43">
        <v>42003</v>
      </c>
      <c r="B952" s="78" t="s">
        <v>1868</v>
      </c>
      <c r="C952" s="78"/>
      <c r="D952" s="43">
        <v>1</v>
      </c>
      <c r="E952" s="78" t="s">
        <v>169</v>
      </c>
      <c r="F952" s="44">
        <f t="shared" si="30"/>
        <v>2</v>
      </c>
      <c r="G952" s="117" t="s">
        <v>1869</v>
      </c>
      <c r="H952" s="46" t="s">
        <v>18</v>
      </c>
      <c r="I952" s="47"/>
      <c r="J952" s="48" t="s">
        <v>42</v>
      </c>
      <c r="K952" s="118">
        <v>42003</v>
      </c>
      <c r="L952" s="119" t="s">
        <v>25</v>
      </c>
      <c r="M952" s="119" t="s">
        <v>26</v>
      </c>
      <c r="N952" s="14" t="s">
        <v>27</v>
      </c>
      <c r="O952" s="14" t="s">
        <v>28</v>
      </c>
      <c r="P952" s="161">
        <v>25</v>
      </c>
      <c r="Q952" s="47">
        <f t="shared" si="31"/>
        <v>50</v>
      </c>
      <c r="R952" s="47"/>
      <c r="S952" s="47"/>
      <c r="T952" s="47"/>
    </row>
    <row r="953" customHeight="1" spans="1:20">
      <c r="A953" s="43">
        <v>42004</v>
      </c>
      <c r="B953" s="78" t="s">
        <v>1870</v>
      </c>
      <c r="C953" s="78"/>
      <c r="D953" s="43">
        <v>1</v>
      </c>
      <c r="E953" s="78" t="s">
        <v>169</v>
      </c>
      <c r="F953" s="44">
        <f t="shared" si="30"/>
        <v>2</v>
      </c>
      <c r="G953" s="120" t="s">
        <v>1871</v>
      </c>
      <c r="H953" s="46" t="s">
        <v>18</v>
      </c>
      <c r="I953" s="47"/>
      <c r="J953" s="48" t="s">
        <v>42</v>
      </c>
      <c r="K953" s="121">
        <v>42004</v>
      </c>
      <c r="L953" s="122" t="s">
        <v>25</v>
      </c>
      <c r="M953" s="122" t="s">
        <v>26</v>
      </c>
      <c r="N953" s="14" t="s">
        <v>27</v>
      </c>
      <c r="O953" s="14" t="s">
        <v>28</v>
      </c>
      <c r="P953" s="161">
        <v>35</v>
      </c>
      <c r="Q953" s="47">
        <f t="shared" si="31"/>
        <v>70</v>
      </c>
      <c r="R953" s="47"/>
      <c r="S953" s="47"/>
      <c r="T953" s="47"/>
    </row>
    <row r="954" customHeight="1" spans="1:20">
      <c r="A954" s="43">
        <v>42007</v>
      </c>
      <c r="B954" s="78" t="s">
        <v>1872</v>
      </c>
      <c r="C954" s="78"/>
      <c r="D954" s="43">
        <v>1</v>
      </c>
      <c r="E954" s="78" t="s">
        <v>169</v>
      </c>
      <c r="F954" s="44">
        <f t="shared" si="30"/>
        <v>2</v>
      </c>
      <c r="G954" s="120" t="s">
        <v>1873</v>
      </c>
      <c r="H954" s="46" t="s">
        <v>18</v>
      </c>
      <c r="I954" s="47"/>
      <c r="J954" s="48" t="s">
        <v>42</v>
      </c>
      <c r="K954" s="121">
        <v>42007</v>
      </c>
      <c r="L954" s="122" t="s">
        <v>25</v>
      </c>
      <c r="M954" s="122" t="s">
        <v>26</v>
      </c>
      <c r="N954" s="14" t="s">
        <v>27</v>
      </c>
      <c r="O954" s="14" t="s">
        <v>28</v>
      </c>
      <c r="P954" s="161">
        <v>25</v>
      </c>
      <c r="Q954" s="47">
        <f t="shared" si="31"/>
        <v>50</v>
      </c>
      <c r="R954" s="47"/>
      <c r="S954" s="47"/>
      <c r="T954" s="47"/>
    </row>
    <row r="955" customHeight="1" spans="1:20">
      <c r="A955" s="75" t="s">
        <v>775</v>
      </c>
      <c r="B955" s="2" t="s">
        <v>776</v>
      </c>
      <c r="C955" s="2"/>
      <c r="D955" s="6"/>
      <c r="E955" s="2"/>
      <c r="F955" s="44">
        <f t="shared" si="30"/>
        <v>0</v>
      </c>
      <c r="G955" s="77"/>
      <c r="H955" s="46"/>
      <c r="I955" s="47"/>
      <c r="J955" s="48" t="s">
        <v>42</v>
      </c>
      <c r="K955" s="94"/>
      <c r="L955" s="95"/>
      <c r="M955" s="95"/>
      <c r="O955" s="14" t="s">
        <v>28</v>
      </c>
      <c r="P955" s="51"/>
      <c r="Q955" s="47">
        <f t="shared" si="31"/>
        <v>0</v>
      </c>
      <c r="R955" s="47"/>
      <c r="S955" s="47"/>
      <c r="T955" s="47"/>
    </row>
    <row r="956" customHeight="1" spans="1:20">
      <c r="A956" s="6">
        <v>60</v>
      </c>
      <c r="B956" s="2" t="s">
        <v>777</v>
      </c>
      <c r="C956" s="2"/>
      <c r="D956" s="6"/>
      <c r="E956" s="2"/>
      <c r="F956" s="44">
        <f t="shared" si="30"/>
        <v>0</v>
      </c>
      <c r="G956" s="77"/>
      <c r="H956" s="46"/>
      <c r="I956" s="47"/>
      <c r="J956" s="48" t="s">
        <v>42</v>
      </c>
      <c r="K956" s="94"/>
      <c r="L956" s="95"/>
      <c r="M956" s="95"/>
      <c r="O956" s="14" t="s">
        <v>28</v>
      </c>
      <c r="P956" s="51"/>
      <c r="Q956" s="47">
        <f t="shared" si="31"/>
        <v>0</v>
      </c>
      <c r="R956" s="47"/>
      <c r="S956" s="47"/>
      <c r="T956" s="47"/>
    </row>
    <row r="957" customHeight="1" spans="1:20">
      <c r="A957" s="43">
        <v>60001</v>
      </c>
      <c r="B957" s="78" t="s">
        <v>778</v>
      </c>
      <c r="C957" s="78"/>
      <c r="D957" s="43">
        <v>100</v>
      </c>
      <c r="E957" s="78" t="s">
        <v>21</v>
      </c>
      <c r="F957" s="44">
        <f t="shared" si="30"/>
        <v>200</v>
      </c>
      <c r="G957" s="85" t="s">
        <v>779</v>
      </c>
      <c r="H957" s="46" t="s">
        <v>18</v>
      </c>
      <c r="I957" s="47"/>
      <c r="J957" s="48" t="s">
        <v>42</v>
      </c>
      <c r="K957" s="86">
        <v>60001</v>
      </c>
      <c r="L957" s="87" t="s">
        <v>780</v>
      </c>
      <c r="M957" s="87" t="s">
        <v>781</v>
      </c>
      <c r="N957" s="14" t="s">
        <v>27</v>
      </c>
      <c r="O957" s="14" t="s">
        <v>28</v>
      </c>
      <c r="P957" s="161">
        <v>3.5</v>
      </c>
      <c r="Q957" s="47">
        <f t="shared" si="31"/>
        <v>700</v>
      </c>
      <c r="R957" s="47"/>
      <c r="S957" s="47"/>
      <c r="T957" s="47"/>
    </row>
    <row r="958" customHeight="1" spans="1:20">
      <c r="A958" s="43">
        <v>60002</v>
      </c>
      <c r="B958" s="78" t="s">
        <v>778</v>
      </c>
      <c r="C958" s="78"/>
      <c r="D958" s="43">
        <v>100</v>
      </c>
      <c r="E958" s="78" t="s">
        <v>21</v>
      </c>
      <c r="F958" s="44">
        <f t="shared" si="30"/>
        <v>200</v>
      </c>
      <c r="G958" s="85" t="s">
        <v>1874</v>
      </c>
      <c r="H958" s="46" t="s">
        <v>18</v>
      </c>
      <c r="I958" s="47"/>
      <c r="J958" s="48" t="s">
        <v>42</v>
      </c>
      <c r="K958" s="86">
        <v>60002</v>
      </c>
      <c r="L958" s="87" t="s">
        <v>780</v>
      </c>
      <c r="M958" s="87" t="s">
        <v>781</v>
      </c>
      <c r="N958" s="14" t="s">
        <v>27</v>
      </c>
      <c r="O958" s="14" t="s">
        <v>28</v>
      </c>
      <c r="P958" s="161">
        <v>4</v>
      </c>
      <c r="Q958" s="47">
        <f t="shared" si="31"/>
        <v>800</v>
      </c>
      <c r="R958" s="47"/>
      <c r="S958" s="47"/>
      <c r="T958" s="47"/>
    </row>
    <row r="959" customHeight="1" spans="1:20">
      <c r="A959" s="43">
        <v>60003</v>
      </c>
      <c r="B959" s="78" t="s">
        <v>778</v>
      </c>
      <c r="C959" s="78"/>
      <c r="D959" s="43">
        <v>100</v>
      </c>
      <c r="E959" s="78" t="s">
        <v>21</v>
      </c>
      <c r="F959" s="44">
        <f t="shared" si="30"/>
        <v>200</v>
      </c>
      <c r="G959" s="85" t="s">
        <v>782</v>
      </c>
      <c r="H959" s="46" t="s">
        <v>18</v>
      </c>
      <c r="I959" s="47"/>
      <c r="J959" s="48" t="s">
        <v>42</v>
      </c>
      <c r="K959" s="86">
        <v>60003</v>
      </c>
      <c r="L959" s="87" t="s">
        <v>780</v>
      </c>
      <c r="M959" s="87" t="s">
        <v>781</v>
      </c>
      <c r="N959" s="14" t="s">
        <v>27</v>
      </c>
      <c r="O959" s="14" t="s">
        <v>28</v>
      </c>
      <c r="P959" s="161">
        <v>4.5</v>
      </c>
      <c r="Q959" s="47">
        <f t="shared" si="31"/>
        <v>900</v>
      </c>
      <c r="R959" s="47"/>
      <c r="S959" s="47"/>
      <c r="T959" s="47"/>
    </row>
    <row r="960" customHeight="1" spans="1:20">
      <c r="A960" s="43">
        <v>60004</v>
      </c>
      <c r="B960" s="78" t="s">
        <v>778</v>
      </c>
      <c r="C960" s="78"/>
      <c r="D960" s="43">
        <v>2</v>
      </c>
      <c r="E960" s="78" t="s">
        <v>21</v>
      </c>
      <c r="F960" s="44">
        <f t="shared" si="30"/>
        <v>4</v>
      </c>
      <c r="G960" s="85" t="s">
        <v>783</v>
      </c>
      <c r="H960" s="46" t="s">
        <v>18</v>
      </c>
      <c r="I960" s="47"/>
      <c r="J960" s="48" t="s">
        <v>42</v>
      </c>
      <c r="K960" s="86">
        <v>60004</v>
      </c>
      <c r="L960" s="87" t="s">
        <v>780</v>
      </c>
      <c r="M960" s="87" t="s">
        <v>781</v>
      </c>
      <c r="N960" s="14" t="s">
        <v>27</v>
      </c>
      <c r="O960" s="14" t="s">
        <v>28</v>
      </c>
      <c r="P960" s="161">
        <v>7</v>
      </c>
      <c r="Q960" s="47">
        <f t="shared" si="31"/>
        <v>28</v>
      </c>
      <c r="R960" s="47"/>
      <c r="S960" s="47"/>
      <c r="T960" s="47"/>
    </row>
    <row r="961" customHeight="1" spans="1:20">
      <c r="A961" s="43">
        <v>60005</v>
      </c>
      <c r="B961" s="78" t="s">
        <v>778</v>
      </c>
      <c r="C961" s="78"/>
      <c r="D961" s="43">
        <v>2</v>
      </c>
      <c r="E961" s="78" t="s">
        <v>21</v>
      </c>
      <c r="F961" s="44">
        <f t="shared" si="30"/>
        <v>4</v>
      </c>
      <c r="G961" s="85" t="s">
        <v>1875</v>
      </c>
      <c r="H961" s="46" t="s">
        <v>18</v>
      </c>
      <c r="I961" s="47"/>
      <c r="J961" s="48" t="s">
        <v>42</v>
      </c>
      <c r="K961" s="86">
        <v>60005</v>
      </c>
      <c r="L961" s="87" t="s">
        <v>780</v>
      </c>
      <c r="M961" s="87" t="s">
        <v>781</v>
      </c>
      <c r="N961" s="14" t="s">
        <v>27</v>
      </c>
      <c r="O961" s="14" t="s">
        <v>28</v>
      </c>
      <c r="P961" s="161">
        <v>12</v>
      </c>
      <c r="Q961" s="47">
        <f t="shared" si="31"/>
        <v>48</v>
      </c>
      <c r="R961" s="47"/>
      <c r="S961" s="47"/>
      <c r="T961" s="47"/>
    </row>
    <row r="962" customHeight="1" spans="1:20">
      <c r="A962" s="43">
        <v>60006</v>
      </c>
      <c r="B962" s="78" t="s">
        <v>778</v>
      </c>
      <c r="C962" s="78"/>
      <c r="D962" s="43">
        <v>2</v>
      </c>
      <c r="E962" s="78" t="s">
        <v>21</v>
      </c>
      <c r="F962" s="44">
        <f t="shared" ref="F962:F1025" si="32">D962*2</f>
        <v>4</v>
      </c>
      <c r="G962" s="85" t="s">
        <v>1876</v>
      </c>
      <c r="H962" s="46" t="s">
        <v>18</v>
      </c>
      <c r="I962" s="47"/>
      <c r="J962" s="48" t="s">
        <v>42</v>
      </c>
      <c r="K962" s="86">
        <v>60006</v>
      </c>
      <c r="L962" s="87" t="s">
        <v>780</v>
      </c>
      <c r="M962" s="87" t="s">
        <v>781</v>
      </c>
      <c r="N962" s="14" t="s">
        <v>27</v>
      </c>
      <c r="O962" s="14" t="s">
        <v>28</v>
      </c>
      <c r="P962" s="161">
        <v>22</v>
      </c>
      <c r="Q962" s="47">
        <f t="shared" si="31"/>
        <v>88</v>
      </c>
      <c r="R962" s="47"/>
      <c r="S962" s="47"/>
      <c r="T962" s="47"/>
    </row>
    <row r="963" customHeight="1" spans="1:20">
      <c r="A963" s="43">
        <v>60012</v>
      </c>
      <c r="B963" s="78" t="s">
        <v>784</v>
      </c>
      <c r="C963" s="78"/>
      <c r="D963" s="43">
        <v>2</v>
      </c>
      <c r="E963" s="78" t="s">
        <v>21</v>
      </c>
      <c r="F963" s="44">
        <f t="shared" si="32"/>
        <v>4</v>
      </c>
      <c r="G963" s="85" t="s">
        <v>1877</v>
      </c>
      <c r="H963" s="46" t="s">
        <v>18</v>
      </c>
      <c r="I963" s="47"/>
      <c r="J963" s="48" t="s">
        <v>42</v>
      </c>
      <c r="K963" s="86">
        <v>60012</v>
      </c>
      <c r="L963" s="87" t="s">
        <v>780</v>
      </c>
      <c r="M963" s="87" t="s">
        <v>781</v>
      </c>
      <c r="N963" s="14" t="s">
        <v>27</v>
      </c>
      <c r="O963" s="14" t="s">
        <v>28</v>
      </c>
      <c r="P963" s="161">
        <v>11</v>
      </c>
      <c r="Q963" s="47">
        <f t="shared" si="31"/>
        <v>44</v>
      </c>
      <c r="R963" s="47"/>
      <c r="S963" s="47"/>
      <c r="T963" s="47"/>
    </row>
    <row r="964" customHeight="1" spans="1:20">
      <c r="A964" s="43">
        <v>60016</v>
      </c>
      <c r="B964" s="78" t="s">
        <v>1878</v>
      </c>
      <c r="C964" s="78"/>
      <c r="D964" s="43">
        <v>2</v>
      </c>
      <c r="E964" s="78" t="s">
        <v>21</v>
      </c>
      <c r="F964" s="44">
        <f t="shared" si="32"/>
        <v>4</v>
      </c>
      <c r="G964" s="85" t="s">
        <v>1879</v>
      </c>
      <c r="H964" s="46" t="s">
        <v>18</v>
      </c>
      <c r="I964" s="47"/>
      <c r="J964" s="48" t="s">
        <v>42</v>
      </c>
      <c r="K964" s="86">
        <v>60016</v>
      </c>
      <c r="L964" s="87" t="s">
        <v>780</v>
      </c>
      <c r="M964" s="87" t="s">
        <v>781</v>
      </c>
      <c r="N964" s="14" t="s">
        <v>27</v>
      </c>
      <c r="O964" s="14" t="s">
        <v>28</v>
      </c>
      <c r="P964" s="161">
        <v>4</v>
      </c>
      <c r="Q964" s="47">
        <f t="shared" ref="Q964:Q1027" si="33">P964*F964</f>
        <v>16</v>
      </c>
      <c r="R964" s="47"/>
      <c r="S964" s="47"/>
      <c r="T964" s="47"/>
    </row>
    <row r="965" customHeight="1" spans="1:20">
      <c r="A965" s="43">
        <v>60017</v>
      </c>
      <c r="B965" s="78" t="s">
        <v>1878</v>
      </c>
      <c r="C965" s="78"/>
      <c r="D965" s="43">
        <v>100</v>
      </c>
      <c r="E965" s="78" t="s">
        <v>21</v>
      </c>
      <c r="F965" s="44">
        <f t="shared" si="32"/>
        <v>200</v>
      </c>
      <c r="G965" s="85" t="s">
        <v>1880</v>
      </c>
      <c r="H965" s="46" t="s">
        <v>18</v>
      </c>
      <c r="I965" s="47"/>
      <c r="J965" s="48" t="s">
        <v>42</v>
      </c>
      <c r="K965" s="86">
        <v>60017</v>
      </c>
      <c r="L965" s="87" t="s">
        <v>780</v>
      </c>
      <c r="M965" s="87" t="s">
        <v>781</v>
      </c>
      <c r="N965" s="14" t="s">
        <v>27</v>
      </c>
      <c r="O965" s="14" t="s">
        <v>28</v>
      </c>
      <c r="P965" s="161">
        <v>5</v>
      </c>
      <c r="Q965" s="47">
        <f t="shared" si="33"/>
        <v>1000</v>
      </c>
      <c r="R965" s="47"/>
      <c r="S965" s="47"/>
      <c r="T965" s="47"/>
    </row>
    <row r="966" customHeight="1" spans="1:20">
      <c r="A966" s="43">
        <v>60018</v>
      </c>
      <c r="B966" s="78" t="s">
        <v>1878</v>
      </c>
      <c r="C966" s="78"/>
      <c r="D966" s="43">
        <v>4</v>
      </c>
      <c r="E966" s="78" t="s">
        <v>21</v>
      </c>
      <c r="F966" s="44">
        <f t="shared" si="32"/>
        <v>8</v>
      </c>
      <c r="G966" s="85" t="s">
        <v>1881</v>
      </c>
      <c r="H966" s="46" t="s">
        <v>18</v>
      </c>
      <c r="I966" s="47"/>
      <c r="J966" s="48" t="s">
        <v>42</v>
      </c>
      <c r="K966" s="86">
        <v>60018</v>
      </c>
      <c r="L966" s="87" t="s">
        <v>780</v>
      </c>
      <c r="M966" s="87" t="s">
        <v>781</v>
      </c>
      <c r="N966" s="14" t="s">
        <v>27</v>
      </c>
      <c r="O966" s="14" t="s">
        <v>28</v>
      </c>
      <c r="P966" s="161">
        <v>7.5</v>
      </c>
      <c r="Q966" s="47">
        <f t="shared" si="33"/>
        <v>60</v>
      </c>
      <c r="R966" s="47"/>
      <c r="S966" s="47"/>
      <c r="T966" s="47"/>
    </row>
    <row r="967" customHeight="1" spans="1:20">
      <c r="A967" s="43">
        <v>60019</v>
      </c>
      <c r="B967" s="78" t="s">
        <v>1878</v>
      </c>
      <c r="C967" s="78"/>
      <c r="D967" s="43">
        <v>30</v>
      </c>
      <c r="E967" s="78" t="s">
        <v>21</v>
      </c>
      <c r="F967" s="44">
        <f t="shared" si="32"/>
        <v>60</v>
      </c>
      <c r="G967" s="85" t="s">
        <v>1882</v>
      </c>
      <c r="H967" s="46" t="s">
        <v>18</v>
      </c>
      <c r="I967" s="47"/>
      <c r="J967" s="48" t="s">
        <v>42</v>
      </c>
      <c r="K967" s="86">
        <v>60019</v>
      </c>
      <c r="L967" s="87" t="s">
        <v>780</v>
      </c>
      <c r="M967" s="87" t="s">
        <v>781</v>
      </c>
      <c r="N967" s="14" t="s">
        <v>27</v>
      </c>
      <c r="O967" s="14" t="s">
        <v>28</v>
      </c>
      <c r="P967" s="161">
        <v>10</v>
      </c>
      <c r="Q967" s="47">
        <f t="shared" si="33"/>
        <v>600</v>
      </c>
      <c r="R967" s="47"/>
      <c r="S967" s="47"/>
      <c r="T967" s="47"/>
    </row>
    <row r="968" customHeight="1" spans="1:20">
      <c r="A968" s="43">
        <v>60020</v>
      </c>
      <c r="B968" s="78" t="s">
        <v>1878</v>
      </c>
      <c r="C968" s="78"/>
      <c r="D968" s="43">
        <v>2</v>
      </c>
      <c r="E968" s="78" t="s">
        <v>21</v>
      </c>
      <c r="F968" s="44">
        <f t="shared" si="32"/>
        <v>4</v>
      </c>
      <c r="G968" s="85" t="s">
        <v>1883</v>
      </c>
      <c r="H968" s="46" t="s">
        <v>18</v>
      </c>
      <c r="I968" s="47"/>
      <c r="J968" s="48" t="s">
        <v>42</v>
      </c>
      <c r="K968" s="86">
        <v>60020</v>
      </c>
      <c r="L968" s="87" t="s">
        <v>780</v>
      </c>
      <c r="M968" s="87" t="s">
        <v>781</v>
      </c>
      <c r="N968" s="14" t="s">
        <v>27</v>
      </c>
      <c r="O968" s="14" t="s">
        <v>28</v>
      </c>
      <c r="P968" s="161">
        <v>15</v>
      </c>
      <c r="Q968" s="47">
        <f t="shared" si="33"/>
        <v>60</v>
      </c>
      <c r="R968" s="47"/>
      <c r="S968" s="47"/>
      <c r="T968" s="47"/>
    </row>
    <row r="969" customHeight="1" spans="1:20">
      <c r="A969" s="43">
        <v>60041</v>
      </c>
      <c r="B969" s="78" t="s">
        <v>1884</v>
      </c>
      <c r="C969" s="78"/>
      <c r="D969" s="43">
        <v>100</v>
      </c>
      <c r="E969" s="78" t="s">
        <v>221</v>
      </c>
      <c r="F969" s="44">
        <f t="shared" si="32"/>
        <v>200</v>
      </c>
      <c r="G969" s="85" t="s">
        <v>1885</v>
      </c>
      <c r="H969" s="46" t="s">
        <v>18</v>
      </c>
      <c r="I969" s="47"/>
      <c r="J969" s="48" t="s">
        <v>42</v>
      </c>
      <c r="K969" s="86">
        <v>60041</v>
      </c>
      <c r="L969" s="87" t="s">
        <v>780</v>
      </c>
      <c r="M969" s="87" t="s">
        <v>781</v>
      </c>
      <c r="N969" s="14" t="s">
        <v>27</v>
      </c>
      <c r="O969" s="14" t="s">
        <v>28</v>
      </c>
      <c r="P969" s="161">
        <v>11</v>
      </c>
      <c r="Q969" s="47">
        <f t="shared" si="33"/>
        <v>2200</v>
      </c>
      <c r="R969" s="47"/>
      <c r="S969" s="47"/>
      <c r="T969" s="47"/>
    </row>
    <row r="970" customHeight="1" spans="1:20">
      <c r="A970" s="43">
        <v>60042</v>
      </c>
      <c r="B970" s="78" t="s">
        <v>1884</v>
      </c>
      <c r="C970" s="78"/>
      <c r="D970" s="43">
        <v>100</v>
      </c>
      <c r="E970" s="78" t="s">
        <v>221</v>
      </c>
      <c r="F970" s="44">
        <f t="shared" si="32"/>
        <v>200</v>
      </c>
      <c r="G970" s="85" t="s">
        <v>1886</v>
      </c>
      <c r="H970" s="46" t="s">
        <v>18</v>
      </c>
      <c r="I970" s="47"/>
      <c r="J970" s="48" t="s">
        <v>42</v>
      </c>
      <c r="K970" s="86">
        <v>60042</v>
      </c>
      <c r="L970" s="87" t="s">
        <v>780</v>
      </c>
      <c r="M970" s="87" t="s">
        <v>781</v>
      </c>
      <c r="N970" s="14" t="s">
        <v>27</v>
      </c>
      <c r="O970" s="14" t="s">
        <v>28</v>
      </c>
      <c r="P970" s="161">
        <v>16</v>
      </c>
      <c r="Q970" s="47">
        <f t="shared" si="33"/>
        <v>3200</v>
      </c>
      <c r="R970" s="47"/>
      <c r="S970" s="47"/>
      <c r="T970" s="47"/>
    </row>
    <row r="971" customHeight="1" spans="1:20">
      <c r="A971" s="43">
        <v>60043</v>
      </c>
      <c r="B971" s="78" t="s">
        <v>1884</v>
      </c>
      <c r="C971" s="78"/>
      <c r="D971" s="43">
        <v>100</v>
      </c>
      <c r="E971" s="78" t="s">
        <v>221</v>
      </c>
      <c r="F971" s="44">
        <f t="shared" si="32"/>
        <v>200</v>
      </c>
      <c r="G971" s="85" t="s">
        <v>1887</v>
      </c>
      <c r="H971" s="46" t="s">
        <v>18</v>
      </c>
      <c r="I971" s="47"/>
      <c r="J971" s="48" t="s">
        <v>42</v>
      </c>
      <c r="K971" s="86">
        <v>60043</v>
      </c>
      <c r="L971" s="87" t="s">
        <v>780</v>
      </c>
      <c r="M971" s="87" t="s">
        <v>781</v>
      </c>
      <c r="N971" s="14" t="s">
        <v>27</v>
      </c>
      <c r="O971" s="14" t="s">
        <v>28</v>
      </c>
      <c r="P971" s="161">
        <v>9</v>
      </c>
      <c r="Q971" s="47">
        <f t="shared" si="33"/>
        <v>1800</v>
      </c>
      <c r="R971" s="47"/>
      <c r="S971" s="47"/>
      <c r="T971" s="47"/>
    </row>
    <row r="972" customHeight="1" spans="1:20">
      <c r="A972" s="43">
        <v>60044</v>
      </c>
      <c r="B972" s="78" t="s">
        <v>1884</v>
      </c>
      <c r="C972" s="78"/>
      <c r="D972" s="43">
        <v>100</v>
      </c>
      <c r="E972" s="78" t="s">
        <v>221</v>
      </c>
      <c r="F972" s="44">
        <f t="shared" si="32"/>
        <v>200</v>
      </c>
      <c r="G972" s="85" t="s">
        <v>1888</v>
      </c>
      <c r="H972" s="46" t="s">
        <v>18</v>
      </c>
      <c r="I972" s="47"/>
      <c r="J972" s="48" t="s">
        <v>42</v>
      </c>
      <c r="K972" s="86">
        <v>60044</v>
      </c>
      <c r="L972" s="87" t="s">
        <v>780</v>
      </c>
      <c r="M972" s="87" t="s">
        <v>781</v>
      </c>
      <c r="N972" s="14" t="s">
        <v>27</v>
      </c>
      <c r="O972" s="14" t="s">
        <v>28</v>
      </c>
      <c r="P972" s="161">
        <v>11</v>
      </c>
      <c r="Q972" s="47">
        <f t="shared" si="33"/>
        <v>2200</v>
      </c>
      <c r="R972" s="47"/>
      <c r="S972" s="47"/>
      <c r="T972" s="47"/>
    </row>
    <row r="973" customHeight="1" spans="1:20">
      <c r="A973" s="43">
        <v>60045</v>
      </c>
      <c r="B973" s="78" t="s">
        <v>1884</v>
      </c>
      <c r="C973" s="78"/>
      <c r="D973" s="43">
        <v>1</v>
      </c>
      <c r="E973" s="78" t="s">
        <v>221</v>
      </c>
      <c r="F973" s="44">
        <f t="shared" si="32"/>
        <v>2</v>
      </c>
      <c r="G973" s="85" t="s">
        <v>1889</v>
      </c>
      <c r="H973" s="46" t="s">
        <v>18</v>
      </c>
      <c r="I973" s="47"/>
      <c r="J973" s="48" t="s">
        <v>42</v>
      </c>
      <c r="K973" s="86">
        <v>60045</v>
      </c>
      <c r="L973" s="87" t="s">
        <v>780</v>
      </c>
      <c r="M973" s="87" t="s">
        <v>781</v>
      </c>
      <c r="N973" s="14" t="s">
        <v>27</v>
      </c>
      <c r="O973" s="14" t="s">
        <v>28</v>
      </c>
      <c r="P973" s="161">
        <v>54</v>
      </c>
      <c r="Q973" s="47">
        <f t="shared" si="33"/>
        <v>108</v>
      </c>
      <c r="R973" s="47"/>
      <c r="S973" s="47"/>
      <c r="T973" s="47"/>
    </row>
    <row r="974" customHeight="1" spans="1:20">
      <c r="A974" s="43">
        <v>60052</v>
      </c>
      <c r="B974" s="78" t="s">
        <v>1890</v>
      </c>
      <c r="C974" s="78"/>
      <c r="D974" s="43">
        <v>100</v>
      </c>
      <c r="E974" s="78" t="s">
        <v>221</v>
      </c>
      <c r="F974" s="44">
        <f t="shared" si="32"/>
        <v>200</v>
      </c>
      <c r="G974" s="85" t="s">
        <v>1891</v>
      </c>
      <c r="H974" s="46" t="s">
        <v>18</v>
      </c>
      <c r="I974" s="47"/>
      <c r="J974" s="48" t="s">
        <v>42</v>
      </c>
      <c r="K974" s="86">
        <v>60052</v>
      </c>
      <c r="L974" s="87" t="s">
        <v>780</v>
      </c>
      <c r="M974" s="87" t="s">
        <v>781</v>
      </c>
      <c r="N974" s="14" t="s">
        <v>27</v>
      </c>
      <c r="O974" s="14" t="s">
        <v>28</v>
      </c>
      <c r="P974" s="161">
        <v>2.5</v>
      </c>
      <c r="Q974" s="47">
        <f t="shared" si="33"/>
        <v>500</v>
      </c>
      <c r="R974" s="47"/>
      <c r="S974" s="47"/>
      <c r="T974" s="47"/>
    </row>
    <row r="975" customHeight="1" spans="1:20">
      <c r="A975" s="43">
        <v>60052</v>
      </c>
      <c r="B975" s="78" t="s">
        <v>1890</v>
      </c>
      <c r="C975" s="78"/>
      <c r="D975" s="43">
        <v>100</v>
      </c>
      <c r="E975" s="78" t="s">
        <v>221</v>
      </c>
      <c r="F975" s="44">
        <f t="shared" si="32"/>
        <v>200</v>
      </c>
      <c r="G975" s="85" t="s">
        <v>1892</v>
      </c>
      <c r="H975" s="46" t="s">
        <v>18</v>
      </c>
      <c r="I975" s="47"/>
      <c r="J975" s="48" t="s">
        <v>42</v>
      </c>
      <c r="K975" s="86">
        <v>60052</v>
      </c>
      <c r="L975" s="87" t="s">
        <v>780</v>
      </c>
      <c r="M975" s="87" t="s">
        <v>781</v>
      </c>
      <c r="N975" s="14" t="s">
        <v>27</v>
      </c>
      <c r="O975" s="14" t="s">
        <v>28</v>
      </c>
      <c r="P975" s="161">
        <v>3</v>
      </c>
      <c r="Q975" s="47">
        <f t="shared" si="33"/>
        <v>600</v>
      </c>
      <c r="R975" s="47"/>
      <c r="S975" s="47"/>
      <c r="T975" s="47"/>
    </row>
    <row r="976" customHeight="1" spans="1:20">
      <c r="A976" s="43">
        <v>60052</v>
      </c>
      <c r="B976" s="78" t="s">
        <v>1890</v>
      </c>
      <c r="C976" s="78"/>
      <c r="D976" s="43">
        <v>100</v>
      </c>
      <c r="E976" s="78" t="s">
        <v>221</v>
      </c>
      <c r="F976" s="44">
        <f t="shared" si="32"/>
        <v>200</v>
      </c>
      <c r="G976" s="85" t="s">
        <v>1893</v>
      </c>
      <c r="H976" s="46" t="s">
        <v>18</v>
      </c>
      <c r="I976" s="47"/>
      <c r="J976" s="48" t="s">
        <v>42</v>
      </c>
      <c r="K976" s="86">
        <v>60052</v>
      </c>
      <c r="L976" s="87" t="s">
        <v>780</v>
      </c>
      <c r="M976" s="87" t="s">
        <v>781</v>
      </c>
      <c r="N976" s="14" t="s">
        <v>27</v>
      </c>
      <c r="O976" s="14" t="s">
        <v>28</v>
      </c>
      <c r="P976" s="161">
        <v>4</v>
      </c>
      <c r="Q976" s="47">
        <f t="shared" si="33"/>
        <v>800</v>
      </c>
      <c r="R976" s="47"/>
      <c r="S976" s="47"/>
      <c r="T976" s="47"/>
    </row>
    <row r="977" customHeight="1" spans="1:20">
      <c r="A977" s="43">
        <v>60052</v>
      </c>
      <c r="B977" s="78" t="s">
        <v>1890</v>
      </c>
      <c r="C977" s="78"/>
      <c r="D977" s="43">
        <v>100</v>
      </c>
      <c r="E977" s="78" t="s">
        <v>221</v>
      </c>
      <c r="F977" s="44">
        <f t="shared" si="32"/>
        <v>200</v>
      </c>
      <c r="G977" s="85" t="s">
        <v>1894</v>
      </c>
      <c r="H977" s="46" t="s">
        <v>18</v>
      </c>
      <c r="I977" s="47"/>
      <c r="J977" s="48" t="s">
        <v>42</v>
      </c>
      <c r="K977" s="86">
        <v>60052</v>
      </c>
      <c r="L977" s="87" t="s">
        <v>780</v>
      </c>
      <c r="M977" s="87" t="s">
        <v>781</v>
      </c>
      <c r="N977" s="14" t="s">
        <v>27</v>
      </c>
      <c r="O977" s="14" t="s">
        <v>28</v>
      </c>
      <c r="P977" s="161">
        <v>5</v>
      </c>
      <c r="Q977" s="47">
        <f t="shared" si="33"/>
        <v>1000</v>
      </c>
      <c r="R977" s="47"/>
      <c r="S977" s="47"/>
      <c r="T977" s="47"/>
    </row>
    <row r="978" customHeight="1" spans="1:20">
      <c r="A978" s="43">
        <v>61</v>
      </c>
      <c r="B978" s="2" t="s">
        <v>786</v>
      </c>
      <c r="C978" s="2"/>
      <c r="D978" s="6"/>
      <c r="E978" s="2"/>
      <c r="F978" s="44">
        <f t="shared" si="32"/>
        <v>0</v>
      </c>
      <c r="G978" s="77"/>
      <c r="H978" s="46"/>
      <c r="I978" s="47"/>
      <c r="J978" s="48" t="s">
        <v>42</v>
      </c>
      <c r="K978" s="94"/>
      <c r="L978" s="95"/>
      <c r="M978" s="95"/>
      <c r="O978" s="14" t="s">
        <v>28</v>
      </c>
      <c r="P978" s="51"/>
      <c r="Q978" s="47">
        <f t="shared" si="33"/>
        <v>0</v>
      </c>
      <c r="R978" s="47"/>
      <c r="S978" s="47"/>
      <c r="T978" s="47"/>
    </row>
    <row r="979" customHeight="1" spans="1:20">
      <c r="A979" s="43">
        <v>61001</v>
      </c>
      <c r="B979" s="78" t="s">
        <v>787</v>
      </c>
      <c r="C979" s="78"/>
      <c r="D979" s="43">
        <f>D833*10</f>
        <v>560</v>
      </c>
      <c r="E979" s="78" t="s">
        <v>221</v>
      </c>
      <c r="F979" s="44">
        <f t="shared" si="32"/>
        <v>1120</v>
      </c>
      <c r="G979" s="85" t="s">
        <v>1895</v>
      </c>
      <c r="H979" s="46" t="s">
        <v>18</v>
      </c>
      <c r="I979" s="47"/>
      <c r="J979" s="48" t="s">
        <v>42</v>
      </c>
      <c r="K979" s="86">
        <v>61001</v>
      </c>
      <c r="L979" s="87" t="s">
        <v>780</v>
      </c>
      <c r="M979" s="87" t="s">
        <v>781</v>
      </c>
      <c r="N979" s="14" t="s">
        <v>27</v>
      </c>
      <c r="O979" s="14" t="s">
        <v>28</v>
      </c>
      <c r="P979" s="161">
        <v>0.5</v>
      </c>
      <c r="Q979" s="47">
        <f t="shared" si="33"/>
        <v>560</v>
      </c>
      <c r="R979" s="47"/>
      <c r="S979" s="47"/>
      <c r="T979" s="47"/>
    </row>
    <row r="980" customHeight="1" spans="1:20">
      <c r="A980" s="43">
        <v>61002</v>
      </c>
      <c r="B980" s="78" t="s">
        <v>787</v>
      </c>
      <c r="C980" s="78"/>
      <c r="D980" s="43">
        <f>D833*10</f>
        <v>560</v>
      </c>
      <c r="E980" s="78" t="s">
        <v>221</v>
      </c>
      <c r="F980" s="44">
        <f t="shared" si="32"/>
        <v>1120</v>
      </c>
      <c r="G980" s="85" t="s">
        <v>1896</v>
      </c>
      <c r="H980" s="46" t="s">
        <v>18</v>
      </c>
      <c r="I980" s="47"/>
      <c r="J980" s="48" t="s">
        <v>42</v>
      </c>
      <c r="K980" s="86">
        <v>61002</v>
      </c>
      <c r="L980" s="87" t="s">
        <v>780</v>
      </c>
      <c r="M980" s="87" t="s">
        <v>781</v>
      </c>
      <c r="N980" s="14" t="s">
        <v>27</v>
      </c>
      <c r="O980" s="14" t="s">
        <v>28</v>
      </c>
      <c r="P980" s="161">
        <v>0.7</v>
      </c>
      <c r="Q980" s="47">
        <f t="shared" si="33"/>
        <v>784</v>
      </c>
      <c r="R980" s="47"/>
      <c r="S980" s="47"/>
      <c r="T980" s="47"/>
    </row>
    <row r="981" customHeight="1" spans="1:20">
      <c r="A981" s="43">
        <v>61003</v>
      </c>
      <c r="B981" s="78" t="s">
        <v>787</v>
      </c>
      <c r="C981" s="78"/>
      <c r="D981" s="43">
        <f>D833*3</f>
        <v>168</v>
      </c>
      <c r="E981" s="78" t="s">
        <v>221</v>
      </c>
      <c r="F981" s="44">
        <f t="shared" si="32"/>
        <v>336</v>
      </c>
      <c r="G981" s="85" t="s">
        <v>1897</v>
      </c>
      <c r="H981" s="46" t="s">
        <v>18</v>
      </c>
      <c r="I981" s="47"/>
      <c r="J981" s="48" t="s">
        <v>42</v>
      </c>
      <c r="K981" s="86">
        <v>61003</v>
      </c>
      <c r="L981" s="87" t="s">
        <v>780</v>
      </c>
      <c r="M981" s="87" t="s">
        <v>781</v>
      </c>
      <c r="N981" s="14" t="s">
        <v>27</v>
      </c>
      <c r="O981" s="14" t="s">
        <v>28</v>
      </c>
      <c r="P981" s="161">
        <v>1</v>
      </c>
      <c r="Q981" s="47">
        <f t="shared" si="33"/>
        <v>336</v>
      </c>
      <c r="R981" s="47"/>
      <c r="S981" s="47"/>
      <c r="T981" s="47"/>
    </row>
    <row r="982" customHeight="1" spans="1:20">
      <c r="A982" s="43">
        <v>61004</v>
      </c>
      <c r="B982" s="78" t="s">
        <v>787</v>
      </c>
      <c r="C982" s="78"/>
      <c r="D982" s="43">
        <f>D833*3</f>
        <v>168</v>
      </c>
      <c r="E982" s="78" t="s">
        <v>221</v>
      </c>
      <c r="F982" s="44">
        <f t="shared" si="32"/>
        <v>336</v>
      </c>
      <c r="G982" s="85" t="s">
        <v>1898</v>
      </c>
      <c r="H982" s="46" t="s">
        <v>18</v>
      </c>
      <c r="I982" s="47"/>
      <c r="J982" s="48" t="s">
        <v>42</v>
      </c>
      <c r="K982" s="86">
        <v>61004</v>
      </c>
      <c r="L982" s="87" t="s">
        <v>780</v>
      </c>
      <c r="M982" s="87" t="s">
        <v>781</v>
      </c>
      <c r="N982" s="14" t="s">
        <v>27</v>
      </c>
      <c r="O982" s="14" t="s">
        <v>28</v>
      </c>
      <c r="P982" s="161">
        <v>1.5</v>
      </c>
      <c r="Q982" s="47">
        <f t="shared" si="33"/>
        <v>504</v>
      </c>
      <c r="R982" s="47"/>
      <c r="S982" s="47"/>
      <c r="T982" s="47"/>
    </row>
    <row r="983" customHeight="1" spans="1:20">
      <c r="A983" s="43">
        <v>61005</v>
      </c>
      <c r="B983" s="78" t="s">
        <v>787</v>
      </c>
      <c r="C983" s="78"/>
      <c r="D983" s="43">
        <v>30</v>
      </c>
      <c r="E983" s="78" t="s">
        <v>221</v>
      </c>
      <c r="F983" s="44">
        <f t="shared" si="32"/>
        <v>60</v>
      </c>
      <c r="G983" s="85" t="s">
        <v>1899</v>
      </c>
      <c r="H983" s="46" t="s">
        <v>18</v>
      </c>
      <c r="I983" s="47"/>
      <c r="J983" s="48" t="s">
        <v>42</v>
      </c>
      <c r="K983" s="86">
        <v>61005</v>
      </c>
      <c r="L983" s="87" t="s">
        <v>780</v>
      </c>
      <c r="M983" s="87" t="s">
        <v>781</v>
      </c>
      <c r="N983" s="14" t="s">
        <v>27</v>
      </c>
      <c r="O983" s="14" t="s">
        <v>28</v>
      </c>
      <c r="P983" s="161">
        <v>2</v>
      </c>
      <c r="Q983" s="47">
        <f t="shared" si="33"/>
        <v>120</v>
      </c>
      <c r="R983" s="47"/>
      <c r="S983" s="47"/>
      <c r="T983" s="47"/>
    </row>
    <row r="984" customHeight="1" spans="1:20">
      <c r="A984" s="43">
        <v>61006</v>
      </c>
      <c r="B984" s="78" t="s">
        <v>787</v>
      </c>
      <c r="C984" s="78"/>
      <c r="D984" s="43">
        <v>30</v>
      </c>
      <c r="E984" s="78" t="s">
        <v>221</v>
      </c>
      <c r="F984" s="44">
        <f t="shared" si="32"/>
        <v>60</v>
      </c>
      <c r="G984" s="85" t="s">
        <v>1900</v>
      </c>
      <c r="H984" s="46" t="s">
        <v>18</v>
      </c>
      <c r="I984" s="47"/>
      <c r="J984" s="48" t="s">
        <v>42</v>
      </c>
      <c r="K984" s="86">
        <v>61006</v>
      </c>
      <c r="L984" s="87" t="s">
        <v>780</v>
      </c>
      <c r="M984" s="87" t="s">
        <v>781</v>
      </c>
      <c r="N984" s="14" t="s">
        <v>27</v>
      </c>
      <c r="O984" s="14" t="s">
        <v>28</v>
      </c>
      <c r="P984" s="161">
        <v>2.6</v>
      </c>
      <c r="Q984" s="47">
        <f t="shared" si="33"/>
        <v>156</v>
      </c>
      <c r="R984" s="47"/>
      <c r="S984" s="47"/>
      <c r="T984" s="47"/>
    </row>
    <row r="985" customHeight="1" spans="1:20">
      <c r="A985" s="43">
        <v>61008</v>
      </c>
      <c r="B985" s="78" t="s">
        <v>1901</v>
      </c>
      <c r="C985" s="78"/>
      <c r="D985" s="43">
        <v>20</v>
      </c>
      <c r="E985" s="78" t="s">
        <v>221</v>
      </c>
      <c r="F985" s="44">
        <f t="shared" si="32"/>
        <v>40</v>
      </c>
      <c r="G985" s="85" t="s">
        <v>1902</v>
      </c>
      <c r="H985" s="46" t="s">
        <v>18</v>
      </c>
      <c r="I985" s="47"/>
      <c r="J985" s="48" t="s">
        <v>42</v>
      </c>
      <c r="K985" s="86">
        <v>61008</v>
      </c>
      <c r="L985" s="87" t="s">
        <v>780</v>
      </c>
      <c r="M985" s="87" t="s">
        <v>781</v>
      </c>
      <c r="N985" s="14" t="s">
        <v>27</v>
      </c>
      <c r="O985" s="14" t="s">
        <v>28</v>
      </c>
      <c r="P985" s="161">
        <v>2</v>
      </c>
      <c r="Q985" s="47">
        <f t="shared" si="33"/>
        <v>80</v>
      </c>
      <c r="R985" s="47"/>
      <c r="S985" s="47"/>
      <c r="T985" s="47"/>
    </row>
    <row r="986" customHeight="1" spans="1:20">
      <c r="A986" s="43">
        <v>61008</v>
      </c>
      <c r="B986" s="78" t="s">
        <v>1901</v>
      </c>
      <c r="C986" s="78"/>
      <c r="D986" s="43">
        <v>20</v>
      </c>
      <c r="E986" s="78" t="s">
        <v>221</v>
      </c>
      <c r="F986" s="44">
        <f t="shared" si="32"/>
        <v>40</v>
      </c>
      <c r="G986" s="85" t="s">
        <v>1903</v>
      </c>
      <c r="H986" s="46" t="s">
        <v>18</v>
      </c>
      <c r="I986" s="47"/>
      <c r="J986" s="48" t="s">
        <v>42</v>
      </c>
      <c r="K986" s="86">
        <v>61008</v>
      </c>
      <c r="L986" s="87" t="s">
        <v>780</v>
      </c>
      <c r="M986" s="87" t="s">
        <v>781</v>
      </c>
      <c r="N986" s="14" t="s">
        <v>27</v>
      </c>
      <c r="O986" s="14" t="s">
        <v>28</v>
      </c>
      <c r="P986" s="161">
        <v>2</v>
      </c>
      <c r="Q986" s="47">
        <f t="shared" si="33"/>
        <v>80</v>
      </c>
      <c r="R986" s="47"/>
      <c r="S986" s="47"/>
      <c r="T986" s="47"/>
    </row>
    <row r="987" customHeight="1" spans="1:20">
      <c r="A987" s="43">
        <v>61009</v>
      </c>
      <c r="B987" s="78" t="s">
        <v>1904</v>
      </c>
      <c r="C987" s="78"/>
      <c r="D987" s="43">
        <v>30</v>
      </c>
      <c r="E987" s="78" t="s">
        <v>221</v>
      </c>
      <c r="F987" s="44">
        <f t="shared" si="32"/>
        <v>60</v>
      </c>
      <c r="G987" s="85" t="s">
        <v>1905</v>
      </c>
      <c r="H987" s="46" t="s">
        <v>18</v>
      </c>
      <c r="I987" s="47"/>
      <c r="J987" s="48" t="s">
        <v>42</v>
      </c>
      <c r="K987" s="86">
        <v>61009</v>
      </c>
      <c r="L987" s="87" t="s">
        <v>780</v>
      </c>
      <c r="M987" s="87" t="s">
        <v>781</v>
      </c>
      <c r="N987" s="14" t="s">
        <v>27</v>
      </c>
      <c r="O987" s="14" t="s">
        <v>28</v>
      </c>
      <c r="P987" s="161">
        <v>2</v>
      </c>
      <c r="Q987" s="47">
        <f t="shared" si="33"/>
        <v>120</v>
      </c>
      <c r="R987" s="47"/>
      <c r="S987" s="47"/>
      <c r="T987" s="47"/>
    </row>
    <row r="988" customHeight="1" spans="1:20">
      <c r="A988" s="43">
        <v>61009</v>
      </c>
      <c r="B988" s="78" t="s">
        <v>1904</v>
      </c>
      <c r="C988" s="78"/>
      <c r="D988" s="43">
        <v>10</v>
      </c>
      <c r="E988" s="78" t="s">
        <v>221</v>
      </c>
      <c r="F988" s="44">
        <f t="shared" si="32"/>
        <v>20</v>
      </c>
      <c r="G988" s="85" t="s">
        <v>1906</v>
      </c>
      <c r="H988" s="46" t="s">
        <v>18</v>
      </c>
      <c r="I988" s="47"/>
      <c r="J988" s="48" t="s">
        <v>42</v>
      </c>
      <c r="K988" s="86">
        <v>61009</v>
      </c>
      <c r="L988" s="87" t="s">
        <v>780</v>
      </c>
      <c r="M988" s="87" t="s">
        <v>781</v>
      </c>
      <c r="N988" s="14" t="s">
        <v>27</v>
      </c>
      <c r="O988" s="14" t="s">
        <v>28</v>
      </c>
      <c r="P988" s="161">
        <v>2</v>
      </c>
      <c r="Q988" s="47">
        <f t="shared" si="33"/>
        <v>40</v>
      </c>
      <c r="R988" s="47"/>
      <c r="S988" s="47"/>
      <c r="T988" s="47"/>
    </row>
    <row r="989" customHeight="1" spans="1:20">
      <c r="A989" s="43">
        <v>61011</v>
      </c>
      <c r="B989" s="78" t="s">
        <v>1907</v>
      </c>
      <c r="C989" s="78"/>
      <c r="D989" s="43">
        <v>2</v>
      </c>
      <c r="E989" s="78" t="s">
        <v>221</v>
      </c>
      <c r="F989" s="44">
        <f t="shared" si="32"/>
        <v>4</v>
      </c>
      <c r="G989" s="85" t="s">
        <v>1908</v>
      </c>
      <c r="H989" s="46" t="s">
        <v>18</v>
      </c>
      <c r="I989" s="47"/>
      <c r="J989" s="48" t="s">
        <v>42</v>
      </c>
      <c r="K989" s="86">
        <v>61011</v>
      </c>
      <c r="L989" s="87" t="s">
        <v>780</v>
      </c>
      <c r="M989" s="87" t="s">
        <v>781</v>
      </c>
      <c r="N989" s="14" t="s">
        <v>27</v>
      </c>
      <c r="O989" s="14" t="s">
        <v>28</v>
      </c>
      <c r="P989" s="161">
        <v>2.5</v>
      </c>
      <c r="Q989" s="47">
        <f t="shared" si="33"/>
        <v>10</v>
      </c>
      <c r="R989" s="47"/>
      <c r="S989" s="47"/>
      <c r="T989" s="47"/>
    </row>
    <row r="990" customHeight="1" spans="1:20">
      <c r="A990" s="43">
        <v>61012</v>
      </c>
      <c r="B990" s="78" t="s">
        <v>1909</v>
      </c>
      <c r="C990" s="78"/>
      <c r="D990" s="43">
        <v>3</v>
      </c>
      <c r="E990" s="78" t="s">
        <v>221</v>
      </c>
      <c r="F990" s="44">
        <f t="shared" si="32"/>
        <v>6</v>
      </c>
      <c r="G990" s="85" t="s">
        <v>1910</v>
      </c>
      <c r="H990" s="46" t="s">
        <v>18</v>
      </c>
      <c r="I990" s="47"/>
      <c r="J990" s="48" t="s">
        <v>42</v>
      </c>
      <c r="K990" s="86">
        <v>61012</v>
      </c>
      <c r="L990" s="87" t="s">
        <v>780</v>
      </c>
      <c r="M990" s="87" t="s">
        <v>781</v>
      </c>
      <c r="N990" s="14" t="s">
        <v>27</v>
      </c>
      <c r="O990" s="14" t="s">
        <v>28</v>
      </c>
      <c r="P990" s="161">
        <v>5.5</v>
      </c>
      <c r="Q990" s="47">
        <f t="shared" si="33"/>
        <v>33</v>
      </c>
      <c r="R990" s="47"/>
      <c r="S990" s="47"/>
      <c r="T990" s="47"/>
    </row>
    <row r="991" customHeight="1" spans="1:20">
      <c r="A991" s="43">
        <v>61020</v>
      </c>
      <c r="B991" s="78" t="s">
        <v>790</v>
      </c>
      <c r="C991" s="78"/>
      <c r="D991" s="43">
        <v>100</v>
      </c>
      <c r="E991" s="78" t="s">
        <v>21</v>
      </c>
      <c r="F991" s="44">
        <f t="shared" si="32"/>
        <v>200</v>
      </c>
      <c r="G991" s="85" t="s">
        <v>1911</v>
      </c>
      <c r="H991" s="46" t="s">
        <v>18</v>
      </c>
      <c r="I991" s="47"/>
      <c r="J991" s="48" t="s">
        <v>42</v>
      </c>
      <c r="K991" s="86" t="s">
        <v>1912</v>
      </c>
      <c r="L991" s="87" t="s">
        <v>780</v>
      </c>
      <c r="M991" s="87" t="s">
        <v>781</v>
      </c>
      <c r="N991" s="14" t="s">
        <v>27</v>
      </c>
      <c r="O991" s="14" t="s">
        <v>28</v>
      </c>
      <c r="P991" s="161">
        <v>2</v>
      </c>
      <c r="Q991" s="47">
        <f t="shared" si="33"/>
        <v>400</v>
      </c>
      <c r="R991" s="47"/>
      <c r="S991" s="47"/>
      <c r="T991" s="47"/>
    </row>
    <row r="992" customHeight="1" spans="1:20">
      <c r="A992" s="43">
        <v>61021</v>
      </c>
      <c r="B992" s="78" t="s">
        <v>790</v>
      </c>
      <c r="C992" s="78"/>
      <c r="D992" s="43">
        <v>100</v>
      </c>
      <c r="E992" s="78" t="s">
        <v>21</v>
      </c>
      <c r="F992" s="44">
        <f t="shared" si="32"/>
        <v>200</v>
      </c>
      <c r="G992" s="85" t="s">
        <v>1913</v>
      </c>
      <c r="H992" s="46" t="s">
        <v>18</v>
      </c>
      <c r="I992" s="47"/>
      <c r="J992" s="48" t="s">
        <v>42</v>
      </c>
      <c r="K992" s="86" t="s">
        <v>1914</v>
      </c>
      <c r="L992" s="87" t="s">
        <v>780</v>
      </c>
      <c r="M992" s="87" t="s">
        <v>781</v>
      </c>
      <c r="N992" s="14" t="s">
        <v>27</v>
      </c>
      <c r="O992" s="14" t="s">
        <v>28</v>
      </c>
      <c r="P992" s="161">
        <v>2</v>
      </c>
      <c r="Q992" s="47">
        <f t="shared" si="33"/>
        <v>400</v>
      </c>
      <c r="R992" s="47"/>
      <c r="S992" s="47"/>
      <c r="T992" s="47"/>
    </row>
    <row r="993" customHeight="1" spans="1:20">
      <c r="A993" s="43">
        <v>61022</v>
      </c>
      <c r="B993" s="78" t="s">
        <v>790</v>
      </c>
      <c r="C993" s="78"/>
      <c r="D993" s="43">
        <v>100</v>
      </c>
      <c r="E993" s="78" t="s">
        <v>21</v>
      </c>
      <c r="F993" s="44">
        <f t="shared" si="32"/>
        <v>200</v>
      </c>
      <c r="G993" s="85" t="s">
        <v>1915</v>
      </c>
      <c r="H993" s="46" t="s">
        <v>18</v>
      </c>
      <c r="I993" s="47"/>
      <c r="J993" s="48" t="s">
        <v>42</v>
      </c>
      <c r="K993" s="86" t="s">
        <v>1916</v>
      </c>
      <c r="L993" s="87" t="s">
        <v>780</v>
      </c>
      <c r="M993" s="87" t="s">
        <v>781</v>
      </c>
      <c r="N993" s="14" t="s">
        <v>27</v>
      </c>
      <c r="O993" s="14" t="s">
        <v>28</v>
      </c>
      <c r="P993" s="161">
        <v>2.5</v>
      </c>
      <c r="Q993" s="47">
        <f t="shared" si="33"/>
        <v>500</v>
      </c>
      <c r="R993" s="47"/>
      <c r="S993" s="47"/>
      <c r="T993" s="47"/>
    </row>
    <row r="994" customHeight="1" spans="1:20">
      <c r="A994" s="43">
        <v>61023</v>
      </c>
      <c r="B994" s="78" t="s">
        <v>790</v>
      </c>
      <c r="C994" s="78"/>
      <c r="D994" s="43">
        <v>100</v>
      </c>
      <c r="E994" s="78" t="s">
        <v>21</v>
      </c>
      <c r="F994" s="44">
        <f t="shared" si="32"/>
        <v>200</v>
      </c>
      <c r="G994" s="85" t="s">
        <v>1917</v>
      </c>
      <c r="H994" s="46" t="s">
        <v>18</v>
      </c>
      <c r="I994" s="47"/>
      <c r="J994" s="48" t="s">
        <v>42</v>
      </c>
      <c r="K994" s="86">
        <v>61021</v>
      </c>
      <c r="L994" s="87" t="s">
        <v>780</v>
      </c>
      <c r="M994" s="87" t="s">
        <v>781</v>
      </c>
      <c r="N994" s="14" t="s">
        <v>27</v>
      </c>
      <c r="O994" s="14" t="s">
        <v>28</v>
      </c>
      <c r="P994" s="161">
        <v>3</v>
      </c>
      <c r="Q994" s="47">
        <f t="shared" si="33"/>
        <v>600</v>
      </c>
      <c r="R994" s="47"/>
      <c r="S994" s="47"/>
      <c r="T994" s="47"/>
    </row>
    <row r="995" customHeight="1" spans="1:20">
      <c r="A995" s="43">
        <v>61024</v>
      </c>
      <c r="B995" s="78" t="s">
        <v>790</v>
      </c>
      <c r="C995" s="78"/>
      <c r="D995" s="43">
        <v>100</v>
      </c>
      <c r="E995" s="78" t="s">
        <v>21</v>
      </c>
      <c r="F995" s="44">
        <f t="shared" si="32"/>
        <v>200</v>
      </c>
      <c r="G995" s="85" t="s">
        <v>1918</v>
      </c>
      <c r="H995" s="46" t="s">
        <v>18</v>
      </c>
      <c r="I995" s="47"/>
      <c r="J995" s="48" t="s">
        <v>42</v>
      </c>
      <c r="K995" s="86">
        <v>61022</v>
      </c>
      <c r="L995" s="87" t="s">
        <v>780</v>
      </c>
      <c r="M995" s="87" t="s">
        <v>781</v>
      </c>
      <c r="N995" s="14" t="s">
        <v>27</v>
      </c>
      <c r="O995" s="14" t="s">
        <v>28</v>
      </c>
      <c r="P995" s="161">
        <v>3.5</v>
      </c>
      <c r="Q995" s="47">
        <f t="shared" si="33"/>
        <v>700</v>
      </c>
      <c r="R995" s="47"/>
      <c r="S995" s="47"/>
      <c r="T995" s="47"/>
    </row>
    <row r="996" customHeight="1" spans="1:20">
      <c r="A996" s="43">
        <v>61025</v>
      </c>
      <c r="B996" s="78" t="s">
        <v>790</v>
      </c>
      <c r="C996" s="78"/>
      <c r="D996" s="43">
        <v>100</v>
      </c>
      <c r="E996" s="78" t="s">
        <v>21</v>
      </c>
      <c r="F996" s="44">
        <f t="shared" si="32"/>
        <v>200</v>
      </c>
      <c r="G996" s="85" t="s">
        <v>1919</v>
      </c>
      <c r="H996" s="46" t="s">
        <v>18</v>
      </c>
      <c r="I996" s="47"/>
      <c r="J996" s="48" t="s">
        <v>42</v>
      </c>
      <c r="K996" s="86">
        <v>61023</v>
      </c>
      <c r="L996" s="87" t="s">
        <v>780</v>
      </c>
      <c r="M996" s="87" t="s">
        <v>781</v>
      </c>
      <c r="N996" s="14" t="s">
        <v>27</v>
      </c>
      <c r="O996" s="14" t="s">
        <v>28</v>
      </c>
      <c r="P996" s="161">
        <v>5</v>
      </c>
      <c r="Q996" s="47">
        <f t="shared" si="33"/>
        <v>1000</v>
      </c>
      <c r="R996" s="47"/>
      <c r="S996" s="47"/>
      <c r="T996" s="47"/>
    </row>
    <row r="997" customHeight="1" spans="1:20">
      <c r="A997" s="43">
        <v>61026</v>
      </c>
      <c r="B997" s="78" t="s">
        <v>790</v>
      </c>
      <c r="C997" s="78"/>
      <c r="D997" s="43">
        <v>20</v>
      </c>
      <c r="E997" s="78" t="s">
        <v>21</v>
      </c>
      <c r="F997" s="44">
        <f t="shared" si="32"/>
        <v>40</v>
      </c>
      <c r="G997" s="85" t="s">
        <v>1920</v>
      </c>
      <c r="H997" s="46" t="s">
        <v>18</v>
      </c>
      <c r="I997" s="47"/>
      <c r="J997" s="48" t="s">
        <v>42</v>
      </c>
      <c r="K997" s="86">
        <v>61024</v>
      </c>
      <c r="L997" s="87" t="s">
        <v>780</v>
      </c>
      <c r="M997" s="87" t="s">
        <v>781</v>
      </c>
      <c r="N997" s="14" t="s">
        <v>27</v>
      </c>
      <c r="O997" s="14" t="s">
        <v>28</v>
      </c>
      <c r="P997" s="161">
        <v>8</v>
      </c>
      <c r="Q997" s="47">
        <f t="shared" si="33"/>
        <v>320</v>
      </c>
      <c r="R997" s="47"/>
      <c r="S997" s="47"/>
      <c r="T997" s="47"/>
    </row>
    <row r="998" customHeight="1" spans="1:20">
      <c r="A998" s="43">
        <v>61027</v>
      </c>
      <c r="B998" s="78" t="s">
        <v>790</v>
      </c>
      <c r="C998" s="78"/>
      <c r="D998" s="43">
        <v>20</v>
      </c>
      <c r="E998" s="78" t="s">
        <v>21</v>
      </c>
      <c r="F998" s="44">
        <f t="shared" si="32"/>
        <v>40</v>
      </c>
      <c r="G998" s="85" t="s">
        <v>1921</v>
      </c>
      <c r="H998" s="46" t="s">
        <v>18</v>
      </c>
      <c r="I998" s="47"/>
      <c r="J998" s="48" t="s">
        <v>42</v>
      </c>
      <c r="K998" s="86">
        <v>61025</v>
      </c>
      <c r="L998" s="87" t="s">
        <v>780</v>
      </c>
      <c r="M998" s="87" t="s">
        <v>781</v>
      </c>
      <c r="N998" s="14" t="s">
        <v>27</v>
      </c>
      <c r="O998" s="14" t="s">
        <v>28</v>
      </c>
      <c r="P998" s="161">
        <v>12</v>
      </c>
      <c r="Q998" s="47">
        <f t="shared" si="33"/>
        <v>480</v>
      </c>
      <c r="R998" s="47"/>
      <c r="S998" s="47"/>
      <c r="T998" s="47"/>
    </row>
    <row r="999" customHeight="1" spans="1:20">
      <c r="A999" s="43">
        <v>61033</v>
      </c>
      <c r="B999" s="78" t="s">
        <v>793</v>
      </c>
      <c r="C999" s="78"/>
      <c r="D999" s="43">
        <v>100</v>
      </c>
      <c r="E999" s="78" t="s">
        <v>21</v>
      </c>
      <c r="F999" s="44">
        <f t="shared" si="32"/>
        <v>200</v>
      </c>
      <c r="G999" s="85" t="s">
        <v>1922</v>
      </c>
      <c r="H999" s="46" t="s">
        <v>18</v>
      </c>
      <c r="I999" s="47"/>
      <c r="J999" s="48" t="s">
        <v>42</v>
      </c>
      <c r="K999" s="86">
        <v>61033</v>
      </c>
      <c r="L999" s="87" t="s">
        <v>780</v>
      </c>
      <c r="M999" s="87" t="s">
        <v>781</v>
      </c>
      <c r="N999" s="14" t="s">
        <v>27</v>
      </c>
      <c r="O999" s="14" t="s">
        <v>28</v>
      </c>
      <c r="P999" s="161">
        <v>13</v>
      </c>
      <c r="Q999" s="47">
        <f t="shared" si="33"/>
        <v>2600</v>
      </c>
      <c r="R999" s="47"/>
      <c r="S999" s="47"/>
      <c r="T999" s="47"/>
    </row>
    <row r="1000" customHeight="1" spans="1:20">
      <c r="A1000" s="43">
        <v>61034</v>
      </c>
      <c r="B1000" s="78" t="s">
        <v>793</v>
      </c>
      <c r="C1000" s="78"/>
      <c r="D1000" s="43">
        <v>100</v>
      </c>
      <c r="E1000" s="78" t="s">
        <v>21</v>
      </c>
      <c r="F1000" s="44">
        <f t="shared" si="32"/>
        <v>200</v>
      </c>
      <c r="G1000" s="85" t="s">
        <v>1922</v>
      </c>
      <c r="H1000" s="46" t="s">
        <v>18</v>
      </c>
      <c r="I1000" s="47"/>
      <c r="J1000" s="48" t="s">
        <v>42</v>
      </c>
      <c r="K1000" s="86">
        <v>61033</v>
      </c>
      <c r="L1000" s="87" t="s">
        <v>780</v>
      </c>
      <c r="M1000" s="87" t="s">
        <v>781</v>
      </c>
      <c r="N1000" s="14" t="s">
        <v>27</v>
      </c>
      <c r="O1000" s="14" t="s">
        <v>28</v>
      </c>
      <c r="P1000" s="161">
        <v>15</v>
      </c>
      <c r="Q1000" s="47">
        <f t="shared" si="33"/>
        <v>3000</v>
      </c>
      <c r="R1000" s="47"/>
      <c r="S1000" s="47"/>
      <c r="T1000" s="47"/>
    </row>
    <row r="1001" customHeight="1" spans="1:20">
      <c r="A1001" s="43">
        <v>61035</v>
      </c>
      <c r="B1001" s="78" t="s">
        <v>793</v>
      </c>
      <c r="C1001" s="78"/>
      <c r="D1001" s="43">
        <v>100</v>
      </c>
      <c r="E1001" s="78" t="s">
        <v>21</v>
      </c>
      <c r="F1001" s="44">
        <f t="shared" si="32"/>
        <v>200</v>
      </c>
      <c r="G1001" s="85" t="s">
        <v>1923</v>
      </c>
      <c r="H1001" s="46" t="s">
        <v>18</v>
      </c>
      <c r="I1001" s="47"/>
      <c r="J1001" s="48" t="s">
        <v>42</v>
      </c>
      <c r="K1001" s="86" t="s">
        <v>795</v>
      </c>
      <c r="L1001" s="87" t="s">
        <v>780</v>
      </c>
      <c r="M1001" s="87" t="s">
        <v>781</v>
      </c>
      <c r="N1001" s="14" t="s">
        <v>27</v>
      </c>
      <c r="O1001" s="14" t="s">
        <v>28</v>
      </c>
      <c r="P1001" s="161">
        <v>15</v>
      </c>
      <c r="Q1001" s="47">
        <f t="shared" si="33"/>
        <v>3000</v>
      </c>
      <c r="R1001" s="47"/>
      <c r="S1001" s="47"/>
      <c r="T1001" s="47"/>
    </row>
    <row r="1002" customHeight="1" spans="1:20">
      <c r="A1002" s="43">
        <v>61036</v>
      </c>
      <c r="B1002" s="78" t="s">
        <v>793</v>
      </c>
      <c r="C1002" s="78"/>
      <c r="D1002" s="43">
        <v>5</v>
      </c>
      <c r="E1002" s="78" t="s">
        <v>21</v>
      </c>
      <c r="F1002" s="44">
        <f t="shared" si="32"/>
        <v>10</v>
      </c>
      <c r="G1002" s="85" t="s">
        <v>1924</v>
      </c>
      <c r="H1002" s="46" t="s">
        <v>18</v>
      </c>
      <c r="I1002" s="47"/>
      <c r="J1002" s="48" t="s">
        <v>42</v>
      </c>
      <c r="K1002" s="86" t="s">
        <v>797</v>
      </c>
      <c r="L1002" s="87" t="s">
        <v>780</v>
      </c>
      <c r="M1002" s="87" t="s">
        <v>781</v>
      </c>
      <c r="N1002" s="14" t="s">
        <v>27</v>
      </c>
      <c r="O1002" s="14" t="s">
        <v>28</v>
      </c>
      <c r="P1002" s="161">
        <v>13</v>
      </c>
      <c r="Q1002" s="47">
        <f t="shared" si="33"/>
        <v>130</v>
      </c>
      <c r="R1002" s="47"/>
      <c r="S1002" s="47"/>
      <c r="T1002" s="47"/>
    </row>
    <row r="1003" customHeight="1" spans="1:20">
      <c r="A1003" s="43">
        <v>61041</v>
      </c>
      <c r="B1003" s="78" t="s">
        <v>1925</v>
      </c>
      <c r="C1003" s="78"/>
      <c r="D1003" s="43">
        <v>100</v>
      </c>
      <c r="E1003" s="78" t="s">
        <v>21</v>
      </c>
      <c r="F1003" s="44">
        <f t="shared" si="32"/>
        <v>200</v>
      </c>
      <c r="G1003" s="85" t="s">
        <v>1926</v>
      </c>
      <c r="H1003" s="46" t="s">
        <v>18</v>
      </c>
      <c r="I1003" s="47"/>
      <c r="J1003" s="48" t="s">
        <v>42</v>
      </c>
      <c r="K1003" s="86">
        <v>61041</v>
      </c>
      <c r="L1003" s="87" t="s">
        <v>780</v>
      </c>
      <c r="M1003" s="87" t="s">
        <v>781</v>
      </c>
      <c r="N1003" s="14" t="s">
        <v>27</v>
      </c>
      <c r="O1003" s="14" t="s">
        <v>28</v>
      </c>
      <c r="P1003" s="161">
        <v>6</v>
      </c>
      <c r="Q1003" s="47">
        <f t="shared" si="33"/>
        <v>1200</v>
      </c>
      <c r="R1003" s="47"/>
      <c r="S1003" s="47"/>
      <c r="T1003" s="47"/>
    </row>
    <row r="1004" customHeight="1" spans="1:20">
      <c r="A1004" s="43">
        <v>61042</v>
      </c>
      <c r="B1004" s="78" t="s">
        <v>1925</v>
      </c>
      <c r="C1004" s="78"/>
      <c r="D1004" s="43">
        <v>100</v>
      </c>
      <c r="E1004" s="78" t="s">
        <v>21</v>
      </c>
      <c r="F1004" s="44">
        <f t="shared" si="32"/>
        <v>200</v>
      </c>
      <c r="G1004" s="85" t="s">
        <v>1927</v>
      </c>
      <c r="H1004" s="46" t="s">
        <v>18</v>
      </c>
      <c r="I1004" s="47"/>
      <c r="J1004" s="48" t="s">
        <v>42</v>
      </c>
      <c r="K1004" s="86">
        <v>61042</v>
      </c>
      <c r="L1004" s="87" t="s">
        <v>780</v>
      </c>
      <c r="M1004" s="87" t="s">
        <v>781</v>
      </c>
      <c r="N1004" s="14" t="s">
        <v>27</v>
      </c>
      <c r="O1004" s="14" t="s">
        <v>28</v>
      </c>
      <c r="P1004" s="161">
        <v>8</v>
      </c>
      <c r="Q1004" s="47">
        <f t="shared" si="33"/>
        <v>1600</v>
      </c>
      <c r="R1004" s="47"/>
      <c r="S1004" s="47"/>
      <c r="T1004" s="47"/>
    </row>
    <row r="1005" customHeight="1" spans="1:20">
      <c r="A1005" s="43">
        <v>61051</v>
      </c>
      <c r="B1005" s="78" t="s">
        <v>1928</v>
      </c>
      <c r="C1005" s="78"/>
      <c r="D1005" s="43">
        <v>100</v>
      </c>
      <c r="E1005" s="78" t="s">
        <v>21</v>
      </c>
      <c r="F1005" s="44">
        <f t="shared" si="32"/>
        <v>200</v>
      </c>
      <c r="G1005" s="85" t="s">
        <v>1929</v>
      </c>
      <c r="H1005" s="46" t="s">
        <v>18</v>
      </c>
      <c r="I1005" s="47"/>
      <c r="J1005" s="48" t="s">
        <v>42</v>
      </c>
      <c r="K1005" s="86">
        <v>61051</v>
      </c>
      <c r="L1005" s="87" t="s">
        <v>780</v>
      </c>
      <c r="M1005" s="87" t="s">
        <v>781</v>
      </c>
      <c r="N1005" s="14" t="s">
        <v>27</v>
      </c>
      <c r="O1005" s="14" t="s">
        <v>28</v>
      </c>
      <c r="P1005" s="161">
        <v>9</v>
      </c>
      <c r="Q1005" s="47">
        <f t="shared" si="33"/>
        <v>1800</v>
      </c>
      <c r="R1005" s="47"/>
      <c r="S1005" s="47"/>
      <c r="T1005" s="47"/>
    </row>
    <row r="1006" customHeight="1" spans="1:20">
      <c r="A1006" s="43">
        <v>61054</v>
      </c>
      <c r="B1006" s="78" t="s">
        <v>1930</v>
      </c>
      <c r="C1006" s="78"/>
      <c r="D1006" s="43">
        <v>5</v>
      </c>
      <c r="E1006" s="78" t="s">
        <v>21</v>
      </c>
      <c r="F1006" s="44">
        <f t="shared" si="32"/>
        <v>10</v>
      </c>
      <c r="G1006" s="85" t="s">
        <v>1931</v>
      </c>
      <c r="H1006" s="46" t="s">
        <v>18</v>
      </c>
      <c r="I1006" s="47"/>
      <c r="J1006" s="48" t="s">
        <v>42</v>
      </c>
      <c r="K1006" s="86">
        <v>61054</v>
      </c>
      <c r="L1006" s="87" t="s">
        <v>780</v>
      </c>
      <c r="M1006" s="87" t="s">
        <v>781</v>
      </c>
      <c r="N1006" s="14" t="s">
        <v>27</v>
      </c>
      <c r="O1006" s="14" t="s">
        <v>28</v>
      </c>
      <c r="P1006" s="161">
        <v>15</v>
      </c>
      <c r="Q1006" s="47">
        <f t="shared" si="33"/>
        <v>150</v>
      </c>
      <c r="R1006" s="47"/>
      <c r="S1006" s="47"/>
      <c r="T1006" s="47"/>
    </row>
    <row r="1007" customHeight="1" spans="1:20">
      <c r="A1007" s="43">
        <v>62</v>
      </c>
      <c r="B1007" s="2" t="s">
        <v>38</v>
      </c>
      <c r="C1007" s="2"/>
      <c r="D1007" s="6"/>
      <c r="E1007" s="2"/>
      <c r="F1007" s="44">
        <f t="shared" si="32"/>
        <v>0</v>
      </c>
      <c r="G1007" s="77"/>
      <c r="H1007" s="46"/>
      <c r="I1007" s="47"/>
      <c r="J1007" s="48"/>
      <c r="K1007" s="94"/>
      <c r="L1007" s="95"/>
      <c r="M1007" s="95"/>
      <c r="O1007" s="14" t="s">
        <v>28</v>
      </c>
      <c r="P1007" s="51"/>
      <c r="Q1007" s="47">
        <f t="shared" si="33"/>
        <v>0</v>
      </c>
      <c r="R1007" s="47"/>
      <c r="S1007" s="47"/>
      <c r="T1007" s="47">
        <v>2</v>
      </c>
    </row>
    <row r="1008" customHeight="1" spans="1:20">
      <c r="A1008" s="43">
        <v>62001</v>
      </c>
      <c r="B1008" s="78" t="s">
        <v>798</v>
      </c>
      <c r="C1008" s="78"/>
      <c r="D1008" s="43">
        <v>100</v>
      </c>
      <c r="E1008" s="78" t="s">
        <v>21</v>
      </c>
      <c r="F1008" s="44">
        <f t="shared" si="32"/>
        <v>200</v>
      </c>
      <c r="G1008" s="85" t="s">
        <v>1932</v>
      </c>
      <c r="H1008" s="46" t="s">
        <v>18</v>
      </c>
      <c r="I1008" s="47"/>
      <c r="J1008" s="48" t="s">
        <v>42</v>
      </c>
      <c r="K1008" s="86">
        <v>62001</v>
      </c>
      <c r="L1008" s="87" t="s">
        <v>780</v>
      </c>
      <c r="M1008" s="87" t="s">
        <v>781</v>
      </c>
      <c r="N1008" s="14" t="s">
        <v>27</v>
      </c>
      <c r="O1008" s="14" t="s">
        <v>28</v>
      </c>
      <c r="P1008" s="161">
        <v>2.5</v>
      </c>
      <c r="Q1008" s="47">
        <f t="shared" si="33"/>
        <v>500</v>
      </c>
      <c r="R1008" s="47"/>
      <c r="S1008" s="47"/>
      <c r="T1008" s="47"/>
    </row>
    <row r="1009" customHeight="1" spans="1:20">
      <c r="A1009" s="43">
        <v>62001</v>
      </c>
      <c r="B1009" s="78" t="s">
        <v>798</v>
      </c>
      <c r="C1009" s="78"/>
      <c r="D1009" s="43">
        <v>2</v>
      </c>
      <c r="E1009" s="78" t="s">
        <v>21</v>
      </c>
      <c r="F1009" s="44">
        <f t="shared" si="32"/>
        <v>4</v>
      </c>
      <c r="G1009" s="117" t="s">
        <v>1933</v>
      </c>
      <c r="H1009" s="46" t="s">
        <v>18</v>
      </c>
      <c r="I1009" s="47"/>
      <c r="J1009" s="48" t="s">
        <v>42</v>
      </c>
      <c r="K1009" s="118">
        <v>62001</v>
      </c>
      <c r="L1009" s="119" t="s">
        <v>780</v>
      </c>
      <c r="M1009" s="119" t="s">
        <v>781</v>
      </c>
      <c r="N1009" s="14" t="s">
        <v>27</v>
      </c>
      <c r="O1009" s="14" t="s">
        <v>28</v>
      </c>
      <c r="P1009" s="161">
        <v>4</v>
      </c>
      <c r="Q1009" s="47">
        <f t="shared" si="33"/>
        <v>16</v>
      </c>
      <c r="R1009" s="47"/>
      <c r="S1009" s="47"/>
      <c r="T1009" s="47"/>
    </row>
    <row r="1010" customHeight="1" spans="1:20">
      <c r="A1010" s="43">
        <v>62001</v>
      </c>
      <c r="B1010" s="78" t="s">
        <v>798</v>
      </c>
      <c r="C1010" s="78"/>
      <c r="D1010" s="43">
        <v>2</v>
      </c>
      <c r="E1010" s="78" t="s">
        <v>21</v>
      </c>
      <c r="F1010" s="44">
        <f t="shared" si="32"/>
        <v>4</v>
      </c>
      <c r="G1010" s="117" t="s">
        <v>1934</v>
      </c>
      <c r="H1010" s="46" t="s">
        <v>18</v>
      </c>
      <c r="I1010" s="47"/>
      <c r="J1010" s="48" t="s">
        <v>42</v>
      </c>
      <c r="K1010" s="118">
        <v>62001</v>
      </c>
      <c r="L1010" s="119" t="s">
        <v>780</v>
      </c>
      <c r="M1010" s="119" t="s">
        <v>781</v>
      </c>
      <c r="N1010" s="14" t="s">
        <v>27</v>
      </c>
      <c r="O1010" s="14" t="s">
        <v>28</v>
      </c>
      <c r="P1010" s="161">
        <v>14</v>
      </c>
      <c r="Q1010" s="47">
        <f t="shared" si="33"/>
        <v>56</v>
      </c>
      <c r="R1010" s="47"/>
      <c r="S1010" s="47"/>
      <c r="T1010" s="47"/>
    </row>
    <row r="1011" customHeight="1" spans="1:20">
      <c r="A1011" s="43">
        <v>62002</v>
      </c>
      <c r="B1011" s="78" t="s">
        <v>1935</v>
      </c>
      <c r="C1011" s="78"/>
      <c r="D1011" s="43">
        <v>2</v>
      </c>
      <c r="E1011" s="78" t="s">
        <v>21</v>
      </c>
      <c r="F1011" s="44">
        <f t="shared" si="32"/>
        <v>4</v>
      </c>
      <c r="G1011" s="85" t="s">
        <v>1931</v>
      </c>
      <c r="H1011" s="46" t="s">
        <v>18</v>
      </c>
      <c r="I1011" s="47"/>
      <c r="J1011" s="48" t="s">
        <v>42</v>
      </c>
      <c r="K1011" s="86">
        <v>62002</v>
      </c>
      <c r="L1011" s="87" t="s">
        <v>780</v>
      </c>
      <c r="M1011" s="87" t="s">
        <v>781</v>
      </c>
      <c r="N1011" s="14" t="s">
        <v>27</v>
      </c>
      <c r="O1011" s="14" t="s">
        <v>28</v>
      </c>
      <c r="P1011" s="161">
        <v>26</v>
      </c>
      <c r="Q1011" s="47">
        <f t="shared" si="33"/>
        <v>104</v>
      </c>
      <c r="R1011" s="47"/>
      <c r="S1011" s="47"/>
      <c r="T1011" s="47"/>
    </row>
    <row r="1012" customHeight="1" spans="1:20">
      <c r="A1012" s="43">
        <v>62003</v>
      </c>
      <c r="B1012" s="78" t="s">
        <v>1936</v>
      </c>
      <c r="C1012" s="78"/>
      <c r="D1012" s="43">
        <v>2</v>
      </c>
      <c r="E1012" s="78" t="s">
        <v>21</v>
      </c>
      <c r="F1012" s="44">
        <f t="shared" si="32"/>
        <v>4</v>
      </c>
      <c r="G1012" s="85" t="s">
        <v>1931</v>
      </c>
      <c r="H1012" s="46" t="s">
        <v>18</v>
      </c>
      <c r="I1012" s="47"/>
      <c r="J1012" s="48" t="s">
        <v>42</v>
      </c>
      <c r="K1012" s="86">
        <v>62003</v>
      </c>
      <c r="L1012" s="87" t="s">
        <v>780</v>
      </c>
      <c r="M1012" s="87" t="s">
        <v>781</v>
      </c>
      <c r="N1012" s="14" t="s">
        <v>27</v>
      </c>
      <c r="O1012" s="14" t="s">
        <v>28</v>
      </c>
      <c r="P1012" s="161">
        <v>16</v>
      </c>
      <c r="Q1012" s="47">
        <f t="shared" si="33"/>
        <v>64</v>
      </c>
      <c r="R1012" s="47"/>
      <c r="S1012" s="47"/>
      <c r="T1012" s="47"/>
    </row>
    <row r="1013" customHeight="1" spans="1:20">
      <c r="A1013" s="43">
        <v>62004</v>
      </c>
      <c r="B1013" s="78" t="s">
        <v>1937</v>
      </c>
      <c r="C1013" s="78"/>
      <c r="D1013" s="43">
        <v>2</v>
      </c>
      <c r="E1013" s="78" t="s">
        <v>21</v>
      </c>
      <c r="F1013" s="44">
        <f t="shared" si="32"/>
        <v>4</v>
      </c>
      <c r="G1013" s="85" t="s">
        <v>1938</v>
      </c>
      <c r="H1013" s="46" t="s">
        <v>18</v>
      </c>
      <c r="I1013" s="47"/>
      <c r="J1013" s="48" t="s">
        <v>42</v>
      </c>
      <c r="K1013" s="86">
        <v>62004</v>
      </c>
      <c r="L1013" s="87" t="s">
        <v>780</v>
      </c>
      <c r="M1013" s="87" t="s">
        <v>781</v>
      </c>
      <c r="N1013" s="14" t="s">
        <v>27</v>
      </c>
      <c r="O1013" s="14" t="s">
        <v>28</v>
      </c>
      <c r="P1013" s="161">
        <v>16</v>
      </c>
      <c r="Q1013" s="47">
        <f t="shared" si="33"/>
        <v>64</v>
      </c>
      <c r="R1013" s="47"/>
      <c r="S1013" s="47"/>
      <c r="T1013" s="47"/>
    </row>
    <row r="1014" customHeight="1" spans="1:20">
      <c r="A1014" s="43">
        <v>62005</v>
      </c>
      <c r="B1014" s="78" t="s">
        <v>1939</v>
      </c>
      <c r="C1014" s="78"/>
      <c r="D1014" s="43">
        <v>2</v>
      </c>
      <c r="E1014" s="78" t="s">
        <v>21</v>
      </c>
      <c r="F1014" s="44">
        <f t="shared" si="32"/>
        <v>4</v>
      </c>
      <c r="G1014" s="79" t="s">
        <v>1940</v>
      </c>
      <c r="H1014" s="46" t="s">
        <v>18</v>
      </c>
      <c r="I1014" s="47"/>
      <c r="J1014" s="48" t="s">
        <v>42</v>
      </c>
      <c r="K1014" s="80">
        <v>62005</v>
      </c>
      <c r="L1014" s="81" t="s">
        <v>780</v>
      </c>
      <c r="M1014" s="81" t="s">
        <v>781</v>
      </c>
      <c r="N1014" s="14" t="s">
        <v>27</v>
      </c>
      <c r="O1014" s="14" t="s">
        <v>28</v>
      </c>
      <c r="P1014" s="161">
        <v>12</v>
      </c>
      <c r="Q1014" s="47">
        <f t="shared" si="33"/>
        <v>48</v>
      </c>
      <c r="R1014" s="47"/>
      <c r="S1014" s="47"/>
      <c r="T1014" s="47"/>
    </row>
    <row r="1015" customHeight="1" spans="1:20">
      <c r="A1015" s="43">
        <v>62006</v>
      </c>
      <c r="B1015" s="78" t="s">
        <v>1941</v>
      </c>
      <c r="C1015" s="78"/>
      <c r="D1015" s="43">
        <v>4</v>
      </c>
      <c r="E1015" s="78" t="s">
        <v>21</v>
      </c>
      <c r="F1015" s="44">
        <f t="shared" si="32"/>
        <v>8</v>
      </c>
      <c r="G1015" s="85" t="s">
        <v>1942</v>
      </c>
      <c r="H1015" s="46" t="s">
        <v>18</v>
      </c>
      <c r="I1015" s="47"/>
      <c r="J1015" s="48" t="s">
        <v>42</v>
      </c>
      <c r="K1015" s="86">
        <v>62006</v>
      </c>
      <c r="L1015" s="87" t="s">
        <v>780</v>
      </c>
      <c r="M1015" s="87" t="s">
        <v>781</v>
      </c>
      <c r="N1015" s="14" t="s">
        <v>27</v>
      </c>
      <c r="O1015" s="14" t="s">
        <v>28</v>
      </c>
      <c r="P1015" s="161">
        <v>25</v>
      </c>
      <c r="Q1015" s="47">
        <f t="shared" si="33"/>
        <v>200</v>
      </c>
      <c r="R1015" s="47"/>
      <c r="S1015" s="47"/>
      <c r="T1015" s="47"/>
    </row>
    <row r="1016" customHeight="1" spans="1:20">
      <c r="A1016" s="43">
        <v>62007</v>
      </c>
      <c r="B1016" s="78" t="s">
        <v>1943</v>
      </c>
      <c r="C1016" s="78"/>
      <c r="D1016" s="43">
        <v>4</v>
      </c>
      <c r="E1016" s="78" t="s">
        <v>221</v>
      </c>
      <c r="F1016" s="44">
        <f t="shared" si="32"/>
        <v>8</v>
      </c>
      <c r="G1016" s="85" t="s">
        <v>1931</v>
      </c>
      <c r="H1016" s="46" t="s">
        <v>18</v>
      </c>
      <c r="I1016" s="47"/>
      <c r="J1016" s="48" t="s">
        <v>42</v>
      </c>
      <c r="K1016" s="86">
        <v>62007</v>
      </c>
      <c r="L1016" s="87" t="s">
        <v>780</v>
      </c>
      <c r="M1016" s="87" t="s">
        <v>781</v>
      </c>
      <c r="N1016" s="14" t="s">
        <v>27</v>
      </c>
      <c r="O1016" s="14" t="s">
        <v>28</v>
      </c>
      <c r="P1016" s="161">
        <v>68</v>
      </c>
      <c r="Q1016" s="47">
        <f t="shared" si="33"/>
        <v>544</v>
      </c>
      <c r="R1016" s="47"/>
      <c r="S1016" s="47"/>
      <c r="T1016" s="47"/>
    </row>
    <row r="1017" customHeight="1" spans="1:20">
      <c r="A1017" s="43">
        <v>62021</v>
      </c>
      <c r="B1017" s="78" t="s">
        <v>1944</v>
      </c>
      <c r="C1017" s="78"/>
      <c r="D1017" s="43">
        <v>100</v>
      </c>
      <c r="E1017" s="78" t="s">
        <v>221</v>
      </c>
      <c r="F1017" s="44">
        <f t="shared" si="32"/>
        <v>200</v>
      </c>
      <c r="G1017" s="85" t="s">
        <v>1945</v>
      </c>
      <c r="H1017" s="46" t="s">
        <v>18</v>
      </c>
      <c r="I1017" s="47"/>
      <c r="J1017" s="48" t="s">
        <v>42</v>
      </c>
      <c r="K1017" s="86">
        <v>62021</v>
      </c>
      <c r="L1017" s="87" t="s">
        <v>780</v>
      </c>
      <c r="M1017" s="87" t="s">
        <v>781</v>
      </c>
      <c r="N1017" s="14" t="s">
        <v>27</v>
      </c>
      <c r="O1017" s="14" t="s">
        <v>28</v>
      </c>
      <c r="P1017" s="161">
        <v>10</v>
      </c>
      <c r="Q1017" s="47">
        <f t="shared" si="33"/>
        <v>2000</v>
      </c>
      <c r="R1017" s="47"/>
      <c r="S1017" s="47"/>
      <c r="T1017" s="47"/>
    </row>
    <row r="1018" customHeight="1" spans="1:20">
      <c r="A1018" s="43">
        <v>62022</v>
      </c>
      <c r="B1018" s="78" t="s">
        <v>1944</v>
      </c>
      <c r="C1018" s="78"/>
      <c r="D1018" s="43">
        <v>1</v>
      </c>
      <c r="E1018" s="78" t="s">
        <v>221</v>
      </c>
      <c r="F1018" s="44">
        <f t="shared" si="32"/>
        <v>2</v>
      </c>
      <c r="G1018" s="85" t="s">
        <v>1946</v>
      </c>
      <c r="H1018" s="46" t="s">
        <v>18</v>
      </c>
      <c r="I1018" s="47"/>
      <c r="J1018" s="48" t="s">
        <v>42</v>
      </c>
      <c r="K1018" s="86">
        <v>62022</v>
      </c>
      <c r="L1018" s="87" t="s">
        <v>780</v>
      </c>
      <c r="M1018" s="87" t="s">
        <v>781</v>
      </c>
      <c r="N1018" s="14" t="s">
        <v>27</v>
      </c>
      <c r="O1018" s="14" t="s">
        <v>28</v>
      </c>
      <c r="P1018" s="161">
        <v>16</v>
      </c>
      <c r="Q1018" s="47">
        <f t="shared" si="33"/>
        <v>32</v>
      </c>
      <c r="R1018" s="47"/>
      <c r="S1018" s="47"/>
      <c r="T1018" s="47"/>
    </row>
    <row r="1019" customHeight="1" spans="1:20">
      <c r="A1019" s="43">
        <v>62023</v>
      </c>
      <c r="B1019" s="78" t="s">
        <v>1947</v>
      </c>
      <c r="C1019" s="78"/>
      <c r="D1019" s="43">
        <v>2</v>
      </c>
      <c r="E1019" s="78" t="s">
        <v>21</v>
      </c>
      <c r="F1019" s="44">
        <f t="shared" si="32"/>
        <v>4</v>
      </c>
      <c r="G1019" s="85" t="s">
        <v>1948</v>
      </c>
      <c r="H1019" s="46" t="s">
        <v>18</v>
      </c>
      <c r="I1019" s="47"/>
      <c r="J1019" s="48" t="s">
        <v>42</v>
      </c>
      <c r="K1019" s="86">
        <v>62023</v>
      </c>
      <c r="L1019" s="87" t="s">
        <v>780</v>
      </c>
      <c r="M1019" s="87" t="s">
        <v>781</v>
      </c>
      <c r="N1019" s="14" t="s">
        <v>27</v>
      </c>
      <c r="O1019" s="14" t="s">
        <v>28</v>
      </c>
      <c r="P1019" s="161">
        <v>2.8</v>
      </c>
      <c r="Q1019" s="47">
        <f t="shared" si="33"/>
        <v>11.2</v>
      </c>
      <c r="R1019" s="47"/>
      <c r="S1019" s="47"/>
      <c r="T1019" s="47"/>
    </row>
    <row r="1020" customHeight="1" spans="1:20">
      <c r="A1020" s="43">
        <v>62031</v>
      </c>
      <c r="B1020" s="78" t="s">
        <v>800</v>
      </c>
      <c r="C1020" s="78"/>
      <c r="D1020" s="43">
        <v>100</v>
      </c>
      <c r="E1020" s="78" t="s">
        <v>21</v>
      </c>
      <c r="F1020" s="44">
        <f t="shared" si="32"/>
        <v>200</v>
      </c>
      <c r="G1020" s="85" t="s">
        <v>1949</v>
      </c>
      <c r="H1020" s="46" t="s">
        <v>18</v>
      </c>
      <c r="I1020" s="47"/>
      <c r="J1020" s="48" t="s">
        <v>42</v>
      </c>
      <c r="K1020" s="86">
        <v>62031</v>
      </c>
      <c r="L1020" s="87" t="s">
        <v>780</v>
      </c>
      <c r="M1020" s="87" t="s">
        <v>781</v>
      </c>
      <c r="N1020" s="14" t="s">
        <v>27</v>
      </c>
      <c r="O1020" s="14" t="s">
        <v>28</v>
      </c>
      <c r="P1020" s="161">
        <v>4</v>
      </c>
      <c r="Q1020" s="47">
        <f t="shared" si="33"/>
        <v>800</v>
      </c>
      <c r="R1020" s="47"/>
      <c r="S1020" s="47"/>
      <c r="T1020" s="47"/>
    </row>
    <row r="1021" customHeight="1" spans="1:20">
      <c r="A1021" s="43">
        <v>62032</v>
      </c>
      <c r="B1021" s="78" t="s">
        <v>800</v>
      </c>
      <c r="C1021" s="78"/>
      <c r="D1021" s="43">
        <v>6</v>
      </c>
      <c r="E1021" s="78" t="s">
        <v>21</v>
      </c>
      <c r="F1021" s="44">
        <f t="shared" si="32"/>
        <v>12</v>
      </c>
      <c r="G1021" s="85" t="s">
        <v>801</v>
      </c>
      <c r="H1021" s="46" t="s">
        <v>18</v>
      </c>
      <c r="I1021" s="47"/>
      <c r="J1021" s="48" t="s">
        <v>42</v>
      </c>
      <c r="K1021" s="86">
        <v>62032</v>
      </c>
      <c r="L1021" s="87" t="s">
        <v>780</v>
      </c>
      <c r="M1021" s="87" t="s">
        <v>781</v>
      </c>
      <c r="N1021" s="14" t="s">
        <v>27</v>
      </c>
      <c r="O1021" s="14" t="s">
        <v>28</v>
      </c>
      <c r="P1021" s="161">
        <v>6</v>
      </c>
      <c r="Q1021" s="47">
        <f t="shared" si="33"/>
        <v>72</v>
      </c>
      <c r="R1021" s="47"/>
      <c r="S1021" s="47"/>
      <c r="T1021" s="47"/>
    </row>
    <row r="1022" customHeight="1" spans="1:20">
      <c r="A1022" s="43">
        <v>62033</v>
      </c>
      <c r="B1022" s="78" t="s">
        <v>1950</v>
      </c>
      <c r="C1022" s="78"/>
      <c r="D1022" s="43">
        <v>5</v>
      </c>
      <c r="E1022" s="78" t="s">
        <v>21</v>
      </c>
      <c r="F1022" s="44">
        <f t="shared" si="32"/>
        <v>10</v>
      </c>
      <c r="G1022" s="85" t="s">
        <v>1951</v>
      </c>
      <c r="H1022" s="46" t="s">
        <v>18</v>
      </c>
      <c r="I1022" s="47"/>
      <c r="J1022" s="48" t="s">
        <v>42</v>
      </c>
      <c r="K1022" s="86">
        <v>62033</v>
      </c>
      <c r="L1022" s="87" t="s">
        <v>780</v>
      </c>
      <c r="M1022" s="87" t="s">
        <v>781</v>
      </c>
      <c r="N1022" s="14" t="s">
        <v>27</v>
      </c>
      <c r="O1022" s="14" t="s">
        <v>28</v>
      </c>
      <c r="P1022" s="161">
        <v>5</v>
      </c>
      <c r="Q1022" s="47">
        <f t="shared" si="33"/>
        <v>50</v>
      </c>
      <c r="R1022" s="47"/>
      <c r="S1022" s="47"/>
      <c r="T1022" s="47"/>
    </row>
    <row r="1023" customHeight="1" spans="1:20">
      <c r="A1023" s="43">
        <v>62034</v>
      </c>
      <c r="B1023" s="78" t="s">
        <v>1950</v>
      </c>
      <c r="C1023" s="78"/>
      <c r="D1023" s="43">
        <v>2</v>
      </c>
      <c r="E1023" s="78" t="s">
        <v>21</v>
      </c>
      <c r="F1023" s="44">
        <f t="shared" si="32"/>
        <v>4</v>
      </c>
      <c r="G1023" s="85" t="s">
        <v>1952</v>
      </c>
      <c r="H1023" s="46" t="s">
        <v>18</v>
      </c>
      <c r="I1023" s="47"/>
      <c r="J1023" s="48" t="s">
        <v>42</v>
      </c>
      <c r="K1023" s="86">
        <v>62034</v>
      </c>
      <c r="L1023" s="87" t="s">
        <v>780</v>
      </c>
      <c r="M1023" s="87" t="s">
        <v>781</v>
      </c>
      <c r="N1023" s="14" t="s">
        <v>27</v>
      </c>
      <c r="O1023" s="14" t="s">
        <v>28</v>
      </c>
      <c r="P1023" s="161">
        <v>7</v>
      </c>
      <c r="Q1023" s="47">
        <f t="shared" si="33"/>
        <v>28</v>
      </c>
      <c r="R1023" s="47"/>
      <c r="S1023" s="47"/>
      <c r="T1023" s="47"/>
    </row>
    <row r="1024" customHeight="1" spans="1:20">
      <c r="A1024" s="43">
        <v>62035</v>
      </c>
      <c r="B1024" s="78" t="s">
        <v>802</v>
      </c>
      <c r="C1024" s="78"/>
      <c r="D1024" s="43">
        <f>D833/2</f>
        <v>28</v>
      </c>
      <c r="E1024" s="78" t="s">
        <v>21</v>
      </c>
      <c r="F1024" s="44">
        <f t="shared" si="32"/>
        <v>56</v>
      </c>
      <c r="G1024" s="85" t="s">
        <v>1953</v>
      </c>
      <c r="H1024" s="46" t="s">
        <v>18</v>
      </c>
      <c r="I1024" s="47"/>
      <c r="J1024" s="48" t="s">
        <v>42</v>
      </c>
      <c r="K1024" s="86">
        <v>62035</v>
      </c>
      <c r="L1024" s="87" t="s">
        <v>780</v>
      </c>
      <c r="M1024" s="87" t="s">
        <v>781</v>
      </c>
      <c r="N1024" s="14" t="s">
        <v>27</v>
      </c>
      <c r="O1024" s="14" t="s">
        <v>28</v>
      </c>
      <c r="P1024" s="161">
        <v>16</v>
      </c>
      <c r="Q1024" s="47">
        <f t="shared" si="33"/>
        <v>896</v>
      </c>
      <c r="R1024" s="47"/>
      <c r="S1024" s="47"/>
      <c r="T1024" s="47"/>
    </row>
    <row r="1025" customHeight="1" spans="1:20">
      <c r="A1025" s="43">
        <v>62036</v>
      </c>
      <c r="B1025" s="78" t="s">
        <v>802</v>
      </c>
      <c r="C1025" s="78"/>
      <c r="D1025" s="43">
        <f>D833/2</f>
        <v>28</v>
      </c>
      <c r="E1025" s="78" t="s">
        <v>21</v>
      </c>
      <c r="F1025" s="44">
        <f t="shared" si="32"/>
        <v>56</v>
      </c>
      <c r="G1025" s="85" t="s">
        <v>1954</v>
      </c>
      <c r="H1025" s="46" t="s">
        <v>18</v>
      </c>
      <c r="I1025" s="47"/>
      <c r="J1025" s="48" t="s">
        <v>42</v>
      </c>
      <c r="K1025" s="86">
        <v>62036</v>
      </c>
      <c r="L1025" s="87" t="s">
        <v>780</v>
      </c>
      <c r="M1025" s="87" t="s">
        <v>781</v>
      </c>
      <c r="N1025" s="14" t="s">
        <v>27</v>
      </c>
      <c r="O1025" s="14" t="s">
        <v>28</v>
      </c>
      <c r="P1025" s="161">
        <v>14</v>
      </c>
      <c r="Q1025" s="47">
        <f t="shared" si="33"/>
        <v>784</v>
      </c>
      <c r="R1025" s="47"/>
      <c r="S1025" s="47"/>
      <c r="T1025" s="47"/>
    </row>
    <row r="1026" customHeight="1" spans="1:20">
      <c r="A1026" s="43">
        <v>62039</v>
      </c>
      <c r="B1026" s="78" t="s">
        <v>1955</v>
      </c>
      <c r="C1026" s="78"/>
      <c r="D1026" s="43">
        <v>2</v>
      </c>
      <c r="E1026" s="78" t="s">
        <v>21</v>
      </c>
      <c r="F1026" s="44">
        <f t="shared" ref="F1026:F1089" si="34">D1026*2</f>
        <v>4</v>
      </c>
      <c r="G1026" s="85" t="s">
        <v>1956</v>
      </c>
      <c r="H1026" s="46" t="s">
        <v>18</v>
      </c>
      <c r="I1026" s="47"/>
      <c r="J1026" s="48" t="s">
        <v>42</v>
      </c>
      <c r="K1026" s="86">
        <v>62039</v>
      </c>
      <c r="L1026" s="87" t="s">
        <v>780</v>
      </c>
      <c r="M1026" s="87" t="s">
        <v>781</v>
      </c>
      <c r="N1026" s="14" t="s">
        <v>27</v>
      </c>
      <c r="O1026" s="14" t="s">
        <v>28</v>
      </c>
      <c r="P1026" s="161">
        <v>10</v>
      </c>
      <c r="Q1026" s="47">
        <f t="shared" si="33"/>
        <v>40</v>
      </c>
      <c r="R1026" s="47"/>
      <c r="S1026" s="47"/>
      <c r="T1026" s="47"/>
    </row>
    <row r="1027" customHeight="1" spans="1:20">
      <c r="A1027" s="43">
        <v>62071</v>
      </c>
      <c r="B1027" s="78" t="s">
        <v>806</v>
      </c>
      <c r="C1027" s="78"/>
      <c r="D1027" s="43">
        <f>D833/2</f>
        <v>28</v>
      </c>
      <c r="E1027" s="78" t="s">
        <v>21</v>
      </c>
      <c r="F1027" s="44">
        <f t="shared" si="34"/>
        <v>56</v>
      </c>
      <c r="G1027" s="85" t="s">
        <v>1957</v>
      </c>
      <c r="H1027" s="46" t="s">
        <v>18</v>
      </c>
      <c r="I1027" s="47"/>
      <c r="J1027" s="48" t="s">
        <v>42</v>
      </c>
      <c r="K1027" s="86">
        <v>62071</v>
      </c>
      <c r="L1027" s="87" t="s">
        <v>780</v>
      </c>
      <c r="M1027" s="87" t="s">
        <v>781</v>
      </c>
      <c r="N1027" s="14" t="s">
        <v>27</v>
      </c>
      <c r="O1027" s="14" t="s">
        <v>28</v>
      </c>
      <c r="P1027" s="161">
        <v>2</v>
      </c>
      <c r="Q1027" s="47">
        <f t="shared" si="33"/>
        <v>112</v>
      </c>
      <c r="R1027" s="47"/>
      <c r="S1027" s="47"/>
      <c r="T1027" s="47"/>
    </row>
    <row r="1028" customHeight="1" spans="1:20">
      <c r="A1028" s="43">
        <v>62072</v>
      </c>
      <c r="B1028" s="78" t="s">
        <v>1958</v>
      </c>
      <c r="C1028" s="78"/>
      <c r="D1028" s="43">
        <f>D833/2</f>
        <v>28</v>
      </c>
      <c r="E1028" s="78" t="s">
        <v>221</v>
      </c>
      <c r="F1028" s="44">
        <f t="shared" si="34"/>
        <v>56</v>
      </c>
      <c r="G1028" s="85" t="s">
        <v>1957</v>
      </c>
      <c r="H1028" s="46" t="s">
        <v>18</v>
      </c>
      <c r="I1028" s="47"/>
      <c r="J1028" s="48" t="s">
        <v>42</v>
      </c>
      <c r="K1028" s="86">
        <v>62072</v>
      </c>
      <c r="L1028" s="87" t="s">
        <v>780</v>
      </c>
      <c r="M1028" s="87" t="s">
        <v>781</v>
      </c>
      <c r="N1028" s="14" t="s">
        <v>27</v>
      </c>
      <c r="O1028" s="14" t="s">
        <v>28</v>
      </c>
      <c r="P1028" s="161">
        <v>2</v>
      </c>
      <c r="Q1028" s="47">
        <f t="shared" ref="Q1028:Q1091" si="35">P1028*F1028</f>
        <v>112</v>
      </c>
      <c r="R1028" s="47"/>
      <c r="S1028" s="47"/>
      <c r="T1028" s="47"/>
    </row>
    <row r="1029" customHeight="1" spans="1:20">
      <c r="A1029" s="43">
        <v>62074</v>
      </c>
      <c r="B1029" s="78" t="s">
        <v>1959</v>
      </c>
      <c r="C1029" s="78"/>
      <c r="D1029" s="43">
        <v>3</v>
      </c>
      <c r="E1029" s="78" t="s">
        <v>221</v>
      </c>
      <c r="F1029" s="44">
        <f t="shared" si="34"/>
        <v>6</v>
      </c>
      <c r="G1029" s="85" t="s">
        <v>1960</v>
      </c>
      <c r="H1029" s="46" t="s">
        <v>18</v>
      </c>
      <c r="I1029" s="47"/>
      <c r="J1029" s="48" t="s">
        <v>42</v>
      </c>
      <c r="K1029" s="86">
        <v>62074</v>
      </c>
      <c r="L1029" s="87" t="s">
        <v>780</v>
      </c>
      <c r="M1029" s="87" t="s">
        <v>781</v>
      </c>
      <c r="N1029" s="14" t="s">
        <v>27</v>
      </c>
      <c r="O1029" s="14" t="s">
        <v>28</v>
      </c>
      <c r="P1029" s="161">
        <v>1.5</v>
      </c>
      <c r="Q1029" s="47">
        <f t="shared" si="35"/>
        <v>9</v>
      </c>
      <c r="R1029" s="47"/>
      <c r="S1029" s="47"/>
      <c r="T1029" s="47"/>
    </row>
    <row r="1030" customHeight="1" spans="1:20">
      <c r="A1030" s="43">
        <v>62075</v>
      </c>
      <c r="B1030" s="78" t="s">
        <v>1961</v>
      </c>
      <c r="C1030" s="78"/>
      <c r="D1030" s="43">
        <f>D833</f>
        <v>56</v>
      </c>
      <c r="E1030" s="78" t="s">
        <v>221</v>
      </c>
      <c r="F1030" s="44">
        <f t="shared" si="34"/>
        <v>112</v>
      </c>
      <c r="G1030" s="85" t="s">
        <v>1962</v>
      </c>
      <c r="H1030" s="46" t="s">
        <v>18</v>
      </c>
      <c r="I1030" s="47"/>
      <c r="J1030" s="48" t="s">
        <v>42</v>
      </c>
      <c r="K1030" s="86">
        <v>62075</v>
      </c>
      <c r="L1030" s="87" t="s">
        <v>780</v>
      </c>
      <c r="M1030" s="87" t="s">
        <v>781</v>
      </c>
      <c r="N1030" s="14" t="s">
        <v>27</v>
      </c>
      <c r="O1030" s="14" t="s">
        <v>28</v>
      </c>
      <c r="P1030" s="161">
        <v>2.5</v>
      </c>
      <c r="Q1030" s="47">
        <f t="shared" si="35"/>
        <v>280</v>
      </c>
      <c r="R1030" s="47"/>
      <c r="S1030" s="47"/>
      <c r="T1030" s="47"/>
    </row>
    <row r="1031" customHeight="1" spans="1:20">
      <c r="A1031" s="43">
        <v>62076</v>
      </c>
      <c r="B1031" s="78" t="s">
        <v>1961</v>
      </c>
      <c r="C1031" s="78"/>
      <c r="D1031" s="43">
        <f>D833</f>
        <v>56</v>
      </c>
      <c r="E1031" s="78" t="s">
        <v>221</v>
      </c>
      <c r="F1031" s="44">
        <f t="shared" si="34"/>
        <v>112</v>
      </c>
      <c r="G1031" s="85" t="s">
        <v>1963</v>
      </c>
      <c r="H1031" s="46" t="s">
        <v>18</v>
      </c>
      <c r="I1031" s="47"/>
      <c r="J1031" s="48" t="s">
        <v>42</v>
      </c>
      <c r="K1031" s="86">
        <v>62076</v>
      </c>
      <c r="L1031" s="87" t="s">
        <v>780</v>
      </c>
      <c r="M1031" s="87" t="s">
        <v>781</v>
      </c>
      <c r="N1031" s="14" t="s">
        <v>27</v>
      </c>
      <c r="O1031" s="14" t="s">
        <v>28</v>
      </c>
      <c r="P1031" s="161">
        <v>2.5</v>
      </c>
      <c r="Q1031" s="47">
        <f t="shared" si="35"/>
        <v>280</v>
      </c>
      <c r="R1031" s="47"/>
      <c r="S1031" s="47"/>
      <c r="T1031" s="47"/>
    </row>
    <row r="1032" customHeight="1" spans="1:20">
      <c r="A1032" s="43">
        <v>62076</v>
      </c>
      <c r="B1032" s="78" t="s">
        <v>1961</v>
      </c>
      <c r="C1032" s="78"/>
      <c r="D1032" s="43">
        <v>3</v>
      </c>
      <c r="E1032" s="78" t="s">
        <v>221</v>
      </c>
      <c r="F1032" s="44">
        <f t="shared" si="34"/>
        <v>6</v>
      </c>
      <c r="G1032" s="85" t="s">
        <v>1964</v>
      </c>
      <c r="H1032" s="46" t="s">
        <v>18</v>
      </c>
      <c r="I1032" s="47"/>
      <c r="J1032" s="48" t="s">
        <v>42</v>
      </c>
      <c r="K1032" s="86">
        <v>62076</v>
      </c>
      <c r="L1032" s="87" t="s">
        <v>780</v>
      </c>
      <c r="M1032" s="87" t="s">
        <v>781</v>
      </c>
      <c r="N1032" s="14" t="s">
        <v>27</v>
      </c>
      <c r="O1032" s="14" t="s">
        <v>28</v>
      </c>
      <c r="P1032" s="161">
        <v>4</v>
      </c>
      <c r="Q1032" s="47">
        <f t="shared" si="35"/>
        <v>24</v>
      </c>
      <c r="R1032" s="47"/>
      <c r="S1032" s="47"/>
      <c r="T1032" s="47"/>
    </row>
    <row r="1033" customHeight="1" spans="1:20">
      <c r="A1033" s="43">
        <v>62077</v>
      </c>
      <c r="B1033" s="78" t="s">
        <v>1961</v>
      </c>
      <c r="C1033" s="78"/>
      <c r="D1033" s="43">
        <v>3</v>
      </c>
      <c r="E1033" s="78" t="s">
        <v>221</v>
      </c>
      <c r="F1033" s="44">
        <f t="shared" si="34"/>
        <v>6</v>
      </c>
      <c r="G1033" s="85" t="s">
        <v>1965</v>
      </c>
      <c r="H1033" s="46" t="s">
        <v>18</v>
      </c>
      <c r="I1033" s="47"/>
      <c r="J1033" s="48" t="s">
        <v>42</v>
      </c>
      <c r="K1033" s="86">
        <v>62077</v>
      </c>
      <c r="L1033" s="87" t="s">
        <v>780</v>
      </c>
      <c r="M1033" s="87" t="s">
        <v>781</v>
      </c>
      <c r="N1033" s="14" t="s">
        <v>27</v>
      </c>
      <c r="O1033" s="14" t="s">
        <v>28</v>
      </c>
      <c r="P1033" s="161">
        <v>4</v>
      </c>
      <c r="Q1033" s="47">
        <f t="shared" si="35"/>
        <v>24</v>
      </c>
      <c r="R1033" s="47"/>
      <c r="S1033" s="47"/>
      <c r="T1033" s="47"/>
    </row>
    <row r="1034" customHeight="1" spans="1:20">
      <c r="A1034" s="43">
        <v>62078</v>
      </c>
      <c r="B1034" s="78" t="s">
        <v>1966</v>
      </c>
      <c r="C1034" s="78"/>
      <c r="D1034" s="43">
        <v>100</v>
      </c>
      <c r="E1034" s="78" t="s">
        <v>221</v>
      </c>
      <c r="F1034" s="44">
        <f t="shared" si="34"/>
        <v>200</v>
      </c>
      <c r="G1034" s="85" t="s">
        <v>1894</v>
      </c>
      <c r="H1034" s="46" t="s">
        <v>18</v>
      </c>
      <c r="I1034" s="47"/>
      <c r="J1034" s="48" t="s">
        <v>42</v>
      </c>
      <c r="K1034" s="86">
        <v>62078</v>
      </c>
      <c r="L1034" s="87" t="s">
        <v>780</v>
      </c>
      <c r="M1034" s="87" t="s">
        <v>781</v>
      </c>
      <c r="N1034" s="14" t="s">
        <v>27</v>
      </c>
      <c r="O1034" s="14" t="s">
        <v>28</v>
      </c>
      <c r="P1034" s="161">
        <v>5</v>
      </c>
      <c r="Q1034" s="47">
        <f t="shared" si="35"/>
        <v>1000</v>
      </c>
      <c r="R1034" s="47"/>
      <c r="S1034" s="47"/>
      <c r="T1034" s="47"/>
    </row>
    <row r="1035" customHeight="1" spans="1:20">
      <c r="A1035" s="43">
        <v>62079</v>
      </c>
      <c r="B1035" s="78" t="s">
        <v>1967</v>
      </c>
      <c r="C1035" s="78"/>
      <c r="D1035" s="43">
        <v>5</v>
      </c>
      <c r="E1035" s="78" t="s">
        <v>221</v>
      </c>
      <c r="F1035" s="44">
        <f t="shared" si="34"/>
        <v>10</v>
      </c>
      <c r="G1035" s="85" t="s">
        <v>1951</v>
      </c>
      <c r="H1035" s="46" t="s">
        <v>18</v>
      </c>
      <c r="I1035" s="47"/>
      <c r="J1035" s="48" t="s">
        <v>42</v>
      </c>
      <c r="K1035" s="86">
        <v>62079</v>
      </c>
      <c r="L1035" s="87" t="s">
        <v>780</v>
      </c>
      <c r="M1035" s="87" t="s">
        <v>781</v>
      </c>
      <c r="N1035" s="14" t="s">
        <v>27</v>
      </c>
      <c r="O1035" s="14" t="s">
        <v>28</v>
      </c>
      <c r="P1035" s="161">
        <v>7</v>
      </c>
      <c r="Q1035" s="47">
        <f t="shared" si="35"/>
        <v>70</v>
      </c>
      <c r="R1035" s="47"/>
      <c r="S1035" s="47"/>
      <c r="T1035" s="47"/>
    </row>
    <row r="1036" customHeight="1" spans="1:20">
      <c r="A1036" s="43">
        <v>62080</v>
      </c>
      <c r="B1036" s="78" t="s">
        <v>1967</v>
      </c>
      <c r="C1036" s="78"/>
      <c r="D1036" s="43">
        <v>2</v>
      </c>
      <c r="E1036" s="78" t="s">
        <v>221</v>
      </c>
      <c r="F1036" s="44">
        <f t="shared" si="34"/>
        <v>4</v>
      </c>
      <c r="G1036" s="85" t="s">
        <v>1968</v>
      </c>
      <c r="H1036" s="46" t="s">
        <v>18</v>
      </c>
      <c r="I1036" s="47"/>
      <c r="J1036" s="48" t="s">
        <v>42</v>
      </c>
      <c r="K1036" s="86">
        <v>62080</v>
      </c>
      <c r="L1036" s="87" t="s">
        <v>780</v>
      </c>
      <c r="M1036" s="87" t="s">
        <v>781</v>
      </c>
      <c r="N1036" s="14" t="s">
        <v>27</v>
      </c>
      <c r="O1036" s="14" t="s">
        <v>28</v>
      </c>
      <c r="P1036" s="161">
        <v>13.5</v>
      </c>
      <c r="Q1036" s="47">
        <f t="shared" si="35"/>
        <v>54</v>
      </c>
      <c r="R1036" s="47"/>
      <c r="S1036" s="47"/>
      <c r="T1036" s="47"/>
    </row>
    <row r="1037" customHeight="1" spans="1:20">
      <c r="A1037" s="43">
        <v>62091</v>
      </c>
      <c r="B1037" s="78" t="s">
        <v>1969</v>
      </c>
      <c r="C1037" s="78"/>
      <c r="D1037" s="43">
        <v>8</v>
      </c>
      <c r="E1037" s="78" t="s">
        <v>21</v>
      </c>
      <c r="F1037" s="44">
        <f t="shared" si="34"/>
        <v>16</v>
      </c>
      <c r="G1037" s="85" t="s">
        <v>1970</v>
      </c>
      <c r="H1037" s="46" t="s">
        <v>18</v>
      </c>
      <c r="I1037" s="47"/>
      <c r="J1037" s="48" t="s">
        <v>42</v>
      </c>
      <c r="K1037" s="86">
        <v>62091</v>
      </c>
      <c r="L1037" s="87" t="s">
        <v>780</v>
      </c>
      <c r="M1037" s="87" t="s">
        <v>781</v>
      </c>
      <c r="N1037" s="14" t="s">
        <v>27</v>
      </c>
      <c r="O1037" s="14" t="s">
        <v>28</v>
      </c>
      <c r="P1037" s="161">
        <v>14</v>
      </c>
      <c r="Q1037" s="47">
        <f t="shared" si="35"/>
        <v>224</v>
      </c>
      <c r="R1037" s="47"/>
      <c r="S1037" s="47"/>
      <c r="T1037" s="47"/>
    </row>
    <row r="1038" customHeight="1" spans="1:20">
      <c r="A1038" s="43">
        <v>62092</v>
      </c>
      <c r="B1038" s="78" t="s">
        <v>1969</v>
      </c>
      <c r="C1038" s="78"/>
      <c r="D1038" s="43">
        <v>4</v>
      </c>
      <c r="E1038" s="78" t="s">
        <v>21</v>
      </c>
      <c r="F1038" s="44">
        <f t="shared" si="34"/>
        <v>8</v>
      </c>
      <c r="G1038" s="85" t="s">
        <v>1971</v>
      </c>
      <c r="H1038" s="46" t="s">
        <v>18</v>
      </c>
      <c r="I1038" s="47"/>
      <c r="J1038" s="48" t="s">
        <v>42</v>
      </c>
      <c r="K1038" s="86">
        <v>62092</v>
      </c>
      <c r="L1038" s="87" t="s">
        <v>780</v>
      </c>
      <c r="M1038" s="87" t="s">
        <v>781</v>
      </c>
      <c r="N1038" s="14" t="s">
        <v>27</v>
      </c>
      <c r="O1038" s="14" t="s">
        <v>28</v>
      </c>
      <c r="P1038" s="161">
        <v>16</v>
      </c>
      <c r="Q1038" s="47">
        <f t="shared" si="35"/>
        <v>128</v>
      </c>
      <c r="R1038" s="47"/>
      <c r="S1038" s="47"/>
      <c r="T1038" s="47"/>
    </row>
    <row r="1039" customHeight="1" spans="1:20">
      <c r="A1039" s="43">
        <v>62093</v>
      </c>
      <c r="B1039" s="78" t="s">
        <v>1972</v>
      </c>
      <c r="C1039" s="78"/>
      <c r="D1039" s="43">
        <v>2</v>
      </c>
      <c r="E1039" s="78" t="s">
        <v>21</v>
      </c>
      <c r="F1039" s="44">
        <f t="shared" si="34"/>
        <v>4</v>
      </c>
      <c r="G1039" s="85" t="s">
        <v>1973</v>
      </c>
      <c r="H1039" s="46" t="s">
        <v>18</v>
      </c>
      <c r="I1039" s="47"/>
      <c r="J1039" s="48" t="s">
        <v>42</v>
      </c>
      <c r="K1039" s="86">
        <v>62093</v>
      </c>
      <c r="L1039" s="87" t="s">
        <v>780</v>
      </c>
      <c r="M1039" s="87" t="s">
        <v>781</v>
      </c>
      <c r="N1039" s="14" t="s">
        <v>27</v>
      </c>
      <c r="O1039" s="14" t="s">
        <v>28</v>
      </c>
      <c r="P1039" s="161">
        <v>32</v>
      </c>
      <c r="Q1039" s="47">
        <f t="shared" si="35"/>
        <v>128</v>
      </c>
      <c r="R1039" s="47"/>
      <c r="S1039" s="47"/>
      <c r="T1039" s="47"/>
    </row>
    <row r="1040" customHeight="1" spans="1:20">
      <c r="A1040" s="43">
        <v>62095</v>
      </c>
      <c r="B1040" s="78" t="s">
        <v>1974</v>
      </c>
      <c r="C1040" s="78"/>
      <c r="D1040" s="43">
        <v>100</v>
      </c>
      <c r="E1040" s="78" t="s">
        <v>21</v>
      </c>
      <c r="F1040" s="44">
        <f t="shared" si="34"/>
        <v>200</v>
      </c>
      <c r="G1040" s="85" t="s">
        <v>1975</v>
      </c>
      <c r="H1040" s="46" t="s">
        <v>18</v>
      </c>
      <c r="I1040" s="47"/>
      <c r="J1040" s="48" t="s">
        <v>42</v>
      </c>
      <c r="K1040" s="86">
        <v>62095</v>
      </c>
      <c r="L1040" s="87" t="s">
        <v>780</v>
      </c>
      <c r="M1040" s="87" t="s">
        <v>781</v>
      </c>
      <c r="N1040" s="14" t="s">
        <v>27</v>
      </c>
      <c r="O1040" s="14" t="s">
        <v>28</v>
      </c>
      <c r="P1040" s="161">
        <v>4</v>
      </c>
      <c r="Q1040" s="47">
        <f t="shared" si="35"/>
        <v>800</v>
      </c>
      <c r="R1040" s="47"/>
      <c r="S1040" s="47"/>
      <c r="T1040" s="47"/>
    </row>
    <row r="1041" customHeight="1" spans="1:20">
      <c r="A1041" s="43">
        <v>63</v>
      </c>
      <c r="B1041" s="2" t="s">
        <v>1976</v>
      </c>
      <c r="C1041" s="2"/>
      <c r="D1041" s="6"/>
      <c r="E1041" s="2"/>
      <c r="F1041" s="44">
        <f t="shared" si="34"/>
        <v>0</v>
      </c>
      <c r="G1041" s="77"/>
      <c r="H1041" s="46"/>
      <c r="I1041" s="47"/>
      <c r="J1041" s="48" t="s">
        <v>42</v>
      </c>
      <c r="K1041" s="94"/>
      <c r="L1041" s="95"/>
      <c r="M1041" s="95"/>
      <c r="O1041" s="14" t="s">
        <v>28</v>
      </c>
      <c r="P1041" s="51"/>
      <c r="Q1041" s="47">
        <f t="shared" si="35"/>
        <v>0</v>
      </c>
      <c r="R1041" s="47"/>
      <c r="S1041" s="47"/>
      <c r="T1041" s="47"/>
    </row>
    <row r="1042" customHeight="1" spans="1:20">
      <c r="A1042" s="43">
        <v>63002</v>
      </c>
      <c r="B1042" s="78" t="s">
        <v>1977</v>
      </c>
      <c r="C1042" s="78"/>
      <c r="D1042" s="43">
        <f>D833*3</f>
        <v>168</v>
      </c>
      <c r="E1042" s="78" t="s">
        <v>21</v>
      </c>
      <c r="F1042" s="44">
        <f t="shared" si="34"/>
        <v>336</v>
      </c>
      <c r="G1042" s="85" t="s">
        <v>1978</v>
      </c>
      <c r="H1042" s="46" t="s">
        <v>18</v>
      </c>
      <c r="I1042" s="47"/>
      <c r="J1042" s="48" t="s">
        <v>42</v>
      </c>
      <c r="K1042" s="86">
        <v>63002</v>
      </c>
      <c r="L1042" s="87" t="s">
        <v>780</v>
      </c>
      <c r="M1042" s="87" t="s">
        <v>781</v>
      </c>
      <c r="N1042" s="14" t="s">
        <v>27</v>
      </c>
      <c r="O1042" s="14" t="s">
        <v>28</v>
      </c>
      <c r="P1042" s="161">
        <v>3</v>
      </c>
      <c r="Q1042" s="47">
        <f t="shared" si="35"/>
        <v>1008</v>
      </c>
      <c r="R1042" s="47"/>
      <c r="S1042" s="47"/>
      <c r="T1042" s="47"/>
    </row>
    <row r="1043" customHeight="1" spans="1:20">
      <c r="A1043" s="43">
        <v>63003</v>
      </c>
      <c r="B1043" s="78" t="s">
        <v>1977</v>
      </c>
      <c r="C1043" s="78"/>
      <c r="D1043" s="43">
        <v>20</v>
      </c>
      <c r="E1043" s="78" t="s">
        <v>21</v>
      </c>
      <c r="F1043" s="44">
        <f t="shared" si="34"/>
        <v>40</v>
      </c>
      <c r="G1043" s="85" t="s">
        <v>1979</v>
      </c>
      <c r="H1043" s="46" t="s">
        <v>18</v>
      </c>
      <c r="I1043" s="47"/>
      <c r="J1043" s="48" t="s">
        <v>42</v>
      </c>
      <c r="K1043" s="86">
        <v>63003</v>
      </c>
      <c r="L1043" s="87" t="s">
        <v>780</v>
      </c>
      <c r="M1043" s="87" t="s">
        <v>781</v>
      </c>
      <c r="N1043" s="14" t="s">
        <v>27</v>
      </c>
      <c r="O1043" s="14" t="s">
        <v>28</v>
      </c>
      <c r="P1043" s="161">
        <v>4</v>
      </c>
      <c r="Q1043" s="47">
        <f t="shared" si="35"/>
        <v>160</v>
      </c>
      <c r="R1043" s="47"/>
      <c r="S1043" s="47"/>
      <c r="T1043" s="47"/>
    </row>
    <row r="1044" customHeight="1" spans="1:20">
      <c r="A1044" s="43">
        <v>63004</v>
      </c>
      <c r="B1044" s="78" t="s">
        <v>1977</v>
      </c>
      <c r="C1044" s="78"/>
      <c r="D1044" s="43">
        <v>5</v>
      </c>
      <c r="E1044" s="78" t="s">
        <v>21</v>
      </c>
      <c r="F1044" s="44">
        <f t="shared" si="34"/>
        <v>10</v>
      </c>
      <c r="G1044" s="85" t="s">
        <v>1980</v>
      </c>
      <c r="H1044" s="46" t="s">
        <v>18</v>
      </c>
      <c r="I1044" s="47"/>
      <c r="J1044" s="48" t="s">
        <v>42</v>
      </c>
      <c r="K1044" s="86">
        <v>63004</v>
      </c>
      <c r="L1044" s="87" t="s">
        <v>780</v>
      </c>
      <c r="M1044" s="87" t="s">
        <v>781</v>
      </c>
      <c r="N1044" s="14" t="s">
        <v>27</v>
      </c>
      <c r="O1044" s="14" t="s">
        <v>28</v>
      </c>
      <c r="P1044" s="161">
        <v>4.5</v>
      </c>
      <c r="Q1044" s="47">
        <f t="shared" si="35"/>
        <v>45</v>
      </c>
      <c r="R1044" s="47"/>
      <c r="S1044" s="47"/>
      <c r="T1044" s="47"/>
    </row>
    <row r="1045" customHeight="1" spans="1:20">
      <c r="A1045" s="43">
        <v>63005</v>
      </c>
      <c r="B1045" s="78" t="s">
        <v>1981</v>
      </c>
      <c r="C1045" s="78"/>
      <c r="D1045" s="43">
        <v>5</v>
      </c>
      <c r="E1045" s="78" t="s">
        <v>21</v>
      </c>
      <c r="F1045" s="44">
        <f t="shared" si="34"/>
        <v>10</v>
      </c>
      <c r="G1045" s="85" t="s">
        <v>1931</v>
      </c>
      <c r="H1045" s="46" t="s">
        <v>18</v>
      </c>
      <c r="I1045" s="47"/>
      <c r="J1045" s="48" t="s">
        <v>42</v>
      </c>
      <c r="K1045" s="86">
        <v>63005</v>
      </c>
      <c r="L1045" s="87" t="s">
        <v>780</v>
      </c>
      <c r="M1045" s="87" t="s">
        <v>781</v>
      </c>
      <c r="N1045" s="14" t="s">
        <v>27</v>
      </c>
      <c r="O1045" s="14" t="s">
        <v>28</v>
      </c>
      <c r="P1045" s="161">
        <v>17</v>
      </c>
      <c r="Q1045" s="47">
        <f t="shared" si="35"/>
        <v>170</v>
      </c>
      <c r="R1045" s="47"/>
      <c r="S1045" s="47"/>
      <c r="T1045" s="47"/>
    </row>
    <row r="1046" customHeight="1" spans="1:20">
      <c r="A1046" s="43">
        <v>63011</v>
      </c>
      <c r="B1046" s="78" t="s">
        <v>1982</v>
      </c>
      <c r="C1046" s="78"/>
      <c r="D1046" s="43">
        <v>600</v>
      </c>
      <c r="E1046" s="78" t="s">
        <v>21</v>
      </c>
      <c r="F1046" s="44">
        <f t="shared" si="34"/>
        <v>1200</v>
      </c>
      <c r="G1046" s="85" t="s">
        <v>1983</v>
      </c>
      <c r="H1046" s="46" t="s">
        <v>18</v>
      </c>
      <c r="I1046" s="47"/>
      <c r="J1046" s="48" t="s">
        <v>42</v>
      </c>
      <c r="K1046" s="86">
        <v>63011</v>
      </c>
      <c r="L1046" s="87" t="s">
        <v>780</v>
      </c>
      <c r="M1046" s="87" t="s">
        <v>781</v>
      </c>
      <c r="N1046" s="14" t="s">
        <v>27</v>
      </c>
      <c r="O1046" s="14" t="s">
        <v>28</v>
      </c>
      <c r="P1046" s="161">
        <v>2.5</v>
      </c>
      <c r="Q1046" s="47">
        <f t="shared" si="35"/>
        <v>3000</v>
      </c>
      <c r="R1046" s="47"/>
      <c r="S1046" s="47"/>
      <c r="T1046" s="47"/>
    </row>
    <row r="1047" customHeight="1" spans="1:20">
      <c r="A1047" s="43">
        <v>63012</v>
      </c>
      <c r="B1047" s="78" t="s">
        <v>1982</v>
      </c>
      <c r="C1047" s="78"/>
      <c r="D1047" s="43">
        <v>80</v>
      </c>
      <c r="E1047" s="78" t="s">
        <v>21</v>
      </c>
      <c r="F1047" s="44">
        <f t="shared" si="34"/>
        <v>160</v>
      </c>
      <c r="G1047" s="85" t="s">
        <v>1984</v>
      </c>
      <c r="H1047" s="46" t="s">
        <v>18</v>
      </c>
      <c r="I1047" s="47"/>
      <c r="J1047" s="48" t="s">
        <v>42</v>
      </c>
      <c r="K1047" s="86">
        <v>63012</v>
      </c>
      <c r="L1047" s="87" t="s">
        <v>780</v>
      </c>
      <c r="M1047" s="87" t="s">
        <v>781</v>
      </c>
      <c r="N1047" s="14" t="s">
        <v>27</v>
      </c>
      <c r="O1047" s="14" t="s">
        <v>28</v>
      </c>
      <c r="P1047" s="161">
        <v>3.5</v>
      </c>
      <c r="Q1047" s="47">
        <f t="shared" si="35"/>
        <v>560</v>
      </c>
      <c r="R1047" s="47"/>
      <c r="S1047" s="47"/>
      <c r="T1047" s="47"/>
    </row>
    <row r="1048" customHeight="1" spans="1:20">
      <c r="A1048" s="43">
        <v>63013</v>
      </c>
      <c r="B1048" s="78" t="s">
        <v>1982</v>
      </c>
      <c r="C1048" s="78"/>
      <c r="D1048" s="43">
        <f>56</f>
        <v>56</v>
      </c>
      <c r="E1048" s="78" t="s">
        <v>21</v>
      </c>
      <c r="F1048" s="44">
        <f t="shared" si="34"/>
        <v>112</v>
      </c>
      <c r="G1048" s="85" t="s">
        <v>1985</v>
      </c>
      <c r="H1048" s="46" t="s">
        <v>18</v>
      </c>
      <c r="I1048" s="47"/>
      <c r="J1048" s="48" t="s">
        <v>42</v>
      </c>
      <c r="K1048" s="86">
        <v>63013</v>
      </c>
      <c r="L1048" s="87" t="s">
        <v>780</v>
      </c>
      <c r="M1048" s="87" t="s">
        <v>781</v>
      </c>
      <c r="N1048" s="14" t="s">
        <v>27</v>
      </c>
      <c r="O1048" s="14" t="s">
        <v>28</v>
      </c>
      <c r="P1048" s="161">
        <v>4.5</v>
      </c>
      <c r="Q1048" s="47">
        <f t="shared" si="35"/>
        <v>504</v>
      </c>
      <c r="R1048" s="47"/>
      <c r="S1048" s="47"/>
      <c r="T1048" s="47"/>
    </row>
    <row r="1049" customHeight="1" spans="1:20">
      <c r="A1049" s="43">
        <v>63014</v>
      </c>
      <c r="B1049" s="78" t="s">
        <v>1982</v>
      </c>
      <c r="C1049" s="78"/>
      <c r="D1049" s="43">
        <v>10</v>
      </c>
      <c r="E1049" s="78" t="s">
        <v>21</v>
      </c>
      <c r="F1049" s="44">
        <f t="shared" si="34"/>
        <v>20</v>
      </c>
      <c r="G1049" s="85" t="s">
        <v>1986</v>
      </c>
      <c r="H1049" s="46" t="s">
        <v>18</v>
      </c>
      <c r="I1049" s="47"/>
      <c r="J1049" s="48" t="s">
        <v>42</v>
      </c>
      <c r="K1049" s="86">
        <v>63014</v>
      </c>
      <c r="L1049" s="87" t="s">
        <v>780</v>
      </c>
      <c r="M1049" s="87" t="s">
        <v>781</v>
      </c>
      <c r="N1049" s="14" t="s">
        <v>27</v>
      </c>
      <c r="O1049" s="14" t="s">
        <v>28</v>
      </c>
      <c r="P1049" s="161">
        <v>6</v>
      </c>
      <c r="Q1049" s="47">
        <f t="shared" si="35"/>
        <v>120</v>
      </c>
      <c r="R1049" s="47"/>
      <c r="S1049" s="47"/>
      <c r="T1049" s="47"/>
    </row>
    <row r="1050" customHeight="1" spans="1:20">
      <c r="A1050" s="43">
        <v>63015</v>
      </c>
      <c r="B1050" s="78" t="s">
        <v>1982</v>
      </c>
      <c r="C1050" s="78"/>
      <c r="D1050" s="43">
        <v>100</v>
      </c>
      <c r="E1050" s="78" t="s">
        <v>21</v>
      </c>
      <c r="F1050" s="44">
        <f t="shared" si="34"/>
        <v>200</v>
      </c>
      <c r="G1050" s="85" t="s">
        <v>1987</v>
      </c>
      <c r="H1050" s="46" t="s">
        <v>18</v>
      </c>
      <c r="I1050" s="47"/>
      <c r="J1050" s="48" t="s">
        <v>42</v>
      </c>
      <c r="K1050" s="86">
        <v>63015</v>
      </c>
      <c r="L1050" s="87" t="s">
        <v>780</v>
      </c>
      <c r="M1050" s="87" t="s">
        <v>781</v>
      </c>
      <c r="N1050" s="14" t="s">
        <v>27</v>
      </c>
      <c r="O1050" s="14" t="s">
        <v>28</v>
      </c>
      <c r="P1050" s="161">
        <v>3</v>
      </c>
      <c r="Q1050" s="47">
        <f t="shared" si="35"/>
        <v>600</v>
      </c>
      <c r="R1050" s="47"/>
      <c r="S1050" s="47"/>
      <c r="T1050" s="47"/>
    </row>
    <row r="1051" customHeight="1" spans="1:20">
      <c r="A1051" s="43">
        <v>63016</v>
      </c>
      <c r="B1051" s="78" t="s">
        <v>1982</v>
      </c>
      <c r="C1051" s="78"/>
      <c r="D1051" s="43">
        <v>20</v>
      </c>
      <c r="E1051" s="78" t="s">
        <v>21</v>
      </c>
      <c r="F1051" s="44">
        <f t="shared" si="34"/>
        <v>40</v>
      </c>
      <c r="G1051" s="85" t="s">
        <v>1988</v>
      </c>
      <c r="H1051" s="46" t="s">
        <v>18</v>
      </c>
      <c r="I1051" s="47"/>
      <c r="J1051" s="48" t="s">
        <v>42</v>
      </c>
      <c r="K1051" s="86">
        <v>63016</v>
      </c>
      <c r="L1051" s="87" t="s">
        <v>780</v>
      </c>
      <c r="M1051" s="87" t="s">
        <v>781</v>
      </c>
      <c r="N1051" s="14" t="s">
        <v>27</v>
      </c>
      <c r="O1051" s="14" t="s">
        <v>28</v>
      </c>
      <c r="P1051" s="161">
        <v>4</v>
      </c>
      <c r="Q1051" s="47">
        <f t="shared" si="35"/>
        <v>160</v>
      </c>
      <c r="R1051" s="47"/>
      <c r="S1051" s="47"/>
      <c r="T1051" s="47"/>
    </row>
    <row r="1052" customHeight="1" spans="1:20">
      <c r="A1052" s="43">
        <v>63017</v>
      </c>
      <c r="B1052" s="78" t="s">
        <v>1982</v>
      </c>
      <c r="C1052" s="78"/>
      <c r="D1052" s="43">
        <v>20</v>
      </c>
      <c r="E1052" s="78" t="s">
        <v>21</v>
      </c>
      <c r="F1052" s="44">
        <f t="shared" si="34"/>
        <v>40</v>
      </c>
      <c r="G1052" s="85" t="s">
        <v>1989</v>
      </c>
      <c r="H1052" s="46" t="s">
        <v>18</v>
      </c>
      <c r="I1052" s="47"/>
      <c r="J1052" s="48" t="s">
        <v>42</v>
      </c>
      <c r="K1052" s="86">
        <v>63017</v>
      </c>
      <c r="L1052" s="87" t="s">
        <v>780</v>
      </c>
      <c r="M1052" s="87" t="s">
        <v>781</v>
      </c>
      <c r="N1052" s="14" t="s">
        <v>27</v>
      </c>
      <c r="O1052" s="14" t="s">
        <v>28</v>
      </c>
      <c r="P1052" s="161">
        <v>5</v>
      </c>
      <c r="Q1052" s="47">
        <f t="shared" si="35"/>
        <v>200</v>
      </c>
      <c r="R1052" s="47"/>
      <c r="S1052" s="47"/>
      <c r="T1052" s="47"/>
    </row>
    <row r="1053" customHeight="1" spans="1:20">
      <c r="A1053" s="43">
        <v>63021</v>
      </c>
      <c r="B1053" s="78" t="s">
        <v>1990</v>
      </c>
      <c r="C1053" s="78"/>
      <c r="D1053" s="43">
        <v>70</v>
      </c>
      <c r="E1053" s="78" t="s">
        <v>21</v>
      </c>
      <c r="F1053" s="44">
        <f t="shared" si="34"/>
        <v>140</v>
      </c>
      <c r="G1053" s="85" t="s">
        <v>1991</v>
      </c>
      <c r="H1053" s="46" t="s">
        <v>18</v>
      </c>
      <c r="I1053" s="47"/>
      <c r="J1053" s="48" t="s">
        <v>42</v>
      </c>
      <c r="K1053" s="86" t="s">
        <v>1992</v>
      </c>
      <c r="L1053" s="87" t="s">
        <v>780</v>
      </c>
      <c r="M1053" s="87" t="s">
        <v>781</v>
      </c>
      <c r="N1053" s="14" t="s">
        <v>27</v>
      </c>
      <c r="O1053" s="14" t="s">
        <v>28</v>
      </c>
      <c r="P1053" s="161">
        <v>2.5</v>
      </c>
      <c r="Q1053" s="47">
        <f t="shared" si="35"/>
        <v>350</v>
      </c>
      <c r="R1053" s="47"/>
      <c r="S1053" s="47"/>
      <c r="T1053" s="47"/>
    </row>
    <row r="1054" customHeight="1" spans="1:20">
      <c r="A1054" s="43">
        <v>63022</v>
      </c>
      <c r="B1054" s="78" t="s">
        <v>1990</v>
      </c>
      <c r="C1054" s="78"/>
      <c r="D1054" s="43">
        <v>600</v>
      </c>
      <c r="E1054" s="78" t="s">
        <v>21</v>
      </c>
      <c r="F1054" s="44">
        <f t="shared" si="34"/>
        <v>1200</v>
      </c>
      <c r="G1054" s="85" t="s">
        <v>1984</v>
      </c>
      <c r="H1054" s="46" t="s">
        <v>18</v>
      </c>
      <c r="I1054" s="47"/>
      <c r="J1054" s="48" t="s">
        <v>42</v>
      </c>
      <c r="K1054" s="86" t="s">
        <v>1993</v>
      </c>
      <c r="L1054" s="87" t="s">
        <v>780</v>
      </c>
      <c r="M1054" s="87" t="s">
        <v>781</v>
      </c>
      <c r="N1054" s="14" t="s">
        <v>27</v>
      </c>
      <c r="O1054" s="14" t="s">
        <v>28</v>
      </c>
      <c r="P1054" s="161">
        <v>3.5</v>
      </c>
      <c r="Q1054" s="47">
        <f t="shared" si="35"/>
        <v>4200</v>
      </c>
      <c r="R1054" s="47"/>
      <c r="S1054" s="47"/>
      <c r="T1054" s="47"/>
    </row>
    <row r="1055" customHeight="1" spans="1:20">
      <c r="A1055" s="43">
        <v>63023</v>
      </c>
      <c r="B1055" s="78" t="s">
        <v>1990</v>
      </c>
      <c r="C1055" s="78"/>
      <c r="D1055" s="43">
        <v>80</v>
      </c>
      <c r="E1055" s="78" t="s">
        <v>21</v>
      </c>
      <c r="F1055" s="44">
        <f t="shared" si="34"/>
        <v>160</v>
      </c>
      <c r="G1055" s="85" t="s">
        <v>1994</v>
      </c>
      <c r="H1055" s="46" t="s">
        <v>18</v>
      </c>
      <c r="I1055" s="47"/>
      <c r="J1055" s="48" t="s">
        <v>42</v>
      </c>
      <c r="K1055" s="86" t="s">
        <v>1995</v>
      </c>
      <c r="L1055" s="87" t="s">
        <v>780</v>
      </c>
      <c r="M1055" s="87" t="s">
        <v>781</v>
      </c>
      <c r="N1055" s="14" t="s">
        <v>27</v>
      </c>
      <c r="O1055" s="14" t="s">
        <v>28</v>
      </c>
      <c r="P1055" s="161">
        <v>4.5</v>
      </c>
      <c r="Q1055" s="47">
        <f t="shared" si="35"/>
        <v>720</v>
      </c>
      <c r="R1055" s="47"/>
      <c r="S1055" s="47"/>
      <c r="T1055" s="47"/>
    </row>
    <row r="1056" customHeight="1" spans="1:20">
      <c r="A1056" s="43">
        <v>63024</v>
      </c>
      <c r="B1056" s="78" t="s">
        <v>1990</v>
      </c>
      <c r="C1056" s="78"/>
      <c r="D1056" s="43">
        <v>30</v>
      </c>
      <c r="E1056" s="78" t="s">
        <v>21</v>
      </c>
      <c r="F1056" s="44">
        <f t="shared" si="34"/>
        <v>60</v>
      </c>
      <c r="G1056" s="85" t="s">
        <v>1986</v>
      </c>
      <c r="H1056" s="46" t="s">
        <v>18</v>
      </c>
      <c r="I1056" s="47"/>
      <c r="J1056" s="48" t="s">
        <v>42</v>
      </c>
      <c r="K1056" s="86" t="s">
        <v>1996</v>
      </c>
      <c r="L1056" s="87" t="s">
        <v>780</v>
      </c>
      <c r="M1056" s="87" t="s">
        <v>781</v>
      </c>
      <c r="N1056" s="14" t="s">
        <v>27</v>
      </c>
      <c r="O1056" s="14" t="s">
        <v>28</v>
      </c>
      <c r="P1056" s="161">
        <v>6</v>
      </c>
      <c r="Q1056" s="47">
        <f t="shared" si="35"/>
        <v>360</v>
      </c>
      <c r="R1056" s="47"/>
      <c r="S1056" s="47"/>
      <c r="T1056" s="47"/>
    </row>
    <row r="1057" customHeight="1" spans="1:20">
      <c r="A1057" s="43">
        <v>63025</v>
      </c>
      <c r="B1057" s="78" t="s">
        <v>1990</v>
      </c>
      <c r="C1057" s="78"/>
      <c r="D1057" s="43">
        <v>30</v>
      </c>
      <c r="E1057" s="78" t="s">
        <v>21</v>
      </c>
      <c r="F1057" s="44">
        <f t="shared" si="34"/>
        <v>60</v>
      </c>
      <c r="G1057" s="85" t="s">
        <v>1997</v>
      </c>
      <c r="H1057" s="46" t="s">
        <v>18</v>
      </c>
      <c r="I1057" s="47"/>
      <c r="J1057" s="48" t="s">
        <v>42</v>
      </c>
      <c r="K1057" s="86" t="s">
        <v>1998</v>
      </c>
      <c r="L1057" s="87" t="s">
        <v>780</v>
      </c>
      <c r="M1057" s="87" t="s">
        <v>781</v>
      </c>
      <c r="N1057" s="14" t="s">
        <v>27</v>
      </c>
      <c r="O1057" s="14" t="s">
        <v>28</v>
      </c>
      <c r="P1057" s="161">
        <v>10</v>
      </c>
      <c r="Q1057" s="47">
        <f t="shared" si="35"/>
        <v>600</v>
      </c>
      <c r="R1057" s="47"/>
      <c r="S1057" s="47"/>
      <c r="T1057" s="47"/>
    </row>
    <row r="1058" customHeight="1" spans="1:20">
      <c r="A1058" s="43">
        <v>63026</v>
      </c>
      <c r="B1058" s="78" t="s">
        <v>1990</v>
      </c>
      <c r="C1058" s="78"/>
      <c r="D1058" s="43">
        <v>3</v>
      </c>
      <c r="E1058" s="78" t="s">
        <v>21</v>
      </c>
      <c r="F1058" s="44">
        <f t="shared" si="34"/>
        <v>6</v>
      </c>
      <c r="G1058" s="85" t="s">
        <v>1999</v>
      </c>
      <c r="H1058" s="46" t="s">
        <v>18</v>
      </c>
      <c r="I1058" s="47"/>
      <c r="J1058" s="48" t="s">
        <v>42</v>
      </c>
      <c r="K1058" s="86" t="s">
        <v>2000</v>
      </c>
      <c r="L1058" s="87" t="s">
        <v>780</v>
      </c>
      <c r="M1058" s="87" t="s">
        <v>781</v>
      </c>
      <c r="N1058" s="14" t="s">
        <v>27</v>
      </c>
      <c r="O1058" s="14" t="s">
        <v>28</v>
      </c>
      <c r="P1058" s="161">
        <v>17.5</v>
      </c>
      <c r="Q1058" s="47">
        <f t="shared" si="35"/>
        <v>105</v>
      </c>
      <c r="R1058" s="47"/>
      <c r="S1058" s="47"/>
      <c r="T1058" s="47"/>
    </row>
    <row r="1059" customHeight="1" spans="1:20">
      <c r="A1059" s="43">
        <v>63027</v>
      </c>
      <c r="B1059" s="78" t="s">
        <v>1990</v>
      </c>
      <c r="C1059" s="78"/>
      <c r="D1059" s="43">
        <v>100</v>
      </c>
      <c r="E1059" s="78" t="s">
        <v>21</v>
      </c>
      <c r="F1059" s="44">
        <f t="shared" si="34"/>
        <v>200</v>
      </c>
      <c r="G1059" s="85" t="s">
        <v>1987</v>
      </c>
      <c r="H1059" s="46" t="s">
        <v>18</v>
      </c>
      <c r="I1059" s="47"/>
      <c r="J1059" s="48" t="s">
        <v>42</v>
      </c>
      <c r="K1059" s="86" t="s">
        <v>2001</v>
      </c>
      <c r="L1059" s="87" t="s">
        <v>780</v>
      </c>
      <c r="M1059" s="87" t="s">
        <v>781</v>
      </c>
      <c r="N1059" s="14" t="s">
        <v>27</v>
      </c>
      <c r="O1059" s="14" t="s">
        <v>28</v>
      </c>
      <c r="P1059" s="161">
        <v>3</v>
      </c>
      <c r="Q1059" s="47">
        <f t="shared" si="35"/>
        <v>600</v>
      </c>
      <c r="R1059" s="47"/>
      <c r="S1059" s="47"/>
      <c r="T1059" s="47"/>
    </row>
    <row r="1060" customHeight="1" spans="1:20">
      <c r="A1060" s="43">
        <v>63028</v>
      </c>
      <c r="B1060" s="78" t="s">
        <v>1990</v>
      </c>
      <c r="C1060" s="78"/>
      <c r="D1060" s="43">
        <v>100</v>
      </c>
      <c r="E1060" s="78" t="s">
        <v>21</v>
      </c>
      <c r="F1060" s="44">
        <f t="shared" si="34"/>
        <v>200</v>
      </c>
      <c r="G1060" s="85" t="s">
        <v>1988</v>
      </c>
      <c r="H1060" s="46" t="s">
        <v>18</v>
      </c>
      <c r="I1060" s="47"/>
      <c r="J1060" s="48" t="s">
        <v>42</v>
      </c>
      <c r="K1060" s="86" t="s">
        <v>2002</v>
      </c>
      <c r="L1060" s="87" t="s">
        <v>780</v>
      </c>
      <c r="M1060" s="87" t="s">
        <v>781</v>
      </c>
      <c r="N1060" s="14" t="s">
        <v>27</v>
      </c>
      <c r="O1060" s="14" t="s">
        <v>28</v>
      </c>
      <c r="P1060" s="161">
        <v>4.5</v>
      </c>
      <c r="Q1060" s="47">
        <f t="shared" si="35"/>
        <v>900</v>
      </c>
      <c r="R1060" s="47"/>
      <c r="S1060" s="47"/>
      <c r="T1060" s="47"/>
    </row>
    <row r="1061" customHeight="1" spans="1:20">
      <c r="A1061" s="43">
        <v>63029</v>
      </c>
      <c r="B1061" s="78" t="s">
        <v>1990</v>
      </c>
      <c r="C1061" s="78"/>
      <c r="D1061" s="43">
        <f>D833</f>
        <v>56</v>
      </c>
      <c r="E1061" s="78" t="s">
        <v>21</v>
      </c>
      <c r="F1061" s="44">
        <f t="shared" si="34"/>
        <v>112</v>
      </c>
      <c r="G1061" s="85" t="s">
        <v>1989</v>
      </c>
      <c r="H1061" s="46" t="s">
        <v>18</v>
      </c>
      <c r="I1061" s="47"/>
      <c r="J1061" s="48" t="s">
        <v>42</v>
      </c>
      <c r="K1061" s="86" t="s">
        <v>2003</v>
      </c>
      <c r="L1061" s="87" t="s">
        <v>780</v>
      </c>
      <c r="M1061" s="87" t="s">
        <v>781</v>
      </c>
      <c r="N1061" s="14" t="s">
        <v>27</v>
      </c>
      <c r="O1061" s="14" t="s">
        <v>28</v>
      </c>
      <c r="P1061" s="161">
        <v>5</v>
      </c>
      <c r="Q1061" s="47">
        <f t="shared" si="35"/>
        <v>560</v>
      </c>
      <c r="R1061" s="47"/>
      <c r="S1061" s="47"/>
      <c r="T1061" s="47"/>
    </row>
    <row r="1062" customHeight="1" spans="1:20">
      <c r="A1062" s="43">
        <v>63030</v>
      </c>
      <c r="B1062" s="78" t="s">
        <v>1990</v>
      </c>
      <c r="C1062" s="78"/>
      <c r="D1062" s="43">
        <v>2</v>
      </c>
      <c r="E1062" s="78" t="s">
        <v>21</v>
      </c>
      <c r="F1062" s="44">
        <f t="shared" si="34"/>
        <v>4</v>
      </c>
      <c r="G1062" s="85" t="s">
        <v>2004</v>
      </c>
      <c r="H1062" s="46" t="s">
        <v>18</v>
      </c>
      <c r="I1062" s="47"/>
      <c r="J1062" s="48" t="s">
        <v>42</v>
      </c>
      <c r="K1062" s="86" t="s">
        <v>2005</v>
      </c>
      <c r="L1062" s="87" t="s">
        <v>780</v>
      </c>
      <c r="M1062" s="87" t="s">
        <v>781</v>
      </c>
      <c r="N1062" s="14" t="s">
        <v>27</v>
      </c>
      <c r="O1062" s="14" t="s">
        <v>28</v>
      </c>
      <c r="P1062" s="161">
        <v>6.5</v>
      </c>
      <c r="Q1062" s="47">
        <f t="shared" si="35"/>
        <v>26</v>
      </c>
      <c r="R1062" s="47"/>
      <c r="S1062" s="47"/>
      <c r="T1062" s="47"/>
    </row>
    <row r="1063" customHeight="1" spans="1:20">
      <c r="A1063" s="43">
        <v>63031</v>
      </c>
      <c r="B1063" s="78" t="s">
        <v>1990</v>
      </c>
      <c r="C1063" s="78"/>
      <c r="D1063" s="43">
        <v>2</v>
      </c>
      <c r="E1063" s="78" t="s">
        <v>21</v>
      </c>
      <c r="F1063" s="44">
        <f t="shared" si="34"/>
        <v>4</v>
      </c>
      <c r="G1063" s="85" t="s">
        <v>2006</v>
      </c>
      <c r="H1063" s="46" t="s">
        <v>18</v>
      </c>
      <c r="I1063" s="47"/>
      <c r="J1063" s="48" t="s">
        <v>42</v>
      </c>
      <c r="K1063" s="86" t="s">
        <v>2007</v>
      </c>
      <c r="L1063" s="87" t="s">
        <v>780</v>
      </c>
      <c r="M1063" s="87" t="s">
        <v>781</v>
      </c>
      <c r="N1063" s="14" t="s">
        <v>27</v>
      </c>
      <c r="O1063" s="14" t="s">
        <v>28</v>
      </c>
      <c r="P1063" s="161">
        <v>11</v>
      </c>
      <c r="Q1063" s="47">
        <f t="shared" si="35"/>
        <v>44</v>
      </c>
      <c r="R1063" s="47"/>
      <c r="S1063" s="47"/>
      <c r="T1063" s="47"/>
    </row>
    <row r="1064" customHeight="1" spans="1:20">
      <c r="A1064" s="43">
        <v>63032</v>
      </c>
      <c r="B1064" s="78" t="s">
        <v>1990</v>
      </c>
      <c r="C1064" s="78"/>
      <c r="D1064" s="43">
        <v>1</v>
      </c>
      <c r="E1064" s="78" t="s">
        <v>21</v>
      </c>
      <c r="F1064" s="44">
        <f t="shared" si="34"/>
        <v>2</v>
      </c>
      <c r="G1064" s="85" t="s">
        <v>2008</v>
      </c>
      <c r="H1064" s="46" t="s">
        <v>18</v>
      </c>
      <c r="I1064" s="47"/>
      <c r="J1064" s="48" t="s">
        <v>42</v>
      </c>
      <c r="K1064" s="86">
        <v>63032</v>
      </c>
      <c r="L1064" s="87" t="s">
        <v>780</v>
      </c>
      <c r="M1064" s="87" t="s">
        <v>781</v>
      </c>
      <c r="N1064" s="14" t="s">
        <v>27</v>
      </c>
      <c r="O1064" s="14" t="s">
        <v>28</v>
      </c>
      <c r="P1064" s="161">
        <v>26</v>
      </c>
      <c r="Q1064" s="47">
        <f t="shared" si="35"/>
        <v>52</v>
      </c>
      <c r="R1064" s="47"/>
      <c r="S1064" s="47"/>
      <c r="T1064" s="47"/>
    </row>
    <row r="1065" customHeight="1" spans="1:20">
      <c r="A1065" s="43">
        <v>63033</v>
      </c>
      <c r="B1065" s="78" t="s">
        <v>2009</v>
      </c>
      <c r="C1065" s="78"/>
      <c r="D1065" s="43">
        <v>2</v>
      </c>
      <c r="E1065" s="78" t="s">
        <v>21</v>
      </c>
      <c r="F1065" s="44">
        <f t="shared" si="34"/>
        <v>4</v>
      </c>
      <c r="G1065" s="85" t="s">
        <v>2010</v>
      </c>
      <c r="H1065" s="46" t="s">
        <v>18</v>
      </c>
      <c r="I1065" s="47"/>
      <c r="J1065" s="48" t="s">
        <v>42</v>
      </c>
      <c r="K1065" s="86">
        <v>63033</v>
      </c>
      <c r="L1065" s="87" t="s">
        <v>780</v>
      </c>
      <c r="M1065" s="87" t="s">
        <v>781</v>
      </c>
      <c r="N1065" s="14" t="s">
        <v>27</v>
      </c>
      <c r="O1065" s="14" t="s">
        <v>28</v>
      </c>
      <c r="P1065" s="161">
        <v>140</v>
      </c>
      <c r="Q1065" s="47">
        <f t="shared" si="35"/>
        <v>560</v>
      </c>
      <c r="R1065" s="47"/>
      <c r="S1065" s="47"/>
      <c r="T1065" s="47"/>
    </row>
    <row r="1066" customHeight="1" spans="1:20">
      <c r="A1066" s="43">
        <v>63041</v>
      </c>
      <c r="B1066" s="78" t="s">
        <v>2011</v>
      </c>
      <c r="C1066" s="78"/>
      <c r="D1066" s="43">
        <v>100</v>
      </c>
      <c r="E1066" s="78" t="s">
        <v>21</v>
      </c>
      <c r="F1066" s="44">
        <f t="shared" si="34"/>
        <v>200</v>
      </c>
      <c r="G1066" s="85" t="s">
        <v>2012</v>
      </c>
      <c r="H1066" s="46" t="s">
        <v>18</v>
      </c>
      <c r="I1066" s="47"/>
      <c r="J1066" s="48" t="s">
        <v>42</v>
      </c>
      <c r="K1066" s="86">
        <v>63041</v>
      </c>
      <c r="L1066" s="87" t="s">
        <v>780</v>
      </c>
      <c r="M1066" s="87" t="s">
        <v>781</v>
      </c>
      <c r="N1066" s="14" t="s">
        <v>27</v>
      </c>
      <c r="O1066" s="14" t="s">
        <v>28</v>
      </c>
      <c r="P1066" s="161">
        <v>3</v>
      </c>
      <c r="Q1066" s="47">
        <f t="shared" si="35"/>
        <v>600</v>
      </c>
      <c r="R1066" s="47"/>
      <c r="S1066" s="47"/>
      <c r="T1066" s="47"/>
    </row>
    <row r="1067" customHeight="1" spans="1:20">
      <c r="A1067" s="43">
        <v>63042</v>
      </c>
      <c r="B1067" s="78" t="s">
        <v>2011</v>
      </c>
      <c r="C1067" s="78"/>
      <c r="D1067" s="43">
        <f>D833*10</f>
        <v>560</v>
      </c>
      <c r="E1067" s="78" t="s">
        <v>21</v>
      </c>
      <c r="F1067" s="44">
        <f t="shared" si="34"/>
        <v>1120</v>
      </c>
      <c r="G1067" s="85" t="s">
        <v>2013</v>
      </c>
      <c r="H1067" s="46" t="s">
        <v>18</v>
      </c>
      <c r="I1067" s="47"/>
      <c r="J1067" s="48" t="s">
        <v>42</v>
      </c>
      <c r="K1067" s="86">
        <v>63042</v>
      </c>
      <c r="L1067" s="87" t="s">
        <v>780</v>
      </c>
      <c r="M1067" s="87" t="s">
        <v>781</v>
      </c>
      <c r="N1067" s="14" t="s">
        <v>27</v>
      </c>
      <c r="O1067" s="14" t="s">
        <v>28</v>
      </c>
      <c r="P1067" s="161">
        <v>3.8</v>
      </c>
      <c r="Q1067" s="47">
        <f t="shared" si="35"/>
        <v>4256</v>
      </c>
      <c r="R1067" s="47"/>
      <c r="S1067" s="47"/>
      <c r="T1067" s="47"/>
    </row>
    <row r="1068" customHeight="1" spans="1:20">
      <c r="A1068" s="43">
        <v>63043</v>
      </c>
      <c r="B1068" s="78" t="s">
        <v>2011</v>
      </c>
      <c r="C1068" s="78"/>
      <c r="D1068" s="43">
        <f>D833</f>
        <v>56</v>
      </c>
      <c r="E1068" s="78" t="s">
        <v>21</v>
      </c>
      <c r="F1068" s="44">
        <f t="shared" si="34"/>
        <v>112</v>
      </c>
      <c r="G1068" s="85" t="s">
        <v>2014</v>
      </c>
      <c r="H1068" s="46" t="s">
        <v>18</v>
      </c>
      <c r="I1068" s="47"/>
      <c r="J1068" s="48" t="s">
        <v>42</v>
      </c>
      <c r="K1068" s="86">
        <v>63043</v>
      </c>
      <c r="L1068" s="87" t="s">
        <v>780</v>
      </c>
      <c r="M1068" s="87" t="s">
        <v>781</v>
      </c>
      <c r="N1068" s="14" t="s">
        <v>27</v>
      </c>
      <c r="O1068" s="14" t="s">
        <v>28</v>
      </c>
      <c r="P1068" s="161">
        <v>3</v>
      </c>
      <c r="Q1068" s="47">
        <f t="shared" si="35"/>
        <v>336</v>
      </c>
      <c r="R1068" s="47"/>
      <c r="S1068" s="47"/>
      <c r="T1068" s="47"/>
    </row>
    <row r="1069" customHeight="1" spans="1:20">
      <c r="A1069" s="43">
        <v>63044</v>
      </c>
      <c r="B1069" s="78" t="s">
        <v>2011</v>
      </c>
      <c r="C1069" s="78"/>
      <c r="D1069" s="43">
        <v>80</v>
      </c>
      <c r="E1069" s="78" t="s">
        <v>21</v>
      </c>
      <c r="F1069" s="44">
        <f t="shared" si="34"/>
        <v>160</v>
      </c>
      <c r="G1069" s="85" t="s">
        <v>2015</v>
      </c>
      <c r="H1069" s="46" t="s">
        <v>18</v>
      </c>
      <c r="I1069" s="47"/>
      <c r="J1069" s="48" t="s">
        <v>42</v>
      </c>
      <c r="K1069" s="86">
        <v>63044</v>
      </c>
      <c r="L1069" s="87" t="s">
        <v>780</v>
      </c>
      <c r="M1069" s="87" t="s">
        <v>781</v>
      </c>
      <c r="N1069" s="14" t="s">
        <v>27</v>
      </c>
      <c r="O1069" s="14" t="s">
        <v>28</v>
      </c>
      <c r="P1069" s="161">
        <v>3.8</v>
      </c>
      <c r="Q1069" s="47">
        <f t="shared" si="35"/>
        <v>608</v>
      </c>
      <c r="R1069" s="47"/>
      <c r="S1069" s="47"/>
      <c r="T1069" s="47"/>
    </row>
    <row r="1070" customHeight="1" spans="1:20">
      <c r="A1070" s="43">
        <v>63045</v>
      </c>
      <c r="B1070" s="78" t="s">
        <v>2016</v>
      </c>
      <c r="C1070" s="78"/>
      <c r="D1070" s="43">
        <v>2</v>
      </c>
      <c r="E1070" s="78" t="s">
        <v>21</v>
      </c>
      <c r="F1070" s="44">
        <f t="shared" si="34"/>
        <v>4</v>
      </c>
      <c r="G1070" s="85" t="s">
        <v>2017</v>
      </c>
      <c r="H1070" s="46" t="s">
        <v>18</v>
      </c>
      <c r="I1070" s="47"/>
      <c r="J1070" s="48" t="s">
        <v>42</v>
      </c>
      <c r="K1070" s="86">
        <v>63045</v>
      </c>
      <c r="L1070" s="87" t="s">
        <v>780</v>
      </c>
      <c r="M1070" s="87" t="s">
        <v>781</v>
      </c>
      <c r="N1070" s="14" t="s">
        <v>27</v>
      </c>
      <c r="O1070" s="14" t="s">
        <v>28</v>
      </c>
      <c r="P1070" s="161">
        <v>4.5</v>
      </c>
      <c r="Q1070" s="47">
        <f t="shared" si="35"/>
        <v>18</v>
      </c>
      <c r="R1070" s="47"/>
      <c r="S1070" s="47"/>
      <c r="T1070" s="47"/>
    </row>
    <row r="1071" customHeight="1" spans="1:20">
      <c r="A1071" s="43">
        <v>64</v>
      </c>
      <c r="B1071" s="2" t="s">
        <v>810</v>
      </c>
      <c r="C1071" s="2"/>
      <c r="D1071" s="6"/>
      <c r="E1071" s="2"/>
      <c r="F1071" s="44">
        <f t="shared" si="34"/>
        <v>0</v>
      </c>
      <c r="G1071" s="77"/>
      <c r="H1071" s="46"/>
      <c r="I1071" s="47"/>
      <c r="J1071" s="48" t="s">
        <v>42</v>
      </c>
      <c r="K1071" s="94"/>
      <c r="L1071" s="95"/>
      <c r="M1071" s="95"/>
      <c r="O1071" s="14" t="s">
        <v>28</v>
      </c>
      <c r="P1071" s="51"/>
      <c r="Q1071" s="47">
        <f t="shared" si="35"/>
        <v>0</v>
      </c>
      <c r="R1071" s="47"/>
      <c r="S1071" s="47"/>
      <c r="T1071" s="47"/>
    </row>
    <row r="1072" customHeight="1" spans="1:20">
      <c r="A1072" s="43">
        <v>64001</v>
      </c>
      <c r="B1072" s="78" t="s">
        <v>2018</v>
      </c>
      <c r="C1072" s="78"/>
      <c r="D1072" s="43">
        <f>D833</f>
        <v>56</v>
      </c>
      <c r="E1072" s="78" t="s">
        <v>21</v>
      </c>
      <c r="F1072" s="44">
        <f t="shared" si="34"/>
        <v>112</v>
      </c>
      <c r="G1072" s="85" t="s">
        <v>2019</v>
      </c>
      <c r="H1072" s="46" t="s">
        <v>18</v>
      </c>
      <c r="I1072" s="47"/>
      <c r="J1072" s="48" t="s">
        <v>42</v>
      </c>
      <c r="K1072" s="86">
        <v>64001</v>
      </c>
      <c r="L1072" s="87" t="s">
        <v>780</v>
      </c>
      <c r="M1072" s="87" t="s">
        <v>781</v>
      </c>
      <c r="N1072" s="14" t="s">
        <v>27</v>
      </c>
      <c r="O1072" s="14" t="s">
        <v>28</v>
      </c>
      <c r="P1072" s="161">
        <v>3</v>
      </c>
      <c r="Q1072" s="47">
        <f t="shared" si="35"/>
        <v>336</v>
      </c>
      <c r="R1072" s="47"/>
      <c r="S1072" s="47"/>
      <c r="T1072" s="47"/>
    </row>
    <row r="1073" customHeight="1" spans="1:20">
      <c r="A1073" s="43">
        <v>64002</v>
      </c>
      <c r="B1073" s="78" t="s">
        <v>2020</v>
      </c>
      <c r="C1073" s="78"/>
      <c r="D1073" s="43">
        <f>D833</f>
        <v>56</v>
      </c>
      <c r="E1073" s="78" t="s">
        <v>21</v>
      </c>
      <c r="F1073" s="44">
        <f t="shared" si="34"/>
        <v>112</v>
      </c>
      <c r="G1073" s="85" t="s">
        <v>2021</v>
      </c>
      <c r="H1073" s="46" t="s">
        <v>18</v>
      </c>
      <c r="I1073" s="47"/>
      <c r="J1073" s="48" t="s">
        <v>42</v>
      </c>
      <c r="K1073" s="86">
        <v>64002</v>
      </c>
      <c r="L1073" s="87" t="s">
        <v>780</v>
      </c>
      <c r="M1073" s="87" t="s">
        <v>781</v>
      </c>
      <c r="N1073" s="14" t="s">
        <v>27</v>
      </c>
      <c r="O1073" s="14" t="s">
        <v>28</v>
      </c>
      <c r="P1073" s="161">
        <v>5</v>
      </c>
      <c r="Q1073" s="47">
        <f t="shared" si="35"/>
        <v>560</v>
      </c>
      <c r="R1073" s="47"/>
      <c r="S1073" s="47"/>
      <c r="T1073" s="47"/>
    </row>
    <row r="1074" customHeight="1" spans="1:20">
      <c r="A1074" s="43">
        <v>64003</v>
      </c>
      <c r="B1074" s="78" t="s">
        <v>2022</v>
      </c>
      <c r="C1074" s="78"/>
      <c r="D1074" s="43">
        <v>4</v>
      </c>
      <c r="E1074" s="78" t="s">
        <v>21</v>
      </c>
      <c r="F1074" s="44">
        <f t="shared" si="34"/>
        <v>8</v>
      </c>
      <c r="G1074" s="85" t="s">
        <v>2023</v>
      </c>
      <c r="H1074" s="46" t="s">
        <v>18</v>
      </c>
      <c r="I1074" s="47"/>
      <c r="J1074" s="48" t="s">
        <v>42</v>
      </c>
      <c r="K1074" s="86">
        <v>64003</v>
      </c>
      <c r="L1074" s="87" t="s">
        <v>780</v>
      </c>
      <c r="M1074" s="87" t="s">
        <v>781</v>
      </c>
      <c r="N1074" s="14" t="s">
        <v>27</v>
      </c>
      <c r="O1074" s="14" t="s">
        <v>28</v>
      </c>
      <c r="P1074" s="161">
        <v>5</v>
      </c>
      <c r="Q1074" s="47">
        <f t="shared" si="35"/>
        <v>40</v>
      </c>
      <c r="R1074" s="47"/>
      <c r="S1074" s="47"/>
      <c r="T1074" s="47"/>
    </row>
    <row r="1075" customHeight="1" spans="1:20">
      <c r="A1075" s="43">
        <v>64005</v>
      </c>
      <c r="B1075" s="78" t="s">
        <v>811</v>
      </c>
      <c r="C1075" s="78"/>
      <c r="D1075" s="43">
        <f>D833</f>
        <v>56</v>
      </c>
      <c r="E1075" s="78" t="s">
        <v>21</v>
      </c>
      <c r="F1075" s="44">
        <f t="shared" si="34"/>
        <v>112</v>
      </c>
      <c r="G1075" s="85" t="s">
        <v>2024</v>
      </c>
      <c r="H1075" s="46" t="s">
        <v>18</v>
      </c>
      <c r="I1075" s="47"/>
      <c r="J1075" s="48" t="s">
        <v>42</v>
      </c>
      <c r="K1075" s="86">
        <v>64005</v>
      </c>
      <c r="L1075" s="87" t="s">
        <v>780</v>
      </c>
      <c r="M1075" s="87" t="s">
        <v>781</v>
      </c>
      <c r="N1075" s="14" t="s">
        <v>27</v>
      </c>
      <c r="O1075" s="14" t="s">
        <v>28</v>
      </c>
      <c r="P1075" s="161">
        <v>2.5</v>
      </c>
      <c r="Q1075" s="47">
        <f t="shared" si="35"/>
        <v>280</v>
      </c>
      <c r="R1075" s="47"/>
      <c r="S1075" s="47"/>
      <c r="T1075" s="47"/>
    </row>
    <row r="1076" customHeight="1" spans="1:20">
      <c r="A1076" s="43">
        <v>64006</v>
      </c>
      <c r="B1076" s="78" t="s">
        <v>2025</v>
      </c>
      <c r="C1076" s="78"/>
      <c r="D1076" s="43">
        <f>D833</f>
        <v>56</v>
      </c>
      <c r="E1076" s="78" t="s">
        <v>21</v>
      </c>
      <c r="F1076" s="44">
        <f t="shared" si="34"/>
        <v>112</v>
      </c>
      <c r="G1076" s="85" t="s">
        <v>2026</v>
      </c>
      <c r="H1076" s="46" t="s">
        <v>18</v>
      </c>
      <c r="I1076" s="47"/>
      <c r="J1076" s="48" t="s">
        <v>42</v>
      </c>
      <c r="K1076" s="86">
        <v>64006</v>
      </c>
      <c r="L1076" s="87" t="s">
        <v>780</v>
      </c>
      <c r="M1076" s="87" t="s">
        <v>781</v>
      </c>
      <c r="N1076" s="14" t="s">
        <v>27</v>
      </c>
      <c r="O1076" s="14" t="s">
        <v>28</v>
      </c>
      <c r="P1076" s="161">
        <v>1.1</v>
      </c>
      <c r="Q1076" s="47">
        <f t="shared" si="35"/>
        <v>123.2</v>
      </c>
      <c r="R1076" s="47"/>
      <c r="S1076" s="47"/>
      <c r="T1076" s="47"/>
    </row>
    <row r="1077" customHeight="1" spans="1:20">
      <c r="A1077" s="43">
        <v>64007</v>
      </c>
      <c r="B1077" s="78" t="s">
        <v>2027</v>
      </c>
      <c r="C1077" s="78"/>
      <c r="D1077" s="43">
        <f>D833</f>
        <v>56</v>
      </c>
      <c r="E1077" s="78" t="s">
        <v>21</v>
      </c>
      <c r="F1077" s="44">
        <f t="shared" si="34"/>
        <v>112</v>
      </c>
      <c r="G1077" s="85" t="s">
        <v>2028</v>
      </c>
      <c r="H1077" s="46" t="s">
        <v>18</v>
      </c>
      <c r="I1077" s="47"/>
      <c r="J1077" s="48" t="s">
        <v>42</v>
      </c>
      <c r="K1077" s="86">
        <v>64007</v>
      </c>
      <c r="L1077" s="87" t="s">
        <v>780</v>
      </c>
      <c r="M1077" s="87" t="s">
        <v>781</v>
      </c>
      <c r="N1077" s="14" t="s">
        <v>27</v>
      </c>
      <c r="O1077" s="14" t="s">
        <v>28</v>
      </c>
      <c r="P1077" s="161">
        <v>1.1</v>
      </c>
      <c r="Q1077" s="47">
        <f t="shared" si="35"/>
        <v>123.2</v>
      </c>
      <c r="R1077" s="47"/>
      <c r="S1077" s="47"/>
      <c r="T1077" s="47"/>
    </row>
    <row r="1078" customHeight="1" spans="1:20">
      <c r="A1078" s="43">
        <v>64008</v>
      </c>
      <c r="B1078" s="78" t="s">
        <v>2029</v>
      </c>
      <c r="C1078" s="78"/>
      <c r="D1078" s="43">
        <v>5</v>
      </c>
      <c r="E1078" s="78" t="s">
        <v>21</v>
      </c>
      <c r="F1078" s="44">
        <f t="shared" si="34"/>
        <v>10</v>
      </c>
      <c r="G1078" s="85" t="s">
        <v>2030</v>
      </c>
      <c r="H1078" s="46" t="s">
        <v>18</v>
      </c>
      <c r="I1078" s="47"/>
      <c r="J1078" s="48" t="s">
        <v>42</v>
      </c>
      <c r="K1078" s="86">
        <v>64008</v>
      </c>
      <c r="L1078" s="87" t="s">
        <v>780</v>
      </c>
      <c r="M1078" s="87" t="s">
        <v>781</v>
      </c>
      <c r="N1078" s="14" t="s">
        <v>27</v>
      </c>
      <c r="O1078" s="14" t="s">
        <v>28</v>
      </c>
      <c r="P1078" s="161">
        <v>1.1</v>
      </c>
      <c r="Q1078" s="47">
        <f t="shared" si="35"/>
        <v>11</v>
      </c>
      <c r="R1078" s="47"/>
      <c r="S1078" s="47"/>
      <c r="T1078" s="47"/>
    </row>
    <row r="1079" customHeight="1" spans="1:20">
      <c r="A1079" s="43"/>
      <c r="B1079" s="78" t="s">
        <v>813</v>
      </c>
      <c r="C1079" s="78"/>
      <c r="D1079" s="43">
        <v>56</v>
      </c>
      <c r="E1079" s="78" t="s">
        <v>21</v>
      </c>
      <c r="F1079" s="44">
        <f t="shared" si="34"/>
        <v>112</v>
      </c>
      <c r="G1079" s="163" t="s">
        <v>814</v>
      </c>
      <c r="H1079" s="46" t="s">
        <v>18</v>
      </c>
      <c r="I1079" s="47"/>
      <c r="J1079" s="48" t="s">
        <v>42</v>
      </c>
      <c r="K1079" s="164">
        <v>82014</v>
      </c>
      <c r="L1079" s="165" t="s">
        <v>780</v>
      </c>
      <c r="M1079" s="103" t="s">
        <v>781</v>
      </c>
      <c r="N1079" s="14" t="s">
        <v>27</v>
      </c>
      <c r="O1079" s="14" t="s">
        <v>28</v>
      </c>
      <c r="P1079" s="161">
        <v>1.4</v>
      </c>
      <c r="Q1079" s="47">
        <f t="shared" si="35"/>
        <v>156.8</v>
      </c>
      <c r="R1079" s="47"/>
      <c r="S1079" s="47"/>
      <c r="T1079" s="47"/>
    </row>
    <row r="1080" customHeight="1" spans="1:20">
      <c r="A1080" s="43">
        <v>64033</v>
      </c>
      <c r="B1080" s="126" t="s">
        <v>2031</v>
      </c>
      <c r="C1080" s="126"/>
      <c r="D1080" s="43">
        <f>D833</f>
        <v>56</v>
      </c>
      <c r="E1080" s="78" t="s">
        <v>21</v>
      </c>
      <c r="F1080" s="44">
        <f t="shared" si="34"/>
        <v>112</v>
      </c>
      <c r="G1080" s="79" t="s">
        <v>2032</v>
      </c>
      <c r="H1080" s="46" t="s">
        <v>18</v>
      </c>
      <c r="I1080" s="47"/>
      <c r="J1080" s="48" t="s">
        <v>42</v>
      </c>
      <c r="K1080" s="80">
        <v>64033</v>
      </c>
      <c r="L1080" s="81" t="s">
        <v>780</v>
      </c>
      <c r="M1080" s="81" t="s">
        <v>781</v>
      </c>
      <c r="N1080" s="14" t="s">
        <v>27</v>
      </c>
      <c r="O1080" s="14" t="s">
        <v>28</v>
      </c>
      <c r="P1080" s="161">
        <v>1.4</v>
      </c>
      <c r="Q1080" s="47">
        <f t="shared" si="35"/>
        <v>156.8</v>
      </c>
      <c r="R1080" s="47"/>
      <c r="S1080" s="47"/>
      <c r="T1080" s="47"/>
    </row>
    <row r="1081" customHeight="1" spans="1:20">
      <c r="A1081" s="43">
        <v>64035</v>
      </c>
      <c r="B1081" s="78" t="s">
        <v>2033</v>
      </c>
      <c r="C1081" s="78"/>
      <c r="D1081" s="43">
        <v>2</v>
      </c>
      <c r="E1081" s="78" t="s">
        <v>21</v>
      </c>
      <c r="F1081" s="44">
        <f t="shared" si="34"/>
        <v>4</v>
      </c>
      <c r="G1081" s="85" t="s">
        <v>2034</v>
      </c>
      <c r="H1081" s="46" t="s">
        <v>18</v>
      </c>
      <c r="I1081" s="47"/>
      <c r="J1081" s="48" t="s">
        <v>42</v>
      </c>
      <c r="K1081" s="86">
        <v>64035</v>
      </c>
      <c r="L1081" s="87" t="s">
        <v>780</v>
      </c>
      <c r="M1081" s="87" t="s">
        <v>781</v>
      </c>
      <c r="N1081" s="14" t="s">
        <v>27</v>
      </c>
      <c r="O1081" s="14" t="s">
        <v>28</v>
      </c>
      <c r="P1081" s="161">
        <v>11</v>
      </c>
      <c r="Q1081" s="47">
        <f t="shared" si="35"/>
        <v>44</v>
      </c>
      <c r="R1081" s="47"/>
      <c r="S1081" s="47"/>
      <c r="T1081" s="47"/>
    </row>
    <row r="1082" customHeight="1" spans="1:20">
      <c r="A1082" s="43">
        <v>64041</v>
      </c>
      <c r="B1082" s="78" t="s">
        <v>2035</v>
      </c>
      <c r="C1082" s="78"/>
      <c r="D1082" s="43">
        <f>D833</f>
        <v>56</v>
      </c>
      <c r="E1082" s="78" t="s">
        <v>21</v>
      </c>
      <c r="F1082" s="44">
        <f t="shared" si="34"/>
        <v>112</v>
      </c>
      <c r="G1082" s="85" t="s">
        <v>2036</v>
      </c>
      <c r="H1082" s="46" t="s">
        <v>18</v>
      </c>
      <c r="I1082" s="47"/>
      <c r="J1082" s="48" t="s">
        <v>42</v>
      </c>
      <c r="K1082" s="86">
        <v>64041</v>
      </c>
      <c r="L1082" s="87" t="s">
        <v>780</v>
      </c>
      <c r="M1082" s="87" t="s">
        <v>781</v>
      </c>
      <c r="N1082" s="14" t="s">
        <v>27</v>
      </c>
      <c r="O1082" s="14" t="s">
        <v>28</v>
      </c>
      <c r="P1082" s="161">
        <v>2</v>
      </c>
      <c r="Q1082" s="47">
        <f t="shared" si="35"/>
        <v>224</v>
      </c>
      <c r="R1082" s="47"/>
      <c r="S1082" s="47"/>
      <c r="T1082" s="47"/>
    </row>
    <row r="1083" customHeight="1" spans="1:20">
      <c r="A1083" s="43">
        <v>64042</v>
      </c>
      <c r="B1083" s="78" t="s">
        <v>2037</v>
      </c>
      <c r="C1083" s="78"/>
      <c r="D1083" s="43">
        <v>100</v>
      </c>
      <c r="E1083" s="78" t="s">
        <v>21</v>
      </c>
      <c r="F1083" s="44">
        <f t="shared" si="34"/>
        <v>200</v>
      </c>
      <c r="G1083" s="85" t="s">
        <v>2038</v>
      </c>
      <c r="H1083" s="46" t="s">
        <v>18</v>
      </c>
      <c r="I1083" s="47"/>
      <c r="J1083" s="48" t="s">
        <v>42</v>
      </c>
      <c r="K1083" s="86">
        <v>64042</v>
      </c>
      <c r="L1083" s="87" t="s">
        <v>780</v>
      </c>
      <c r="M1083" s="87" t="s">
        <v>781</v>
      </c>
      <c r="N1083" s="14" t="s">
        <v>27</v>
      </c>
      <c r="O1083" s="14" t="s">
        <v>28</v>
      </c>
      <c r="P1083" s="161">
        <v>1</v>
      </c>
      <c r="Q1083" s="47">
        <f t="shared" si="35"/>
        <v>200</v>
      </c>
      <c r="R1083" s="47"/>
      <c r="S1083" s="47"/>
      <c r="T1083" s="47"/>
    </row>
    <row r="1084" customHeight="1" spans="1:20">
      <c r="A1084" s="43">
        <v>64051</v>
      </c>
      <c r="B1084" s="78" t="s">
        <v>815</v>
      </c>
      <c r="C1084" s="78"/>
      <c r="D1084" s="43">
        <v>6</v>
      </c>
      <c r="E1084" s="78" t="s">
        <v>816</v>
      </c>
      <c r="F1084" s="44">
        <f t="shared" si="34"/>
        <v>12</v>
      </c>
      <c r="G1084" s="85" t="s">
        <v>2039</v>
      </c>
      <c r="H1084" s="46" t="s">
        <v>18</v>
      </c>
      <c r="I1084" s="47"/>
      <c r="J1084" s="48" t="s">
        <v>42</v>
      </c>
      <c r="K1084" s="86">
        <v>64051</v>
      </c>
      <c r="L1084" s="87" t="s">
        <v>780</v>
      </c>
      <c r="M1084" s="87" t="s">
        <v>781</v>
      </c>
      <c r="N1084" s="14" t="s">
        <v>27</v>
      </c>
      <c r="O1084" s="14" t="s">
        <v>28</v>
      </c>
      <c r="P1084" s="161">
        <v>12</v>
      </c>
      <c r="Q1084" s="47">
        <f t="shared" si="35"/>
        <v>144</v>
      </c>
      <c r="R1084" s="47"/>
      <c r="S1084" s="47"/>
      <c r="T1084" s="47"/>
    </row>
    <row r="1085" customHeight="1" spans="1:20">
      <c r="A1085" s="43">
        <v>64052</v>
      </c>
      <c r="B1085" s="78" t="s">
        <v>815</v>
      </c>
      <c r="C1085" s="78"/>
      <c r="D1085" s="43">
        <v>5</v>
      </c>
      <c r="E1085" s="78" t="s">
        <v>816</v>
      </c>
      <c r="F1085" s="44">
        <f t="shared" si="34"/>
        <v>10</v>
      </c>
      <c r="G1085" s="85" t="s">
        <v>2040</v>
      </c>
      <c r="H1085" s="46" t="s">
        <v>18</v>
      </c>
      <c r="I1085" s="47"/>
      <c r="J1085" s="48" t="s">
        <v>42</v>
      </c>
      <c r="K1085" s="86">
        <v>64052</v>
      </c>
      <c r="L1085" s="87" t="s">
        <v>780</v>
      </c>
      <c r="M1085" s="87" t="s">
        <v>781</v>
      </c>
      <c r="N1085" s="14" t="s">
        <v>27</v>
      </c>
      <c r="O1085" s="14" t="s">
        <v>28</v>
      </c>
      <c r="P1085" s="161">
        <v>12</v>
      </c>
      <c r="Q1085" s="47">
        <f t="shared" si="35"/>
        <v>120</v>
      </c>
      <c r="R1085" s="47"/>
      <c r="S1085" s="47"/>
      <c r="T1085" s="47"/>
    </row>
    <row r="1086" customHeight="1" spans="1:20">
      <c r="A1086" s="43">
        <v>64053</v>
      </c>
      <c r="B1086" s="78" t="s">
        <v>2041</v>
      </c>
      <c r="C1086" s="78"/>
      <c r="D1086" s="43">
        <v>4</v>
      </c>
      <c r="E1086" s="78" t="s">
        <v>816</v>
      </c>
      <c r="F1086" s="44">
        <f t="shared" si="34"/>
        <v>8</v>
      </c>
      <c r="G1086" s="85" t="s">
        <v>2042</v>
      </c>
      <c r="H1086" s="46" t="s">
        <v>18</v>
      </c>
      <c r="I1086" s="47"/>
      <c r="J1086" s="48" t="s">
        <v>42</v>
      </c>
      <c r="K1086" s="86">
        <v>64053</v>
      </c>
      <c r="L1086" s="87" t="s">
        <v>780</v>
      </c>
      <c r="M1086" s="87" t="s">
        <v>781</v>
      </c>
      <c r="N1086" s="14" t="s">
        <v>27</v>
      </c>
      <c r="O1086" s="14" t="s">
        <v>28</v>
      </c>
      <c r="P1086" s="161">
        <v>12</v>
      </c>
      <c r="Q1086" s="47">
        <f t="shared" si="35"/>
        <v>96</v>
      </c>
      <c r="R1086" s="47"/>
      <c r="S1086" s="47"/>
      <c r="T1086" s="47"/>
    </row>
    <row r="1087" customHeight="1" spans="1:20">
      <c r="A1087" s="43">
        <v>64054</v>
      </c>
      <c r="B1087" s="78" t="s">
        <v>2041</v>
      </c>
      <c r="C1087" s="78"/>
      <c r="D1087" s="43">
        <v>4</v>
      </c>
      <c r="E1087" s="78" t="s">
        <v>816</v>
      </c>
      <c r="F1087" s="44">
        <f t="shared" si="34"/>
        <v>8</v>
      </c>
      <c r="G1087" s="85" t="s">
        <v>2039</v>
      </c>
      <c r="H1087" s="46" t="s">
        <v>18</v>
      </c>
      <c r="I1087" s="47"/>
      <c r="J1087" s="48" t="s">
        <v>42</v>
      </c>
      <c r="K1087" s="86">
        <v>64054</v>
      </c>
      <c r="L1087" s="87" t="s">
        <v>780</v>
      </c>
      <c r="M1087" s="87" t="s">
        <v>781</v>
      </c>
      <c r="N1087" s="14" t="s">
        <v>27</v>
      </c>
      <c r="O1087" s="14" t="s">
        <v>28</v>
      </c>
      <c r="P1087" s="161">
        <v>12</v>
      </c>
      <c r="Q1087" s="47">
        <f t="shared" si="35"/>
        <v>96</v>
      </c>
      <c r="R1087" s="47"/>
      <c r="S1087" s="47"/>
      <c r="T1087" s="47"/>
    </row>
    <row r="1088" customHeight="1" spans="1:20">
      <c r="A1088" s="43">
        <v>64061</v>
      </c>
      <c r="B1088" s="78" t="s">
        <v>2043</v>
      </c>
      <c r="C1088" s="78"/>
      <c r="D1088" s="43">
        <v>10</v>
      </c>
      <c r="E1088" s="78" t="s">
        <v>816</v>
      </c>
      <c r="F1088" s="44">
        <f t="shared" si="34"/>
        <v>20</v>
      </c>
      <c r="G1088" s="85" t="s">
        <v>2044</v>
      </c>
      <c r="H1088" s="46" t="s">
        <v>18</v>
      </c>
      <c r="I1088" s="47"/>
      <c r="J1088" s="48" t="s">
        <v>42</v>
      </c>
      <c r="K1088" s="86">
        <v>64061</v>
      </c>
      <c r="L1088" s="87" t="s">
        <v>780</v>
      </c>
      <c r="M1088" s="87" t="s">
        <v>781</v>
      </c>
      <c r="N1088" s="14" t="s">
        <v>27</v>
      </c>
      <c r="O1088" s="14" t="s">
        <v>28</v>
      </c>
      <c r="P1088" s="161">
        <v>25</v>
      </c>
      <c r="Q1088" s="47">
        <f t="shared" si="35"/>
        <v>500</v>
      </c>
      <c r="R1088" s="47"/>
      <c r="S1088" s="47"/>
      <c r="T1088" s="47"/>
    </row>
    <row r="1089" customHeight="1" spans="1:20">
      <c r="A1089" s="43">
        <v>64062</v>
      </c>
      <c r="B1089" s="78" t="s">
        <v>2045</v>
      </c>
      <c r="C1089" s="78"/>
      <c r="D1089" s="43">
        <v>4</v>
      </c>
      <c r="E1089" s="78" t="s">
        <v>816</v>
      </c>
      <c r="F1089" s="44">
        <f t="shared" si="34"/>
        <v>8</v>
      </c>
      <c r="G1089" s="85" t="s">
        <v>2046</v>
      </c>
      <c r="H1089" s="46" t="s">
        <v>18</v>
      </c>
      <c r="I1089" s="47"/>
      <c r="J1089" s="48" t="s">
        <v>42</v>
      </c>
      <c r="K1089" s="86">
        <v>64062</v>
      </c>
      <c r="L1089" s="87" t="s">
        <v>780</v>
      </c>
      <c r="M1089" s="87" t="s">
        <v>781</v>
      </c>
      <c r="N1089" s="14" t="s">
        <v>27</v>
      </c>
      <c r="O1089" s="14" t="s">
        <v>28</v>
      </c>
      <c r="P1089" s="161">
        <v>28</v>
      </c>
      <c r="Q1089" s="47">
        <f t="shared" si="35"/>
        <v>224</v>
      </c>
      <c r="R1089" s="47"/>
      <c r="S1089" s="47"/>
      <c r="T1089" s="47"/>
    </row>
    <row r="1090" customHeight="1" spans="1:20">
      <c r="A1090" s="43">
        <v>64063</v>
      </c>
      <c r="B1090" s="78" t="s">
        <v>818</v>
      </c>
      <c r="C1090" s="78"/>
      <c r="D1090" s="43">
        <v>60</v>
      </c>
      <c r="E1090" s="78" t="s">
        <v>819</v>
      </c>
      <c r="F1090" s="44">
        <f t="shared" ref="F1090:F1129" si="36">D1090*2</f>
        <v>120</v>
      </c>
      <c r="G1090" s="85" t="s">
        <v>820</v>
      </c>
      <c r="H1090" s="46" t="s">
        <v>18</v>
      </c>
      <c r="I1090" s="47"/>
      <c r="J1090" s="48" t="s">
        <v>42</v>
      </c>
      <c r="K1090" s="86">
        <v>64063</v>
      </c>
      <c r="L1090" s="87" t="s">
        <v>780</v>
      </c>
      <c r="M1090" s="87" t="s">
        <v>781</v>
      </c>
      <c r="N1090" s="14" t="s">
        <v>27</v>
      </c>
      <c r="O1090" s="14" t="s">
        <v>28</v>
      </c>
      <c r="P1090" s="161">
        <v>3</v>
      </c>
      <c r="Q1090" s="47">
        <f t="shared" si="35"/>
        <v>360</v>
      </c>
      <c r="R1090" s="47"/>
      <c r="S1090" s="47"/>
      <c r="T1090" s="47"/>
    </row>
    <row r="1091" customHeight="1" spans="1:20">
      <c r="A1091" s="43">
        <v>64067</v>
      </c>
      <c r="B1091" s="78" t="s">
        <v>2047</v>
      </c>
      <c r="C1091" s="78"/>
      <c r="D1091" s="43">
        <f>D833</f>
        <v>56</v>
      </c>
      <c r="E1091" s="78" t="s">
        <v>21</v>
      </c>
      <c r="F1091" s="44">
        <f t="shared" si="36"/>
        <v>112</v>
      </c>
      <c r="G1091" s="85" t="s">
        <v>2048</v>
      </c>
      <c r="H1091" s="46" t="s">
        <v>18</v>
      </c>
      <c r="I1091" s="47"/>
      <c r="J1091" s="48" t="s">
        <v>42</v>
      </c>
      <c r="K1091" s="86">
        <v>64067</v>
      </c>
      <c r="L1091" s="87" t="s">
        <v>780</v>
      </c>
      <c r="M1091" s="87" t="s">
        <v>781</v>
      </c>
      <c r="N1091" s="14" t="s">
        <v>27</v>
      </c>
      <c r="O1091" s="14" t="s">
        <v>28</v>
      </c>
      <c r="P1091" s="161">
        <v>4</v>
      </c>
      <c r="Q1091" s="47">
        <f t="shared" si="35"/>
        <v>448</v>
      </c>
      <c r="R1091" s="47"/>
      <c r="S1091" s="47"/>
      <c r="T1091" s="47"/>
    </row>
    <row r="1092" customHeight="1" spans="1:20">
      <c r="A1092" s="43">
        <v>64071</v>
      </c>
      <c r="B1092" s="78" t="s">
        <v>2049</v>
      </c>
      <c r="C1092" s="78"/>
      <c r="D1092" s="43">
        <f>D833</f>
        <v>56</v>
      </c>
      <c r="E1092" s="78" t="s">
        <v>21</v>
      </c>
      <c r="F1092" s="44">
        <f t="shared" si="36"/>
        <v>112</v>
      </c>
      <c r="G1092" s="85" t="s">
        <v>2050</v>
      </c>
      <c r="H1092" s="46" t="s">
        <v>18</v>
      </c>
      <c r="I1092" s="47"/>
      <c r="J1092" s="48" t="s">
        <v>42</v>
      </c>
      <c r="K1092" s="86">
        <v>64071</v>
      </c>
      <c r="L1092" s="87" t="s">
        <v>780</v>
      </c>
      <c r="M1092" s="87" t="s">
        <v>781</v>
      </c>
      <c r="N1092" s="14" t="s">
        <v>27</v>
      </c>
      <c r="O1092" s="14" t="s">
        <v>28</v>
      </c>
      <c r="P1092" s="161">
        <v>1</v>
      </c>
      <c r="Q1092" s="47">
        <f t="shared" ref="Q1092:Q1155" si="37">P1092*F1092</f>
        <v>112</v>
      </c>
      <c r="R1092" s="47"/>
      <c r="S1092" s="47"/>
      <c r="T1092" s="47"/>
    </row>
    <row r="1093" customHeight="1" spans="1:20">
      <c r="A1093" s="43">
        <v>64072</v>
      </c>
      <c r="B1093" s="78" t="s">
        <v>2051</v>
      </c>
      <c r="C1093" s="78"/>
      <c r="D1093" s="43">
        <f>D833</f>
        <v>56</v>
      </c>
      <c r="E1093" s="78" t="s">
        <v>21</v>
      </c>
      <c r="F1093" s="44">
        <f t="shared" si="36"/>
        <v>112</v>
      </c>
      <c r="G1093" s="85" t="s">
        <v>2052</v>
      </c>
      <c r="H1093" s="46" t="s">
        <v>18</v>
      </c>
      <c r="I1093" s="47"/>
      <c r="J1093" s="48" t="s">
        <v>42</v>
      </c>
      <c r="K1093" s="86">
        <v>64072</v>
      </c>
      <c r="L1093" s="87" t="s">
        <v>780</v>
      </c>
      <c r="M1093" s="87" t="s">
        <v>781</v>
      </c>
      <c r="N1093" s="14" t="s">
        <v>27</v>
      </c>
      <c r="O1093" s="14" t="s">
        <v>28</v>
      </c>
      <c r="P1093" s="161">
        <v>2</v>
      </c>
      <c r="Q1093" s="47">
        <f t="shared" si="37"/>
        <v>224</v>
      </c>
      <c r="R1093" s="47"/>
      <c r="S1093" s="47"/>
      <c r="T1093" s="47"/>
    </row>
    <row r="1094" customHeight="1" spans="1:20">
      <c r="A1094" s="43">
        <v>64073</v>
      </c>
      <c r="B1094" s="78" t="s">
        <v>2053</v>
      </c>
      <c r="C1094" s="78"/>
      <c r="D1094" s="43">
        <f>D833</f>
        <v>56</v>
      </c>
      <c r="E1094" s="78" t="s">
        <v>21</v>
      </c>
      <c r="F1094" s="44">
        <f t="shared" si="36"/>
        <v>112</v>
      </c>
      <c r="G1094" s="85" t="s">
        <v>2054</v>
      </c>
      <c r="H1094" s="46" t="s">
        <v>18</v>
      </c>
      <c r="I1094" s="47"/>
      <c r="J1094" s="48" t="s">
        <v>42</v>
      </c>
      <c r="K1094" s="86">
        <v>64073</v>
      </c>
      <c r="L1094" s="87" t="s">
        <v>780</v>
      </c>
      <c r="M1094" s="87" t="s">
        <v>781</v>
      </c>
      <c r="N1094" s="14" t="s">
        <v>27</v>
      </c>
      <c r="O1094" s="14" t="s">
        <v>28</v>
      </c>
      <c r="P1094" s="161">
        <v>1.5</v>
      </c>
      <c r="Q1094" s="47">
        <f t="shared" si="37"/>
        <v>168</v>
      </c>
      <c r="R1094" s="47"/>
      <c r="S1094" s="47"/>
      <c r="T1094" s="47"/>
    </row>
    <row r="1095" customHeight="1" spans="1:20">
      <c r="A1095" s="43">
        <v>64080</v>
      </c>
      <c r="B1095" s="78" t="s">
        <v>2055</v>
      </c>
      <c r="C1095" s="78"/>
      <c r="D1095" s="43">
        <v>2</v>
      </c>
      <c r="E1095" s="78" t="s">
        <v>21</v>
      </c>
      <c r="F1095" s="44">
        <f t="shared" si="36"/>
        <v>4</v>
      </c>
      <c r="G1095" s="85" t="s">
        <v>2056</v>
      </c>
      <c r="H1095" s="46" t="s">
        <v>18</v>
      </c>
      <c r="I1095" s="47"/>
      <c r="J1095" s="48" t="s">
        <v>42</v>
      </c>
      <c r="K1095" s="86">
        <v>64080</v>
      </c>
      <c r="L1095" s="87" t="s">
        <v>780</v>
      </c>
      <c r="M1095" s="87" t="s">
        <v>781</v>
      </c>
      <c r="N1095" s="14" t="s">
        <v>27</v>
      </c>
      <c r="O1095" s="14" t="s">
        <v>28</v>
      </c>
      <c r="P1095" s="161">
        <v>4</v>
      </c>
      <c r="Q1095" s="47">
        <f t="shared" si="37"/>
        <v>16</v>
      </c>
      <c r="R1095" s="47"/>
      <c r="S1095" s="47"/>
      <c r="T1095" s="47"/>
    </row>
    <row r="1096" customHeight="1" spans="1:20">
      <c r="A1096" s="43">
        <v>64081</v>
      </c>
      <c r="B1096" s="78" t="s">
        <v>2057</v>
      </c>
      <c r="C1096" s="78"/>
      <c r="D1096" s="43">
        <f>D833</f>
        <v>56</v>
      </c>
      <c r="E1096" s="78" t="s">
        <v>21</v>
      </c>
      <c r="F1096" s="44">
        <f t="shared" si="36"/>
        <v>112</v>
      </c>
      <c r="G1096" s="85" t="s">
        <v>1949</v>
      </c>
      <c r="H1096" s="46" t="s">
        <v>18</v>
      </c>
      <c r="I1096" s="47"/>
      <c r="J1096" s="48" t="s">
        <v>42</v>
      </c>
      <c r="K1096" s="86">
        <v>64081</v>
      </c>
      <c r="L1096" s="87" t="s">
        <v>780</v>
      </c>
      <c r="M1096" s="87" t="s">
        <v>781</v>
      </c>
      <c r="N1096" s="14" t="s">
        <v>27</v>
      </c>
      <c r="O1096" s="14" t="s">
        <v>28</v>
      </c>
      <c r="P1096" s="161">
        <v>3</v>
      </c>
      <c r="Q1096" s="47">
        <f t="shared" si="37"/>
        <v>336</v>
      </c>
      <c r="R1096" s="47"/>
      <c r="S1096" s="47"/>
      <c r="T1096" s="47"/>
    </row>
    <row r="1097" customHeight="1" spans="1:20">
      <c r="A1097" s="43">
        <v>64082</v>
      </c>
      <c r="B1097" s="78" t="s">
        <v>2057</v>
      </c>
      <c r="C1097" s="78"/>
      <c r="D1097" s="43">
        <v>4</v>
      </c>
      <c r="E1097" s="78" t="s">
        <v>21</v>
      </c>
      <c r="F1097" s="44">
        <f t="shared" si="36"/>
        <v>8</v>
      </c>
      <c r="G1097" s="85" t="s">
        <v>2058</v>
      </c>
      <c r="H1097" s="46" t="s">
        <v>18</v>
      </c>
      <c r="I1097" s="47"/>
      <c r="J1097" s="48" t="s">
        <v>42</v>
      </c>
      <c r="K1097" s="86">
        <v>64082</v>
      </c>
      <c r="L1097" s="87" t="s">
        <v>780</v>
      </c>
      <c r="M1097" s="87" t="s">
        <v>781</v>
      </c>
      <c r="N1097" s="14" t="s">
        <v>27</v>
      </c>
      <c r="O1097" s="14" t="s">
        <v>28</v>
      </c>
      <c r="P1097" s="161">
        <v>4.25</v>
      </c>
      <c r="Q1097" s="47">
        <f t="shared" si="37"/>
        <v>34</v>
      </c>
      <c r="R1097" s="47"/>
      <c r="S1097" s="47"/>
      <c r="T1097" s="47"/>
    </row>
    <row r="1098" customHeight="1" spans="1:20">
      <c r="A1098" s="43">
        <v>64086</v>
      </c>
      <c r="B1098" s="78" t="s">
        <v>2059</v>
      </c>
      <c r="C1098" s="78"/>
      <c r="D1098" s="43">
        <f>D833</f>
        <v>56</v>
      </c>
      <c r="E1098" s="78" t="s">
        <v>21</v>
      </c>
      <c r="F1098" s="44">
        <f t="shared" si="36"/>
        <v>112</v>
      </c>
      <c r="G1098" s="85" t="s">
        <v>1558</v>
      </c>
      <c r="H1098" s="46" t="s">
        <v>18</v>
      </c>
      <c r="I1098" s="47"/>
      <c r="J1098" s="48" t="s">
        <v>42</v>
      </c>
      <c r="K1098" s="86">
        <v>64086</v>
      </c>
      <c r="L1098" s="87" t="s">
        <v>780</v>
      </c>
      <c r="M1098" s="87" t="s">
        <v>781</v>
      </c>
      <c r="N1098" s="14" t="s">
        <v>27</v>
      </c>
      <c r="O1098" s="14" t="s">
        <v>28</v>
      </c>
      <c r="P1098" s="161">
        <v>3.75</v>
      </c>
      <c r="Q1098" s="47">
        <f t="shared" si="37"/>
        <v>420</v>
      </c>
      <c r="R1098" s="47"/>
      <c r="S1098" s="47"/>
      <c r="T1098" s="47"/>
    </row>
    <row r="1099" customHeight="1" spans="1:20">
      <c r="A1099" s="43">
        <v>64087</v>
      </c>
      <c r="B1099" s="78" t="s">
        <v>2059</v>
      </c>
      <c r="C1099" s="78"/>
      <c r="D1099" s="43">
        <v>2</v>
      </c>
      <c r="E1099" s="78" t="s">
        <v>21</v>
      </c>
      <c r="F1099" s="44">
        <f t="shared" si="36"/>
        <v>4</v>
      </c>
      <c r="G1099" s="85" t="s">
        <v>2060</v>
      </c>
      <c r="H1099" s="46" t="s">
        <v>18</v>
      </c>
      <c r="I1099" s="47"/>
      <c r="J1099" s="48" t="s">
        <v>42</v>
      </c>
      <c r="K1099" s="86">
        <v>64087</v>
      </c>
      <c r="L1099" s="87" t="s">
        <v>780</v>
      </c>
      <c r="M1099" s="87" t="s">
        <v>781</v>
      </c>
      <c r="N1099" s="14" t="s">
        <v>27</v>
      </c>
      <c r="O1099" s="14" t="s">
        <v>28</v>
      </c>
      <c r="P1099" s="161">
        <v>5.2</v>
      </c>
      <c r="Q1099" s="47">
        <f t="shared" si="37"/>
        <v>20.8</v>
      </c>
      <c r="R1099" s="47"/>
      <c r="S1099" s="47"/>
      <c r="T1099" s="47"/>
    </row>
    <row r="1100" customHeight="1" spans="1:20">
      <c r="A1100" s="43">
        <v>64088</v>
      </c>
      <c r="B1100" s="78" t="s">
        <v>1557</v>
      </c>
      <c r="C1100" s="78"/>
      <c r="D1100" s="43">
        <f>D833</f>
        <v>56</v>
      </c>
      <c r="E1100" s="78" t="s">
        <v>21</v>
      </c>
      <c r="F1100" s="44">
        <f t="shared" si="36"/>
        <v>112</v>
      </c>
      <c r="G1100" s="85" t="s">
        <v>1558</v>
      </c>
      <c r="H1100" s="46" t="s">
        <v>18</v>
      </c>
      <c r="I1100" s="47"/>
      <c r="J1100" s="48" t="s">
        <v>42</v>
      </c>
      <c r="K1100" s="86">
        <v>64088</v>
      </c>
      <c r="L1100" s="87" t="s">
        <v>780</v>
      </c>
      <c r="M1100" s="87" t="s">
        <v>781</v>
      </c>
      <c r="N1100" s="14" t="s">
        <v>27</v>
      </c>
      <c r="O1100" s="14" t="s">
        <v>28</v>
      </c>
      <c r="P1100" s="161">
        <v>2.8</v>
      </c>
      <c r="Q1100" s="47">
        <f t="shared" si="37"/>
        <v>313.6</v>
      </c>
      <c r="R1100" s="47"/>
      <c r="S1100" s="47"/>
      <c r="T1100" s="47"/>
    </row>
    <row r="1101" customHeight="1" spans="1:20">
      <c r="A1101" s="43">
        <v>64089</v>
      </c>
      <c r="B1101" s="78" t="s">
        <v>1557</v>
      </c>
      <c r="C1101" s="78"/>
      <c r="D1101" s="43">
        <v>5</v>
      </c>
      <c r="E1101" s="78" t="s">
        <v>21</v>
      </c>
      <c r="F1101" s="44">
        <f t="shared" si="36"/>
        <v>10</v>
      </c>
      <c r="G1101" s="85" t="s">
        <v>2061</v>
      </c>
      <c r="H1101" s="46" t="s">
        <v>18</v>
      </c>
      <c r="I1101" s="47"/>
      <c r="J1101" s="48" t="s">
        <v>42</v>
      </c>
      <c r="K1101" s="86">
        <v>64089</v>
      </c>
      <c r="L1101" s="87" t="s">
        <v>780</v>
      </c>
      <c r="M1101" s="87" t="s">
        <v>781</v>
      </c>
      <c r="N1101" s="14" t="s">
        <v>27</v>
      </c>
      <c r="O1101" s="14" t="s">
        <v>28</v>
      </c>
      <c r="P1101" s="161">
        <v>4</v>
      </c>
      <c r="Q1101" s="47">
        <f t="shared" si="37"/>
        <v>40</v>
      </c>
      <c r="R1101" s="47"/>
      <c r="S1101" s="47"/>
      <c r="T1101" s="47"/>
    </row>
    <row r="1102" customHeight="1" spans="1:20">
      <c r="A1102" s="43">
        <v>64091</v>
      </c>
      <c r="B1102" s="78" t="s">
        <v>2062</v>
      </c>
      <c r="C1102" s="78"/>
      <c r="D1102" s="43">
        <f>D833</f>
        <v>56</v>
      </c>
      <c r="E1102" s="78" t="s">
        <v>21</v>
      </c>
      <c r="F1102" s="44">
        <f t="shared" si="36"/>
        <v>112</v>
      </c>
      <c r="G1102" s="85" t="s">
        <v>2063</v>
      </c>
      <c r="H1102" s="46" t="s">
        <v>18</v>
      </c>
      <c r="I1102" s="47"/>
      <c r="J1102" s="48" t="s">
        <v>42</v>
      </c>
      <c r="K1102" s="86">
        <v>64091</v>
      </c>
      <c r="L1102" s="87" t="s">
        <v>780</v>
      </c>
      <c r="M1102" s="87" t="s">
        <v>781</v>
      </c>
      <c r="N1102" s="14" t="s">
        <v>27</v>
      </c>
      <c r="O1102" s="14" t="s">
        <v>28</v>
      </c>
      <c r="P1102" s="161">
        <v>2.5</v>
      </c>
      <c r="Q1102" s="47">
        <f t="shared" si="37"/>
        <v>280</v>
      </c>
      <c r="R1102" s="47"/>
      <c r="S1102" s="47"/>
      <c r="T1102" s="47"/>
    </row>
    <row r="1103" customHeight="1" spans="1:20">
      <c r="A1103" s="43">
        <v>64092</v>
      </c>
      <c r="B1103" s="78" t="s">
        <v>2064</v>
      </c>
      <c r="C1103" s="78"/>
      <c r="D1103" s="43">
        <f>D833</f>
        <v>56</v>
      </c>
      <c r="E1103" s="78" t="s">
        <v>21</v>
      </c>
      <c r="F1103" s="44">
        <f t="shared" si="36"/>
        <v>112</v>
      </c>
      <c r="G1103" s="85" t="s">
        <v>2065</v>
      </c>
      <c r="H1103" s="46" t="s">
        <v>18</v>
      </c>
      <c r="I1103" s="47"/>
      <c r="J1103" s="48" t="s">
        <v>42</v>
      </c>
      <c r="K1103" s="86">
        <v>64092</v>
      </c>
      <c r="L1103" s="87" t="s">
        <v>780</v>
      </c>
      <c r="M1103" s="87" t="s">
        <v>781</v>
      </c>
      <c r="N1103" s="14" t="s">
        <v>27</v>
      </c>
      <c r="O1103" s="14" t="s">
        <v>28</v>
      </c>
      <c r="P1103" s="161">
        <v>1.3</v>
      </c>
      <c r="Q1103" s="47">
        <f t="shared" si="37"/>
        <v>145.6</v>
      </c>
      <c r="R1103" s="47"/>
      <c r="S1103" s="47"/>
      <c r="T1103" s="47"/>
    </row>
    <row r="1104" customHeight="1" spans="1:20">
      <c r="A1104" s="43">
        <v>64093</v>
      </c>
      <c r="B1104" s="78" t="s">
        <v>2064</v>
      </c>
      <c r="C1104" s="78"/>
      <c r="D1104" s="43">
        <f>D833</f>
        <v>56</v>
      </c>
      <c r="E1104" s="78" t="s">
        <v>21</v>
      </c>
      <c r="F1104" s="44">
        <f t="shared" si="36"/>
        <v>112</v>
      </c>
      <c r="G1104" s="85" t="s">
        <v>2066</v>
      </c>
      <c r="H1104" s="46" t="s">
        <v>18</v>
      </c>
      <c r="I1104" s="47"/>
      <c r="J1104" s="48" t="s">
        <v>42</v>
      </c>
      <c r="K1104" s="86">
        <v>64093</v>
      </c>
      <c r="L1104" s="87" t="s">
        <v>780</v>
      </c>
      <c r="M1104" s="87" t="s">
        <v>781</v>
      </c>
      <c r="N1104" s="14" t="s">
        <v>27</v>
      </c>
      <c r="O1104" s="14" t="s">
        <v>28</v>
      </c>
      <c r="P1104" s="161">
        <v>6</v>
      </c>
      <c r="Q1104" s="47">
        <f t="shared" si="37"/>
        <v>672</v>
      </c>
      <c r="R1104" s="47"/>
      <c r="S1104" s="47"/>
      <c r="T1104" s="47"/>
    </row>
    <row r="1105" customHeight="1" spans="1:20">
      <c r="A1105" s="43">
        <v>64094</v>
      </c>
      <c r="B1105" s="78" t="s">
        <v>2067</v>
      </c>
      <c r="C1105" s="78"/>
      <c r="D1105" s="43">
        <f>56*10</f>
        <v>560</v>
      </c>
      <c r="E1105" s="78" t="s">
        <v>221</v>
      </c>
      <c r="F1105" s="44">
        <f t="shared" si="36"/>
        <v>1120</v>
      </c>
      <c r="G1105" s="85" t="s">
        <v>2068</v>
      </c>
      <c r="H1105" s="46" t="s">
        <v>18</v>
      </c>
      <c r="I1105" s="47"/>
      <c r="J1105" s="48" t="s">
        <v>42</v>
      </c>
      <c r="K1105" s="86">
        <v>64094</v>
      </c>
      <c r="L1105" s="87" t="s">
        <v>25</v>
      </c>
      <c r="M1105" s="87" t="s">
        <v>26</v>
      </c>
      <c r="N1105" s="14" t="s">
        <v>27</v>
      </c>
      <c r="O1105" s="14" t="s">
        <v>28</v>
      </c>
      <c r="P1105" s="161">
        <v>0.4</v>
      </c>
      <c r="Q1105" s="47">
        <f t="shared" si="37"/>
        <v>448</v>
      </c>
      <c r="R1105" s="47"/>
      <c r="S1105" s="47"/>
      <c r="T1105" s="47"/>
    </row>
    <row r="1106" customHeight="1" spans="1:20">
      <c r="A1106" s="43">
        <v>64098</v>
      </c>
      <c r="B1106" s="78" t="s">
        <v>2069</v>
      </c>
      <c r="C1106" s="78"/>
      <c r="D1106" s="43">
        <v>2</v>
      </c>
      <c r="E1106" s="78" t="s">
        <v>221</v>
      </c>
      <c r="F1106" s="44">
        <f t="shared" si="36"/>
        <v>4</v>
      </c>
      <c r="G1106" s="85" t="s">
        <v>2070</v>
      </c>
      <c r="H1106" s="46" t="s">
        <v>18</v>
      </c>
      <c r="I1106" s="47"/>
      <c r="J1106" s="48" t="s">
        <v>42</v>
      </c>
      <c r="K1106" s="86">
        <v>64098</v>
      </c>
      <c r="L1106" s="87" t="s">
        <v>25</v>
      </c>
      <c r="M1106" s="87" t="s">
        <v>26</v>
      </c>
      <c r="N1106" s="14" t="s">
        <v>27</v>
      </c>
      <c r="O1106" s="14" t="s">
        <v>28</v>
      </c>
      <c r="P1106" s="161">
        <v>25</v>
      </c>
      <c r="Q1106" s="47">
        <f t="shared" si="37"/>
        <v>100</v>
      </c>
      <c r="R1106" s="47"/>
      <c r="S1106" s="47"/>
      <c r="T1106" s="47"/>
    </row>
    <row r="1107" customHeight="1" spans="1:20">
      <c r="A1107" s="75" t="s">
        <v>821</v>
      </c>
      <c r="B1107" s="2" t="s">
        <v>822</v>
      </c>
      <c r="C1107" s="2"/>
      <c r="D1107" s="6"/>
      <c r="E1107" s="2"/>
      <c r="F1107" s="44">
        <f t="shared" si="36"/>
        <v>0</v>
      </c>
      <c r="G1107" s="77"/>
      <c r="H1107" s="46"/>
      <c r="I1107" s="47"/>
      <c r="J1107" s="48" t="s">
        <v>42</v>
      </c>
      <c r="K1107" s="94"/>
      <c r="L1107" s="95"/>
      <c r="M1107" s="95"/>
      <c r="O1107" s="14" t="s">
        <v>28</v>
      </c>
      <c r="P1107" s="161"/>
      <c r="Q1107" s="47">
        <f t="shared" si="37"/>
        <v>0</v>
      </c>
      <c r="R1107" s="47"/>
      <c r="S1107" s="47"/>
      <c r="T1107" s="47">
        <v>8</v>
      </c>
    </row>
    <row r="1108" customHeight="1" spans="1:20">
      <c r="A1108" s="43">
        <v>80</v>
      </c>
      <c r="B1108" s="2" t="s">
        <v>823</v>
      </c>
      <c r="C1108" s="2"/>
      <c r="D1108" s="6"/>
      <c r="E1108" s="2"/>
      <c r="F1108" s="44">
        <f t="shared" si="36"/>
        <v>0</v>
      </c>
      <c r="G1108" s="77"/>
      <c r="H1108" s="46"/>
      <c r="I1108" s="47"/>
      <c r="J1108" s="48" t="s">
        <v>42</v>
      </c>
      <c r="K1108" s="94"/>
      <c r="L1108" s="95"/>
      <c r="M1108" s="95"/>
      <c r="O1108" s="14" t="s">
        <v>28</v>
      </c>
      <c r="P1108" s="51"/>
      <c r="Q1108" s="47">
        <f t="shared" si="37"/>
        <v>0</v>
      </c>
      <c r="R1108" s="47"/>
      <c r="S1108" s="47"/>
      <c r="T1108" s="47">
        <v>80</v>
      </c>
    </row>
    <row r="1109" customHeight="1" spans="1:20">
      <c r="A1109" s="43">
        <v>80202</v>
      </c>
      <c r="B1109" s="78" t="s">
        <v>2071</v>
      </c>
      <c r="C1109" s="78"/>
      <c r="D1109" s="43">
        <f>D833</f>
        <v>56</v>
      </c>
      <c r="E1109" s="78" t="s">
        <v>2072</v>
      </c>
      <c r="F1109" s="44">
        <f t="shared" si="36"/>
        <v>112</v>
      </c>
      <c r="G1109" s="85" t="s">
        <v>2073</v>
      </c>
      <c r="H1109" s="46" t="s">
        <v>18</v>
      </c>
      <c r="I1109" s="47"/>
      <c r="J1109" s="48" t="s">
        <v>42</v>
      </c>
      <c r="K1109" s="86">
        <v>80202</v>
      </c>
      <c r="L1109" s="87" t="s">
        <v>25</v>
      </c>
      <c r="M1109" s="87" t="s">
        <v>26</v>
      </c>
      <c r="N1109" s="14" t="s">
        <v>27</v>
      </c>
      <c r="O1109" s="14" t="s">
        <v>28</v>
      </c>
      <c r="P1109" s="161">
        <v>35</v>
      </c>
      <c r="Q1109" s="47">
        <f t="shared" si="37"/>
        <v>3920</v>
      </c>
      <c r="R1109" s="47"/>
      <c r="S1109" s="47"/>
      <c r="T1109" s="47"/>
    </row>
    <row r="1110" customHeight="1" spans="1:20">
      <c r="A1110" s="43">
        <v>80203</v>
      </c>
      <c r="B1110" s="78" t="s">
        <v>2074</v>
      </c>
      <c r="C1110" s="78"/>
      <c r="D1110" s="43">
        <f>D833</f>
        <v>56</v>
      </c>
      <c r="E1110" s="78" t="s">
        <v>32</v>
      </c>
      <c r="F1110" s="44">
        <f t="shared" si="36"/>
        <v>112</v>
      </c>
      <c r="G1110" s="85" t="s">
        <v>2075</v>
      </c>
      <c r="H1110" s="46" t="s">
        <v>18</v>
      </c>
      <c r="I1110" s="47"/>
      <c r="J1110" s="48" t="s">
        <v>42</v>
      </c>
      <c r="K1110" s="86">
        <v>80203</v>
      </c>
      <c r="L1110" s="87" t="s">
        <v>25</v>
      </c>
      <c r="M1110" s="87" t="s">
        <v>26</v>
      </c>
      <c r="N1110" s="14" t="s">
        <v>27</v>
      </c>
      <c r="O1110" s="14" t="s">
        <v>28</v>
      </c>
      <c r="P1110" s="161">
        <v>35</v>
      </c>
      <c r="Q1110" s="47">
        <f t="shared" si="37"/>
        <v>3920</v>
      </c>
      <c r="R1110" s="47"/>
      <c r="S1110" s="47"/>
      <c r="T1110" s="47"/>
    </row>
    <row r="1111" customHeight="1" spans="1:20">
      <c r="A1111" s="6">
        <v>81</v>
      </c>
      <c r="B1111" s="2" t="s">
        <v>930</v>
      </c>
      <c r="C1111" s="2"/>
      <c r="D1111" s="6"/>
      <c r="E1111" s="2"/>
      <c r="F1111" s="44">
        <f t="shared" si="36"/>
        <v>0</v>
      </c>
      <c r="G1111" s="77"/>
      <c r="H1111" s="46"/>
      <c r="I1111" s="47"/>
      <c r="J1111" s="48" t="s">
        <v>42</v>
      </c>
      <c r="K1111" s="94"/>
      <c r="L1111" s="95"/>
      <c r="M1111" s="95"/>
      <c r="O1111" s="14" t="s">
        <v>28</v>
      </c>
      <c r="P1111" s="51"/>
      <c r="Q1111" s="47">
        <f t="shared" si="37"/>
        <v>0</v>
      </c>
      <c r="R1111" s="47"/>
      <c r="S1111" s="47"/>
      <c r="T1111" s="47">
        <v>81</v>
      </c>
    </row>
    <row r="1112" customHeight="1" spans="1:20">
      <c r="A1112" s="43">
        <v>81002</v>
      </c>
      <c r="B1112" s="78" t="s">
        <v>933</v>
      </c>
      <c r="C1112" s="78"/>
      <c r="D1112" s="43">
        <v>1</v>
      </c>
      <c r="E1112" s="78" t="s">
        <v>221</v>
      </c>
      <c r="F1112" s="44">
        <f t="shared" si="36"/>
        <v>2</v>
      </c>
      <c r="G1112" s="85" t="s">
        <v>934</v>
      </c>
      <c r="H1112" s="46" t="s">
        <v>18</v>
      </c>
      <c r="I1112" s="47"/>
      <c r="J1112" s="48" t="s">
        <v>42</v>
      </c>
      <c r="K1112" s="86">
        <v>81002</v>
      </c>
      <c r="L1112" s="87" t="s">
        <v>25</v>
      </c>
      <c r="M1112" s="87" t="s">
        <v>26</v>
      </c>
      <c r="N1112" s="14" t="s">
        <v>27</v>
      </c>
      <c r="O1112" s="14" t="s">
        <v>28</v>
      </c>
      <c r="P1112" s="161">
        <v>4</v>
      </c>
      <c r="Q1112" s="47">
        <f t="shared" si="37"/>
        <v>8</v>
      </c>
      <c r="R1112" s="47"/>
      <c r="S1112" s="47"/>
      <c r="T1112" s="47">
        <v>81002</v>
      </c>
    </row>
    <row r="1113" customHeight="1" spans="1:20">
      <c r="A1113" s="43">
        <v>81003</v>
      </c>
      <c r="B1113" s="78" t="s">
        <v>935</v>
      </c>
      <c r="C1113" s="78"/>
      <c r="D1113" s="43">
        <v>1</v>
      </c>
      <c r="E1113" s="78" t="s">
        <v>221</v>
      </c>
      <c r="F1113" s="44">
        <f t="shared" si="36"/>
        <v>2</v>
      </c>
      <c r="G1113" s="85" t="s">
        <v>936</v>
      </c>
      <c r="H1113" s="46" t="s">
        <v>18</v>
      </c>
      <c r="I1113" s="47"/>
      <c r="J1113" s="48" t="s">
        <v>42</v>
      </c>
      <c r="K1113" s="86">
        <v>81003</v>
      </c>
      <c r="L1113" s="87" t="s">
        <v>25</v>
      </c>
      <c r="M1113" s="87" t="s">
        <v>26</v>
      </c>
      <c r="N1113" s="14" t="s">
        <v>27</v>
      </c>
      <c r="O1113" s="14" t="s">
        <v>28</v>
      </c>
      <c r="P1113" s="161">
        <v>4</v>
      </c>
      <c r="Q1113" s="47">
        <f t="shared" si="37"/>
        <v>8</v>
      </c>
      <c r="R1113" s="47"/>
      <c r="S1113" s="47"/>
      <c r="T1113" s="47">
        <v>81003</v>
      </c>
    </row>
    <row r="1114" customHeight="1" spans="1:20">
      <c r="A1114" s="43">
        <v>81014</v>
      </c>
      <c r="B1114" s="78" t="s">
        <v>937</v>
      </c>
      <c r="C1114" s="78"/>
      <c r="D1114" s="43">
        <v>1</v>
      </c>
      <c r="E1114" s="78" t="s">
        <v>172</v>
      </c>
      <c r="F1114" s="44">
        <f t="shared" si="36"/>
        <v>2</v>
      </c>
      <c r="G1114" s="85" t="s">
        <v>938</v>
      </c>
      <c r="H1114" s="46" t="s">
        <v>18</v>
      </c>
      <c r="I1114" s="47"/>
      <c r="J1114" s="48" t="s">
        <v>42</v>
      </c>
      <c r="K1114" s="86">
        <v>81014</v>
      </c>
      <c r="L1114" s="87" t="s">
        <v>25</v>
      </c>
      <c r="M1114" s="87" t="s">
        <v>26</v>
      </c>
      <c r="N1114" s="14" t="s">
        <v>27</v>
      </c>
      <c r="O1114" s="14" t="s">
        <v>28</v>
      </c>
      <c r="P1114" s="161">
        <v>12</v>
      </c>
      <c r="Q1114" s="47">
        <f t="shared" si="37"/>
        <v>24</v>
      </c>
      <c r="R1114" s="47"/>
      <c r="S1114" s="47"/>
      <c r="T1114" s="47">
        <v>81004</v>
      </c>
    </row>
    <row r="1115" customHeight="1" spans="1:20">
      <c r="A1115" s="43">
        <v>81015</v>
      </c>
      <c r="B1115" s="78" t="s">
        <v>953</v>
      </c>
      <c r="C1115" s="78"/>
      <c r="D1115" s="43">
        <v>1</v>
      </c>
      <c r="E1115" s="78" t="s">
        <v>172</v>
      </c>
      <c r="F1115" s="44">
        <f t="shared" si="36"/>
        <v>2</v>
      </c>
      <c r="G1115" s="79" t="s">
        <v>2076</v>
      </c>
      <c r="H1115" s="46" t="s">
        <v>18</v>
      </c>
      <c r="I1115" s="47"/>
      <c r="J1115" s="48" t="s">
        <v>42</v>
      </c>
      <c r="K1115" s="80">
        <v>81015</v>
      </c>
      <c r="L1115" s="81" t="s">
        <v>25</v>
      </c>
      <c r="M1115" s="81" t="s">
        <v>26</v>
      </c>
      <c r="N1115" s="14" t="s">
        <v>27</v>
      </c>
      <c r="O1115" s="14" t="s">
        <v>28</v>
      </c>
      <c r="P1115" s="161">
        <v>11</v>
      </c>
      <c r="Q1115" s="47">
        <f t="shared" si="37"/>
        <v>22</v>
      </c>
      <c r="R1115" s="47"/>
      <c r="S1115" s="47"/>
      <c r="T1115" s="47">
        <v>81015</v>
      </c>
    </row>
    <row r="1116" customHeight="1" spans="1:20">
      <c r="A1116" s="43">
        <v>81018</v>
      </c>
      <c r="B1116" s="78" t="s">
        <v>959</v>
      </c>
      <c r="C1116" s="78"/>
      <c r="D1116" s="43">
        <v>1</v>
      </c>
      <c r="E1116" s="78" t="s">
        <v>21</v>
      </c>
      <c r="F1116" s="44">
        <f t="shared" si="36"/>
        <v>2</v>
      </c>
      <c r="G1116" s="85" t="s">
        <v>2077</v>
      </c>
      <c r="H1116" s="46" t="s">
        <v>18</v>
      </c>
      <c r="I1116" s="47"/>
      <c r="J1116" s="48" t="s">
        <v>42</v>
      </c>
      <c r="K1116" s="86">
        <v>81018</v>
      </c>
      <c r="L1116" s="87" t="s">
        <v>25</v>
      </c>
      <c r="M1116" s="87" t="s">
        <v>26</v>
      </c>
      <c r="N1116" s="14" t="s">
        <v>27</v>
      </c>
      <c r="O1116" s="14" t="s">
        <v>28</v>
      </c>
      <c r="P1116" s="161">
        <v>10</v>
      </c>
      <c r="Q1116" s="47">
        <f t="shared" si="37"/>
        <v>20</v>
      </c>
      <c r="R1116" s="47"/>
      <c r="S1116" s="47"/>
      <c r="T1116" s="47">
        <v>81018</v>
      </c>
    </row>
    <row r="1117" customHeight="1" spans="1:20">
      <c r="A1117" s="43">
        <v>81032</v>
      </c>
      <c r="B1117" s="78" t="s">
        <v>2078</v>
      </c>
      <c r="C1117" s="78"/>
      <c r="D1117" s="43">
        <v>1</v>
      </c>
      <c r="E1117" s="78" t="s">
        <v>172</v>
      </c>
      <c r="F1117" s="44">
        <f t="shared" si="36"/>
        <v>2</v>
      </c>
      <c r="G1117" s="85" t="s">
        <v>2079</v>
      </c>
      <c r="H1117" s="46" t="s">
        <v>18</v>
      </c>
      <c r="I1117" s="47"/>
      <c r="J1117" s="48" t="s">
        <v>42</v>
      </c>
      <c r="K1117" s="86">
        <v>81032</v>
      </c>
      <c r="L1117" s="87" t="s">
        <v>25</v>
      </c>
      <c r="M1117" s="87" t="s">
        <v>26</v>
      </c>
      <c r="N1117" s="14" t="s">
        <v>27</v>
      </c>
      <c r="O1117" s="14" t="s">
        <v>28</v>
      </c>
      <c r="P1117" s="161">
        <v>7</v>
      </c>
      <c r="Q1117" s="47">
        <f t="shared" si="37"/>
        <v>14</v>
      </c>
      <c r="R1117" s="47"/>
      <c r="S1117" s="47"/>
      <c r="T1117" s="47"/>
    </row>
    <row r="1118" customHeight="1" spans="1:20">
      <c r="A1118" s="43">
        <v>81051</v>
      </c>
      <c r="B1118" s="78" t="s">
        <v>2080</v>
      </c>
      <c r="C1118" s="78"/>
      <c r="D1118" s="43">
        <v>1</v>
      </c>
      <c r="E1118" s="78" t="s">
        <v>32</v>
      </c>
      <c r="F1118" s="44">
        <f t="shared" si="36"/>
        <v>2</v>
      </c>
      <c r="G1118" s="79" t="s">
        <v>2081</v>
      </c>
      <c r="H1118" s="46" t="s">
        <v>18</v>
      </c>
      <c r="I1118" s="47"/>
      <c r="J1118" s="48" t="s">
        <v>42</v>
      </c>
      <c r="K1118" s="80">
        <v>81051</v>
      </c>
      <c r="L1118" s="81" t="s">
        <v>25</v>
      </c>
      <c r="M1118" s="81" t="s">
        <v>26</v>
      </c>
      <c r="N1118" s="14" t="s">
        <v>27</v>
      </c>
      <c r="O1118" s="14" t="s">
        <v>28</v>
      </c>
      <c r="P1118" s="161">
        <v>20</v>
      </c>
      <c r="Q1118" s="47">
        <f t="shared" si="37"/>
        <v>40</v>
      </c>
      <c r="R1118" s="47"/>
      <c r="S1118" s="47"/>
      <c r="T1118" s="47"/>
    </row>
    <row r="1119" customHeight="1" spans="1:20">
      <c r="A1119" s="43">
        <v>81052</v>
      </c>
      <c r="B1119" s="78" t="s">
        <v>2082</v>
      </c>
      <c r="C1119" s="78"/>
      <c r="D1119" s="43">
        <v>1</v>
      </c>
      <c r="E1119" s="78" t="s">
        <v>21</v>
      </c>
      <c r="F1119" s="44">
        <f t="shared" si="36"/>
        <v>2</v>
      </c>
      <c r="G1119" s="85" t="s">
        <v>2083</v>
      </c>
      <c r="H1119" s="46" t="s">
        <v>18</v>
      </c>
      <c r="I1119" s="47"/>
      <c r="J1119" s="48" t="s">
        <v>42</v>
      </c>
      <c r="K1119" s="86">
        <v>81052</v>
      </c>
      <c r="L1119" s="87" t="s">
        <v>25</v>
      </c>
      <c r="M1119" s="87" t="s">
        <v>26</v>
      </c>
      <c r="N1119" s="14" t="s">
        <v>27</v>
      </c>
      <c r="O1119" s="14" t="s">
        <v>28</v>
      </c>
      <c r="P1119" s="161">
        <v>20</v>
      </c>
      <c r="Q1119" s="47">
        <f t="shared" si="37"/>
        <v>40</v>
      </c>
      <c r="R1119" s="47"/>
      <c r="S1119" s="47"/>
      <c r="T1119" s="47"/>
    </row>
    <row r="1120" customHeight="1" spans="1:20">
      <c r="A1120" s="6">
        <v>82</v>
      </c>
      <c r="B1120" s="2" t="s">
        <v>1000</v>
      </c>
      <c r="C1120" s="2"/>
      <c r="D1120" s="6"/>
      <c r="E1120" s="2"/>
      <c r="F1120" s="44">
        <f t="shared" si="36"/>
        <v>0</v>
      </c>
      <c r="G1120" s="77"/>
      <c r="H1120" s="46"/>
      <c r="I1120" s="47"/>
      <c r="J1120" s="48" t="s">
        <v>42</v>
      </c>
      <c r="K1120" s="94"/>
      <c r="L1120" s="95"/>
      <c r="M1120" s="95"/>
      <c r="O1120" s="14" t="s">
        <v>28</v>
      </c>
      <c r="P1120" s="51"/>
      <c r="Q1120" s="47">
        <f t="shared" si="37"/>
        <v>0</v>
      </c>
      <c r="R1120" s="47"/>
      <c r="S1120" s="47"/>
      <c r="T1120" s="47">
        <v>82</v>
      </c>
    </row>
    <row r="1121" customHeight="1" spans="1:20">
      <c r="A1121" s="43">
        <v>82001</v>
      </c>
      <c r="B1121" s="78" t="s">
        <v>1001</v>
      </c>
      <c r="C1121" s="78"/>
      <c r="D1121" s="43">
        <v>3</v>
      </c>
      <c r="E1121" s="78" t="s">
        <v>1002</v>
      </c>
      <c r="F1121" s="44">
        <f t="shared" si="36"/>
        <v>6</v>
      </c>
      <c r="G1121" s="85" t="s">
        <v>2084</v>
      </c>
      <c r="H1121" s="46" t="s">
        <v>18</v>
      </c>
      <c r="I1121" s="47"/>
      <c r="J1121" s="48" t="s">
        <v>42</v>
      </c>
      <c r="K1121" s="86">
        <v>82001</v>
      </c>
      <c r="L1121" s="87" t="s">
        <v>25</v>
      </c>
      <c r="M1121" s="87" t="s">
        <v>26</v>
      </c>
      <c r="N1121" s="14" t="s">
        <v>27</v>
      </c>
      <c r="O1121" s="14" t="s">
        <v>28</v>
      </c>
      <c r="P1121" s="161">
        <v>29</v>
      </c>
      <c r="Q1121" s="47">
        <f t="shared" si="37"/>
        <v>174</v>
      </c>
      <c r="R1121" s="47"/>
      <c r="S1121" s="47"/>
      <c r="T1121" s="47">
        <v>82001</v>
      </c>
    </row>
    <row r="1122" customHeight="1" spans="1:20">
      <c r="A1122" s="43">
        <v>82002</v>
      </c>
      <c r="B1122" s="78" t="s">
        <v>1004</v>
      </c>
      <c r="C1122" s="78"/>
      <c r="D1122" s="43">
        <f>D833</f>
        <v>56</v>
      </c>
      <c r="E1122" s="78" t="s">
        <v>21</v>
      </c>
      <c r="F1122" s="44">
        <f t="shared" si="36"/>
        <v>112</v>
      </c>
      <c r="G1122" s="85" t="s">
        <v>2085</v>
      </c>
      <c r="H1122" s="46" t="s">
        <v>18</v>
      </c>
      <c r="I1122" s="47"/>
      <c r="J1122" s="48" t="s">
        <v>42</v>
      </c>
      <c r="K1122" s="86">
        <v>82002</v>
      </c>
      <c r="L1122" s="87" t="s">
        <v>25</v>
      </c>
      <c r="M1122" s="87" t="s">
        <v>26</v>
      </c>
      <c r="N1122" s="14" t="s">
        <v>27</v>
      </c>
      <c r="O1122" s="14" t="s">
        <v>28</v>
      </c>
      <c r="P1122" s="161">
        <v>6.5</v>
      </c>
      <c r="Q1122" s="47">
        <f t="shared" si="37"/>
        <v>728</v>
      </c>
      <c r="R1122" s="47"/>
      <c r="S1122" s="47"/>
      <c r="T1122" s="47">
        <v>82002</v>
      </c>
    </row>
    <row r="1123" customHeight="1" spans="1:20">
      <c r="A1123" s="43">
        <v>82004</v>
      </c>
      <c r="B1123" s="78" t="s">
        <v>2086</v>
      </c>
      <c r="C1123" s="78"/>
      <c r="D1123" s="43">
        <v>1</v>
      </c>
      <c r="E1123" s="78" t="s">
        <v>21</v>
      </c>
      <c r="F1123" s="44">
        <f t="shared" si="36"/>
        <v>2</v>
      </c>
      <c r="G1123" s="85" t="s">
        <v>2087</v>
      </c>
      <c r="H1123" s="46" t="s">
        <v>18</v>
      </c>
      <c r="I1123" s="47"/>
      <c r="J1123" s="48" t="s">
        <v>42</v>
      </c>
      <c r="K1123" s="86">
        <v>82004</v>
      </c>
      <c r="L1123" s="87" t="s">
        <v>25</v>
      </c>
      <c r="M1123" s="87" t="s">
        <v>26</v>
      </c>
      <c r="N1123" s="14" t="s">
        <v>27</v>
      </c>
      <c r="O1123" s="14" t="s">
        <v>28</v>
      </c>
      <c r="P1123" s="161">
        <v>24</v>
      </c>
      <c r="Q1123" s="47">
        <f t="shared" si="37"/>
        <v>48</v>
      </c>
      <c r="R1123" s="47"/>
      <c r="S1123" s="47"/>
      <c r="T1123" s="47"/>
    </row>
    <row r="1124" customHeight="1" spans="1:20">
      <c r="A1124" s="43">
        <v>82005</v>
      </c>
      <c r="B1124" s="78" t="s">
        <v>2088</v>
      </c>
      <c r="C1124" s="78"/>
      <c r="D1124" s="43">
        <v>1</v>
      </c>
      <c r="E1124" s="78" t="s">
        <v>21</v>
      </c>
      <c r="F1124" s="44">
        <f t="shared" si="36"/>
        <v>2</v>
      </c>
      <c r="G1124" s="117" t="s">
        <v>2089</v>
      </c>
      <c r="H1124" s="46" t="s">
        <v>18</v>
      </c>
      <c r="I1124" s="47"/>
      <c r="J1124" s="48" t="s">
        <v>42</v>
      </c>
      <c r="K1124" s="118">
        <v>82005</v>
      </c>
      <c r="L1124" s="119" t="s">
        <v>2090</v>
      </c>
      <c r="M1124" s="119" t="s">
        <v>2091</v>
      </c>
      <c r="N1124" s="14" t="s">
        <v>27</v>
      </c>
      <c r="O1124" s="14" t="s">
        <v>28</v>
      </c>
      <c r="P1124" s="161">
        <v>16</v>
      </c>
      <c r="Q1124" s="47">
        <f t="shared" si="37"/>
        <v>32</v>
      </c>
      <c r="R1124" s="47"/>
      <c r="S1124" s="47"/>
      <c r="T1124" s="47"/>
    </row>
    <row r="1125" customHeight="1" spans="1:20">
      <c r="A1125" s="43">
        <v>82006</v>
      </c>
      <c r="B1125" s="78" t="s">
        <v>1006</v>
      </c>
      <c r="C1125" s="78"/>
      <c r="D1125" s="43">
        <v>5</v>
      </c>
      <c r="E1125" s="78" t="s">
        <v>1007</v>
      </c>
      <c r="F1125" s="44">
        <f t="shared" si="36"/>
        <v>10</v>
      </c>
      <c r="G1125" s="85" t="s">
        <v>2092</v>
      </c>
      <c r="H1125" s="46" t="s">
        <v>18</v>
      </c>
      <c r="I1125" s="47"/>
      <c r="J1125" s="48" t="s">
        <v>42</v>
      </c>
      <c r="K1125" s="86">
        <v>82006</v>
      </c>
      <c r="L1125" s="87" t="s">
        <v>2093</v>
      </c>
      <c r="M1125" s="87" t="s">
        <v>2094</v>
      </c>
      <c r="N1125" s="14" t="s">
        <v>27</v>
      </c>
      <c r="O1125" s="14" t="s">
        <v>28</v>
      </c>
      <c r="P1125" s="161">
        <v>8</v>
      </c>
      <c r="Q1125" s="47">
        <f t="shared" si="37"/>
        <v>80</v>
      </c>
      <c r="R1125" s="47"/>
      <c r="S1125" s="47"/>
      <c r="T1125" s="47">
        <v>82006</v>
      </c>
    </row>
    <row r="1126" customHeight="1" spans="1:20">
      <c r="A1126" s="43">
        <v>82006</v>
      </c>
      <c r="B1126" s="78" t="s">
        <v>1006</v>
      </c>
      <c r="C1126" s="78"/>
      <c r="D1126" s="43">
        <f>D833</f>
        <v>56</v>
      </c>
      <c r="E1126" s="78" t="s">
        <v>1007</v>
      </c>
      <c r="F1126" s="44">
        <f t="shared" si="36"/>
        <v>112</v>
      </c>
      <c r="G1126" s="85" t="s">
        <v>2095</v>
      </c>
      <c r="H1126" s="46" t="s">
        <v>18</v>
      </c>
      <c r="I1126" s="47"/>
      <c r="J1126" s="48" t="s">
        <v>42</v>
      </c>
      <c r="K1126" s="86">
        <v>82006</v>
      </c>
      <c r="L1126" s="87" t="s">
        <v>2096</v>
      </c>
      <c r="M1126" s="87" t="s">
        <v>2097</v>
      </c>
      <c r="N1126" s="14" t="s">
        <v>27</v>
      </c>
      <c r="O1126" s="14" t="s">
        <v>28</v>
      </c>
      <c r="P1126" s="161">
        <v>1.5</v>
      </c>
      <c r="Q1126" s="47">
        <f t="shared" si="37"/>
        <v>168</v>
      </c>
      <c r="R1126" s="47"/>
      <c r="S1126" s="47"/>
      <c r="T1126" s="47">
        <v>82006</v>
      </c>
    </row>
    <row r="1127" customHeight="1" spans="1:20">
      <c r="A1127" s="43">
        <v>82009</v>
      </c>
      <c r="B1127" s="78" t="s">
        <v>2098</v>
      </c>
      <c r="C1127" s="78"/>
      <c r="D1127" s="43">
        <v>1</v>
      </c>
      <c r="E1127" s="78" t="s">
        <v>32</v>
      </c>
      <c r="F1127" s="44">
        <f t="shared" si="36"/>
        <v>2</v>
      </c>
      <c r="G1127" s="123" t="s">
        <v>2099</v>
      </c>
      <c r="H1127" s="46" t="s">
        <v>18</v>
      </c>
      <c r="I1127" s="47"/>
      <c r="J1127" s="48" t="s">
        <v>42</v>
      </c>
      <c r="K1127" s="124">
        <v>82009</v>
      </c>
      <c r="L1127" s="125" t="s">
        <v>25</v>
      </c>
      <c r="M1127" s="125" t="s">
        <v>26</v>
      </c>
      <c r="N1127" s="14" t="s">
        <v>27</v>
      </c>
      <c r="O1127" s="14" t="s">
        <v>28</v>
      </c>
      <c r="P1127" s="51">
        <v>150</v>
      </c>
      <c r="Q1127" s="47">
        <f t="shared" si="37"/>
        <v>300</v>
      </c>
      <c r="R1127" s="47"/>
      <c r="S1127" s="47"/>
      <c r="T1127" s="47"/>
    </row>
    <row r="1128" customHeight="1" spans="1:20">
      <c r="A1128" s="43">
        <v>82010</v>
      </c>
      <c r="B1128" s="78" t="s">
        <v>2100</v>
      </c>
      <c r="C1128" s="78"/>
      <c r="D1128" s="43">
        <v>1</v>
      </c>
      <c r="E1128" s="78" t="s">
        <v>1002</v>
      </c>
      <c r="F1128" s="44">
        <f t="shared" si="36"/>
        <v>2</v>
      </c>
      <c r="G1128" s="85" t="s">
        <v>2101</v>
      </c>
      <c r="H1128" s="46" t="s">
        <v>18</v>
      </c>
      <c r="I1128" s="47"/>
      <c r="J1128" s="48" t="s">
        <v>42</v>
      </c>
      <c r="K1128" s="86">
        <v>82010</v>
      </c>
      <c r="L1128" s="87" t="s">
        <v>1053</v>
      </c>
      <c r="M1128" s="87" t="s">
        <v>1054</v>
      </c>
      <c r="N1128" s="14" t="s">
        <v>27</v>
      </c>
      <c r="O1128" s="14" t="s">
        <v>28</v>
      </c>
      <c r="P1128" s="51">
        <v>120</v>
      </c>
      <c r="Q1128" s="47">
        <f t="shared" si="37"/>
        <v>240</v>
      </c>
      <c r="R1128" s="47"/>
      <c r="S1128" s="47"/>
      <c r="T1128" s="47"/>
    </row>
    <row r="1129" customHeight="1" spans="1:20">
      <c r="A1129" s="43">
        <v>82011</v>
      </c>
      <c r="B1129" s="78" t="s">
        <v>2102</v>
      </c>
      <c r="C1129" s="78"/>
      <c r="D1129" s="43">
        <v>1</v>
      </c>
      <c r="E1129" s="78" t="s">
        <v>1002</v>
      </c>
      <c r="F1129" s="44">
        <f t="shared" si="36"/>
        <v>2</v>
      </c>
      <c r="G1129" s="85" t="s">
        <v>2103</v>
      </c>
      <c r="H1129" s="46" t="s">
        <v>18</v>
      </c>
      <c r="I1129" s="47"/>
      <c r="J1129" s="48" t="s">
        <v>42</v>
      </c>
      <c r="K1129" s="86">
        <v>82011</v>
      </c>
      <c r="L1129" s="87" t="s">
        <v>25</v>
      </c>
      <c r="M1129" s="87" t="s">
        <v>26</v>
      </c>
      <c r="N1129" s="14" t="s">
        <v>27</v>
      </c>
      <c r="O1129" s="14" t="s">
        <v>28</v>
      </c>
      <c r="P1129" s="51">
        <v>65</v>
      </c>
      <c r="Q1129" s="47">
        <f t="shared" si="37"/>
        <v>130</v>
      </c>
      <c r="R1129" s="47"/>
      <c r="S1129" s="47"/>
      <c r="T1129" s="47"/>
    </row>
    <row r="1130" s="13" customFormat="1" ht="21" customHeight="1" spans="1:20">
      <c r="A1130" s="52" t="s">
        <v>1675</v>
      </c>
      <c r="B1130" s="53"/>
      <c r="C1130" s="53"/>
      <c r="D1130" s="53"/>
      <c r="E1130" s="53"/>
      <c r="F1130" s="54"/>
      <c r="G1130" s="55"/>
      <c r="H1130" s="56"/>
      <c r="I1130" s="57"/>
      <c r="J1130" s="48"/>
      <c r="K1130" s="58"/>
      <c r="L1130" s="58"/>
      <c r="M1130" s="59"/>
      <c r="P1130" s="60"/>
      <c r="Q1130" s="47">
        <f t="shared" si="37"/>
        <v>0</v>
      </c>
      <c r="R1130" s="57"/>
      <c r="S1130" s="57"/>
      <c r="T1130" s="57"/>
    </row>
    <row r="1131" s="13" customFormat="1" ht="21" customHeight="1" spans="1:20">
      <c r="A1131" s="61" t="s">
        <v>2104</v>
      </c>
      <c r="B1131" s="62"/>
      <c r="C1131" s="62"/>
      <c r="D1131" s="62"/>
      <c r="E1131" s="62"/>
      <c r="F1131" s="63"/>
      <c r="G1131" s="64"/>
      <c r="H1131" s="65"/>
      <c r="I1131" s="66"/>
      <c r="J1131" s="48"/>
      <c r="K1131" s="58"/>
      <c r="L1131" s="58"/>
      <c r="M1131" s="59"/>
      <c r="P1131" s="67"/>
      <c r="Q1131" s="47">
        <f t="shared" si="37"/>
        <v>0</v>
      </c>
      <c r="R1131" s="66"/>
      <c r="S1131" s="66"/>
      <c r="T1131" s="66"/>
    </row>
    <row r="1132" s="12" customFormat="1" customHeight="1" spans="1:20">
      <c r="A1132" s="68">
        <v>7</v>
      </c>
      <c r="B1132" s="127" t="s">
        <v>2105</v>
      </c>
      <c r="C1132" s="127"/>
      <c r="D1132" s="29">
        <v>2</v>
      </c>
      <c r="E1132" s="127" t="s">
        <v>1012</v>
      </c>
      <c r="F1132" s="128"/>
      <c r="G1132" s="70" t="s">
        <v>33</v>
      </c>
      <c r="H1132" s="35" t="s">
        <v>18</v>
      </c>
      <c r="I1132" s="36"/>
      <c r="J1132" s="37"/>
      <c r="K1132" s="38"/>
      <c r="L1132" s="38"/>
      <c r="M1132" s="39"/>
      <c r="N1132" s="12"/>
      <c r="O1132" s="12"/>
      <c r="P1132" s="40"/>
      <c r="Q1132" s="36">
        <f t="shared" si="37"/>
        <v>0</v>
      </c>
      <c r="R1132" s="36"/>
      <c r="S1132" s="36"/>
      <c r="T1132" s="36"/>
    </row>
    <row r="1133" customHeight="1" spans="1:20">
      <c r="A1133" s="41">
        <v>1</v>
      </c>
      <c r="B1133" s="71" t="s">
        <v>35</v>
      </c>
      <c r="C1133" s="71"/>
      <c r="D1133" s="41">
        <v>56</v>
      </c>
      <c r="E1133" s="71" t="s">
        <v>36</v>
      </c>
      <c r="F1133" s="44"/>
      <c r="G1133" s="72"/>
      <c r="H1133" s="46"/>
      <c r="I1133" s="47"/>
      <c r="J1133" s="48"/>
      <c r="K1133" s="73"/>
      <c r="L1133" s="73"/>
      <c r="M1133" s="74"/>
      <c r="P1133" s="51"/>
      <c r="Q1133" s="47">
        <f t="shared" si="37"/>
        <v>0</v>
      </c>
      <c r="R1133" s="47"/>
      <c r="S1133" s="47"/>
      <c r="T1133" s="47"/>
    </row>
    <row r="1134" customHeight="1" spans="1:20">
      <c r="A1134" s="166" t="s">
        <v>1014</v>
      </c>
      <c r="B1134" s="129" t="s">
        <v>38</v>
      </c>
      <c r="C1134" s="129"/>
      <c r="D1134" s="166"/>
      <c r="E1134" s="167"/>
      <c r="F1134" s="168"/>
      <c r="G1134" s="131"/>
      <c r="H1134" s="46"/>
      <c r="I1134" s="47"/>
      <c r="J1134" s="48"/>
      <c r="K1134" s="73"/>
      <c r="L1134" s="73"/>
      <c r="M1134" s="74"/>
      <c r="P1134" s="51"/>
      <c r="Q1134" s="47">
        <f t="shared" si="37"/>
        <v>0</v>
      </c>
      <c r="R1134" s="47"/>
      <c r="S1134" s="47"/>
      <c r="T1134" s="47">
        <v>2</v>
      </c>
    </row>
    <row r="1135" customHeight="1" spans="1:20">
      <c r="A1135" s="166" t="s">
        <v>45</v>
      </c>
      <c r="B1135" s="129" t="s">
        <v>46</v>
      </c>
      <c r="C1135" s="129"/>
      <c r="D1135" s="166">
        <v>3</v>
      </c>
      <c r="E1135" s="167" t="s">
        <v>47</v>
      </c>
      <c r="F1135" s="44">
        <f t="shared" ref="F1135:F1198" si="38">D1135*2</f>
        <v>6</v>
      </c>
      <c r="G1135" s="82" t="s">
        <v>48</v>
      </c>
      <c r="H1135" s="46" t="s">
        <v>18</v>
      </c>
      <c r="I1135" s="47"/>
      <c r="J1135" s="48" t="s">
        <v>42</v>
      </c>
      <c r="K1135" s="83" t="s">
        <v>45</v>
      </c>
      <c r="L1135" s="84" t="s">
        <v>25</v>
      </c>
      <c r="M1135" s="84" t="s">
        <v>26</v>
      </c>
      <c r="N1135" s="14" t="s">
        <v>27</v>
      </c>
      <c r="O1135" s="14" t="s">
        <v>28</v>
      </c>
      <c r="P1135" s="169">
        <v>50</v>
      </c>
      <c r="Q1135" s="47">
        <f t="shared" si="37"/>
        <v>300</v>
      </c>
      <c r="R1135" s="47"/>
      <c r="S1135" s="47"/>
      <c r="T1135" s="47">
        <v>2001</v>
      </c>
    </row>
    <row r="1136" customHeight="1" spans="1:20">
      <c r="A1136" s="166" t="s">
        <v>49</v>
      </c>
      <c r="B1136" s="129" t="s">
        <v>50</v>
      </c>
      <c r="C1136" s="129"/>
      <c r="D1136" s="166">
        <v>6</v>
      </c>
      <c r="E1136" s="167" t="s">
        <v>32</v>
      </c>
      <c r="F1136" s="44">
        <f t="shared" si="38"/>
        <v>12</v>
      </c>
      <c r="G1136" s="82" t="s">
        <v>51</v>
      </c>
      <c r="H1136" s="46" t="s">
        <v>18</v>
      </c>
      <c r="I1136" s="47"/>
      <c r="J1136" s="48" t="s">
        <v>42</v>
      </c>
      <c r="K1136" s="83" t="s">
        <v>49</v>
      </c>
      <c r="L1136" s="84" t="s">
        <v>25</v>
      </c>
      <c r="M1136" s="84" t="s">
        <v>26</v>
      </c>
      <c r="N1136" s="14" t="s">
        <v>27</v>
      </c>
      <c r="O1136" s="14" t="s">
        <v>28</v>
      </c>
      <c r="P1136" s="169">
        <v>6</v>
      </c>
      <c r="Q1136" s="47">
        <f t="shared" si="37"/>
        <v>72</v>
      </c>
      <c r="R1136" s="47"/>
      <c r="S1136" s="47"/>
      <c r="T1136" s="47">
        <v>2002</v>
      </c>
    </row>
    <row r="1137" customHeight="1" spans="1:20">
      <c r="A1137" s="166" t="s">
        <v>1015</v>
      </c>
      <c r="B1137" s="129" t="s">
        <v>1016</v>
      </c>
      <c r="C1137" s="129"/>
      <c r="D1137" s="166">
        <v>3</v>
      </c>
      <c r="E1137" s="167" t="s">
        <v>21</v>
      </c>
      <c r="F1137" s="44">
        <f t="shared" si="38"/>
        <v>6</v>
      </c>
      <c r="G1137" s="85" t="s">
        <v>1017</v>
      </c>
      <c r="H1137" s="46" t="s">
        <v>18</v>
      </c>
      <c r="I1137" s="47"/>
      <c r="J1137" s="48" t="s">
        <v>42</v>
      </c>
      <c r="K1137" s="86" t="s">
        <v>1015</v>
      </c>
      <c r="L1137" s="87" t="s">
        <v>25</v>
      </c>
      <c r="M1137" s="87" t="s">
        <v>26</v>
      </c>
      <c r="N1137" s="14" t="s">
        <v>27</v>
      </c>
      <c r="O1137" s="14" t="s">
        <v>28</v>
      </c>
      <c r="P1137" s="169">
        <v>6</v>
      </c>
      <c r="Q1137" s="47">
        <f t="shared" si="37"/>
        <v>36</v>
      </c>
      <c r="R1137" s="47"/>
      <c r="S1137" s="47"/>
      <c r="T1137" s="47"/>
    </row>
    <row r="1138" customHeight="1" spans="1:20">
      <c r="A1138" s="166" t="s">
        <v>1018</v>
      </c>
      <c r="B1138" s="129" t="s">
        <v>1019</v>
      </c>
      <c r="C1138" s="129"/>
      <c r="D1138" s="166">
        <v>3</v>
      </c>
      <c r="E1138" s="167" t="s">
        <v>21</v>
      </c>
      <c r="F1138" s="44">
        <f t="shared" si="38"/>
        <v>6</v>
      </c>
      <c r="G1138" s="85" t="s">
        <v>2106</v>
      </c>
      <c r="H1138" s="46" t="s">
        <v>18</v>
      </c>
      <c r="I1138" s="47"/>
      <c r="J1138" s="48" t="s">
        <v>42</v>
      </c>
      <c r="K1138" s="86" t="s">
        <v>1018</v>
      </c>
      <c r="L1138" s="87" t="s">
        <v>25</v>
      </c>
      <c r="M1138" s="87" t="s">
        <v>26</v>
      </c>
      <c r="N1138" s="14" t="s">
        <v>27</v>
      </c>
      <c r="O1138" s="14" t="s">
        <v>28</v>
      </c>
      <c r="P1138" s="169">
        <v>12</v>
      </c>
      <c r="Q1138" s="47">
        <f t="shared" si="37"/>
        <v>72</v>
      </c>
      <c r="R1138" s="47"/>
      <c r="S1138" s="47"/>
      <c r="T1138" s="47"/>
    </row>
    <row r="1139" customHeight="1" spans="1:20">
      <c r="A1139" s="166" t="s">
        <v>1021</v>
      </c>
      <c r="B1139" s="129" t="s">
        <v>1022</v>
      </c>
      <c r="C1139" s="129"/>
      <c r="D1139" s="166">
        <v>3</v>
      </c>
      <c r="E1139" s="167" t="s">
        <v>54</v>
      </c>
      <c r="F1139" s="44">
        <f t="shared" si="38"/>
        <v>6</v>
      </c>
      <c r="G1139" s="85" t="s">
        <v>1023</v>
      </c>
      <c r="H1139" s="46" t="s">
        <v>18</v>
      </c>
      <c r="I1139" s="47"/>
      <c r="J1139" s="48" t="s">
        <v>42</v>
      </c>
      <c r="K1139" s="86" t="s">
        <v>1021</v>
      </c>
      <c r="L1139" s="87" t="s">
        <v>25</v>
      </c>
      <c r="M1139" s="87" t="s">
        <v>26</v>
      </c>
      <c r="N1139" s="14" t="s">
        <v>27</v>
      </c>
      <c r="O1139" s="14" t="s">
        <v>28</v>
      </c>
      <c r="P1139" s="169">
        <v>75</v>
      </c>
      <c r="Q1139" s="47">
        <f t="shared" si="37"/>
        <v>450</v>
      </c>
      <c r="R1139" s="47"/>
      <c r="S1139" s="47"/>
      <c r="T1139" s="47"/>
    </row>
    <row r="1140" customHeight="1" spans="1:20">
      <c r="A1140" s="166" t="s">
        <v>1684</v>
      </c>
      <c r="B1140" s="129" t="s">
        <v>1682</v>
      </c>
      <c r="C1140" s="129"/>
      <c r="D1140" s="166">
        <v>2</v>
      </c>
      <c r="E1140" s="167" t="s">
        <v>54</v>
      </c>
      <c r="F1140" s="44">
        <f t="shared" si="38"/>
        <v>4</v>
      </c>
      <c r="G1140" s="85" t="s">
        <v>2107</v>
      </c>
      <c r="H1140" s="46" t="s">
        <v>18</v>
      </c>
      <c r="I1140" s="47"/>
      <c r="J1140" s="48" t="s">
        <v>42</v>
      </c>
      <c r="K1140" s="86" t="s">
        <v>1684</v>
      </c>
      <c r="L1140" s="87" t="s">
        <v>1685</v>
      </c>
      <c r="M1140" s="87" t="s">
        <v>1686</v>
      </c>
      <c r="N1140" s="14" t="s">
        <v>27</v>
      </c>
      <c r="O1140" s="14" t="s">
        <v>28</v>
      </c>
      <c r="P1140" s="51">
        <v>260</v>
      </c>
      <c r="Q1140" s="47">
        <f t="shared" si="37"/>
        <v>1040</v>
      </c>
      <c r="R1140" s="47"/>
      <c r="S1140" s="47"/>
      <c r="T1140" s="47"/>
    </row>
    <row r="1141" customHeight="1" spans="1:20">
      <c r="A1141" s="43">
        <v>2020</v>
      </c>
      <c r="B1141" s="78" t="s">
        <v>77</v>
      </c>
      <c r="C1141" s="78"/>
      <c r="D1141" s="43">
        <v>1</v>
      </c>
      <c r="E1141" s="78" t="s">
        <v>78</v>
      </c>
      <c r="F1141" s="44">
        <f t="shared" si="38"/>
        <v>2</v>
      </c>
      <c r="G1141" s="85" t="s">
        <v>2108</v>
      </c>
      <c r="H1141" s="46" t="s">
        <v>18</v>
      </c>
      <c r="I1141" s="47"/>
      <c r="J1141" s="48" t="s">
        <v>42</v>
      </c>
      <c r="K1141" s="86">
        <v>2020</v>
      </c>
      <c r="L1141" s="87" t="s">
        <v>25</v>
      </c>
      <c r="M1141" s="87" t="s">
        <v>26</v>
      </c>
      <c r="N1141" s="14" t="s">
        <v>27</v>
      </c>
      <c r="O1141" s="14" t="s">
        <v>28</v>
      </c>
      <c r="P1141" s="51">
        <v>260</v>
      </c>
      <c r="Q1141" s="47">
        <f t="shared" si="37"/>
        <v>520</v>
      </c>
      <c r="R1141" s="47"/>
      <c r="S1141" s="47"/>
      <c r="T1141" s="47">
        <v>2020</v>
      </c>
    </row>
    <row r="1142" customHeight="1" spans="1:20">
      <c r="A1142" s="166" t="s">
        <v>1689</v>
      </c>
      <c r="B1142" s="129" t="s">
        <v>1687</v>
      </c>
      <c r="C1142" s="129"/>
      <c r="D1142" s="166">
        <v>1</v>
      </c>
      <c r="E1142" s="167" t="s">
        <v>54</v>
      </c>
      <c r="F1142" s="44">
        <f t="shared" si="38"/>
        <v>2</v>
      </c>
      <c r="G1142" s="85" t="s">
        <v>2109</v>
      </c>
      <c r="H1142" s="46" t="s">
        <v>18</v>
      </c>
      <c r="I1142" s="47"/>
      <c r="J1142" s="48" t="s">
        <v>42</v>
      </c>
      <c r="K1142" s="86" t="s">
        <v>1689</v>
      </c>
      <c r="L1142" s="87" t="s">
        <v>25</v>
      </c>
      <c r="M1142" s="87" t="s">
        <v>26</v>
      </c>
      <c r="N1142" s="14" t="s">
        <v>27</v>
      </c>
      <c r="O1142" s="14" t="s">
        <v>28</v>
      </c>
      <c r="P1142" s="169">
        <v>280</v>
      </c>
      <c r="Q1142" s="47">
        <f t="shared" si="37"/>
        <v>560</v>
      </c>
      <c r="R1142" s="47"/>
      <c r="S1142" s="47"/>
      <c r="T1142" s="47"/>
    </row>
    <row r="1143" customHeight="1" spans="1:20">
      <c r="A1143" s="166" t="s">
        <v>2110</v>
      </c>
      <c r="B1143" s="129" t="s">
        <v>1690</v>
      </c>
      <c r="C1143" s="129"/>
      <c r="D1143" s="166">
        <v>1</v>
      </c>
      <c r="E1143" s="167" t="s">
        <v>54</v>
      </c>
      <c r="F1143" s="44">
        <f t="shared" si="38"/>
        <v>2</v>
      </c>
      <c r="G1143" s="85" t="s">
        <v>2111</v>
      </c>
      <c r="H1143" s="46" t="s">
        <v>18</v>
      </c>
      <c r="I1143" s="47"/>
      <c r="J1143" s="48" t="s">
        <v>42</v>
      </c>
      <c r="K1143" s="86" t="s">
        <v>2110</v>
      </c>
      <c r="L1143" s="87" t="s">
        <v>25</v>
      </c>
      <c r="M1143" s="87" t="s">
        <v>26</v>
      </c>
      <c r="N1143" s="14" t="s">
        <v>27</v>
      </c>
      <c r="O1143" s="14" t="s">
        <v>28</v>
      </c>
      <c r="P1143" s="169">
        <v>45</v>
      </c>
      <c r="Q1143" s="47">
        <f t="shared" si="37"/>
        <v>90</v>
      </c>
      <c r="R1143" s="47"/>
      <c r="S1143" s="47"/>
      <c r="T1143" s="47"/>
    </row>
    <row r="1144" customHeight="1" spans="1:20">
      <c r="A1144" s="166" t="s">
        <v>1694</v>
      </c>
      <c r="B1144" s="129" t="s">
        <v>1692</v>
      </c>
      <c r="C1144" s="129"/>
      <c r="D1144" s="166">
        <v>1</v>
      </c>
      <c r="E1144" s="167" t="s">
        <v>54</v>
      </c>
      <c r="F1144" s="44">
        <f t="shared" si="38"/>
        <v>2</v>
      </c>
      <c r="G1144" s="79" t="s">
        <v>1693</v>
      </c>
      <c r="H1144" s="46" t="s">
        <v>18</v>
      </c>
      <c r="I1144" s="47"/>
      <c r="J1144" s="48" t="s">
        <v>42</v>
      </c>
      <c r="K1144" s="80" t="s">
        <v>1694</v>
      </c>
      <c r="L1144" s="81" t="s">
        <v>25</v>
      </c>
      <c r="M1144" s="81" t="s">
        <v>26</v>
      </c>
      <c r="N1144" s="14" t="s">
        <v>27</v>
      </c>
      <c r="O1144" s="14" t="s">
        <v>28</v>
      </c>
      <c r="P1144" s="169">
        <v>150</v>
      </c>
      <c r="Q1144" s="47">
        <f t="shared" si="37"/>
        <v>300</v>
      </c>
      <c r="R1144" s="47"/>
      <c r="S1144" s="47"/>
      <c r="T1144" s="47"/>
    </row>
    <row r="1145" customHeight="1" spans="1:20">
      <c r="A1145" s="166" t="s">
        <v>86</v>
      </c>
      <c r="B1145" s="129" t="s">
        <v>87</v>
      </c>
      <c r="C1145" s="129"/>
      <c r="D1145" s="166">
        <v>6</v>
      </c>
      <c r="E1145" s="167" t="s">
        <v>21</v>
      </c>
      <c r="F1145" s="44">
        <f t="shared" si="38"/>
        <v>12</v>
      </c>
      <c r="G1145" s="82" t="s">
        <v>88</v>
      </c>
      <c r="H1145" s="46" t="s">
        <v>18</v>
      </c>
      <c r="I1145" s="47"/>
      <c r="J1145" s="48" t="s">
        <v>42</v>
      </c>
      <c r="K1145" s="83" t="s">
        <v>86</v>
      </c>
      <c r="L1145" s="84" t="s">
        <v>89</v>
      </c>
      <c r="M1145" s="84" t="s">
        <v>90</v>
      </c>
      <c r="N1145" s="14" t="s">
        <v>27</v>
      </c>
      <c r="O1145" s="14" t="s">
        <v>28</v>
      </c>
      <c r="P1145" s="169">
        <v>48</v>
      </c>
      <c r="Q1145" s="47">
        <f t="shared" si="37"/>
        <v>576</v>
      </c>
      <c r="R1145" s="47"/>
      <c r="S1145" s="47"/>
      <c r="T1145" s="47">
        <v>2075</v>
      </c>
    </row>
    <row r="1146" customHeight="1" spans="1:20">
      <c r="A1146" s="166" t="s">
        <v>2112</v>
      </c>
      <c r="B1146" s="129" t="s">
        <v>1698</v>
      </c>
      <c r="C1146" s="129"/>
      <c r="D1146" s="166">
        <v>3</v>
      </c>
      <c r="E1146" s="167" t="s">
        <v>21</v>
      </c>
      <c r="F1146" s="44">
        <f t="shared" si="38"/>
        <v>6</v>
      </c>
      <c r="G1146" s="85" t="s">
        <v>2113</v>
      </c>
      <c r="H1146" s="46" t="s">
        <v>18</v>
      </c>
      <c r="I1146" s="47"/>
      <c r="J1146" s="48" t="s">
        <v>42</v>
      </c>
      <c r="K1146" s="86" t="s">
        <v>2112</v>
      </c>
      <c r="L1146" s="87" t="s">
        <v>25</v>
      </c>
      <c r="M1146" s="87" t="s">
        <v>26</v>
      </c>
      <c r="N1146" s="14" t="s">
        <v>27</v>
      </c>
      <c r="O1146" s="14" t="s">
        <v>28</v>
      </c>
      <c r="P1146" s="169">
        <v>65</v>
      </c>
      <c r="Q1146" s="47">
        <f t="shared" si="37"/>
        <v>390</v>
      </c>
      <c r="R1146" s="47"/>
      <c r="S1146" s="47"/>
      <c r="T1146" s="47"/>
    </row>
    <row r="1147" customHeight="1" spans="1:20">
      <c r="A1147" s="166" t="s">
        <v>1702</v>
      </c>
      <c r="B1147" s="129" t="s">
        <v>1700</v>
      </c>
      <c r="C1147" s="129"/>
      <c r="D1147" s="166">
        <v>1</v>
      </c>
      <c r="E1147" s="167" t="s">
        <v>54</v>
      </c>
      <c r="F1147" s="44">
        <f t="shared" si="38"/>
        <v>2</v>
      </c>
      <c r="G1147" s="91" t="s">
        <v>2114</v>
      </c>
      <c r="H1147" s="46" t="s">
        <v>18</v>
      </c>
      <c r="I1147" s="47"/>
      <c r="J1147" s="48" t="s">
        <v>42</v>
      </c>
      <c r="K1147" s="92" t="s">
        <v>1702</v>
      </c>
      <c r="L1147" s="93" t="s">
        <v>25</v>
      </c>
      <c r="M1147" s="93" t="s">
        <v>26</v>
      </c>
      <c r="N1147" s="14" t="s">
        <v>27</v>
      </c>
      <c r="O1147" s="14" t="s">
        <v>28</v>
      </c>
      <c r="P1147" s="169">
        <v>350</v>
      </c>
      <c r="Q1147" s="47">
        <f t="shared" si="37"/>
        <v>700</v>
      </c>
      <c r="R1147" s="47"/>
      <c r="S1147" s="47"/>
      <c r="T1147" s="47"/>
    </row>
    <row r="1148" customHeight="1" spans="1:20">
      <c r="A1148" s="166" t="s">
        <v>1706</v>
      </c>
      <c r="B1148" s="129" t="s">
        <v>1704</v>
      </c>
      <c r="C1148" s="129"/>
      <c r="D1148" s="166">
        <v>2</v>
      </c>
      <c r="E1148" s="167" t="s">
        <v>54</v>
      </c>
      <c r="F1148" s="44">
        <f t="shared" si="38"/>
        <v>4</v>
      </c>
      <c r="G1148" s="85" t="s">
        <v>2115</v>
      </c>
      <c r="H1148" s="46" t="s">
        <v>18</v>
      </c>
      <c r="I1148" s="47"/>
      <c r="J1148" s="48" t="s">
        <v>42</v>
      </c>
      <c r="K1148" s="86" t="s">
        <v>1706</v>
      </c>
      <c r="L1148" s="87" t="s">
        <v>25</v>
      </c>
      <c r="M1148" s="87" t="s">
        <v>26</v>
      </c>
      <c r="N1148" s="14" t="s">
        <v>27</v>
      </c>
      <c r="O1148" s="14" t="s">
        <v>28</v>
      </c>
      <c r="P1148" s="169">
        <v>200</v>
      </c>
      <c r="Q1148" s="47">
        <f t="shared" si="37"/>
        <v>800</v>
      </c>
      <c r="R1148" s="47"/>
      <c r="S1148" s="47"/>
      <c r="T1148" s="47"/>
    </row>
    <row r="1149" customHeight="1" spans="1:20">
      <c r="A1149" s="166" t="s">
        <v>1709</v>
      </c>
      <c r="B1149" s="129" t="s">
        <v>1707</v>
      </c>
      <c r="C1149" s="129"/>
      <c r="D1149" s="166">
        <v>1</v>
      </c>
      <c r="E1149" s="167" t="s">
        <v>54</v>
      </c>
      <c r="F1149" s="44">
        <f t="shared" si="38"/>
        <v>2</v>
      </c>
      <c r="G1149" s="85" t="s">
        <v>1708</v>
      </c>
      <c r="H1149" s="46" t="s">
        <v>18</v>
      </c>
      <c r="I1149" s="47"/>
      <c r="J1149" s="48" t="s">
        <v>42</v>
      </c>
      <c r="K1149" s="86" t="s">
        <v>1709</v>
      </c>
      <c r="L1149" s="87" t="s">
        <v>25</v>
      </c>
      <c r="M1149" s="87" t="s">
        <v>26</v>
      </c>
      <c r="N1149" s="14" t="s">
        <v>27</v>
      </c>
      <c r="O1149" s="14" t="s">
        <v>28</v>
      </c>
      <c r="P1149" s="169">
        <v>750</v>
      </c>
      <c r="Q1149" s="47">
        <f t="shared" si="37"/>
        <v>1500</v>
      </c>
      <c r="R1149" s="47"/>
      <c r="S1149" s="47"/>
      <c r="T1149" s="47"/>
    </row>
    <row r="1150" customHeight="1" spans="1:20">
      <c r="A1150" s="170" t="s">
        <v>91</v>
      </c>
      <c r="B1150" s="78" t="s">
        <v>92</v>
      </c>
      <c r="C1150" s="78"/>
      <c r="D1150" s="166">
        <f>D1133</f>
        <v>56</v>
      </c>
      <c r="E1150" s="171" t="s">
        <v>161</v>
      </c>
      <c r="F1150" s="44">
        <f t="shared" si="38"/>
        <v>112</v>
      </c>
      <c r="G1150" s="91" t="s">
        <v>2116</v>
      </c>
      <c r="H1150" s="46" t="s">
        <v>18</v>
      </c>
      <c r="I1150" s="47"/>
      <c r="J1150" s="48" t="s">
        <v>42</v>
      </c>
      <c r="K1150" s="92" t="s">
        <v>91</v>
      </c>
      <c r="L1150" s="93" t="s">
        <v>95</v>
      </c>
      <c r="M1150" s="93" t="s">
        <v>96</v>
      </c>
      <c r="N1150" s="14" t="s">
        <v>27</v>
      </c>
      <c r="O1150" s="14" t="s">
        <v>28</v>
      </c>
      <c r="P1150" s="169">
        <v>1</v>
      </c>
      <c r="Q1150" s="47">
        <f t="shared" si="37"/>
        <v>112</v>
      </c>
      <c r="R1150" s="47"/>
      <c r="S1150" s="47"/>
      <c r="T1150" s="47">
        <v>2102</v>
      </c>
    </row>
    <row r="1151" customHeight="1" spans="1:20">
      <c r="A1151" s="166" t="s">
        <v>2117</v>
      </c>
      <c r="B1151" s="129" t="s">
        <v>1731</v>
      </c>
      <c r="C1151" s="129"/>
      <c r="D1151" s="166">
        <v>4</v>
      </c>
      <c r="E1151" s="167" t="s">
        <v>21</v>
      </c>
      <c r="F1151" s="44">
        <f t="shared" si="38"/>
        <v>8</v>
      </c>
      <c r="G1151" s="91" t="s">
        <v>2118</v>
      </c>
      <c r="H1151" s="46" t="s">
        <v>18</v>
      </c>
      <c r="I1151" s="47"/>
      <c r="J1151" s="48" t="s">
        <v>42</v>
      </c>
      <c r="K1151" s="92">
        <v>2121</v>
      </c>
      <c r="L1151" s="93" t="s">
        <v>25</v>
      </c>
      <c r="M1151" s="93" t="s">
        <v>26</v>
      </c>
      <c r="N1151" s="14" t="s">
        <v>27</v>
      </c>
      <c r="O1151" s="14" t="s">
        <v>28</v>
      </c>
      <c r="P1151" s="169">
        <v>4.5</v>
      </c>
      <c r="Q1151" s="47">
        <f t="shared" si="37"/>
        <v>36</v>
      </c>
      <c r="R1151" s="47"/>
      <c r="S1151" s="47"/>
      <c r="T1151" s="47"/>
    </row>
    <row r="1152" customHeight="1" spans="1:20">
      <c r="A1152" s="166" t="s">
        <v>1735</v>
      </c>
      <c r="B1152" s="129" t="s">
        <v>1733</v>
      </c>
      <c r="C1152" s="129"/>
      <c r="D1152" s="166">
        <v>24</v>
      </c>
      <c r="E1152" s="167" t="s">
        <v>21</v>
      </c>
      <c r="F1152" s="44">
        <f t="shared" si="38"/>
        <v>48</v>
      </c>
      <c r="G1152" s="85" t="s">
        <v>2119</v>
      </c>
      <c r="H1152" s="46" t="s">
        <v>18</v>
      </c>
      <c r="I1152" s="47"/>
      <c r="J1152" s="48" t="s">
        <v>42</v>
      </c>
      <c r="K1152" s="86" t="s">
        <v>1735</v>
      </c>
      <c r="L1152" s="87" t="s">
        <v>25</v>
      </c>
      <c r="M1152" s="87" t="s">
        <v>26</v>
      </c>
      <c r="N1152" s="14" t="s">
        <v>27</v>
      </c>
      <c r="O1152" s="14" t="s">
        <v>28</v>
      </c>
      <c r="P1152" s="169">
        <v>14</v>
      </c>
      <c r="Q1152" s="47">
        <f t="shared" si="37"/>
        <v>672</v>
      </c>
      <c r="R1152" s="47"/>
      <c r="S1152" s="47"/>
      <c r="T1152" s="47"/>
    </row>
    <row r="1153" customHeight="1" spans="1:20">
      <c r="A1153" s="166" t="s">
        <v>1738</v>
      </c>
      <c r="B1153" s="129" t="s">
        <v>2120</v>
      </c>
      <c r="C1153" s="129"/>
      <c r="D1153" s="166">
        <v>4</v>
      </c>
      <c r="E1153" s="167" t="s">
        <v>21</v>
      </c>
      <c r="F1153" s="44">
        <f t="shared" si="38"/>
        <v>8</v>
      </c>
      <c r="G1153" s="82" t="s">
        <v>1737</v>
      </c>
      <c r="H1153" s="46" t="s">
        <v>18</v>
      </c>
      <c r="I1153" s="47"/>
      <c r="J1153" s="48" t="s">
        <v>42</v>
      </c>
      <c r="K1153" s="83" t="s">
        <v>1738</v>
      </c>
      <c r="L1153" s="84" t="s">
        <v>25</v>
      </c>
      <c r="M1153" s="84" t="s">
        <v>26</v>
      </c>
      <c r="N1153" s="14" t="s">
        <v>27</v>
      </c>
      <c r="O1153" s="14" t="s">
        <v>28</v>
      </c>
      <c r="P1153" s="169">
        <v>45</v>
      </c>
      <c r="Q1153" s="47">
        <f t="shared" si="37"/>
        <v>360</v>
      </c>
      <c r="R1153" s="47"/>
      <c r="S1153" s="47"/>
      <c r="T1153" s="47"/>
    </row>
    <row r="1154" customHeight="1" spans="1:20">
      <c r="A1154" s="166" t="s">
        <v>1741</v>
      </c>
      <c r="B1154" s="129" t="s">
        <v>1739</v>
      </c>
      <c r="C1154" s="129"/>
      <c r="D1154" s="166">
        <f>D1133</f>
        <v>56</v>
      </c>
      <c r="E1154" s="167" t="s">
        <v>21</v>
      </c>
      <c r="F1154" s="44">
        <f t="shared" si="38"/>
        <v>112</v>
      </c>
      <c r="G1154" s="85" t="s">
        <v>2121</v>
      </c>
      <c r="H1154" s="46" t="s">
        <v>18</v>
      </c>
      <c r="I1154" s="47"/>
      <c r="J1154" s="48" t="s">
        <v>42</v>
      </c>
      <c r="K1154" s="86" t="s">
        <v>1741</v>
      </c>
      <c r="L1154" s="87" t="s">
        <v>25</v>
      </c>
      <c r="M1154" s="87" t="s">
        <v>26</v>
      </c>
      <c r="N1154" s="14" t="s">
        <v>27</v>
      </c>
      <c r="O1154" s="14" t="s">
        <v>28</v>
      </c>
      <c r="P1154" s="51">
        <v>12</v>
      </c>
      <c r="Q1154" s="47">
        <f t="shared" si="37"/>
        <v>1344</v>
      </c>
      <c r="R1154" s="47"/>
      <c r="S1154" s="47"/>
      <c r="T1154" s="47"/>
    </row>
    <row r="1155" customHeight="1" spans="1:20">
      <c r="A1155" s="166" t="s">
        <v>1058</v>
      </c>
      <c r="B1155" s="129" t="s">
        <v>1059</v>
      </c>
      <c r="C1155" s="129"/>
      <c r="D1155" s="166">
        <f>D1133</f>
        <v>56</v>
      </c>
      <c r="E1155" s="167" t="s">
        <v>21</v>
      </c>
      <c r="F1155" s="44">
        <f t="shared" si="38"/>
        <v>112</v>
      </c>
      <c r="G1155" s="85" t="s">
        <v>2122</v>
      </c>
      <c r="H1155" s="46" t="s">
        <v>18</v>
      </c>
      <c r="I1155" s="47"/>
      <c r="J1155" s="48" t="s">
        <v>42</v>
      </c>
      <c r="K1155" s="86" t="s">
        <v>1058</v>
      </c>
      <c r="L1155" s="87" t="s">
        <v>25</v>
      </c>
      <c r="M1155" s="87" t="s">
        <v>26</v>
      </c>
      <c r="N1155" s="14" t="s">
        <v>27</v>
      </c>
      <c r="O1155" s="14" t="s">
        <v>28</v>
      </c>
      <c r="P1155" s="51">
        <v>4.5</v>
      </c>
      <c r="Q1155" s="47">
        <f t="shared" si="37"/>
        <v>504</v>
      </c>
      <c r="R1155" s="47"/>
      <c r="S1155" s="47"/>
      <c r="T1155" s="47"/>
    </row>
    <row r="1156" customHeight="1" spans="1:20">
      <c r="A1156" s="166" t="s">
        <v>1061</v>
      </c>
      <c r="B1156" s="129" t="s">
        <v>104</v>
      </c>
      <c r="C1156" s="129"/>
      <c r="D1156" s="166"/>
      <c r="E1156" s="167"/>
      <c r="F1156" s="44">
        <f t="shared" si="38"/>
        <v>0</v>
      </c>
      <c r="G1156" s="131"/>
      <c r="H1156" s="46"/>
      <c r="I1156" s="47"/>
      <c r="J1156" s="48"/>
      <c r="K1156" s="132"/>
      <c r="L1156" s="133"/>
      <c r="M1156" s="133"/>
      <c r="O1156" s="14" t="s">
        <v>28</v>
      </c>
      <c r="P1156" s="51"/>
      <c r="Q1156" s="47">
        <f t="shared" ref="Q1156:Q1219" si="39">P1156*F1156</f>
        <v>0</v>
      </c>
      <c r="R1156" s="47"/>
      <c r="S1156" s="47"/>
      <c r="T1156" s="47">
        <v>3</v>
      </c>
    </row>
    <row r="1157" customHeight="1" spans="1:20">
      <c r="A1157" s="166" t="s">
        <v>108</v>
      </c>
      <c r="B1157" s="129" t="s">
        <v>109</v>
      </c>
      <c r="C1157" s="129"/>
      <c r="D1157" s="166">
        <f>D1133</f>
        <v>56</v>
      </c>
      <c r="E1157" s="167" t="s">
        <v>32</v>
      </c>
      <c r="F1157" s="44">
        <f t="shared" si="38"/>
        <v>112</v>
      </c>
      <c r="G1157" s="85" t="s">
        <v>110</v>
      </c>
      <c r="H1157" s="46" t="s">
        <v>18</v>
      </c>
      <c r="I1157" s="47"/>
      <c r="J1157" s="48" t="s">
        <v>42</v>
      </c>
      <c r="K1157" s="86" t="s">
        <v>108</v>
      </c>
      <c r="L1157" s="87" t="s">
        <v>25</v>
      </c>
      <c r="M1157" s="87" t="s">
        <v>26</v>
      </c>
      <c r="N1157" s="14" t="s">
        <v>27</v>
      </c>
      <c r="O1157" s="14" t="s">
        <v>28</v>
      </c>
      <c r="P1157" s="169">
        <v>36</v>
      </c>
      <c r="Q1157" s="47">
        <f t="shared" si="39"/>
        <v>4032</v>
      </c>
      <c r="R1157" s="47"/>
      <c r="S1157" s="47"/>
      <c r="T1157" s="47">
        <v>3002</v>
      </c>
    </row>
    <row r="1158" customHeight="1" spans="1:20">
      <c r="A1158" s="166" t="s">
        <v>1746</v>
      </c>
      <c r="B1158" s="129" t="s">
        <v>1744</v>
      </c>
      <c r="C1158" s="129"/>
      <c r="D1158" s="166">
        <v>15</v>
      </c>
      <c r="E1158" s="167" t="s">
        <v>21</v>
      </c>
      <c r="F1158" s="44">
        <f t="shared" si="38"/>
        <v>30</v>
      </c>
      <c r="G1158" s="85" t="s">
        <v>1745</v>
      </c>
      <c r="H1158" s="46" t="s">
        <v>18</v>
      </c>
      <c r="I1158" s="47"/>
      <c r="J1158" s="48" t="s">
        <v>42</v>
      </c>
      <c r="K1158" s="86" t="s">
        <v>1746</v>
      </c>
      <c r="L1158" s="87" t="s">
        <v>25</v>
      </c>
      <c r="M1158" s="87" t="s">
        <v>26</v>
      </c>
      <c r="N1158" s="14" t="s">
        <v>27</v>
      </c>
      <c r="O1158" s="14" t="s">
        <v>28</v>
      </c>
      <c r="P1158" s="169">
        <v>11</v>
      </c>
      <c r="Q1158" s="47">
        <f t="shared" si="39"/>
        <v>330</v>
      </c>
      <c r="R1158" s="47"/>
      <c r="S1158" s="47"/>
      <c r="T1158" s="47"/>
    </row>
    <row r="1159" customHeight="1" spans="1:20">
      <c r="A1159" s="166" t="s">
        <v>117</v>
      </c>
      <c r="B1159" s="129" t="s">
        <v>118</v>
      </c>
      <c r="C1159" s="129"/>
      <c r="D1159" s="166">
        <f>D1133</f>
        <v>56</v>
      </c>
      <c r="E1159" s="167" t="s">
        <v>21</v>
      </c>
      <c r="F1159" s="44">
        <f t="shared" si="38"/>
        <v>112</v>
      </c>
      <c r="G1159" s="91" t="s">
        <v>1062</v>
      </c>
      <c r="H1159" s="46" t="s">
        <v>18</v>
      </c>
      <c r="I1159" s="47"/>
      <c r="J1159" s="48" t="s">
        <v>42</v>
      </c>
      <c r="K1159" s="92" t="s">
        <v>117</v>
      </c>
      <c r="L1159" s="93" t="s">
        <v>25</v>
      </c>
      <c r="M1159" s="93" t="s">
        <v>26</v>
      </c>
      <c r="N1159" s="14" t="s">
        <v>27</v>
      </c>
      <c r="O1159" s="14" t="s">
        <v>28</v>
      </c>
      <c r="P1159" s="169">
        <v>5</v>
      </c>
      <c r="Q1159" s="47">
        <f t="shared" si="39"/>
        <v>560</v>
      </c>
      <c r="R1159" s="47"/>
      <c r="S1159" s="47"/>
      <c r="T1159" s="47">
        <v>3006</v>
      </c>
    </row>
    <row r="1160" customHeight="1" spans="1:20">
      <c r="A1160" s="170" t="s">
        <v>1063</v>
      </c>
      <c r="B1160" s="78" t="s">
        <v>1064</v>
      </c>
      <c r="C1160" s="78"/>
      <c r="D1160" s="170">
        <f>D1133/2</f>
        <v>28</v>
      </c>
      <c r="E1160" s="171" t="s">
        <v>21</v>
      </c>
      <c r="F1160" s="44">
        <f t="shared" si="38"/>
        <v>56</v>
      </c>
      <c r="G1160" s="85" t="s">
        <v>1065</v>
      </c>
      <c r="H1160" s="46" t="s">
        <v>18</v>
      </c>
      <c r="I1160" s="47"/>
      <c r="J1160" s="48" t="s">
        <v>42</v>
      </c>
      <c r="K1160" s="86" t="s">
        <v>1063</v>
      </c>
      <c r="L1160" s="87" t="s">
        <v>25</v>
      </c>
      <c r="M1160" s="87" t="s">
        <v>26</v>
      </c>
      <c r="N1160" s="14" t="s">
        <v>27</v>
      </c>
      <c r="O1160" s="14" t="s">
        <v>28</v>
      </c>
      <c r="P1160" s="169">
        <v>2</v>
      </c>
      <c r="Q1160" s="47">
        <f t="shared" si="39"/>
        <v>112</v>
      </c>
      <c r="R1160" s="47"/>
      <c r="S1160" s="47"/>
      <c r="T1160" s="47"/>
    </row>
    <row r="1161" customHeight="1" spans="1:20">
      <c r="A1161" s="166" t="s">
        <v>1751</v>
      </c>
      <c r="B1161" s="129" t="s">
        <v>1749</v>
      </c>
      <c r="C1161" s="129"/>
      <c r="D1161" s="166">
        <f>D1133</f>
        <v>56</v>
      </c>
      <c r="E1161" s="167" t="s">
        <v>21</v>
      </c>
      <c r="F1161" s="44">
        <f t="shared" si="38"/>
        <v>112</v>
      </c>
      <c r="G1161" s="85" t="s">
        <v>2123</v>
      </c>
      <c r="H1161" s="46" t="s">
        <v>18</v>
      </c>
      <c r="I1161" s="47"/>
      <c r="J1161" s="48" t="s">
        <v>42</v>
      </c>
      <c r="K1161" s="86" t="s">
        <v>1751</v>
      </c>
      <c r="L1161" s="87" t="s">
        <v>25</v>
      </c>
      <c r="M1161" s="87" t="s">
        <v>26</v>
      </c>
      <c r="N1161" s="14" t="s">
        <v>27</v>
      </c>
      <c r="O1161" s="14" t="s">
        <v>28</v>
      </c>
      <c r="P1161" s="169">
        <v>6</v>
      </c>
      <c r="Q1161" s="47">
        <f t="shared" si="39"/>
        <v>672</v>
      </c>
      <c r="R1161" s="47"/>
      <c r="S1161" s="47"/>
      <c r="T1161" s="47"/>
    </row>
    <row r="1162" customHeight="1" spans="1:20">
      <c r="A1162" s="166" t="s">
        <v>1754</v>
      </c>
      <c r="B1162" s="129" t="s">
        <v>1752</v>
      </c>
      <c r="C1162" s="129"/>
      <c r="D1162" s="166">
        <v>2</v>
      </c>
      <c r="E1162" s="167" t="s">
        <v>21</v>
      </c>
      <c r="F1162" s="44">
        <f t="shared" si="38"/>
        <v>4</v>
      </c>
      <c r="G1162" s="85" t="s">
        <v>2124</v>
      </c>
      <c r="H1162" s="46" t="s">
        <v>18</v>
      </c>
      <c r="I1162" s="47"/>
      <c r="J1162" s="48" t="s">
        <v>42</v>
      </c>
      <c r="K1162" s="86" t="s">
        <v>1754</v>
      </c>
      <c r="L1162" s="87" t="s">
        <v>25</v>
      </c>
      <c r="M1162" s="87" t="s">
        <v>26</v>
      </c>
      <c r="N1162" s="14" t="s">
        <v>27</v>
      </c>
      <c r="O1162" s="14" t="s">
        <v>28</v>
      </c>
      <c r="P1162" s="169">
        <v>11</v>
      </c>
      <c r="Q1162" s="47">
        <f t="shared" si="39"/>
        <v>44</v>
      </c>
      <c r="R1162" s="47"/>
      <c r="S1162" s="47"/>
      <c r="T1162" s="47"/>
    </row>
    <row r="1163" customHeight="1" spans="1:20">
      <c r="A1163" s="166" t="s">
        <v>1757</v>
      </c>
      <c r="B1163" s="129" t="s">
        <v>1755</v>
      </c>
      <c r="C1163" s="129"/>
      <c r="D1163" s="166">
        <v>15</v>
      </c>
      <c r="E1163" s="167" t="s">
        <v>21</v>
      </c>
      <c r="F1163" s="44">
        <f t="shared" si="38"/>
        <v>30</v>
      </c>
      <c r="G1163" s="91" t="s">
        <v>2125</v>
      </c>
      <c r="H1163" s="46" t="s">
        <v>18</v>
      </c>
      <c r="I1163" s="47"/>
      <c r="J1163" s="48" t="s">
        <v>42</v>
      </c>
      <c r="K1163" s="92" t="s">
        <v>1757</v>
      </c>
      <c r="L1163" s="93" t="s">
        <v>25</v>
      </c>
      <c r="M1163" s="93" t="s">
        <v>26</v>
      </c>
      <c r="N1163" s="14" t="s">
        <v>27</v>
      </c>
      <c r="O1163" s="14" t="s">
        <v>28</v>
      </c>
      <c r="P1163" s="169">
        <v>32</v>
      </c>
      <c r="Q1163" s="47">
        <f t="shared" si="39"/>
        <v>960</v>
      </c>
      <c r="R1163" s="47"/>
      <c r="S1163" s="47"/>
      <c r="T1163" s="47"/>
    </row>
    <row r="1164" customHeight="1" spans="1:20">
      <c r="A1164" s="166" t="s">
        <v>1760</v>
      </c>
      <c r="B1164" s="129" t="s">
        <v>1758</v>
      </c>
      <c r="C1164" s="129"/>
      <c r="D1164" s="166">
        <v>15</v>
      </c>
      <c r="E1164" s="167" t="s">
        <v>21</v>
      </c>
      <c r="F1164" s="44">
        <f t="shared" si="38"/>
        <v>30</v>
      </c>
      <c r="G1164" s="91" t="s">
        <v>2126</v>
      </c>
      <c r="H1164" s="46" t="s">
        <v>18</v>
      </c>
      <c r="I1164" s="47"/>
      <c r="J1164" s="48" t="s">
        <v>42</v>
      </c>
      <c r="K1164" s="92" t="s">
        <v>1760</v>
      </c>
      <c r="L1164" s="93" t="s">
        <v>25</v>
      </c>
      <c r="M1164" s="93" t="s">
        <v>26</v>
      </c>
      <c r="N1164" s="14" t="s">
        <v>27</v>
      </c>
      <c r="O1164" s="14" t="s">
        <v>28</v>
      </c>
      <c r="P1164" s="169">
        <v>12</v>
      </c>
      <c r="Q1164" s="47">
        <f t="shared" si="39"/>
        <v>360</v>
      </c>
      <c r="R1164" s="47"/>
      <c r="S1164" s="47"/>
      <c r="T1164" s="47"/>
    </row>
    <row r="1165" customHeight="1" spans="1:20">
      <c r="A1165" s="166" t="s">
        <v>1763</v>
      </c>
      <c r="B1165" s="129" t="s">
        <v>1761</v>
      </c>
      <c r="C1165" s="129"/>
      <c r="D1165" s="166">
        <f>D1133</f>
        <v>56</v>
      </c>
      <c r="E1165" s="167" t="s">
        <v>21</v>
      </c>
      <c r="F1165" s="44">
        <f t="shared" si="38"/>
        <v>112</v>
      </c>
      <c r="G1165" s="91" t="s">
        <v>2127</v>
      </c>
      <c r="H1165" s="46" t="s">
        <v>18</v>
      </c>
      <c r="I1165" s="47"/>
      <c r="J1165" s="48" t="s">
        <v>42</v>
      </c>
      <c r="K1165" s="92" t="s">
        <v>1763</v>
      </c>
      <c r="L1165" s="93" t="s">
        <v>25</v>
      </c>
      <c r="M1165" s="93" t="s">
        <v>26</v>
      </c>
      <c r="N1165" s="14" t="s">
        <v>27</v>
      </c>
      <c r="O1165" s="14" t="s">
        <v>28</v>
      </c>
      <c r="P1165" s="169">
        <v>5</v>
      </c>
      <c r="Q1165" s="47">
        <f t="shared" si="39"/>
        <v>560</v>
      </c>
      <c r="R1165" s="47"/>
      <c r="S1165" s="47"/>
      <c r="T1165" s="47"/>
    </row>
    <row r="1166" customHeight="1" spans="1:20">
      <c r="A1166" s="166" t="s">
        <v>1069</v>
      </c>
      <c r="B1166" s="129" t="s">
        <v>121</v>
      </c>
      <c r="C1166" s="129"/>
      <c r="D1166" s="166"/>
      <c r="E1166" s="167"/>
      <c r="F1166" s="44">
        <f t="shared" si="38"/>
        <v>0</v>
      </c>
      <c r="G1166" s="131"/>
      <c r="H1166" s="46"/>
      <c r="I1166" s="47"/>
      <c r="J1166" s="48"/>
      <c r="K1166" s="132"/>
      <c r="L1166" s="133"/>
      <c r="M1166" s="133"/>
      <c r="O1166" s="14" t="s">
        <v>28</v>
      </c>
      <c r="P1166" s="51"/>
      <c r="Q1166" s="47">
        <f t="shared" si="39"/>
        <v>0</v>
      </c>
      <c r="R1166" s="47"/>
      <c r="S1166" s="47"/>
      <c r="T1166" s="47">
        <v>4</v>
      </c>
    </row>
    <row r="1167" customHeight="1" spans="1:20">
      <c r="A1167" s="170" t="s">
        <v>1070</v>
      </c>
      <c r="B1167" s="78" t="s">
        <v>1071</v>
      </c>
      <c r="C1167" s="78"/>
      <c r="D1167" s="166">
        <f>D1133</f>
        <v>56</v>
      </c>
      <c r="E1167" s="167" t="s">
        <v>21</v>
      </c>
      <c r="F1167" s="44">
        <f t="shared" si="38"/>
        <v>112</v>
      </c>
      <c r="G1167" s="85" t="s">
        <v>1072</v>
      </c>
      <c r="H1167" s="46" t="s">
        <v>18</v>
      </c>
      <c r="I1167" s="47"/>
      <c r="J1167" s="48" t="s">
        <v>42</v>
      </c>
      <c r="K1167" s="86" t="s">
        <v>1070</v>
      </c>
      <c r="L1167" s="87" t="s">
        <v>25</v>
      </c>
      <c r="M1167" s="87" t="s">
        <v>26</v>
      </c>
      <c r="N1167" s="14" t="s">
        <v>27</v>
      </c>
      <c r="O1167" s="14" t="s">
        <v>28</v>
      </c>
      <c r="P1167" s="51">
        <v>68</v>
      </c>
      <c r="Q1167" s="47">
        <f t="shared" si="39"/>
        <v>7616</v>
      </c>
      <c r="R1167" s="47"/>
      <c r="S1167" s="47"/>
      <c r="T1167" s="47"/>
    </row>
    <row r="1168" customHeight="1" spans="1:20">
      <c r="A1168" s="166" t="s">
        <v>2128</v>
      </c>
      <c r="B1168" s="129" t="s">
        <v>1074</v>
      </c>
      <c r="C1168" s="129"/>
      <c r="D1168" s="166">
        <v>3</v>
      </c>
      <c r="E1168" s="167" t="s">
        <v>54</v>
      </c>
      <c r="F1168" s="44">
        <f t="shared" si="38"/>
        <v>6</v>
      </c>
      <c r="G1168" s="85" t="s">
        <v>1075</v>
      </c>
      <c r="H1168" s="46" t="s">
        <v>18</v>
      </c>
      <c r="I1168" s="47"/>
      <c r="J1168" s="48" t="s">
        <v>42</v>
      </c>
      <c r="K1168" s="86" t="s">
        <v>1073</v>
      </c>
      <c r="L1168" s="87" t="s">
        <v>25</v>
      </c>
      <c r="M1168" s="87" t="s">
        <v>26</v>
      </c>
      <c r="N1168" s="14" t="s">
        <v>27</v>
      </c>
      <c r="O1168" s="14" t="s">
        <v>28</v>
      </c>
      <c r="P1168" s="51">
        <v>145</v>
      </c>
      <c r="Q1168" s="47">
        <f t="shared" si="39"/>
        <v>870</v>
      </c>
      <c r="R1168" s="47"/>
      <c r="S1168" s="47"/>
      <c r="T1168" s="47"/>
    </row>
    <row r="1169" customHeight="1" spans="1:20">
      <c r="A1169" s="75" t="s">
        <v>37</v>
      </c>
      <c r="B1169" s="142" t="s">
        <v>158</v>
      </c>
      <c r="C1169" s="142"/>
      <c r="D1169" s="166"/>
      <c r="E1169" s="167"/>
      <c r="F1169" s="44">
        <f t="shared" si="38"/>
        <v>0</v>
      </c>
      <c r="G1169" s="131"/>
      <c r="H1169" s="46"/>
      <c r="I1169" s="47"/>
      <c r="J1169" s="48"/>
      <c r="K1169" s="132"/>
      <c r="L1169" s="133"/>
      <c r="M1169" s="133"/>
      <c r="O1169" s="14" t="s">
        <v>28</v>
      </c>
      <c r="P1169" s="51"/>
      <c r="Q1169" s="47">
        <f t="shared" si="39"/>
        <v>0</v>
      </c>
      <c r="R1169" s="47"/>
      <c r="S1169" s="47"/>
      <c r="T1169" s="47">
        <v>1</v>
      </c>
    </row>
    <row r="1170" customHeight="1" spans="1:20">
      <c r="A1170" s="166">
        <v>11</v>
      </c>
      <c r="B1170" s="129" t="s">
        <v>181</v>
      </c>
      <c r="C1170" s="129"/>
      <c r="D1170" s="166"/>
      <c r="E1170" s="167"/>
      <c r="F1170" s="44">
        <f t="shared" si="38"/>
        <v>0</v>
      </c>
      <c r="G1170" s="131"/>
      <c r="H1170" s="46"/>
      <c r="I1170" s="47"/>
      <c r="J1170" s="48"/>
      <c r="K1170" s="132"/>
      <c r="L1170" s="133"/>
      <c r="M1170" s="133"/>
      <c r="O1170" s="14" t="s">
        <v>28</v>
      </c>
      <c r="P1170" s="51"/>
      <c r="Q1170" s="47">
        <f t="shared" si="39"/>
        <v>0</v>
      </c>
      <c r="R1170" s="47"/>
      <c r="S1170" s="47"/>
      <c r="T1170" s="47">
        <v>11</v>
      </c>
    </row>
    <row r="1171" customHeight="1" spans="1:20">
      <c r="A1171" s="166" t="s">
        <v>1104</v>
      </c>
      <c r="B1171" s="129" t="s">
        <v>186</v>
      </c>
      <c r="C1171" s="129"/>
      <c r="D1171" s="166">
        <f>D1133</f>
        <v>56</v>
      </c>
      <c r="E1171" s="167" t="s">
        <v>54</v>
      </c>
      <c r="F1171" s="44">
        <f t="shared" si="38"/>
        <v>112</v>
      </c>
      <c r="G1171" s="91" t="s">
        <v>1103</v>
      </c>
      <c r="H1171" s="46" t="s">
        <v>18</v>
      </c>
      <c r="I1171" s="47"/>
      <c r="J1171" s="48" t="s">
        <v>42</v>
      </c>
      <c r="K1171" s="92" t="s">
        <v>1104</v>
      </c>
      <c r="L1171" s="93" t="s">
        <v>25</v>
      </c>
      <c r="M1171" s="93" t="s">
        <v>26</v>
      </c>
      <c r="N1171" s="14" t="s">
        <v>27</v>
      </c>
      <c r="O1171" s="14" t="s">
        <v>28</v>
      </c>
      <c r="P1171" s="51">
        <v>30</v>
      </c>
      <c r="Q1171" s="47">
        <f t="shared" si="39"/>
        <v>3360</v>
      </c>
      <c r="R1171" s="47"/>
      <c r="S1171" s="47"/>
      <c r="T1171" s="47">
        <v>11003</v>
      </c>
    </row>
    <row r="1172" customHeight="1" spans="1:20">
      <c r="A1172" s="166" t="s">
        <v>1105</v>
      </c>
      <c r="B1172" s="129" t="s">
        <v>186</v>
      </c>
      <c r="C1172" s="129"/>
      <c r="D1172" s="166">
        <v>3</v>
      </c>
      <c r="E1172" s="167" t="s">
        <v>54</v>
      </c>
      <c r="F1172" s="44">
        <f t="shared" si="38"/>
        <v>6</v>
      </c>
      <c r="G1172" s="104" t="s">
        <v>188</v>
      </c>
      <c r="H1172" s="46" t="s">
        <v>18</v>
      </c>
      <c r="I1172" s="47"/>
      <c r="J1172" s="48" t="s">
        <v>42</v>
      </c>
      <c r="K1172" s="105">
        <v>11005</v>
      </c>
      <c r="L1172" s="106" t="s">
        <v>25</v>
      </c>
      <c r="M1172" s="106" t="s">
        <v>26</v>
      </c>
      <c r="N1172" s="14" t="s">
        <v>27</v>
      </c>
      <c r="O1172" s="14" t="s">
        <v>28</v>
      </c>
      <c r="P1172" s="51">
        <v>55</v>
      </c>
      <c r="Q1172" s="47">
        <f t="shared" si="39"/>
        <v>330</v>
      </c>
      <c r="R1172" s="47"/>
      <c r="S1172" s="47"/>
      <c r="T1172" s="47">
        <v>11003</v>
      </c>
    </row>
    <row r="1173" customHeight="1" spans="1:20">
      <c r="A1173" s="166" t="s">
        <v>1107</v>
      </c>
      <c r="B1173" s="129" t="s">
        <v>189</v>
      </c>
      <c r="C1173" s="129"/>
      <c r="D1173" s="166">
        <v>3</v>
      </c>
      <c r="E1173" s="167" t="s">
        <v>54</v>
      </c>
      <c r="F1173" s="44">
        <f t="shared" si="38"/>
        <v>6</v>
      </c>
      <c r="G1173" s="85" t="s">
        <v>1774</v>
      </c>
      <c r="H1173" s="46" t="s">
        <v>18</v>
      </c>
      <c r="I1173" s="47"/>
      <c r="J1173" s="48" t="s">
        <v>42</v>
      </c>
      <c r="K1173" s="86" t="s">
        <v>1107</v>
      </c>
      <c r="L1173" s="87" t="s">
        <v>191</v>
      </c>
      <c r="M1173" s="87" t="s">
        <v>192</v>
      </c>
      <c r="N1173" s="14" t="s">
        <v>27</v>
      </c>
      <c r="O1173" s="14" t="s">
        <v>28</v>
      </c>
      <c r="P1173" s="169">
        <v>280</v>
      </c>
      <c r="Q1173" s="47">
        <f t="shared" si="39"/>
        <v>1680</v>
      </c>
      <c r="R1173" s="47"/>
      <c r="S1173" s="47"/>
      <c r="T1173" s="47">
        <v>11010</v>
      </c>
    </row>
    <row r="1174" customHeight="1" spans="1:20">
      <c r="A1174" s="166" t="s">
        <v>2129</v>
      </c>
      <c r="B1174" s="129" t="s">
        <v>189</v>
      </c>
      <c r="C1174" s="129"/>
      <c r="D1174" s="166">
        <v>3</v>
      </c>
      <c r="E1174" s="167" t="s">
        <v>54</v>
      </c>
      <c r="F1174" s="44">
        <f t="shared" si="38"/>
        <v>6</v>
      </c>
      <c r="G1174" s="85" t="s">
        <v>1777</v>
      </c>
      <c r="H1174" s="46" t="s">
        <v>18</v>
      </c>
      <c r="I1174" s="47"/>
      <c r="J1174" s="48" t="s">
        <v>42</v>
      </c>
      <c r="K1174" s="86" t="s">
        <v>2129</v>
      </c>
      <c r="L1174" s="87" t="s">
        <v>191</v>
      </c>
      <c r="M1174" s="87" t="s">
        <v>192</v>
      </c>
      <c r="N1174" s="14" t="s">
        <v>27</v>
      </c>
      <c r="O1174" s="14" t="s">
        <v>28</v>
      </c>
      <c r="P1174" s="169">
        <v>200</v>
      </c>
      <c r="Q1174" s="47">
        <f t="shared" si="39"/>
        <v>1200</v>
      </c>
      <c r="R1174" s="47"/>
      <c r="S1174" s="47"/>
      <c r="T1174" s="47">
        <v>11010</v>
      </c>
    </row>
    <row r="1175" customHeight="1" spans="1:20">
      <c r="A1175" s="166">
        <v>13</v>
      </c>
      <c r="B1175" s="129" t="s">
        <v>219</v>
      </c>
      <c r="C1175" s="129"/>
      <c r="D1175" s="166"/>
      <c r="E1175" s="167"/>
      <c r="F1175" s="44">
        <f t="shared" si="38"/>
        <v>0</v>
      </c>
      <c r="G1175" s="131"/>
      <c r="H1175" s="46"/>
      <c r="I1175" s="47"/>
      <c r="J1175" s="48" t="s">
        <v>42</v>
      </c>
      <c r="K1175" s="132"/>
      <c r="L1175" s="133"/>
      <c r="M1175" s="133"/>
      <c r="O1175" s="14" t="s">
        <v>28</v>
      </c>
      <c r="P1175" s="51"/>
      <c r="Q1175" s="47">
        <f t="shared" si="39"/>
        <v>0</v>
      </c>
      <c r="R1175" s="47"/>
      <c r="S1175" s="47"/>
      <c r="T1175" s="47">
        <v>13</v>
      </c>
    </row>
    <row r="1176" customHeight="1" spans="1:20">
      <c r="A1176" s="166" t="s">
        <v>1138</v>
      </c>
      <c r="B1176" s="129" t="s">
        <v>220</v>
      </c>
      <c r="C1176" s="129"/>
      <c r="D1176" s="166">
        <f>D1133</f>
        <v>56</v>
      </c>
      <c r="E1176" s="167" t="s">
        <v>221</v>
      </c>
      <c r="F1176" s="44">
        <f t="shared" si="38"/>
        <v>112</v>
      </c>
      <c r="G1176" s="91" t="s">
        <v>1139</v>
      </c>
      <c r="H1176" s="46" t="s">
        <v>18</v>
      </c>
      <c r="I1176" s="47"/>
      <c r="J1176" s="48" t="s">
        <v>42</v>
      </c>
      <c r="K1176" s="92" t="s">
        <v>1138</v>
      </c>
      <c r="L1176" s="93" t="s">
        <v>25</v>
      </c>
      <c r="M1176" s="93" t="s">
        <v>26</v>
      </c>
      <c r="N1176" s="14" t="s">
        <v>27</v>
      </c>
      <c r="O1176" s="14" t="s">
        <v>28</v>
      </c>
      <c r="P1176" s="51">
        <v>2</v>
      </c>
      <c r="Q1176" s="47">
        <f t="shared" si="39"/>
        <v>224</v>
      </c>
      <c r="R1176" s="47"/>
      <c r="S1176" s="47"/>
      <c r="T1176" s="47">
        <v>13001</v>
      </c>
    </row>
    <row r="1177" customHeight="1" spans="1:20">
      <c r="A1177" s="166" t="s">
        <v>1140</v>
      </c>
      <c r="B1177" s="129" t="s">
        <v>220</v>
      </c>
      <c r="C1177" s="129"/>
      <c r="D1177" s="166">
        <v>3</v>
      </c>
      <c r="E1177" s="167" t="s">
        <v>221</v>
      </c>
      <c r="F1177" s="44">
        <f t="shared" si="38"/>
        <v>6</v>
      </c>
      <c r="G1177" s="91" t="s">
        <v>1141</v>
      </c>
      <c r="H1177" s="46" t="s">
        <v>18</v>
      </c>
      <c r="I1177" s="47"/>
      <c r="J1177" s="48" t="s">
        <v>42</v>
      </c>
      <c r="K1177" s="92" t="s">
        <v>1140</v>
      </c>
      <c r="L1177" s="93" t="s">
        <v>25</v>
      </c>
      <c r="M1177" s="93" t="s">
        <v>26</v>
      </c>
      <c r="N1177" s="14" t="s">
        <v>27</v>
      </c>
      <c r="O1177" s="14" t="s">
        <v>28</v>
      </c>
      <c r="P1177" s="51">
        <v>3</v>
      </c>
      <c r="Q1177" s="47">
        <f t="shared" si="39"/>
        <v>18</v>
      </c>
      <c r="R1177" s="47"/>
      <c r="S1177" s="47"/>
      <c r="T1177" s="47">
        <v>13001</v>
      </c>
    </row>
    <row r="1178" customHeight="1" spans="1:20">
      <c r="A1178" s="166" t="s">
        <v>2130</v>
      </c>
      <c r="B1178" s="129" t="s">
        <v>2131</v>
      </c>
      <c r="C1178" s="129"/>
      <c r="D1178" s="166">
        <v>3</v>
      </c>
      <c r="E1178" s="167" t="s">
        <v>54</v>
      </c>
      <c r="F1178" s="44">
        <f t="shared" si="38"/>
        <v>6</v>
      </c>
      <c r="G1178" s="85" t="s">
        <v>1781</v>
      </c>
      <c r="H1178" s="46" t="s">
        <v>18</v>
      </c>
      <c r="I1178" s="47"/>
      <c r="J1178" s="48" t="s">
        <v>42</v>
      </c>
      <c r="K1178" s="86" t="s">
        <v>2130</v>
      </c>
      <c r="L1178" s="87" t="s">
        <v>25</v>
      </c>
      <c r="M1178" s="87" t="s">
        <v>26</v>
      </c>
      <c r="N1178" s="14" t="s">
        <v>27</v>
      </c>
      <c r="O1178" s="14" t="s">
        <v>28</v>
      </c>
      <c r="P1178" s="51">
        <v>150</v>
      </c>
      <c r="Q1178" s="47">
        <f t="shared" si="39"/>
        <v>900</v>
      </c>
      <c r="R1178" s="47"/>
      <c r="S1178" s="47"/>
      <c r="T1178" s="47">
        <v>13007</v>
      </c>
    </row>
    <row r="1179" customHeight="1" spans="1:20">
      <c r="A1179" s="166" t="s">
        <v>1189</v>
      </c>
      <c r="B1179" s="129" t="s">
        <v>251</v>
      </c>
      <c r="C1179" s="129"/>
      <c r="D1179" s="166"/>
      <c r="E1179" s="167"/>
      <c r="F1179" s="44">
        <f t="shared" si="38"/>
        <v>0</v>
      </c>
      <c r="G1179" s="131"/>
      <c r="H1179" s="46"/>
      <c r="I1179" s="47"/>
      <c r="J1179" s="48" t="s">
        <v>42</v>
      </c>
      <c r="K1179" s="132"/>
      <c r="L1179" s="133"/>
      <c r="M1179" s="133"/>
      <c r="O1179" s="14" t="s">
        <v>28</v>
      </c>
      <c r="P1179" s="51"/>
      <c r="Q1179" s="47">
        <f t="shared" si="39"/>
        <v>0</v>
      </c>
      <c r="R1179" s="47"/>
      <c r="S1179" s="47"/>
      <c r="T1179" s="47">
        <v>15</v>
      </c>
    </row>
    <row r="1180" customHeight="1" spans="1:20">
      <c r="A1180" s="166" t="s">
        <v>1208</v>
      </c>
      <c r="B1180" s="129" t="s">
        <v>265</v>
      </c>
      <c r="C1180" s="129"/>
      <c r="D1180" s="166">
        <v>3</v>
      </c>
      <c r="E1180" s="167" t="s">
        <v>21</v>
      </c>
      <c r="F1180" s="44">
        <f t="shared" si="38"/>
        <v>6</v>
      </c>
      <c r="G1180" s="85" t="s">
        <v>2132</v>
      </c>
      <c r="H1180" s="46" t="s">
        <v>18</v>
      </c>
      <c r="I1180" s="47"/>
      <c r="J1180" s="48" t="s">
        <v>42</v>
      </c>
      <c r="K1180" s="86" t="s">
        <v>1208</v>
      </c>
      <c r="L1180" s="87" t="s">
        <v>267</v>
      </c>
      <c r="M1180" s="87" t="s">
        <v>268</v>
      </c>
      <c r="N1180" s="14" t="s">
        <v>27</v>
      </c>
      <c r="O1180" s="14" t="s">
        <v>28</v>
      </c>
      <c r="P1180" s="51">
        <v>65</v>
      </c>
      <c r="Q1180" s="47">
        <f t="shared" si="39"/>
        <v>390</v>
      </c>
      <c r="R1180" s="47"/>
      <c r="S1180" s="47"/>
      <c r="T1180" s="47">
        <v>15011</v>
      </c>
    </row>
    <row r="1181" customHeight="1" spans="1:20">
      <c r="A1181" s="166" t="s">
        <v>1226</v>
      </c>
      <c r="B1181" s="129" t="s">
        <v>297</v>
      </c>
      <c r="C1181" s="129"/>
      <c r="D1181" s="166"/>
      <c r="E1181" s="167"/>
      <c r="F1181" s="44">
        <f t="shared" si="38"/>
        <v>0</v>
      </c>
      <c r="G1181" s="131"/>
      <c r="H1181" s="46"/>
      <c r="I1181" s="47"/>
      <c r="J1181" s="48" t="s">
        <v>42</v>
      </c>
      <c r="K1181" s="132"/>
      <c r="L1181" s="133"/>
      <c r="M1181" s="133"/>
      <c r="O1181" s="14" t="s">
        <v>28</v>
      </c>
      <c r="P1181" s="51"/>
      <c r="Q1181" s="47">
        <f t="shared" si="39"/>
        <v>0</v>
      </c>
      <c r="R1181" s="47"/>
      <c r="S1181" s="47"/>
      <c r="T1181" s="47">
        <v>16</v>
      </c>
    </row>
    <row r="1182" customHeight="1" spans="1:20">
      <c r="A1182" s="166" t="s">
        <v>1227</v>
      </c>
      <c r="B1182" s="129" t="s">
        <v>1228</v>
      </c>
      <c r="C1182" s="129"/>
      <c r="D1182" s="166">
        <v>3</v>
      </c>
      <c r="E1182" s="167" t="s">
        <v>221</v>
      </c>
      <c r="F1182" s="44">
        <f t="shared" si="38"/>
        <v>6</v>
      </c>
      <c r="G1182" s="85" t="s">
        <v>2133</v>
      </c>
      <c r="H1182" s="46" t="s">
        <v>18</v>
      </c>
      <c r="I1182" s="47"/>
      <c r="J1182" s="48" t="s">
        <v>42</v>
      </c>
      <c r="K1182" s="86" t="s">
        <v>1227</v>
      </c>
      <c r="L1182" s="87" t="s">
        <v>25</v>
      </c>
      <c r="M1182" s="87" t="s">
        <v>26</v>
      </c>
      <c r="N1182" s="14" t="s">
        <v>27</v>
      </c>
      <c r="O1182" s="14" t="s">
        <v>28</v>
      </c>
      <c r="P1182" s="51">
        <v>2.5</v>
      </c>
      <c r="Q1182" s="47">
        <f t="shared" si="39"/>
        <v>15</v>
      </c>
      <c r="R1182" s="47"/>
      <c r="S1182" s="47"/>
      <c r="T1182" s="47"/>
    </row>
    <row r="1183" customHeight="1" spans="1:20">
      <c r="A1183" s="166" t="s">
        <v>1230</v>
      </c>
      <c r="B1183" s="129" t="s">
        <v>1228</v>
      </c>
      <c r="C1183" s="129"/>
      <c r="D1183" s="166">
        <v>3</v>
      </c>
      <c r="E1183" s="167" t="s">
        <v>221</v>
      </c>
      <c r="F1183" s="44">
        <f t="shared" si="38"/>
        <v>6</v>
      </c>
      <c r="G1183" s="85" t="s">
        <v>2134</v>
      </c>
      <c r="H1183" s="46" t="s">
        <v>18</v>
      </c>
      <c r="I1183" s="47"/>
      <c r="J1183" s="48" t="s">
        <v>42</v>
      </c>
      <c r="K1183" s="86" t="s">
        <v>1230</v>
      </c>
      <c r="L1183" s="87" t="s">
        <v>25</v>
      </c>
      <c r="M1183" s="87" t="s">
        <v>26</v>
      </c>
      <c r="N1183" s="14" t="s">
        <v>27</v>
      </c>
      <c r="O1183" s="14" t="s">
        <v>28</v>
      </c>
      <c r="P1183" s="51">
        <v>2.5</v>
      </c>
      <c r="Q1183" s="47">
        <f t="shared" si="39"/>
        <v>15</v>
      </c>
      <c r="R1183" s="47"/>
      <c r="S1183" s="47"/>
      <c r="T1183" s="47"/>
    </row>
    <row r="1184" customHeight="1" spans="1:20">
      <c r="A1184" s="166" t="s">
        <v>2135</v>
      </c>
      <c r="B1184" s="129" t="s">
        <v>1787</v>
      </c>
      <c r="C1184" s="129"/>
      <c r="D1184" s="166">
        <v>3</v>
      </c>
      <c r="E1184" s="167" t="s">
        <v>54</v>
      </c>
      <c r="F1184" s="44">
        <f t="shared" si="38"/>
        <v>6</v>
      </c>
      <c r="G1184" s="117" t="s">
        <v>1788</v>
      </c>
      <c r="H1184" s="46" t="s">
        <v>18</v>
      </c>
      <c r="I1184" s="47"/>
      <c r="J1184" s="48" t="s">
        <v>42</v>
      </c>
      <c r="K1184" s="118" t="s">
        <v>2135</v>
      </c>
      <c r="L1184" s="119" t="s">
        <v>25</v>
      </c>
      <c r="M1184" s="119" t="s">
        <v>26</v>
      </c>
      <c r="N1184" s="14" t="s">
        <v>27</v>
      </c>
      <c r="O1184" s="14" t="s">
        <v>28</v>
      </c>
      <c r="P1184" s="51">
        <v>65</v>
      </c>
      <c r="Q1184" s="47">
        <f t="shared" si="39"/>
        <v>390</v>
      </c>
      <c r="R1184" s="47"/>
      <c r="S1184" s="47"/>
      <c r="T1184" s="47"/>
    </row>
    <row r="1185" customHeight="1" spans="1:20">
      <c r="A1185" s="108" t="s">
        <v>306</v>
      </c>
      <c r="B1185" s="142" t="s">
        <v>307</v>
      </c>
      <c r="C1185" s="142"/>
      <c r="D1185" s="166"/>
      <c r="E1185" s="167"/>
      <c r="F1185" s="44">
        <f t="shared" si="38"/>
        <v>0</v>
      </c>
      <c r="G1185" s="131"/>
      <c r="H1185" s="46"/>
      <c r="I1185" s="47"/>
      <c r="J1185" s="48" t="s">
        <v>42</v>
      </c>
      <c r="K1185" s="132"/>
      <c r="L1185" s="133"/>
      <c r="M1185" s="133"/>
      <c r="O1185" s="14" t="s">
        <v>28</v>
      </c>
      <c r="P1185" s="51"/>
      <c r="Q1185" s="47">
        <f t="shared" si="39"/>
        <v>0</v>
      </c>
      <c r="R1185" s="47"/>
      <c r="S1185" s="47"/>
      <c r="T1185" s="47">
        <v>2</v>
      </c>
    </row>
    <row r="1186" customHeight="1" spans="1:20">
      <c r="A1186" s="166" t="s">
        <v>2136</v>
      </c>
      <c r="B1186" s="129" t="s">
        <v>1789</v>
      </c>
      <c r="C1186" s="129"/>
      <c r="D1186" s="166"/>
      <c r="E1186" s="167"/>
      <c r="F1186" s="44">
        <f t="shared" si="38"/>
        <v>0</v>
      </c>
      <c r="G1186" s="131"/>
      <c r="H1186" s="46"/>
      <c r="I1186" s="47"/>
      <c r="J1186" s="48" t="s">
        <v>42</v>
      </c>
      <c r="K1186" s="132"/>
      <c r="L1186" s="133"/>
      <c r="M1186" s="133"/>
      <c r="O1186" s="14" t="s">
        <v>28</v>
      </c>
      <c r="P1186" s="51"/>
      <c r="Q1186" s="47">
        <f t="shared" si="39"/>
        <v>0</v>
      </c>
      <c r="R1186" s="47"/>
      <c r="S1186" s="47"/>
      <c r="T1186" s="47"/>
    </row>
    <row r="1187" customHeight="1" spans="1:20">
      <c r="A1187" s="166" t="s">
        <v>2137</v>
      </c>
      <c r="B1187" s="129" t="s">
        <v>2138</v>
      </c>
      <c r="C1187" s="129"/>
      <c r="D1187" s="166">
        <v>3</v>
      </c>
      <c r="E1187" s="167" t="s">
        <v>54</v>
      </c>
      <c r="F1187" s="44">
        <f t="shared" si="38"/>
        <v>6</v>
      </c>
      <c r="G1187" s="91" t="s">
        <v>2139</v>
      </c>
      <c r="H1187" s="46" t="s">
        <v>18</v>
      </c>
      <c r="I1187" s="47"/>
      <c r="J1187" s="48" t="s">
        <v>42</v>
      </c>
      <c r="K1187" s="92" t="s">
        <v>2137</v>
      </c>
      <c r="L1187" s="93" t="s">
        <v>25</v>
      </c>
      <c r="M1187" s="93" t="s">
        <v>26</v>
      </c>
      <c r="N1187" s="14" t="s">
        <v>27</v>
      </c>
      <c r="O1187" s="14" t="s">
        <v>28</v>
      </c>
      <c r="P1187" s="169">
        <v>32</v>
      </c>
      <c r="Q1187" s="47">
        <f t="shared" si="39"/>
        <v>192</v>
      </c>
      <c r="R1187" s="47"/>
      <c r="S1187" s="47"/>
      <c r="T1187" s="47"/>
    </row>
    <row r="1188" customHeight="1" spans="1:20">
      <c r="A1188" s="166" t="s">
        <v>2140</v>
      </c>
      <c r="B1188" s="129" t="s">
        <v>2141</v>
      </c>
      <c r="C1188" s="129"/>
      <c r="D1188" s="166">
        <f>D1133</f>
        <v>56</v>
      </c>
      <c r="E1188" s="167" t="s">
        <v>54</v>
      </c>
      <c r="F1188" s="44">
        <f t="shared" si="38"/>
        <v>112</v>
      </c>
      <c r="G1188" s="91" t="s">
        <v>2142</v>
      </c>
      <c r="H1188" s="46" t="s">
        <v>18</v>
      </c>
      <c r="I1188" s="47"/>
      <c r="J1188" s="48" t="s">
        <v>42</v>
      </c>
      <c r="K1188" s="92" t="s">
        <v>2140</v>
      </c>
      <c r="L1188" s="93" t="s">
        <v>25</v>
      </c>
      <c r="M1188" s="93" t="s">
        <v>26</v>
      </c>
      <c r="N1188" s="14" t="s">
        <v>27</v>
      </c>
      <c r="O1188" s="14" t="s">
        <v>28</v>
      </c>
      <c r="P1188" s="169">
        <v>22</v>
      </c>
      <c r="Q1188" s="47">
        <f t="shared" si="39"/>
        <v>2464</v>
      </c>
      <c r="R1188" s="47"/>
      <c r="S1188" s="47"/>
      <c r="T1188" s="47"/>
    </row>
    <row r="1189" customHeight="1" spans="1:20">
      <c r="A1189" s="166" t="s">
        <v>2143</v>
      </c>
      <c r="B1189" s="129" t="s">
        <v>1790</v>
      </c>
      <c r="C1189" s="129"/>
      <c r="D1189" s="166">
        <f>D1133</f>
        <v>56</v>
      </c>
      <c r="E1189" s="167" t="s">
        <v>21</v>
      </c>
      <c r="F1189" s="44">
        <f t="shared" si="38"/>
        <v>112</v>
      </c>
      <c r="G1189" s="91" t="s">
        <v>1791</v>
      </c>
      <c r="H1189" s="46" t="s">
        <v>18</v>
      </c>
      <c r="I1189" s="47"/>
      <c r="J1189" s="48" t="s">
        <v>42</v>
      </c>
      <c r="K1189" s="92" t="s">
        <v>2143</v>
      </c>
      <c r="L1189" s="93" t="s">
        <v>25</v>
      </c>
      <c r="M1189" s="93" t="s">
        <v>26</v>
      </c>
      <c r="N1189" s="14" t="s">
        <v>27</v>
      </c>
      <c r="O1189" s="14" t="s">
        <v>28</v>
      </c>
      <c r="P1189" s="169">
        <v>9</v>
      </c>
      <c r="Q1189" s="47">
        <f t="shared" si="39"/>
        <v>1008</v>
      </c>
      <c r="R1189" s="47"/>
      <c r="S1189" s="47"/>
      <c r="T1189" s="47"/>
    </row>
    <row r="1190" customHeight="1" spans="1:20">
      <c r="A1190" s="166" t="s">
        <v>2144</v>
      </c>
      <c r="B1190" s="78" t="s">
        <v>2145</v>
      </c>
      <c r="C1190" s="78"/>
      <c r="D1190" s="166">
        <v>1</v>
      </c>
      <c r="E1190" s="167" t="s">
        <v>21</v>
      </c>
      <c r="F1190" s="44">
        <f t="shared" si="38"/>
        <v>2</v>
      </c>
      <c r="G1190" s="85" t="s">
        <v>2146</v>
      </c>
      <c r="H1190" s="46" t="s">
        <v>18</v>
      </c>
      <c r="I1190" s="47"/>
      <c r="J1190" s="48" t="s">
        <v>42</v>
      </c>
      <c r="K1190" s="86" t="s">
        <v>2144</v>
      </c>
      <c r="L1190" s="87" t="s">
        <v>25</v>
      </c>
      <c r="M1190" s="87" t="s">
        <v>26</v>
      </c>
      <c r="N1190" s="14" t="s">
        <v>27</v>
      </c>
      <c r="O1190" s="14" t="s">
        <v>28</v>
      </c>
      <c r="P1190" s="169">
        <v>200</v>
      </c>
      <c r="Q1190" s="47">
        <f t="shared" si="39"/>
        <v>400</v>
      </c>
      <c r="R1190" s="47"/>
      <c r="S1190" s="47"/>
      <c r="T1190" s="47"/>
    </row>
    <row r="1191" customHeight="1" spans="1:20">
      <c r="A1191" s="166" t="s">
        <v>2147</v>
      </c>
      <c r="B1191" s="129" t="s">
        <v>1792</v>
      </c>
      <c r="C1191" s="129"/>
      <c r="D1191" s="166">
        <v>6</v>
      </c>
      <c r="E1191" s="167" t="s">
        <v>54</v>
      </c>
      <c r="F1191" s="44">
        <f t="shared" si="38"/>
        <v>12</v>
      </c>
      <c r="G1191" s="102" t="s">
        <v>1793</v>
      </c>
      <c r="H1191" s="46" t="s">
        <v>18</v>
      </c>
      <c r="I1191" s="47"/>
      <c r="J1191" s="48" t="s">
        <v>42</v>
      </c>
      <c r="K1191" s="83" t="s">
        <v>2147</v>
      </c>
      <c r="L1191" s="103" t="s">
        <v>25</v>
      </c>
      <c r="M1191" s="103" t="s">
        <v>26</v>
      </c>
      <c r="N1191" s="14" t="s">
        <v>27</v>
      </c>
      <c r="O1191" s="14" t="s">
        <v>28</v>
      </c>
      <c r="P1191" s="169">
        <v>40</v>
      </c>
      <c r="Q1191" s="47">
        <f t="shared" si="39"/>
        <v>480</v>
      </c>
      <c r="R1191" s="47"/>
      <c r="S1191" s="47"/>
      <c r="T1191" s="47"/>
    </row>
    <row r="1192" customHeight="1" spans="1:20">
      <c r="A1192" s="170">
        <v>26008</v>
      </c>
      <c r="B1192" s="78" t="s">
        <v>2148</v>
      </c>
      <c r="C1192" s="78"/>
      <c r="D1192" s="166">
        <f>D1133</f>
        <v>56</v>
      </c>
      <c r="E1192" s="171" t="s">
        <v>21</v>
      </c>
      <c r="F1192" s="44">
        <f t="shared" si="38"/>
        <v>112</v>
      </c>
      <c r="G1192" s="85" t="s">
        <v>2149</v>
      </c>
      <c r="H1192" s="46" t="s">
        <v>18</v>
      </c>
      <c r="I1192" s="47"/>
      <c r="J1192" s="48" t="s">
        <v>42</v>
      </c>
      <c r="K1192" s="86">
        <v>26008</v>
      </c>
      <c r="L1192" s="87" t="s">
        <v>25</v>
      </c>
      <c r="M1192" s="87" t="s">
        <v>26</v>
      </c>
      <c r="N1192" s="14" t="s">
        <v>27</v>
      </c>
      <c r="O1192" s="14" t="s">
        <v>28</v>
      </c>
      <c r="P1192" s="169">
        <v>75</v>
      </c>
      <c r="Q1192" s="47">
        <f t="shared" si="39"/>
        <v>8400</v>
      </c>
      <c r="R1192" s="47"/>
      <c r="S1192" s="47"/>
      <c r="T1192" s="47"/>
    </row>
    <row r="1193" customHeight="1" spans="1:20">
      <c r="A1193" s="166" t="s">
        <v>2150</v>
      </c>
      <c r="B1193" s="129" t="s">
        <v>2151</v>
      </c>
      <c r="C1193" s="129"/>
      <c r="D1193" s="166">
        <f>D1133</f>
        <v>56</v>
      </c>
      <c r="E1193" s="167" t="s">
        <v>1002</v>
      </c>
      <c r="F1193" s="44">
        <f t="shared" si="38"/>
        <v>112</v>
      </c>
      <c r="G1193" s="85" t="s">
        <v>2152</v>
      </c>
      <c r="H1193" s="46" t="s">
        <v>18</v>
      </c>
      <c r="I1193" s="47"/>
      <c r="J1193" s="48" t="s">
        <v>42</v>
      </c>
      <c r="K1193" s="86" t="s">
        <v>2150</v>
      </c>
      <c r="L1193" s="87" t="s">
        <v>25</v>
      </c>
      <c r="M1193" s="87" t="s">
        <v>26</v>
      </c>
      <c r="N1193" s="14" t="s">
        <v>27</v>
      </c>
      <c r="O1193" s="14" t="s">
        <v>28</v>
      </c>
      <c r="P1193" s="169">
        <v>6</v>
      </c>
      <c r="Q1193" s="47">
        <f t="shared" si="39"/>
        <v>672</v>
      </c>
      <c r="R1193" s="47"/>
      <c r="S1193" s="47"/>
      <c r="T1193" s="47"/>
    </row>
    <row r="1194" customHeight="1" spans="1:20">
      <c r="A1194" s="166" t="s">
        <v>2153</v>
      </c>
      <c r="B1194" s="129" t="s">
        <v>1796</v>
      </c>
      <c r="C1194" s="129"/>
      <c r="D1194" s="166">
        <v>3</v>
      </c>
      <c r="E1194" s="167" t="s">
        <v>54</v>
      </c>
      <c r="F1194" s="44">
        <f t="shared" si="38"/>
        <v>6</v>
      </c>
      <c r="G1194" s="102" t="s">
        <v>1797</v>
      </c>
      <c r="H1194" s="46" t="s">
        <v>18</v>
      </c>
      <c r="I1194" s="47"/>
      <c r="J1194" s="48" t="s">
        <v>42</v>
      </c>
      <c r="K1194" s="83" t="s">
        <v>2153</v>
      </c>
      <c r="L1194" s="103" t="s">
        <v>25</v>
      </c>
      <c r="M1194" s="103" t="s">
        <v>26</v>
      </c>
      <c r="N1194" s="14" t="s">
        <v>27</v>
      </c>
      <c r="O1194" s="14" t="s">
        <v>28</v>
      </c>
      <c r="P1194" s="169">
        <v>75</v>
      </c>
      <c r="Q1194" s="47">
        <f t="shared" si="39"/>
        <v>450</v>
      </c>
      <c r="R1194" s="47"/>
      <c r="S1194" s="47"/>
      <c r="T1194" s="47"/>
    </row>
    <row r="1195" customHeight="1" spans="1:20">
      <c r="A1195" s="166" t="s">
        <v>2154</v>
      </c>
      <c r="B1195" s="129" t="s">
        <v>1798</v>
      </c>
      <c r="C1195" s="129"/>
      <c r="D1195" s="166">
        <f>D1133</f>
        <v>56</v>
      </c>
      <c r="E1195" s="167" t="s">
        <v>32</v>
      </c>
      <c r="F1195" s="44">
        <f t="shared" si="38"/>
        <v>112</v>
      </c>
      <c r="G1195" s="102" t="s">
        <v>1799</v>
      </c>
      <c r="H1195" s="46" t="s">
        <v>18</v>
      </c>
      <c r="I1195" s="47"/>
      <c r="J1195" s="48" t="s">
        <v>42</v>
      </c>
      <c r="K1195" s="83" t="s">
        <v>2154</v>
      </c>
      <c r="L1195" s="103" t="s">
        <v>25</v>
      </c>
      <c r="M1195" s="103" t="s">
        <v>26</v>
      </c>
      <c r="N1195" s="14" t="s">
        <v>27</v>
      </c>
      <c r="O1195" s="14" t="s">
        <v>28</v>
      </c>
      <c r="P1195" s="169">
        <v>11</v>
      </c>
      <c r="Q1195" s="47">
        <f t="shared" si="39"/>
        <v>1232</v>
      </c>
      <c r="R1195" s="47"/>
      <c r="S1195" s="47"/>
      <c r="T1195" s="47"/>
    </row>
    <row r="1196" customHeight="1" spans="1:20">
      <c r="A1196" s="166" t="s">
        <v>2155</v>
      </c>
      <c r="B1196" s="129" t="s">
        <v>2156</v>
      </c>
      <c r="C1196" s="129"/>
      <c r="D1196" s="166">
        <v>3</v>
      </c>
      <c r="E1196" s="167" t="s">
        <v>32</v>
      </c>
      <c r="F1196" s="44">
        <f t="shared" si="38"/>
        <v>6</v>
      </c>
      <c r="G1196" s="85" t="s">
        <v>2157</v>
      </c>
      <c r="H1196" s="46" t="s">
        <v>18</v>
      </c>
      <c r="I1196" s="47"/>
      <c r="J1196" s="48" t="s">
        <v>42</v>
      </c>
      <c r="K1196" s="86" t="s">
        <v>2155</v>
      </c>
      <c r="L1196" s="87" t="s">
        <v>25</v>
      </c>
      <c r="M1196" s="87" t="s">
        <v>26</v>
      </c>
      <c r="N1196" s="14" t="s">
        <v>27</v>
      </c>
      <c r="O1196" s="14" t="s">
        <v>28</v>
      </c>
      <c r="P1196" s="169">
        <v>80</v>
      </c>
      <c r="Q1196" s="47">
        <f t="shared" si="39"/>
        <v>480</v>
      </c>
      <c r="R1196" s="47"/>
      <c r="S1196" s="47"/>
      <c r="T1196" s="47"/>
    </row>
    <row r="1197" customHeight="1" spans="1:20">
      <c r="A1197" s="166" t="s">
        <v>2158</v>
      </c>
      <c r="B1197" s="129" t="s">
        <v>2159</v>
      </c>
      <c r="C1197" s="129"/>
      <c r="D1197" s="166">
        <v>2</v>
      </c>
      <c r="E1197" s="167" t="s">
        <v>32</v>
      </c>
      <c r="F1197" s="44">
        <f t="shared" si="38"/>
        <v>4</v>
      </c>
      <c r="G1197" s="85" t="s">
        <v>2160</v>
      </c>
      <c r="H1197" s="46" t="s">
        <v>18</v>
      </c>
      <c r="I1197" s="47"/>
      <c r="J1197" s="48" t="s">
        <v>42</v>
      </c>
      <c r="K1197" s="86" t="s">
        <v>2158</v>
      </c>
      <c r="L1197" s="87" t="s">
        <v>25</v>
      </c>
      <c r="M1197" s="87" t="s">
        <v>26</v>
      </c>
      <c r="N1197" s="14" t="s">
        <v>27</v>
      </c>
      <c r="O1197" s="14" t="s">
        <v>28</v>
      </c>
      <c r="P1197" s="169">
        <v>550</v>
      </c>
      <c r="Q1197" s="47">
        <f t="shared" si="39"/>
        <v>2200</v>
      </c>
      <c r="R1197" s="47"/>
      <c r="S1197" s="47"/>
      <c r="T1197" s="47"/>
    </row>
    <row r="1198" customHeight="1" spans="1:20">
      <c r="A1198" s="166" t="s">
        <v>2161</v>
      </c>
      <c r="B1198" s="129" t="s">
        <v>2162</v>
      </c>
      <c r="C1198" s="129"/>
      <c r="D1198" s="166">
        <f>D1133</f>
        <v>56</v>
      </c>
      <c r="E1198" s="167" t="s">
        <v>32</v>
      </c>
      <c r="F1198" s="44">
        <f t="shared" si="38"/>
        <v>112</v>
      </c>
      <c r="G1198" s="85" t="s">
        <v>2163</v>
      </c>
      <c r="H1198" s="46" t="s">
        <v>18</v>
      </c>
      <c r="I1198" s="47"/>
      <c r="J1198" s="48" t="s">
        <v>42</v>
      </c>
      <c r="K1198" s="86" t="s">
        <v>2161</v>
      </c>
      <c r="L1198" s="87" t="s">
        <v>25</v>
      </c>
      <c r="M1198" s="87" t="s">
        <v>26</v>
      </c>
      <c r="N1198" s="14" t="s">
        <v>27</v>
      </c>
      <c r="O1198" s="14" t="s">
        <v>28</v>
      </c>
      <c r="P1198" s="51">
        <v>7</v>
      </c>
      <c r="Q1198" s="47">
        <f t="shared" si="39"/>
        <v>784</v>
      </c>
      <c r="R1198" s="47"/>
      <c r="S1198" s="47"/>
      <c r="T1198" s="47"/>
    </row>
    <row r="1199" customHeight="1" spans="1:20">
      <c r="A1199" s="75" t="s">
        <v>103</v>
      </c>
      <c r="B1199" s="142" t="s">
        <v>741</v>
      </c>
      <c r="C1199" s="142"/>
      <c r="D1199" s="166"/>
      <c r="E1199" s="167"/>
      <c r="F1199" s="44">
        <f t="shared" ref="F1199:F1262" si="40">D1199*2</f>
        <v>0</v>
      </c>
      <c r="G1199" s="131"/>
      <c r="H1199" s="46"/>
      <c r="I1199" s="47"/>
      <c r="J1199" s="48" t="s">
        <v>42</v>
      </c>
      <c r="K1199" s="132"/>
      <c r="L1199" s="133"/>
      <c r="M1199" s="133"/>
      <c r="O1199" s="14" t="s">
        <v>28</v>
      </c>
      <c r="P1199" s="51"/>
      <c r="Q1199" s="47">
        <f t="shared" si="39"/>
        <v>0</v>
      </c>
      <c r="R1199" s="47"/>
      <c r="S1199" s="47"/>
      <c r="T1199" s="47">
        <v>3</v>
      </c>
    </row>
    <row r="1200" customHeight="1" spans="1:20">
      <c r="A1200" s="166" t="s">
        <v>2164</v>
      </c>
      <c r="B1200" s="129" t="s">
        <v>1789</v>
      </c>
      <c r="C1200" s="129"/>
      <c r="D1200" s="166"/>
      <c r="E1200" s="167"/>
      <c r="F1200" s="44">
        <f t="shared" si="40"/>
        <v>0</v>
      </c>
      <c r="G1200" s="131"/>
      <c r="H1200" s="46"/>
      <c r="I1200" s="47"/>
      <c r="J1200" s="48" t="s">
        <v>42</v>
      </c>
      <c r="K1200" s="132"/>
      <c r="L1200" s="133"/>
      <c r="M1200" s="133"/>
      <c r="O1200" s="14" t="s">
        <v>28</v>
      </c>
      <c r="P1200" s="51"/>
      <c r="Q1200" s="47">
        <f t="shared" si="39"/>
        <v>0</v>
      </c>
      <c r="R1200" s="47"/>
      <c r="S1200" s="47"/>
      <c r="T1200" s="47"/>
    </row>
    <row r="1201" customHeight="1" spans="1:20">
      <c r="A1201" s="166">
        <v>32001</v>
      </c>
      <c r="B1201" s="129" t="s">
        <v>1828</v>
      </c>
      <c r="C1201" s="129"/>
      <c r="D1201" s="166">
        <v>2</v>
      </c>
      <c r="E1201" s="167" t="s">
        <v>21</v>
      </c>
      <c r="F1201" s="44">
        <f t="shared" si="40"/>
        <v>4</v>
      </c>
      <c r="G1201" s="120" t="s">
        <v>1829</v>
      </c>
      <c r="H1201" s="46" t="s">
        <v>18</v>
      </c>
      <c r="I1201" s="47"/>
      <c r="J1201" s="48" t="s">
        <v>42</v>
      </c>
      <c r="K1201" s="121">
        <v>32001</v>
      </c>
      <c r="L1201" s="122" t="s">
        <v>25</v>
      </c>
      <c r="M1201" s="122" t="s">
        <v>26</v>
      </c>
      <c r="N1201" s="14" t="s">
        <v>27</v>
      </c>
      <c r="O1201" s="14" t="s">
        <v>28</v>
      </c>
      <c r="P1201" s="169">
        <v>120</v>
      </c>
      <c r="Q1201" s="47">
        <f t="shared" si="39"/>
        <v>480</v>
      </c>
      <c r="R1201" s="47"/>
      <c r="S1201" s="47"/>
      <c r="T1201" s="47"/>
    </row>
    <row r="1202" customHeight="1" spans="1:20">
      <c r="A1202" s="166">
        <v>32003</v>
      </c>
      <c r="B1202" s="129" t="s">
        <v>2165</v>
      </c>
      <c r="C1202" s="129"/>
      <c r="D1202" s="166">
        <v>13</v>
      </c>
      <c r="E1202" s="167" t="s">
        <v>32</v>
      </c>
      <c r="F1202" s="44">
        <f t="shared" si="40"/>
        <v>26</v>
      </c>
      <c r="G1202" s="85" t="s">
        <v>2166</v>
      </c>
      <c r="H1202" s="46" t="s">
        <v>18</v>
      </c>
      <c r="I1202" s="47"/>
      <c r="J1202" s="48" t="s">
        <v>42</v>
      </c>
      <c r="K1202" s="86">
        <v>32003</v>
      </c>
      <c r="L1202" s="87" t="s">
        <v>25</v>
      </c>
      <c r="M1202" s="87" t="s">
        <v>26</v>
      </c>
      <c r="N1202" s="14" t="s">
        <v>27</v>
      </c>
      <c r="O1202" s="14" t="s">
        <v>28</v>
      </c>
      <c r="P1202" s="169">
        <v>55</v>
      </c>
      <c r="Q1202" s="47">
        <f t="shared" si="39"/>
        <v>1430</v>
      </c>
      <c r="R1202" s="47"/>
      <c r="S1202" s="47"/>
      <c r="T1202" s="47"/>
    </row>
    <row r="1203" customHeight="1" spans="1:20">
      <c r="A1203" s="166" t="s">
        <v>2167</v>
      </c>
      <c r="B1203" s="129" t="s">
        <v>1833</v>
      </c>
      <c r="C1203" s="129"/>
      <c r="D1203" s="166">
        <v>2</v>
      </c>
      <c r="E1203" s="167" t="s">
        <v>32</v>
      </c>
      <c r="F1203" s="44">
        <f t="shared" si="40"/>
        <v>4</v>
      </c>
      <c r="G1203" s="85" t="s">
        <v>2168</v>
      </c>
      <c r="H1203" s="46" t="s">
        <v>18</v>
      </c>
      <c r="I1203" s="47"/>
      <c r="J1203" s="48" t="s">
        <v>42</v>
      </c>
      <c r="K1203" s="86" t="s">
        <v>2167</v>
      </c>
      <c r="L1203" s="87" t="s">
        <v>25</v>
      </c>
      <c r="M1203" s="87" t="s">
        <v>26</v>
      </c>
      <c r="N1203" s="14" t="s">
        <v>27</v>
      </c>
      <c r="O1203" s="14" t="s">
        <v>28</v>
      </c>
      <c r="P1203" s="169">
        <v>75</v>
      </c>
      <c r="Q1203" s="47">
        <f t="shared" si="39"/>
        <v>300</v>
      </c>
      <c r="R1203" s="47"/>
      <c r="S1203" s="47"/>
      <c r="T1203" s="47"/>
    </row>
    <row r="1204" customHeight="1" spans="1:20">
      <c r="A1204" s="166" t="s">
        <v>2169</v>
      </c>
      <c r="B1204" s="129" t="s">
        <v>1835</v>
      </c>
      <c r="C1204" s="129"/>
      <c r="D1204" s="166">
        <v>2</v>
      </c>
      <c r="E1204" s="167" t="s">
        <v>32</v>
      </c>
      <c r="F1204" s="44">
        <f t="shared" si="40"/>
        <v>4</v>
      </c>
      <c r="G1204" s="85" t="s">
        <v>2170</v>
      </c>
      <c r="H1204" s="46" t="s">
        <v>18</v>
      </c>
      <c r="I1204" s="47"/>
      <c r="J1204" s="48" t="s">
        <v>42</v>
      </c>
      <c r="K1204" s="86" t="s">
        <v>2169</v>
      </c>
      <c r="L1204" s="87" t="s">
        <v>25</v>
      </c>
      <c r="M1204" s="87" t="s">
        <v>26</v>
      </c>
      <c r="N1204" s="14" t="s">
        <v>27</v>
      </c>
      <c r="O1204" s="14" t="s">
        <v>28</v>
      </c>
      <c r="P1204" s="169">
        <v>75</v>
      </c>
      <c r="Q1204" s="47">
        <f t="shared" si="39"/>
        <v>300</v>
      </c>
      <c r="R1204" s="47"/>
      <c r="S1204" s="47"/>
      <c r="T1204" s="47"/>
    </row>
    <row r="1205" customHeight="1" spans="1:20">
      <c r="A1205" s="166" t="s">
        <v>2171</v>
      </c>
      <c r="B1205" s="129" t="s">
        <v>1837</v>
      </c>
      <c r="C1205" s="129"/>
      <c r="D1205" s="166">
        <v>2</v>
      </c>
      <c r="E1205" s="167" t="s">
        <v>32</v>
      </c>
      <c r="F1205" s="44">
        <f t="shared" si="40"/>
        <v>4</v>
      </c>
      <c r="G1205" s="85" t="s">
        <v>2172</v>
      </c>
      <c r="H1205" s="46" t="s">
        <v>18</v>
      </c>
      <c r="I1205" s="47"/>
      <c r="J1205" s="48" t="s">
        <v>42</v>
      </c>
      <c r="K1205" s="86" t="s">
        <v>2171</v>
      </c>
      <c r="L1205" s="87" t="s">
        <v>25</v>
      </c>
      <c r="M1205" s="87" t="s">
        <v>26</v>
      </c>
      <c r="N1205" s="14" t="s">
        <v>27</v>
      </c>
      <c r="O1205" s="14" t="s">
        <v>28</v>
      </c>
      <c r="P1205" s="169">
        <v>75</v>
      </c>
      <c r="Q1205" s="47">
        <f t="shared" si="39"/>
        <v>300</v>
      </c>
      <c r="R1205" s="47"/>
      <c r="S1205" s="47"/>
      <c r="T1205" s="47"/>
    </row>
    <row r="1206" customHeight="1" spans="1:20">
      <c r="A1206" s="166" t="s">
        <v>2173</v>
      </c>
      <c r="B1206" s="129" t="s">
        <v>1839</v>
      </c>
      <c r="C1206" s="129"/>
      <c r="D1206" s="166">
        <v>2</v>
      </c>
      <c r="E1206" s="167" t="s">
        <v>32</v>
      </c>
      <c r="F1206" s="44">
        <f t="shared" si="40"/>
        <v>4</v>
      </c>
      <c r="G1206" s="85" t="s">
        <v>2174</v>
      </c>
      <c r="H1206" s="46" t="s">
        <v>18</v>
      </c>
      <c r="I1206" s="47"/>
      <c r="J1206" s="48" t="s">
        <v>42</v>
      </c>
      <c r="K1206" s="86" t="s">
        <v>2173</v>
      </c>
      <c r="L1206" s="87" t="s">
        <v>25</v>
      </c>
      <c r="M1206" s="87" t="s">
        <v>26</v>
      </c>
      <c r="N1206" s="14" t="s">
        <v>27</v>
      </c>
      <c r="O1206" s="14" t="s">
        <v>28</v>
      </c>
      <c r="P1206" s="169">
        <v>75</v>
      </c>
      <c r="Q1206" s="47">
        <f t="shared" si="39"/>
        <v>300</v>
      </c>
      <c r="R1206" s="47"/>
      <c r="S1206" s="47"/>
      <c r="T1206" s="47"/>
    </row>
    <row r="1207" customHeight="1" spans="1:20">
      <c r="A1207" s="166" t="s">
        <v>2175</v>
      </c>
      <c r="B1207" s="129" t="s">
        <v>1841</v>
      </c>
      <c r="C1207" s="129"/>
      <c r="D1207" s="166">
        <v>13</v>
      </c>
      <c r="E1207" s="167" t="s">
        <v>32</v>
      </c>
      <c r="F1207" s="44">
        <f t="shared" si="40"/>
        <v>26</v>
      </c>
      <c r="G1207" s="85" t="s">
        <v>2176</v>
      </c>
      <c r="H1207" s="46" t="s">
        <v>18</v>
      </c>
      <c r="I1207" s="47"/>
      <c r="J1207" s="48" t="s">
        <v>42</v>
      </c>
      <c r="K1207" s="86" t="s">
        <v>2175</v>
      </c>
      <c r="L1207" s="87" t="s">
        <v>25</v>
      </c>
      <c r="M1207" s="87" t="s">
        <v>26</v>
      </c>
      <c r="N1207" s="14" t="s">
        <v>27</v>
      </c>
      <c r="O1207" s="14" t="s">
        <v>28</v>
      </c>
      <c r="P1207" s="51">
        <v>30</v>
      </c>
      <c r="Q1207" s="47">
        <f t="shared" si="39"/>
        <v>780</v>
      </c>
      <c r="R1207" s="47"/>
      <c r="S1207" s="47"/>
      <c r="T1207" s="47"/>
    </row>
    <row r="1208" customHeight="1" spans="1:20">
      <c r="A1208" s="75" t="s">
        <v>120</v>
      </c>
      <c r="B1208" s="142" t="s">
        <v>1863</v>
      </c>
      <c r="C1208" s="142"/>
      <c r="D1208" s="166"/>
      <c r="E1208" s="167"/>
      <c r="F1208" s="44">
        <f t="shared" si="40"/>
        <v>0</v>
      </c>
      <c r="G1208" s="131"/>
      <c r="H1208" s="46"/>
      <c r="I1208" s="47"/>
      <c r="J1208" s="48" t="s">
        <v>42</v>
      </c>
      <c r="K1208" s="132"/>
      <c r="L1208" s="133"/>
      <c r="M1208" s="133"/>
      <c r="O1208" s="14" t="s">
        <v>28</v>
      </c>
      <c r="P1208" s="51"/>
      <c r="Q1208" s="47">
        <f t="shared" si="39"/>
        <v>0</v>
      </c>
      <c r="R1208" s="47"/>
      <c r="S1208" s="47"/>
      <c r="T1208" s="47"/>
    </row>
    <row r="1209" customHeight="1" spans="1:20">
      <c r="A1209" s="166" t="s">
        <v>2177</v>
      </c>
      <c r="B1209" s="129" t="s">
        <v>1789</v>
      </c>
      <c r="C1209" s="129"/>
      <c r="D1209" s="166"/>
      <c r="E1209" s="167"/>
      <c r="F1209" s="44">
        <f t="shared" si="40"/>
        <v>0</v>
      </c>
      <c r="G1209" s="131"/>
      <c r="H1209" s="46"/>
      <c r="I1209" s="47"/>
      <c r="J1209" s="48" t="s">
        <v>42</v>
      </c>
      <c r="K1209" s="132"/>
      <c r="L1209" s="133"/>
      <c r="M1209" s="133"/>
      <c r="O1209" s="14" t="s">
        <v>28</v>
      </c>
      <c r="P1209" s="51"/>
      <c r="Q1209" s="47">
        <f t="shared" si="39"/>
        <v>0</v>
      </c>
      <c r="R1209" s="47"/>
      <c r="S1209" s="47"/>
      <c r="T1209" s="47"/>
    </row>
    <row r="1210" customHeight="1" spans="1:20">
      <c r="A1210" s="166" t="s">
        <v>2178</v>
      </c>
      <c r="B1210" s="129" t="s">
        <v>1864</v>
      </c>
      <c r="C1210" s="129"/>
      <c r="D1210" s="166">
        <v>3</v>
      </c>
      <c r="E1210" s="167" t="s">
        <v>169</v>
      </c>
      <c r="F1210" s="44">
        <f t="shared" si="40"/>
        <v>6</v>
      </c>
      <c r="G1210" s="91" t="s">
        <v>2179</v>
      </c>
      <c r="H1210" s="46" t="s">
        <v>18</v>
      </c>
      <c r="I1210" s="47"/>
      <c r="J1210" s="48" t="s">
        <v>42</v>
      </c>
      <c r="K1210" s="92" t="s">
        <v>2178</v>
      </c>
      <c r="L1210" s="93" t="s">
        <v>25</v>
      </c>
      <c r="M1210" s="93" t="s">
        <v>26</v>
      </c>
      <c r="N1210" s="14" t="s">
        <v>27</v>
      </c>
      <c r="O1210" s="14" t="s">
        <v>28</v>
      </c>
      <c r="P1210" s="169">
        <v>24</v>
      </c>
      <c r="Q1210" s="47">
        <f t="shared" si="39"/>
        <v>144</v>
      </c>
      <c r="R1210" s="47"/>
      <c r="S1210" s="47"/>
      <c r="T1210" s="47"/>
    </row>
    <row r="1211" customHeight="1" spans="1:20">
      <c r="A1211" s="166" t="s">
        <v>2180</v>
      </c>
      <c r="B1211" s="129" t="s">
        <v>1866</v>
      </c>
      <c r="C1211" s="129"/>
      <c r="D1211" s="166">
        <v>3</v>
      </c>
      <c r="E1211" s="167" t="s">
        <v>169</v>
      </c>
      <c r="F1211" s="44">
        <f t="shared" si="40"/>
        <v>6</v>
      </c>
      <c r="G1211" s="91" t="s">
        <v>2181</v>
      </c>
      <c r="H1211" s="46" t="s">
        <v>18</v>
      </c>
      <c r="I1211" s="47"/>
      <c r="J1211" s="48" t="s">
        <v>42</v>
      </c>
      <c r="K1211" s="92" t="s">
        <v>2180</v>
      </c>
      <c r="L1211" s="93" t="s">
        <v>25</v>
      </c>
      <c r="M1211" s="93" t="s">
        <v>26</v>
      </c>
      <c r="N1211" s="14" t="s">
        <v>27</v>
      </c>
      <c r="O1211" s="14" t="s">
        <v>28</v>
      </c>
      <c r="P1211" s="169">
        <v>24</v>
      </c>
      <c r="Q1211" s="47">
        <f t="shared" si="39"/>
        <v>144</v>
      </c>
      <c r="R1211" s="47"/>
      <c r="S1211" s="47"/>
      <c r="T1211" s="47"/>
    </row>
    <row r="1212" customHeight="1" spans="1:20">
      <c r="A1212" s="166" t="s">
        <v>2182</v>
      </c>
      <c r="B1212" s="129" t="s">
        <v>1868</v>
      </c>
      <c r="C1212" s="129"/>
      <c r="D1212" s="166">
        <v>3</v>
      </c>
      <c r="E1212" s="167" t="s">
        <v>169</v>
      </c>
      <c r="F1212" s="44">
        <f t="shared" si="40"/>
        <v>6</v>
      </c>
      <c r="G1212" s="85" t="s">
        <v>2183</v>
      </c>
      <c r="H1212" s="46" t="s">
        <v>18</v>
      </c>
      <c r="I1212" s="47"/>
      <c r="J1212" s="48" t="s">
        <v>42</v>
      </c>
      <c r="K1212" s="86" t="s">
        <v>2182</v>
      </c>
      <c r="L1212" s="87" t="s">
        <v>25</v>
      </c>
      <c r="M1212" s="87" t="s">
        <v>26</v>
      </c>
      <c r="N1212" s="14" t="s">
        <v>27</v>
      </c>
      <c r="O1212" s="14" t="s">
        <v>28</v>
      </c>
      <c r="P1212" s="169">
        <v>24</v>
      </c>
      <c r="Q1212" s="47">
        <f t="shared" si="39"/>
        <v>144</v>
      </c>
      <c r="R1212" s="47"/>
      <c r="S1212" s="47"/>
      <c r="T1212" s="47"/>
    </row>
    <row r="1213" customHeight="1" spans="1:20">
      <c r="A1213" s="170">
        <v>42004</v>
      </c>
      <c r="B1213" s="78" t="s">
        <v>1870</v>
      </c>
      <c r="C1213" s="78"/>
      <c r="D1213" s="170">
        <v>3</v>
      </c>
      <c r="E1213" s="171" t="s">
        <v>169</v>
      </c>
      <c r="F1213" s="44">
        <f t="shared" si="40"/>
        <v>6</v>
      </c>
      <c r="G1213" s="85" t="s">
        <v>2184</v>
      </c>
      <c r="H1213" s="46" t="s">
        <v>18</v>
      </c>
      <c r="I1213" s="47"/>
      <c r="J1213" s="48" t="s">
        <v>42</v>
      </c>
      <c r="K1213" s="86">
        <v>42004</v>
      </c>
      <c r="L1213" s="87" t="s">
        <v>25</v>
      </c>
      <c r="M1213" s="87" t="s">
        <v>26</v>
      </c>
      <c r="N1213" s="14" t="s">
        <v>27</v>
      </c>
      <c r="O1213" s="14" t="s">
        <v>28</v>
      </c>
      <c r="P1213" s="169">
        <v>32.5</v>
      </c>
      <c r="Q1213" s="47">
        <f t="shared" si="39"/>
        <v>195</v>
      </c>
      <c r="R1213" s="47"/>
      <c r="S1213" s="47"/>
      <c r="T1213" s="47"/>
    </row>
    <row r="1214" customHeight="1" spans="1:20">
      <c r="A1214" s="75" t="s">
        <v>775</v>
      </c>
      <c r="B1214" s="142" t="s">
        <v>776</v>
      </c>
      <c r="C1214" s="142"/>
      <c r="D1214" s="166"/>
      <c r="E1214" s="167"/>
      <c r="F1214" s="44">
        <f t="shared" si="40"/>
        <v>0</v>
      </c>
      <c r="G1214" s="131"/>
      <c r="H1214" s="46"/>
      <c r="I1214" s="47"/>
      <c r="J1214" s="48" t="s">
        <v>42</v>
      </c>
      <c r="K1214" s="132"/>
      <c r="L1214" s="133"/>
      <c r="M1214" s="133"/>
      <c r="O1214" s="14" t="s">
        <v>28</v>
      </c>
      <c r="P1214" s="51"/>
      <c r="Q1214" s="47">
        <f t="shared" si="39"/>
        <v>0</v>
      </c>
      <c r="R1214" s="47"/>
      <c r="S1214" s="47"/>
      <c r="T1214" s="47"/>
    </row>
    <row r="1215" customHeight="1" spans="1:20">
      <c r="A1215" s="166">
        <v>60</v>
      </c>
      <c r="B1215" s="129" t="s">
        <v>777</v>
      </c>
      <c r="C1215" s="129"/>
      <c r="D1215" s="166"/>
      <c r="E1215" s="167"/>
      <c r="F1215" s="44">
        <f t="shared" si="40"/>
        <v>0</v>
      </c>
      <c r="G1215" s="131"/>
      <c r="H1215" s="46"/>
      <c r="I1215" s="47"/>
      <c r="J1215" s="48" t="s">
        <v>42</v>
      </c>
      <c r="K1215" s="132"/>
      <c r="L1215" s="133"/>
      <c r="M1215" s="133"/>
      <c r="O1215" s="14" t="s">
        <v>28</v>
      </c>
      <c r="P1215" s="51"/>
      <c r="Q1215" s="47">
        <f t="shared" si="39"/>
        <v>0</v>
      </c>
      <c r="R1215" s="47"/>
      <c r="S1215" s="47"/>
      <c r="T1215" s="47"/>
    </row>
    <row r="1216" s="14" customFormat="1" customHeight="1" spans="1:20">
      <c r="A1216" s="166">
        <v>60001</v>
      </c>
      <c r="B1216" s="129" t="s">
        <v>778</v>
      </c>
      <c r="C1216" s="129"/>
      <c r="D1216" s="166">
        <v>100</v>
      </c>
      <c r="E1216" s="167" t="s">
        <v>21</v>
      </c>
      <c r="F1216" s="44">
        <f t="shared" si="40"/>
        <v>200</v>
      </c>
      <c r="G1216" s="91" t="s">
        <v>1525</v>
      </c>
      <c r="H1216" s="46" t="s">
        <v>18</v>
      </c>
      <c r="I1216" s="47"/>
      <c r="J1216" s="48" t="s">
        <v>42</v>
      </c>
      <c r="K1216" s="92">
        <v>60001</v>
      </c>
      <c r="L1216" s="93" t="s">
        <v>780</v>
      </c>
      <c r="M1216" s="93" t="s">
        <v>781</v>
      </c>
      <c r="N1216" s="14" t="s">
        <v>27</v>
      </c>
      <c r="O1216" s="14" t="s">
        <v>28</v>
      </c>
      <c r="P1216" s="51">
        <v>3.5</v>
      </c>
      <c r="Q1216" s="47">
        <f t="shared" si="39"/>
        <v>700</v>
      </c>
      <c r="R1216" s="47"/>
      <c r="S1216" s="47"/>
      <c r="T1216" s="47"/>
    </row>
    <row r="1217" customHeight="1" spans="1:20">
      <c r="A1217" s="166">
        <v>60002</v>
      </c>
      <c r="B1217" s="129" t="s">
        <v>778</v>
      </c>
      <c r="C1217" s="129"/>
      <c r="D1217" s="166">
        <v>100</v>
      </c>
      <c r="E1217" s="167" t="s">
        <v>21</v>
      </c>
      <c r="F1217" s="44">
        <f t="shared" si="40"/>
        <v>200</v>
      </c>
      <c r="G1217" s="91" t="s">
        <v>1526</v>
      </c>
      <c r="H1217" s="46" t="s">
        <v>18</v>
      </c>
      <c r="I1217" s="47"/>
      <c r="J1217" s="48" t="s">
        <v>42</v>
      </c>
      <c r="K1217" s="92">
        <v>60002</v>
      </c>
      <c r="L1217" s="93" t="s">
        <v>780</v>
      </c>
      <c r="M1217" s="93" t="s">
        <v>781</v>
      </c>
      <c r="N1217" s="14" t="s">
        <v>27</v>
      </c>
      <c r="O1217" s="14" t="s">
        <v>28</v>
      </c>
      <c r="P1217" s="51">
        <v>4.5</v>
      </c>
      <c r="Q1217" s="47">
        <f t="shared" si="39"/>
        <v>900</v>
      </c>
      <c r="R1217" s="47"/>
      <c r="S1217" s="47"/>
      <c r="T1217" s="47"/>
    </row>
    <row r="1218" customHeight="1" spans="1:20">
      <c r="A1218" s="166">
        <v>60003</v>
      </c>
      <c r="B1218" s="129" t="s">
        <v>778</v>
      </c>
      <c r="C1218" s="129"/>
      <c r="D1218" s="166">
        <v>4</v>
      </c>
      <c r="E1218" s="167" t="s">
        <v>21</v>
      </c>
      <c r="F1218" s="44">
        <f t="shared" si="40"/>
        <v>8</v>
      </c>
      <c r="G1218" s="91" t="s">
        <v>1527</v>
      </c>
      <c r="H1218" s="46" t="s">
        <v>18</v>
      </c>
      <c r="I1218" s="47"/>
      <c r="J1218" s="48" t="s">
        <v>42</v>
      </c>
      <c r="K1218" s="92">
        <v>60003</v>
      </c>
      <c r="L1218" s="93" t="s">
        <v>780</v>
      </c>
      <c r="M1218" s="93" t="s">
        <v>781</v>
      </c>
      <c r="N1218" s="14" t="s">
        <v>27</v>
      </c>
      <c r="O1218" s="14" t="s">
        <v>28</v>
      </c>
      <c r="P1218" s="51">
        <v>7</v>
      </c>
      <c r="Q1218" s="47">
        <f t="shared" si="39"/>
        <v>56</v>
      </c>
      <c r="R1218" s="47"/>
      <c r="S1218" s="47"/>
      <c r="T1218" s="47"/>
    </row>
    <row r="1219" customHeight="1" spans="1:20">
      <c r="A1219" s="166">
        <v>60004</v>
      </c>
      <c r="B1219" s="129" t="s">
        <v>778</v>
      </c>
      <c r="C1219" s="129"/>
      <c r="D1219" s="166">
        <v>2</v>
      </c>
      <c r="E1219" s="167" t="s">
        <v>21</v>
      </c>
      <c r="F1219" s="44">
        <f t="shared" si="40"/>
        <v>4</v>
      </c>
      <c r="G1219" s="91" t="s">
        <v>2185</v>
      </c>
      <c r="H1219" s="46" t="s">
        <v>18</v>
      </c>
      <c r="I1219" s="47"/>
      <c r="J1219" s="48" t="s">
        <v>42</v>
      </c>
      <c r="K1219" s="92">
        <v>60004</v>
      </c>
      <c r="L1219" s="93" t="s">
        <v>780</v>
      </c>
      <c r="M1219" s="93" t="s">
        <v>781</v>
      </c>
      <c r="N1219" s="14" t="s">
        <v>27</v>
      </c>
      <c r="O1219" s="14" t="s">
        <v>28</v>
      </c>
      <c r="P1219" s="51">
        <v>12</v>
      </c>
      <c r="Q1219" s="47">
        <f t="shared" si="39"/>
        <v>48</v>
      </c>
      <c r="R1219" s="47"/>
      <c r="S1219" s="47"/>
      <c r="T1219" s="47"/>
    </row>
    <row r="1220" customHeight="1" spans="1:20">
      <c r="A1220" s="166" t="s">
        <v>1528</v>
      </c>
      <c r="B1220" s="129" t="s">
        <v>784</v>
      </c>
      <c r="C1220" s="129"/>
      <c r="D1220" s="166">
        <v>2</v>
      </c>
      <c r="E1220" s="167" t="s">
        <v>21</v>
      </c>
      <c r="F1220" s="44">
        <f t="shared" si="40"/>
        <v>4</v>
      </c>
      <c r="G1220" s="91" t="s">
        <v>2186</v>
      </c>
      <c r="H1220" s="46" t="s">
        <v>18</v>
      </c>
      <c r="I1220" s="47"/>
      <c r="J1220" s="48" t="s">
        <v>42</v>
      </c>
      <c r="K1220" s="92" t="s">
        <v>1528</v>
      </c>
      <c r="L1220" s="93" t="s">
        <v>780</v>
      </c>
      <c r="M1220" s="93" t="s">
        <v>781</v>
      </c>
      <c r="N1220" s="14" t="s">
        <v>27</v>
      </c>
      <c r="O1220" s="14" t="s">
        <v>28</v>
      </c>
      <c r="P1220" s="51">
        <v>11</v>
      </c>
      <c r="Q1220" s="47">
        <f t="shared" ref="Q1220:Q1283" si="41">P1220*F1220</f>
        <v>44</v>
      </c>
      <c r="R1220" s="47"/>
      <c r="S1220" s="47"/>
      <c r="T1220" s="47"/>
    </row>
    <row r="1221" customHeight="1" spans="1:20">
      <c r="A1221" s="166" t="s">
        <v>2187</v>
      </c>
      <c r="B1221" s="129" t="s">
        <v>1878</v>
      </c>
      <c r="C1221" s="129"/>
      <c r="D1221" s="166">
        <v>2</v>
      </c>
      <c r="E1221" s="167" t="s">
        <v>21</v>
      </c>
      <c r="F1221" s="44">
        <f t="shared" si="40"/>
        <v>4</v>
      </c>
      <c r="G1221" s="91" t="s">
        <v>2188</v>
      </c>
      <c r="H1221" s="46" t="s">
        <v>18</v>
      </c>
      <c r="I1221" s="47"/>
      <c r="J1221" s="48" t="s">
        <v>42</v>
      </c>
      <c r="K1221" s="92" t="s">
        <v>2187</v>
      </c>
      <c r="L1221" s="93" t="s">
        <v>780</v>
      </c>
      <c r="M1221" s="93" t="s">
        <v>781</v>
      </c>
      <c r="N1221" s="14" t="s">
        <v>27</v>
      </c>
      <c r="O1221" s="14" t="s">
        <v>28</v>
      </c>
      <c r="P1221" s="161">
        <v>7.5</v>
      </c>
      <c r="Q1221" s="47">
        <f t="shared" si="41"/>
        <v>30</v>
      </c>
      <c r="R1221" s="47"/>
      <c r="S1221" s="47"/>
      <c r="T1221" s="47"/>
    </row>
    <row r="1222" customHeight="1" spans="1:20">
      <c r="A1222" s="166" t="s">
        <v>2189</v>
      </c>
      <c r="B1222" s="129" t="s">
        <v>1878</v>
      </c>
      <c r="C1222" s="129"/>
      <c r="D1222" s="166">
        <v>2</v>
      </c>
      <c r="E1222" s="167" t="s">
        <v>21</v>
      </c>
      <c r="F1222" s="44">
        <f t="shared" si="40"/>
        <v>4</v>
      </c>
      <c r="G1222" s="91" t="s">
        <v>2190</v>
      </c>
      <c r="H1222" s="46" t="s">
        <v>18</v>
      </c>
      <c r="I1222" s="47"/>
      <c r="J1222" s="48" t="s">
        <v>42</v>
      </c>
      <c r="K1222" s="92" t="s">
        <v>2189</v>
      </c>
      <c r="L1222" s="93" t="s">
        <v>780</v>
      </c>
      <c r="M1222" s="93" t="s">
        <v>781</v>
      </c>
      <c r="N1222" s="14" t="s">
        <v>27</v>
      </c>
      <c r="O1222" s="14" t="s">
        <v>28</v>
      </c>
      <c r="P1222" s="161">
        <v>10</v>
      </c>
      <c r="Q1222" s="47">
        <f t="shared" si="41"/>
        <v>40</v>
      </c>
      <c r="R1222" s="47"/>
      <c r="S1222" s="47"/>
      <c r="T1222" s="47"/>
    </row>
    <row r="1223" customHeight="1" spans="1:20">
      <c r="A1223" s="166" t="s">
        <v>2191</v>
      </c>
      <c r="B1223" s="129" t="s">
        <v>1884</v>
      </c>
      <c r="C1223" s="129"/>
      <c r="D1223" s="166">
        <v>2</v>
      </c>
      <c r="E1223" s="167" t="s">
        <v>221</v>
      </c>
      <c r="F1223" s="44">
        <f t="shared" si="40"/>
        <v>4</v>
      </c>
      <c r="G1223" s="91" t="s">
        <v>2192</v>
      </c>
      <c r="H1223" s="46" t="s">
        <v>18</v>
      </c>
      <c r="I1223" s="47"/>
      <c r="J1223" s="48" t="s">
        <v>42</v>
      </c>
      <c r="K1223" s="92" t="s">
        <v>2191</v>
      </c>
      <c r="L1223" s="93" t="s">
        <v>780</v>
      </c>
      <c r="M1223" s="93" t="s">
        <v>781</v>
      </c>
      <c r="N1223" s="14" t="s">
        <v>27</v>
      </c>
      <c r="O1223" s="14" t="s">
        <v>28</v>
      </c>
      <c r="P1223" s="51">
        <v>11</v>
      </c>
      <c r="Q1223" s="47">
        <f t="shared" si="41"/>
        <v>44</v>
      </c>
      <c r="R1223" s="47"/>
      <c r="S1223" s="47"/>
      <c r="T1223" s="47"/>
    </row>
    <row r="1224" customHeight="1" spans="1:20">
      <c r="A1224" s="166" t="s">
        <v>2193</v>
      </c>
      <c r="B1224" s="129" t="s">
        <v>1884</v>
      </c>
      <c r="C1224" s="129"/>
      <c r="D1224" s="166">
        <v>2</v>
      </c>
      <c r="E1224" s="167" t="s">
        <v>221</v>
      </c>
      <c r="F1224" s="44">
        <f t="shared" si="40"/>
        <v>4</v>
      </c>
      <c r="G1224" s="91" t="s">
        <v>2194</v>
      </c>
      <c r="H1224" s="46" t="s">
        <v>18</v>
      </c>
      <c r="I1224" s="47"/>
      <c r="J1224" s="48" t="s">
        <v>42</v>
      </c>
      <c r="K1224" s="92" t="s">
        <v>2193</v>
      </c>
      <c r="L1224" s="93" t="s">
        <v>780</v>
      </c>
      <c r="M1224" s="93" t="s">
        <v>781</v>
      </c>
      <c r="N1224" s="14" t="s">
        <v>27</v>
      </c>
      <c r="O1224" s="14" t="s">
        <v>28</v>
      </c>
      <c r="P1224" s="51">
        <v>9</v>
      </c>
      <c r="Q1224" s="47">
        <f t="shared" si="41"/>
        <v>36</v>
      </c>
      <c r="R1224" s="47"/>
      <c r="S1224" s="47"/>
      <c r="T1224" s="47"/>
    </row>
    <row r="1225" customHeight="1" spans="1:20">
      <c r="A1225" s="166">
        <v>61</v>
      </c>
      <c r="B1225" s="129" t="s">
        <v>786</v>
      </c>
      <c r="C1225" s="129"/>
      <c r="D1225" s="166"/>
      <c r="E1225" s="167"/>
      <c r="F1225" s="44">
        <f t="shared" si="40"/>
        <v>0</v>
      </c>
      <c r="G1225" s="131"/>
      <c r="H1225" s="46"/>
      <c r="I1225" s="47"/>
      <c r="J1225" s="48" t="s">
        <v>42</v>
      </c>
      <c r="K1225" s="132"/>
      <c r="L1225" s="133"/>
      <c r="M1225" s="133"/>
      <c r="O1225" s="14" t="s">
        <v>28</v>
      </c>
      <c r="P1225" s="51"/>
      <c r="Q1225" s="47">
        <f t="shared" si="41"/>
        <v>0</v>
      </c>
      <c r="R1225" s="47"/>
      <c r="S1225" s="47"/>
      <c r="T1225" s="47"/>
    </row>
    <row r="1226" customHeight="1" spans="1:20">
      <c r="A1226" s="166">
        <v>61001</v>
      </c>
      <c r="B1226" s="129" t="s">
        <v>787</v>
      </c>
      <c r="C1226" s="129"/>
      <c r="D1226" s="166">
        <v>600</v>
      </c>
      <c r="E1226" s="167" t="s">
        <v>221</v>
      </c>
      <c r="F1226" s="44">
        <f t="shared" si="40"/>
        <v>1200</v>
      </c>
      <c r="G1226" s="91" t="s">
        <v>2195</v>
      </c>
      <c r="H1226" s="46" t="s">
        <v>18</v>
      </c>
      <c r="I1226" s="47"/>
      <c r="J1226" s="48" t="s">
        <v>42</v>
      </c>
      <c r="K1226" s="92">
        <v>61001</v>
      </c>
      <c r="L1226" s="93" t="s">
        <v>780</v>
      </c>
      <c r="M1226" s="93" t="s">
        <v>781</v>
      </c>
      <c r="N1226" s="14" t="s">
        <v>27</v>
      </c>
      <c r="O1226" s="14" t="s">
        <v>28</v>
      </c>
      <c r="P1226" s="51">
        <v>0.5</v>
      </c>
      <c r="Q1226" s="47">
        <f t="shared" si="41"/>
        <v>600</v>
      </c>
      <c r="R1226" s="47"/>
      <c r="S1226" s="47"/>
      <c r="T1226" s="47"/>
    </row>
    <row r="1227" customHeight="1" spans="1:20">
      <c r="A1227" s="166">
        <v>61002</v>
      </c>
      <c r="B1227" s="129" t="s">
        <v>787</v>
      </c>
      <c r="C1227" s="129"/>
      <c r="D1227" s="166">
        <v>600</v>
      </c>
      <c r="E1227" s="167" t="s">
        <v>221</v>
      </c>
      <c r="F1227" s="44">
        <f t="shared" si="40"/>
        <v>1200</v>
      </c>
      <c r="G1227" s="91" t="s">
        <v>1531</v>
      </c>
      <c r="H1227" s="46" t="s">
        <v>18</v>
      </c>
      <c r="I1227" s="47"/>
      <c r="J1227" s="48" t="s">
        <v>42</v>
      </c>
      <c r="K1227" s="92">
        <v>61002</v>
      </c>
      <c r="L1227" s="93" t="s">
        <v>780</v>
      </c>
      <c r="M1227" s="93" t="s">
        <v>781</v>
      </c>
      <c r="N1227" s="14" t="s">
        <v>27</v>
      </c>
      <c r="O1227" s="14" t="s">
        <v>28</v>
      </c>
      <c r="P1227" s="51">
        <v>0.7</v>
      </c>
      <c r="Q1227" s="47">
        <f t="shared" si="41"/>
        <v>840</v>
      </c>
      <c r="R1227" s="47"/>
      <c r="S1227" s="47"/>
      <c r="T1227" s="47"/>
    </row>
    <row r="1228" customHeight="1" spans="1:20">
      <c r="A1228" s="166">
        <v>61003</v>
      </c>
      <c r="B1228" s="129" t="s">
        <v>787</v>
      </c>
      <c r="C1228" s="129"/>
      <c r="D1228" s="166">
        <v>300</v>
      </c>
      <c r="E1228" s="167" t="s">
        <v>221</v>
      </c>
      <c r="F1228" s="44">
        <f t="shared" si="40"/>
        <v>600</v>
      </c>
      <c r="G1228" s="91" t="s">
        <v>2196</v>
      </c>
      <c r="H1228" s="46" t="s">
        <v>18</v>
      </c>
      <c r="I1228" s="47"/>
      <c r="J1228" s="48" t="s">
        <v>42</v>
      </c>
      <c r="K1228" s="92">
        <v>61003</v>
      </c>
      <c r="L1228" s="93" t="s">
        <v>780</v>
      </c>
      <c r="M1228" s="93" t="s">
        <v>781</v>
      </c>
      <c r="N1228" s="14" t="s">
        <v>27</v>
      </c>
      <c r="O1228" s="14" t="s">
        <v>28</v>
      </c>
      <c r="P1228" s="51">
        <v>1</v>
      </c>
      <c r="Q1228" s="47">
        <f t="shared" si="41"/>
        <v>600</v>
      </c>
      <c r="R1228" s="47"/>
      <c r="S1228" s="47"/>
      <c r="T1228" s="47"/>
    </row>
    <row r="1229" customHeight="1" spans="1:20">
      <c r="A1229" s="166" t="s">
        <v>2197</v>
      </c>
      <c r="B1229" s="129" t="s">
        <v>787</v>
      </c>
      <c r="C1229" s="129"/>
      <c r="D1229" s="166">
        <v>200</v>
      </c>
      <c r="E1229" s="167" t="s">
        <v>221</v>
      </c>
      <c r="F1229" s="44">
        <f t="shared" si="40"/>
        <v>400</v>
      </c>
      <c r="G1229" s="91" t="s">
        <v>1533</v>
      </c>
      <c r="H1229" s="46" t="s">
        <v>18</v>
      </c>
      <c r="I1229" s="47"/>
      <c r="J1229" s="48" t="s">
        <v>42</v>
      </c>
      <c r="K1229" s="92" t="s">
        <v>2197</v>
      </c>
      <c r="L1229" s="93" t="s">
        <v>780</v>
      </c>
      <c r="M1229" s="93" t="s">
        <v>781</v>
      </c>
      <c r="N1229" s="14" t="s">
        <v>27</v>
      </c>
      <c r="O1229" s="14" t="s">
        <v>28</v>
      </c>
      <c r="P1229" s="51">
        <v>1.5</v>
      </c>
      <c r="Q1229" s="47">
        <f t="shared" si="41"/>
        <v>600</v>
      </c>
      <c r="R1229" s="47"/>
      <c r="S1229" s="47"/>
      <c r="T1229" s="47"/>
    </row>
    <row r="1230" customHeight="1" spans="1:20">
      <c r="A1230" s="166" t="s">
        <v>1532</v>
      </c>
      <c r="B1230" s="129" t="s">
        <v>787</v>
      </c>
      <c r="C1230" s="129"/>
      <c r="D1230" s="166">
        <v>30</v>
      </c>
      <c r="E1230" s="167" t="s">
        <v>221</v>
      </c>
      <c r="F1230" s="44">
        <f t="shared" si="40"/>
        <v>60</v>
      </c>
      <c r="G1230" s="91" t="s">
        <v>2198</v>
      </c>
      <c r="H1230" s="46" t="s">
        <v>18</v>
      </c>
      <c r="I1230" s="47"/>
      <c r="J1230" s="48" t="s">
        <v>42</v>
      </c>
      <c r="K1230" s="92" t="s">
        <v>1532</v>
      </c>
      <c r="L1230" s="93" t="s">
        <v>780</v>
      </c>
      <c r="M1230" s="93" t="s">
        <v>781</v>
      </c>
      <c r="N1230" s="14" t="s">
        <v>27</v>
      </c>
      <c r="O1230" s="14" t="s">
        <v>28</v>
      </c>
      <c r="P1230" s="51">
        <v>2</v>
      </c>
      <c r="Q1230" s="47">
        <f t="shared" si="41"/>
        <v>120</v>
      </c>
      <c r="R1230" s="47"/>
      <c r="S1230" s="47"/>
      <c r="T1230" s="47"/>
    </row>
    <row r="1231" customHeight="1" spans="1:20">
      <c r="A1231" s="166" t="s">
        <v>2199</v>
      </c>
      <c r="B1231" s="129" t="s">
        <v>1901</v>
      </c>
      <c r="C1231" s="129"/>
      <c r="D1231" s="166">
        <v>30</v>
      </c>
      <c r="E1231" s="167" t="s">
        <v>221</v>
      </c>
      <c r="F1231" s="44">
        <f t="shared" si="40"/>
        <v>60</v>
      </c>
      <c r="G1231" s="91" t="s">
        <v>2200</v>
      </c>
      <c r="H1231" s="46" t="s">
        <v>18</v>
      </c>
      <c r="I1231" s="47"/>
      <c r="J1231" s="48" t="s">
        <v>42</v>
      </c>
      <c r="K1231" s="92" t="s">
        <v>2199</v>
      </c>
      <c r="L1231" s="93" t="s">
        <v>780</v>
      </c>
      <c r="M1231" s="93" t="s">
        <v>781</v>
      </c>
      <c r="N1231" s="14" t="s">
        <v>27</v>
      </c>
      <c r="O1231" s="14" t="s">
        <v>28</v>
      </c>
      <c r="P1231" s="51">
        <v>2</v>
      </c>
      <c r="Q1231" s="47">
        <f t="shared" si="41"/>
        <v>120</v>
      </c>
      <c r="R1231" s="47"/>
      <c r="S1231" s="47"/>
      <c r="T1231" s="47"/>
    </row>
    <row r="1232" customHeight="1" spans="1:20">
      <c r="A1232" s="166" t="s">
        <v>2201</v>
      </c>
      <c r="B1232" s="129" t="s">
        <v>1904</v>
      </c>
      <c r="C1232" s="129"/>
      <c r="D1232" s="166">
        <v>30</v>
      </c>
      <c r="E1232" s="167" t="s">
        <v>221</v>
      </c>
      <c r="F1232" s="44">
        <f t="shared" si="40"/>
        <v>60</v>
      </c>
      <c r="G1232" s="91" t="s">
        <v>2202</v>
      </c>
      <c r="H1232" s="46" t="s">
        <v>18</v>
      </c>
      <c r="I1232" s="47"/>
      <c r="J1232" s="48" t="s">
        <v>42</v>
      </c>
      <c r="K1232" s="92" t="s">
        <v>2201</v>
      </c>
      <c r="L1232" s="93" t="s">
        <v>780</v>
      </c>
      <c r="M1232" s="93" t="s">
        <v>781</v>
      </c>
      <c r="N1232" s="14" t="s">
        <v>27</v>
      </c>
      <c r="O1232" s="14" t="s">
        <v>28</v>
      </c>
      <c r="P1232" s="51">
        <v>2</v>
      </c>
      <c r="Q1232" s="47">
        <f t="shared" si="41"/>
        <v>120</v>
      </c>
      <c r="R1232" s="47"/>
      <c r="S1232" s="47"/>
      <c r="T1232" s="47"/>
    </row>
    <row r="1233" customHeight="1" spans="1:20">
      <c r="A1233" s="166" t="s">
        <v>2203</v>
      </c>
      <c r="B1233" s="129" t="s">
        <v>1904</v>
      </c>
      <c r="C1233" s="129"/>
      <c r="D1233" s="166">
        <v>30</v>
      </c>
      <c r="E1233" s="167" t="s">
        <v>221</v>
      </c>
      <c r="F1233" s="44">
        <f t="shared" si="40"/>
        <v>60</v>
      </c>
      <c r="G1233" s="91" t="s">
        <v>2204</v>
      </c>
      <c r="H1233" s="46" t="s">
        <v>18</v>
      </c>
      <c r="I1233" s="47"/>
      <c r="J1233" s="48" t="s">
        <v>42</v>
      </c>
      <c r="K1233" s="92" t="s">
        <v>2203</v>
      </c>
      <c r="L1233" s="93" t="s">
        <v>780</v>
      </c>
      <c r="M1233" s="93" t="s">
        <v>781</v>
      </c>
      <c r="N1233" s="14" t="s">
        <v>27</v>
      </c>
      <c r="O1233" s="14" t="s">
        <v>28</v>
      </c>
      <c r="P1233" s="51">
        <v>2</v>
      </c>
      <c r="Q1233" s="47">
        <f t="shared" si="41"/>
        <v>120</v>
      </c>
      <c r="R1233" s="47"/>
      <c r="S1233" s="47"/>
      <c r="T1233" s="47"/>
    </row>
    <row r="1234" customHeight="1" spans="1:20">
      <c r="A1234" s="166" t="s">
        <v>1916</v>
      </c>
      <c r="B1234" s="129" t="s">
        <v>790</v>
      </c>
      <c r="C1234" s="129"/>
      <c r="D1234" s="166">
        <v>300</v>
      </c>
      <c r="E1234" s="167" t="s">
        <v>21</v>
      </c>
      <c r="F1234" s="44">
        <f t="shared" si="40"/>
        <v>600</v>
      </c>
      <c r="G1234" s="91" t="s">
        <v>2205</v>
      </c>
      <c r="H1234" s="46" t="s">
        <v>18</v>
      </c>
      <c r="I1234" s="47"/>
      <c r="J1234" s="48" t="s">
        <v>42</v>
      </c>
      <c r="K1234" s="92" t="s">
        <v>1916</v>
      </c>
      <c r="L1234" s="93" t="s">
        <v>780</v>
      </c>
      <c r="M1234" s="93" t="s">
        <v>781</v>
      </c>
      <c r="N1234" s="14" t="s">
        <v>27</v>
      </c>
      <c r="O1234" s="14" t="s">
        <v>28</v>
      </c>
      <c r="P1234" s="51">
        <v>2.5</v>
      </c>
      <c r="Q1234" s="47">
        <f t="shared" si="41"/>
        <v>1500</v>
      </c>
      <c r="R1234" s="47"/>
      <c r="S1234" s="47"/>
      <c r="T1234" s="47"/>
    </row>
    <row r="1235" customHeight="1" spans="1:20">
      <c r="A1235" s="166" t="s">
        <v>2206</v>
      </c>
      <c r="B1235" s="129" t="s">
        <v>790</v>
      </c>
      <c r="C1235" s="129"/>
      <c r="D1235" s="166">
        <v>300</v>
      </c>
      <c r="E1235" s="167" t="s">
        <v>21</v>
      </c>
      <c r="F1235" s="44">
        <f t="shared" si="40"/>
        <v>600</v>
      </c>
      <c r="G1235" s="91" t="s">
        <v>2207</v>
      </c>
      <c r="H1235" s="46" t="s">
        <v>18</v>
      </c>
      <c r="I1235" s="47"/>
      <c r="J1235" s="48" t="s">
        <v>42</v>
      </c>
      <c r="K1235" s="92">
        <v>61021</v>
      </c>
      <c r="L1235" s="93" t="s">
        <v>780</v>
      </c>
      <c r="M1235" s="93" t="s">
        <v>781</v>
      </c>
      <c r="N1235" s="14" t="s">
        <v>27</v>
      </c>
      <c r="O1235" s="14" t="s">
        <v>28</v>
      </c>
      <c r="P1235" s="51">
        <v>3</v>
      </c>
      <c r="Q1235" s="47">
        <f t="shared" si="41"/>
        <v>1800</v>
      </c>
      <c r="R1235" s="47"/>
      <c r="S1235" s="47"/>
      <c r="T1235" s="47"/>
    </row>
    <row r="1236" customHeight="1" spans="1:20">
      <c r="A1236" s="166" t="s">
        <v>2208</v>
      </c>
      <c r="B1236" s="129" t="s">
        <v>790</v>
      </c>
      <c r="C1236" s="129"/>
      <c r="D1236" s="166">
        <v>300</v>
      </c>
      <c r="E1236" s="167" t="s">
        <v>21</v>
      </c>
      <c r="F1236" s="44">
        <f t="shared" si="40"/>
        <v>600</v>
      </c>
      <c r="G1236" s="91" t="s">
        <v>2209</v>
      </c>
      <c r="H1236" s="46" t="s">
        <v>18</v>
      </c>
      <c r="I1236" s="47"/>
      <c r="J1236" s="48" t="s">
        <v>42</v>
      </c>
      <c r="K1236" s="92">
        <v>61022</v>
      </c>
      <c r="L1236" s="93" t="s">
        <v>780</v>
      </c>
      <c r="M1236" s="93" t="s">
        <v>781</v>
      </c>
      <c r="N1236" s="14" t="s">
        <v>27</v>
      </c>
      <c r="O1236" s="14" t="s">
        <v>28</v>
      </c>
      <c r="P1236" s="161">
        <v>3.5</v>
      </c>
      <c r="Q1236" s="47">
        <f t="shared" si="41"/>
        <v>2100</v>
      </c>
      <c r="R1236" s="47"/>
      <c r="S1236" s="47"/>
      <c r="T1236" s="47"/>
    </row>
    <row r="1237" customHeight="1" spans="1:20">
      <c r="A1237" s="166" t="s">
        <v>1534</v>
      </c>
      <c r="B1237" s="129" t="s">
        <v>790</v>
      </c>
      <c r="C1237" s="129"/>
      <c r="D1237" s="166">
        <v>200</v>
      </c>
      <c r="E1237" s="167" t="s">
        <v>21</v>
      </c>
      <c r="F1237" s="44">
        <f t="shared" si="40"/>
        <v>400</v>
      </c>
      <c r="G1237" s="91" t="s">
        <v>1535</v>
      </c>
      <c r="H1237" s="46" t="s">
        <v>18</v>
      </c>
      <c r="I1237" s="47"/>
      <c r="J1237" s="48" t="s">
        <v>42</v>
      </c>
      <c r="K1237" s="92">
        <v>61023</v>
      </c>
      <c r="L1237" s="93" t="s">
        <v>780</v>
      </c>
      <c r="M1237" s="93" t="s">
        <v>781</v>
      </c>
      <c r="N1237" s="14" t="s">
        <v>27</v>
      </c>
      <c r="O1237" s="14" t="s">
        <v>28</v>
      </c>
      <c r="P1237" s="161">
        <v>5</v>
      </c>
      <c r="Q1237" s="47">
        <f t="shared" si="41"/>
        <v>2000</v>
      </c>
      <c r="R1237" s="47"/>
      <c r="S1237" s="47"/>
      <c r="T1237" s="47"/>
    </row>
    <row r="1238" customHeight="1" spans="1:20">
      <c r="A1238" s="166" t="s">
        <v>1536</v>
      </c>
      <c r="B1238" s="129" t="s">
        <v>790</v>
      </c>
      <c r="C1238" s="129"/>
      <c r="D1238" s="166">
        <v>10</v>
      </c>
      <c r="E1238" s="167" t="s">
        <v>21</v>
      </c>
      <c r="F1238" s="44">
        <f t="shared" si="40"/>
        <v>20</v>
      </c>
      <c r="G1238" s="91" t="s">
        <v>1537</v>
      </c>
      <c r="H1238" s="46" t="s">
        <v>18</v>
      </c>
      <c r="I1238" s="47"/>
      <c r="J1238" s="48" t="s">
        <v>42</v>
      </c>
      <c r="K1238" s="92">
        <v>61024</v>
      </c>
      <c r="L1238" s="93" t="s">
        <v>780</v>
      </c>
      <c r="M1238" s="93" t="s">
        <v>781</v>
      </c>
      <c r="N1238" s="14" t="s">
        <v>27</v>
      </c>
      <c r="O1238" s="14" t="s">
        <v>28</v>
      </c>
      <c r="P1238" s="161">
        <v>8</v>
      </c>
      <c r="Q1238" s="47">
        <f t="shared" si="41"/>
        <v>160</v>
      </c>
      <c r="R1238" s="47"/>
      <c r="S1238" s="47"/>
      <c r="T1238" s="47"/>
    </row>
    <row r="1239" customHeight="1" spans="1:20">
      <c r="A1239" s="166" t="s">
        <v>2210</v>
      </c>
      <c r="B1239" s="129" t="s">
        <v>790</v>
      </c>
      <c r="C1239" s="129"/>
      <c r="D1239" s="166">
        <v>3</v>
      </c>
      <c r="E1239" s="167" t="s">
        <v>21</v>
      </c>
      <c r="F1239" s="44">
        <f t="shared" si="40"/>
        <v>6</v>
      </c>
      <c r="G1239" s="91" t="s">
        <v>2211</v>
      </c>
      <c r="H1239" s="46" t="s">
        <v>18</v>
      </c>
      <c r="I1239" s="47"/>
      <c r="J1239" s="48" t="s">
        <v>42</v>
      </c>
      <c r="K1239" s="92">
        <v>61025</v>
      </c>
      <c r="L1239" s="93" t="s">
        <v>780</v>
      </c>
      <c r="M1239" s="93" t="s">
        <v>781</v>
      </c>
      <c r="N1239" s="14" t="s">
        <v>27</v>
      </c>
      <c r="O1239" s="14" t="s">
        <v>28</v>
      </c>
      <c r="P1239" s="161">
        <v>12</v>
      </c>
      <c r="Q1239" s="47">
        <f t="shared" si="41"/>
        <v>72</v>
      </c>
      <c r="R1239" s="47"/>
      <c r="S1239" s="47"/>
      <c r="T1239" s="47"/>
    </row>
    <row r="1240" customHeight="1" spans="1:20">
      <c r="A1240" s="166" t="s">
        <v>2212</v>
      </c>
      <c r="B1240" s="129" t="s">
        <v>793</v>
      </c>
      <c r="C1240" s="129"/>
      <c r="D1240" s="166">
        <v>100</v>
      </c>
      <c r="E1240" s="167" t="s">
        <v>21</v>
      </c>
      <c r="F1240" s="44">
        <f t="shared" si="40"/>
        <v>200</v>
      </c>
      <c r="G1240" s="91" t="s">
        <v>2213</v>
      </c>
      <c r="H1240" s="46" t="s">
        <v>18</v>
      </c>
      <c r="I1240" s="47"/>
      <c r="J1240" s="48" t="s">
        <v>42</v>
      </c>
      <c r="K1240" s="92" t="s">
        <v>2212</v>
      </c>
      <c r="L1240" s="93" t="s">
        <v>780</v>
      </c>
      <c r="M1240" s="93" t="s">
        <v>781</v>
      </c>
      <c r="N1240" s="14" t="s">
        <v>27</v>
      </c>
      <c r="O1240" s="14" t="s">
        <v>28</v>
      </c>
      <c r="P1240" s="51">
        <v>13</v>
      </c>
      <c r="Q1240" s="47">
        <f t="shared" si="41"/>
        <v>2600</v>
      </c>
      <c r="R1240" s="47"/>
      <c r="S1240" s="47"/>
      <c r="T1240" s="47"/>
    </row>
    <row r="1241" customHeight="1" spans="1:20">
      <c r="A1241" s="166" t="s">
        <v>797</v>
      </c>
      <c r="B1241" s="129" t="s">
        <v>793</v>
      </c>
      <c r="C1241" s="129"/>
      <c r="D1241" s="166">
        <v>3</v>
      </c>
      <c r="E1241" s="167" t="s">
        <v>21</v>
      </c>
      <c r="F1241" s="44">
        <f t="shared" si="40"/>
        <v>6</v>
      </c>
      <c r="G1241" s="91" t="s">
        <v>2214</v>
      </c>
      <c r="H1241" s="46" t="s">
        <v>18</v>
      </c>
      <c r="I1241" s="47"/>
      <c r="J1241" s="48" t="s">
        <v>42</v>
      </c>
      <c r="K1241" s="92" t="s">
        <v>797</v>
      </c>
      <c r="L1241" s="93" t="s">
        <v>780</v>
      </c>
      <c r="M1241" s="93" t="s">
        <v>781</v>
      </c>
      <c r="N1241" s="14" t="s">
        <v>27</v>
      </c>
      <c r="O1241" s="14" t="s">
        <v>28</v>
      </c>
      <c r="P1241" s="51">
        <v>13</v>
      </c>
      <c r="Q1241" s="47">
        <f t="shared" si="41"/>
        <v>78</v>
      </c>
      <c r="R1241" s="47"/>
      <c r="S1241" s="47"/>
      <c r="T1241" s="47"/>
    </row>
    <row r="1242" customHeight="1" spans="1:20">
      <c r="A1242" s="166" t="s">
        <v>2215</v>
      </c>
      <c r="B1242" s="129" t="s">
        <v>1925</v>
      </c>
      <c r="C1242" s="129"/>
      <c r="D1242" s="166">
        <v>30</v>
      </c>
      <c r="E1242" s="167" t="s">
        <v>21</v>
      </c>
      <c r="F1242" s="44">
        <f t="shared" si="40"/>
        <v>60</v>
      </c>
      <c r="G1242" s="91" t="s">
        <v>2216</v>
      </c>
      <c r="H1242" s="46" t="s">
        <v>18</v>
      </c>
      <c r="I1242" s="47"/>
      <c r="J1242" s="48" t="s">
        <v>42</v>
      </c>
      <c r="K1242" s="92" t="s">
        <v>2215</v>
      </c>
      <c r="L1242" s="93" t="s">
        <v>780</v>
      </c>
      <c r="M1242" s="93" t="s">
        <v>781</v>
      </c>
      <c r="N1242" s="14" t="s">
        <v>27</v>
      </c>
      <c r="O1242" s="14" t="s">
        <v>28</v>
      </c>
      <c r="P1242" s="51">
        <v>6</v>
      </c>
      <c r="Q1242" s="47">
        <f t="shared" si="41"/>
        <v>360</v>
      </c>
      <c r="R1242" s="47"/>
      <c r="S1242" s="47"/>
      <c r="T1242" s="47"/>
    </row>
    <row r="1243" customHeight="1" spans="1:20">
      <c r="A1243" s="166" t="s">
        <v>2217</v>
      </c>
      <c r="B1243" s="129" t="s">
        <v>1925</v>
      </c>
      <c r="C1243" s="129"/>
      <c r="D1243" s="166">
        <v>30</v>
      </c>
      <c r="E1243" s="167" t="s">
        <v>21</v>
      </c>
      <c r="F1243" s="44">
        <f t="shared" si="40"/>
        <v>60</v>
      </c>
      <c r="G1243" s="91" t="s">
        <v>2218</v>
      </c>
      <c r="H1243" s="46" t="s">
        <v>18</v>
      </c>
      <c r="I1243" s="47"/>
      <c r="J1243" s="48" t="s">
        <v>42</v>
      </c>
      <c r="K1243" s="92" t="s">
        <v>2217</v>
      </c>
      <c r="L1243" s="93" t="s">
        <v>780</v>
      </c>
      <c r="M1243" s="93" t="s">
        <v>781</v>
      </c>
      <c r="N1243" s="14" t="s">
        <v>27</v>
      </c>
      <c r="O1243" s="14" t="s">
        <v>28</v>
      </c>
      <c r="P1243" s="51">
        <v>8</v>
      </c>
      <c r="Q1243" s="47">
        <f t="shared" si="41"/>
        <v>480</v>
      </c>
      <c r="R1243" s="47"/>
      <c r="S1243" s="47"/>
      <c r="T1243" s="47"/>
    </row>
    <row r="1244" customHeight="1" spans="1:20">
      <c r="A1244" s="166" t="s">
        <v>2219</v>
      </c>
      <c r="B1244" s="129" t="s">
        <v>1928</v>
      </c>
      <c r="C1244" s="129"/>
      <c r="D1244" s="166">
        <v>6</v>
      </c>
      <c r="E1244" s="167" t="s">
        <v>21</v>
      </c>
      <c r="F1244" s="44">
        <f t="shared" si="40"/>
        <v>12</v>
      </c>
      <c r="G1244" s="91" t="s">
        <v>2220</v>
      </c>
      <c r="H1244" s="46" t="s">
        <v>18</v>
      </c>
      <c r="I1244" s="47"/>
      <c r="J1244" s="48" t="s">
        <v>42</v>
      </c>
      <c r="K1244" s="92" t="s">
        <v>2219</v>
      </c>
      <c r="L1244" s="93" t="s">
        <v>780</v>
      </c>
      <c r="M1244" s="93" t="s">
        <v>781</v>
      </c>
      <c r="N1244" s="14" t="s">
        <v>27</v>
      </c>
      <c r="O1244" s="14" t="s">
        <v>28</v>
      </c>
      <c r="P1244" s="51">
        <v>9</v>
      </c>
      <c r="Q1244" s="47">
        <f t="shared" si="41"/>
        <v>108</v>
      </c>
      <c r="R1244" s="47"/>
      <c r="S1244" s="47"/>
      <c r="T1244" s="47"/>
    </row>
    <row r="1245" customHeight="1" spans="1:20">
      <c r="A1245" s="166">
        <v>62</v>
      </c>
      <c r="B1245" s="129" t="s">
        <v>38</v>
      </c>
      <c r="C1245" s="129"/>
      <c r="D1245" s="166"/>
      <c r="E1245" s="167"/>
      <c r="F1245" s="44">
        <f t="shared" si="40"/>
        <v>0</v>
      </c>
      <c r="G1245" s="131"/>
      <c r="H1245" s="46"/>
      <c r="I1245" s="47"/>
      <c r="J1245" s="48"/>
      <c r="K1245" s="132"/>
      <c r="L1245" s="133"/>
      <c r="M1245" s="133"/>
      <c r="O1245" s="14" t="s">
        <v>28</v>
      </c>
      <c r="P1245" s="51"/>
      <c r="Q1245" s="47">
        <f t="shared" si="41"/>
        <v>0</v>
      </c>
      <c r="R1245" s="47"/>
      <c r="S1245" s="47"/>
      <c r="T1245" s="47">
        <v>2</v>
      </c>
    </row>
    <row r="1246" customHeight="1" spans="1:20">
      <c r="A1246" s="166">
        <v>62001</v>
      </c>
      <c r="B1246" s="129" t="s">
        <v>798</v>
      </c>
      <c r="C1246" s="129"/>
      <c r="D1246" s="166">
        <f>D1133*3</f>
        <v>168</v>
      </c>
      <c r="E1246" s="167" t="s">
        <v>21</v>
      </c>
      <c r="F1246" s="44">
        <f t="shared" si="40"/>
        <v>336</v>
      </c>
      <c r="G1246" s="91" t="s">
        <v>1540</v>
      </c>
      <c r="H1246" s="46" t="s">
        <v>18</v>
      </c>
      <c r="I1246" s="47"/>
      <c r="J1246" s="48" t="s">
        <v>42</v>
      </c>
      <c r="K1246" s="92">
        <v>62001</v>
      </c>
      <c r="L1246" s="93" t="s">
        <v>780</v>
      </c>
      <c r="M1246" s="93" t="s">
        <v>781</v>
      </c>
      <c r="N1246" s="14" t="s">
        <v>27</v>
      </c>
      <c r="O1246" s="14" t="s">
        <v>28</v>
      </c>
      <c r="P1246" s="51">
        <v>2.5</v>
      </c>
      <c r="Q1246" s="47">
        <f t="shared" si="41"/>
        <v>840</v>
      </c>
      <c r="R1246" s="47"/>
      <c r="S1246" s="47"/>
      <c r="T1246" s="47"/>
    </row>
    <row r="1247" customHeight="1" spans="1:20">
      <c r="A1247" s="166" t="s">
        <v>2221</v>
      </c>
      <c r="B1247" s="129" t="s">
        <v>1937</v>
      </c>
      <c r="C1247" s="129"/>
      <c r="D1247" s="166">
        <v>3</v>
      </c>
      <c r="E1247" s="167" t="s">
        <v>21</v>
      </c>
      <c r="F1247" s="44">
        <f t="shared" si="40"/>
        <v>6</v>
      </c>
      <c r="G1247" s="85" t="s">
        <v>2222</v>
      </c>
      <c r="H1247" s="46" t="s">
        <v>18</v>
      </c>
      <c r="I1247" s="47"/>
      <c r="J1247" s="48" t="s">
        <v>42</v>
      </c>
      <c r="K1247" s="86" t="s">
        <v>2221</v>
      </c>
      <c r="L1247" s="87" t="s">
        <v>780</v>
      </c>
      <c r="M1247" s="87" t="s">
        <v>781</v>
      </c>
      <c r="N1247" s="14" t="s">
        <v>27</v>
      </c>
      <c r="O1247" s="14" t="s">
        <v>28</v>
      </c>
      <c r="P1247" s="51">
        <v>16</v>
      </c>
      <c r="Q1247" s="47">
        <f t="shared" si="41"/>
        <v>96</v>
      </c>
      <c r="R1247" s="47"/>
      <c r="S1247" s="47"/>
      <c r="T1247" s="47"/>
    </row>
    <row r="1248" customHeight="1" spans="1:20">
      <c r="A1248" s="166">
        <v>62005</v>
      </c>
      <c r="B1248" s="129" t="s">
        <v>1939</v>
      </c>
      <c r="C1248" s="129"/>
      <c r="D1248" s="166">
        <v>3</v>
      </c>
      <c r="E1248" s="167" t="s">
        <v>21</v>
      </c>
      <c r="F1248" s="44">
        <f t="shared" si="40"/>
        <v>6</v>
      </c>
      <c r="G1248" s="91" t="s">
        <v>2223</v>
      </c>
      <c r="H1248" s="46" t="s">
        <v>18</v>
      </c>
      <c r="I1248" s="47"/>
      <c r="J1248" s="48" t="s">
        <v>42</v>
      </c>
      <c r="K1248" s="92">
        <v>62005</v>
      </c>
      <c r="L1248" s="93" t="s">
        <v>780</v>
      </c>
      <c r="M1248" s="93" t="s">
        <v>781</v>
      </c>
      <c r="N1248" s="14" t="s">
        <v>27</v>
      </c>
      <c r="O1248" s="14" t="s">
        <v>28</v>
      </c>
      <c r="P1248" s="51">
        <v>12</v>
      </c>
      <c r="Q1248" s="47">
        <f t="shared" si="41"/>
        <v>72</v>
      </c>
      <c r="R1248" s="47"/>
      <c r="S1248" s="47"/>
      <c r="T1248" s="47"/>
    </row>
    <row r="1249" customHeight="1" spans="1:20">
      <c r="A1249" s="166" t="s">
        <v>2224</v>
      </c>
      <c r="B1249" s="129" t="s">
        <v>1941</v>
      </c>
      <c r="C1249" s="129"/>
      <c r="D1249" s="166">
        <v>6</v>
      </c>
      <c r="E1249" s="167" t="s">
        <v>21</v>
      </c>
      <c r="F1249" s="44">
        <f t="shared" si="40"/>
        <v>12</v>
      </c>
      <c r="G1249" s="91" t="s">
        <v>2225</v>
      </c>
      <c r="H1249" s="46" t="s">
        <v>18</v>
      </c>
      <c r="I1249" s="47"/>
      <c r="J1249" s="48" t="s">
        <v>42</v>
      </c>
      <c r="K1249" s="92" t="s">
        <v>2224</v>
      </c>
      <c r="L1249" s="93" t="s">
        <v>780</v>
      </c>
      <c r="M1249" s="93" t="s">
        <v>781</v>
      </c>
      <c r="N1249" s="14" t="s">
        <v>27</v>
      </c>
      <c r="O1249" s="14" t="s">
        <v>28</v>
      </c>
      <c r="P1249" s="51">
        <v>25</v>
      </c>
      <c r="Q1249" s="47">
        <f t="shared" si="41"/>
        <v>300</v>
      </c>
      <c r="R1249" s="47"/>
      <c r="S1249" s="47"/>
      <c r="T1249" s="47"/>
    </row>
    <row r="1250" customHeight="1" spans="1:20">
      <c r="A1250" s="166" t="s">
        <v>2226</v>
      </c>
      <c r="B1250" s="129" t="s">
        <v>1943</v>
      </c>
      <c r="C1250" s="129"/>
      <c r="D1250" s="166">
        <v>6</v>
      </c>
      <c r="E1250" s="167" t="s">
        <v>21</v>
      </c>
      <c r="F1250" s="44">
        <f t="shared" si="40"/>
        <v>12</v>
      </c>
      <c r="G1250" s="85" t="s">
        <v>2227</v>
      </c>
      <c r="H1250" s="46" t="s">
        <v>18</v>
      </c>
      <c r="I1250" s="47"/>
      <c r="J1250" s="48" t="s">
        <v>42</v>
      </c>
      <c r="K1250" s="86" t="s">
        <v>2226</v>
      </c>
      <c r="L1250" s="87" t="s">
        <v>780</v>
      </c>
      <c r="M1250" s="87" t="s">
        <v>781</v>
      </c>
      <c r="N1250" s="14" t="s">
        <v>27</v>
      </c>
      <c r="O1250" s="14" t="s">
        <v>28</v>
      </c>
      <c r="P1250" s="51">
        <v>68</v>
      </c>
      <c r="Q1250" s="47">
        <f t="shared" si="41"/>
        <v>816</v>
      </c>
      <c r="R1250" s="47"/>
      <c r="S1250" s="47"/>
      <c r="T1250" s="47"/>
    </row>
    <row r="1251" customHeight="1" spans="1:20">
      <c r="A1251" s="166" t="s">
        <v>2228</v>
      </c>
      <c r="B1251" s="129" t="s">
        <v>1944</v>
      </c>
      <c r="C1251" s="129"/>
      <c r="D1251" s="166">
        <v>6</v>
      </c>
      <c r="E1251" s="167" t="s">
        <v>221</v>
      </c>
      <c r="F1251" s="44">
        <f t="shared" si="40"/>
        <v>12</v>
      </c>
      <c r="G1251" s="91" t="s">
        <v>2229</v>
      </c>
      <c r="H1251" s="46" t="s">
        <v>18</v>
      </c>
      <c r="I1251" s="47"/>
      <c r="J1251" s="48" t="s">
        <v>42</v>
      </c>
      <c r="K1251" s="92" t="s">
        <v>2228</v>
      </c>
      <c r="L1251" s="93" t="s">
        <v>780</v>
      </c>
      <c r="M1251" s="93" t="s">
        <v>781</v>
      </c>
      <c r="N1251" s="14" t="s">
        <v>27</v>
      </c>
      <c r="O1251" s="14" t="s">
        <v>28</v>
      </c>
      <c r="P1251" s="51">
        <v>10</v>
      </c>
      <c r="Q1251" s="47">
        <f t="shared" si="41"/>
        <v>120</v>
      </c>
      <c r="R1251" s="47"/>
      <c r="S1251" s="47"/>
      <c r="T1251" s="47"/>
    </row>
    <row r="1252" customHeight="1" spans="1:20">
      <c r="A1252" s="166" t="s">
        <v>2230</v>
      </c>
      <c r="B1252" s="129" t="s">
        <v>1947</v>
      </c>
      <c r="C1252" s="129"/>
      <c r="D1252" s="166">
        <v>6</v>
      </c>
      <c r="E1252" s="167" t="s">
        <v>221</v>
      </c>
      <c r="F1252" s="44">
        <f t="shared" si="40"/>
        <v>12</v>
      </c>
      <c r="G1252" s="91" t="s">
        <v>2231</v>
      </c>
      <c r="H1252" s="46" t="s">
        <v>18</v>
      </c>
      <c r="I1252" s="47"/>
      <c r="J1252" s="48" t="s">
        <v>42</v>
      </c>
      <c r="K1252" s="92" t="s">
        <v>2230</v>
      </c>
      <c r="L1252" s="93" t="s">
        <v>780</v>
      </c>
      <c r="M1252" s="93" t="s">
        <v>781</v>
      </c>
      <c r="N1252" s="14" t="s">
        <v>27</v>
      </c>
      <c r="O1252" s="14" t="s">
        <v>28</v>
      </c>
      <c r="P1252" s="51">
        <v>2.8</v>
      </c>
      <c r="Q1252" s="47">
        <f t="shared" si="41"/>
        <v>33.6</v>
      </c>
      <c r="R1252" s="47"/>
      <c r="S1252" s="47"/>
      <c r="T1252" s="47"/>
    </row>
    <row r="1253" customHeight="1" spans="1:20">
      <c r="A1253" s="166" t="s">
        <v>2232</v>
      </c>
      <c r="B1253" s="129" t="s">
        <v>800</v>
      </c>
      <c r="C1253" s="129"/>
      <c r="D1253" s="166">
        <f>D1133*3</f>
        <v>168</v>
      </c>
      <c r="E1253" s="167" t="s">
        <v>21</v>
      </c>
      <c r="F1253" s="44">
        <f t="shared" si="40"/>
        <v>336</v>
      </c>
      <c r="G1253" s="91" t="s">
        <v>2233</v>
      </c>
      <c r="H1253" s="46" t="s">
        <v>18</v>
      </c>
      <c r="I1253" s="47"/>
      <c r="J1253" s="48" t="s">
        <v>42</v>
      </c>
      <c r="K1253" s="92" t="s">
        <v>2232</v>
      </c>
      <c r="L1253" s="93" t="s">
        <v>780</v>
      </c>
      <c r="M1253" s="93" t="s">
        <v>781</v>
      </c>
      <c r="N1253" s="14" t="s">
        <v>27</v>
      </c>
      <c r="O1253" s="14" t="s">
        <v>28</v>
      </c>
      <c r="P1253" s="51">
        <v>4</v>
      </c>
      <c r="Q1253" s="47">
        <f t="shared" si="41"/>
        <v>1344</v>
      </c>
      <c r="R1253" s="47"/>
      <c r="S1253" s="47"/>
      <c r="T1253" s="47"/>
    </row>
    <row r="1254" customHeight="1" spans="1:20">
      <c r="A1254" s="166" t="s">
        <v>1541</v>
      </c>
      <c r="B1254" s="129" t="s">
        <v>800</v>
      </c>
      <c r="C1254" s="129"/>
      <c r="D1254" s="166">
        <v>10</v>
      </c>
      <c r="E1254" s="167" t="s">
        <v>21</v>
      </c>
      <c r="F1254" s="44">
        <f t="shared" si="40"/>
        <v>20</v>
      </c>
      <c r="G1254" s="91" t="s">
        <v>1542</v>
      </c>
      <c r="H1254" s="46" t="s">
        <v>18</v>
      </c>
      <c r="I1254" s="47"/>
      <c r="J1254" s="48" t="s">
        <v>42</v>
      </c>
      <c r="K1254" s="92" t="s">
        <v>1541</v>
      </c>
      <c r="L1254" s="93" t="s">
        <v>780</v>
      </c>
      <c r="M1254" s="93" t="s">
        <v>781</v>
      </c>
      <c r="N1254" s="14" t="s">
        <v>27</v>
      </c>
      <c r="O1254" s="14" t="s">
        <v>28</v>
      </c>
      <c r="P1254" s="51">
        <v>6</v>
      </c>
      <c r="Q1254" s="47">
        <f t="shared" si="41"/>
        <v>120</v>
      </c>
      <c r="R1254" s="47"/>
      <c r="S1254" s="47"/>
      <c r="T1254" s="47"/>
    </row>
    <row r="1255" customHeight="1" spans="1:20">
      <c r="A1255" s="166" t="s">
        <v>2234</v>
      </c>
      <c r="B1255" s="129" t="s">
        <v>1950</v>
      </c>
      <c r="C1255" s="129"/>
      <c r="D1255" s="166">
        <v>10</v>
      </c>
      <c r="E1255" s="167" t="s">
        <v>21</v>
      </c>
      <c r="F1255" s="44">
        <f t="shared" si="40"/>
        <v>20</v>
      </c>
      <c r="G1255" s="85" t="s">
        <v>2235</v>
      </c>
      <c r="H1255" s="46" t="s">
        <v>18</v>
      </c>
      <c r="I1255" s="47"/>
      <c r="J1255" s="48" t="s">
        <v>42</v>
      </c>
      <c r="K1255" s="86" t="s">
        <v>2234</v>
      </c>
      <c r="L1255" s="87" t="s">
        <v>780</v>
      </c>
      <c r="M1255" s="87" t="s">
        <v>781</v>
      </c>
      <c r="N1255" s="14" t="s">
        <v>27</v>
      </c>
      <c r="O1255" s="14" t="s">
        <v>28</v>
      </c>
      <c r="P1255" s="161">
        <v>5</v>
      </c>
      <c r="Q1255" s="47">
        <f t="shared" si="41"/>
        <v>100</v>
      </c>
      <c r="R1255" s="47"/>
      <c r="S1255" s="47"/>
      <c r="T1255" s="47"/>
    </row>
    <row r="1256" customHeight="1" spans="1:20">
      <c r="A1256" s="166" t="s">
        <v>2236</v>
      </c>
      <c r="B1256" s="129" t="s">
        <v>1950</v>
      </c>
      <c r="C1256" s="129"/>
      <c r="D1256" s="166">
        <v>6</v>
      </c>
      <c r="E1256" s="167" t="s">
        <v>21</v>
      </c>
      <c r="F1256" s="44">
        <f t="shared" si="40"/>
        <v>12</v>
      </c>
      <c r="G1256" s="91" t="s">
        <v>2237</v>
      </c>
      <c r="H1256" s="46" t="s">
        <v>18</v>
      </c>
      <c r="I1256" s="47"/>
      <c r="J1256" s="48" t="s">
        <v>42</v>
      </c>
      <c r="K1256" s="92" t="s">
        <v>2236</v>
      </c>
      <c r="L1256" s="93" t="s">
        <v>780</v>
      </c>
      <c r="M1256" s="93" t="s">
        <v>781</v>
      </c>
      <c r="N1256" s="14" t="s">
        <v>27</v>
      </c>
      <c r="O1256" s="14" t="s">
        <v>28</v>
      </c>
      <c r="P1256" s="161">
        <v>7</v>
      </c>
      <c r="Q1256" s="47">
        <f t="shared" si="41"/>
        <v>84</v>
      </c>
      <c r="R1256" s="47"/>
      <c r="S1256" s="47"/>
      <c r="T1256" s="47"/>
    </row>
    <row r="1257" customHeight="1" spans="1:20">
      <c r="A1257" s="166" t="s">
        <v>2238</v>
      </c>
      <c r="B1257" s="129" t="s">
        <v>802</v>
      </c>
      <c r="C1257" s="129"/>
      <c r="D1257" s="166">
        <v>6</v>
      </c>
      <c r="E1257" s="167" t="s">
        <v>21</v>
      </c>
      <c r="F1257" s="44">
        <f t="shared" si="40"/>
        <v>12</v>
      </c>
      <c r="G1257" s="91" t="s">
        <v>2239</v>
      </c>
      <c r="H1257" s="46" t="s">
        <v>18</v>
      </c>
      <c r="I1257" s="47"/>
      <c r="J1257" s="48" t="s">
        <v>42</v>
      </c>
      <c r="K1257" s="92" t="s">
        <v>2238</v>
      </c>
      <c r="L1257" s="93" t="s">
        <v>780</v>
      </c>
      <c r="M1257" s="93" t="s">
        <v>781</v>
      </c>
      <c r="N1257" s="14" t="s">
        <v>27</v>
      </c>
      <c r="O1257" s="14" t="s">
        <v>28</v>
      </c>
      <c r="P1257" s="161">
        <v>16</v>
      </c>
      <c r="Q1257" s="47">
        <f t="shared" si="41"/>
        <v>192</v>
      </c>
      <c r="R1257" s="47"/>
      <c r="S1257" s="47"/>
      <c r="T1257" s="47"/>
    </row>
    <row r="1258" customHeight="1" spans="1:20">
      <c r="A1258" s="166" t="s">
        <v>2240</v>
      </c>
      <c r="B1258" s="129" t="s">
        <v>802</v>
      </c>
      <c r="C1258" s="129"/>
      <c r="D1258" s="166">
        <v>6</v>
      </c>
      <c r="E1258" s="167" t="s">
        <v>21</v>
      </c>
      <c r="F1258" s="44">
        <f t="shared" si="40"/>
        <v>12</v>
      </c>
      <c r="G1258" s="91" t="s">
        <v>2241</v>
      </c>
      <c r="H1258" s="46" t="s">
        <v>18</v>
      </c>
      <c r="I1258" s="47"/>
      <c r="J1258" s="48" t="s">
        <v>42</v>
      </c>
      <c r="K1258" s="92" t="s">
        <v>2240</v>
      </c>
      <c r="L1258" s="93" t="s">
        <v>780</v>
      </c>
      <c r="M1258" s="93" t="s">
        <v>781</v>
      </c>
      <c r="N1258" s="14" t="s">
        <v>27</v>
      </c>
      <c r="O1258" s="14" t="s">
        <v>28</v>
      </c>
      <c r="P1258" s="161">
        <v>14</v>
      </c>
      <c r="Q1258" s="47">
        <f t="shared" si="41"/>
        <v>168</v>
      </c>
      <c r="R1258" s="47"/>
      <c r="S1258" s="47"/>
      <c r="T1258" s="47"/>
    </row>
    <row r="1259" customHeight="1" spans="1:20">
      <c r="A1259" s="166" t="s">
        <v>2242</v>
      </c>
      <c r="B1259" s="129" t="s">
        <v>1955</v>
      </c>
      <c r="C1259" s="129"/>
      <c r="D1259" s="166">
        <v>3</v>
      </c>
      <c r="E1259" s="167" t="s">
        <v>21</v>
      </c>
      <c r="F1259" s="44">
        <f t="shared" si="40"/>
        <v>6</v>
      </c>
      <c r="G1259" s="91" t="s">
        <v>2243</v>
      </c>
      <c r="H1259" s="46" t="s">
        <v>18</v>
      </c>
      <c r="I1259" s="47"/>
      <c r="J1259" s="48" t="s">
        <v>42</v>
      </c>
      <c r="K1259" s="92" t="s">
        <v>2242</v>
      </c>
      <c r="L1259" s="93" t="s">
        <v>780</v>
      </c>
      <c r="M1259" s="93" t="s">
        <v>781</v>
      </c>
      <c r="N1259" s="14" t="s">
        <v>27</v>
      </c>
      <c r="O1259" s="14" t="s">
        <v>28</v>
      </c>
      <c r="P1259" s="161">
        <v>10</v>
      </c>
      <c r="Q1259" s="47">
        <f t="shared" si="41"/>
        <v>60</v>
      </c>
      <c r="R1259" s="47"/>
      <c r="S1259" s="47"/>
      <c r="T1259" s="47"/>
    </row>
    <row r="1260" customHeight="1" spans="1:20">
      <c r="A1260" s="166" t="s">
        <v>1545</v>
      </c>
      <c r="B1260" s="129" t="s">
        <v>806</v>
      </c>
      <c r="C1260" s="129"/>
      <c r="D1260" s="166">
        <v>6</v>
      </c>
      <c r="E1260" s="167" t="s">
        <v>21</v>
      </c>
      <c r="F1260" s="44">
        <f t="shared" si="40"/>
        <v>12</v>
      </c>
      <c r="G1260" s="85" t="s">
        <v>2244</v>
      </c>
      <c r="H1260" s="46" t="s">
        <v>18</v>
      </c>
      <c r="I1260" s="47"/>
      <c r="J1260" s="48" t="s">
        <v>42</v>
      </c>
      <c r="K1260" s="86" t="s">
        <v>1545</v>
      </c>
      <c r="L1260" s="87" t="s">
        <v>780</v>
      </c>
      <c r="M1260" s="87" t="s">
        <v>781</v>
      </c>
      <c r="N1260" s="14" t="s">
        <v>27</v>
      </c>
      <c r="O1260" s="14" t="s">
        <v>28</v>
      </c>
      <c r="P1260" s="51">
        <v>2</v>
      </c>
      <c r="Q1260" s="47">
        <f t="shared" si="41"/>
        <v>24</v>
      </c>
      <c r="R1260" s="47"/>
      <c r="S1260" s="47"/>
      <c r="T1260" s="47"/>
    </row>
    <row r="1261" customHeight="1" spans="1:20">
      <c r="A1261" s="166" t="s">
        <v>2245</v>
      </c>
      <c r="B1261" s="129" t="s">
        <v>1958</v>
      </c>
      <c r="C1261" s="129"/>
      <c r="D1261" s="166">
        <v>6</v>
      </c>
      <c r="E1261" s="167" t="s">
        <v>21</v>
      </c>
      <c r="F1261" s="44">
        <f t="shared" si="40"/>
        <v>12</v>
      </c>
      <c r="G1261" s="85" t="s">
        <v>2246</v>
      </c>
      <c r="H1261" s="46" t="s">
        <v>18</v>
      </c>
      <c r="I1261" s="47"/>
      <c r="J1261" s="48" t="s">
        <v>42</v>
      </c>
      <c r="K1261" s="86" t="s">
        <v>2245</v>
      </c>
      <c r="L1261" s="87" t="s">
        <v>780</v>
      </c>
      <c r="M1261" s="87" t="s">
        <v>781</v>
      </c>
      <c r="N1261" s="14" t="s">
        <v>27</v>
      </c>
      <c r="O1261" s="14" t="s">
        <v>28</v>
      </c>
      <c r="P1261" s="51">
        <v>2</v>
      </c>
      <c r="Q1261" s="47">
        <f t="shared" si="41"/>
        <v>24</v>
      </c>
      <c r="R1261" s="47"/>
      <c r="S1261" s="47"/>
      <c r="T1261" s="47"/>
    </row>
    <row r="1262" customHeight="1" spans="1:20">
      <c r="A1262" s="166" t="s">
        <v>2247</v>
      </c>
      <c r="B1262" s="129" t="s">
        <v>2248</v>
      </c>
      <c r="C1262" s="129"/>
      <c r="D1262" s="166">
        <v>300</v>
      </c>
      <c r="E1262" s="167" t="s">
        <v>221</v>
      </c>
      <c r="F1262" s="44">
        <f t="shared" si="40"/>
        <v>600</v>
      </c>
      <c r="G1262" s="85" t="s">
        <v>2249</v>
      </c>
      <c r="H1262" s="46" t="s">
        <v>18</v>
      </c>
      <c r="I1262" s="47"/>
      <c r="J1262" s="48" t="s">
        <v>42</v>
      </c>
      <c r="K1262" s="86" t="s">
        <v>2247</v>
      </c>
      <c r="L1262" s="87" t="s">
        <v>780</v>
      </c>
      <c r="M1262" s="87" t="s">
        <v>781</v>
      </c>
      <c r="N1262" s="14" t="s">
        <v>27</v>
      </c>
      <c r="O1262" s="14" t="s">
        <v>28</v>
      </c>
      <c r="P1262" s="51">
        <v>1</v>
      </c>
      <c r="Q1262" s="47">
        <f t="shared" si="41"/>
        <v>600</v>
      </c>
      <c r="R1262" s="47"/>
      <c r="S1262" s="47"/>
      <c r="T1262" s="47"/>
    </row>
    <row r="1263" customHeight="1" spans="1:20">
      <c r="A1263" s="166" t="s">
        <v>2250</v>
      </c>
      <c r="B1263" s="129" t="s">
        <v>1959</v>
      </c>
      <c r="C1263" s="129"/>
      <c r="D1263" s="166">
        <v>30</v>
      </c>
      <c r="E1263" s="167" t="s">
        <v>221</v>
      </c>
      <c r="F1263" s="44">
        <f t="shared" ref="F1263:F1326" si="42">D1263*2</f>
        <v>60</v>
      </c>
      <c r="G1263" s="99" t="s">
        <v>2251</v>
      </c>
      <c r="H1263" s="46" t="s">
        <v>18</v>
      </c>
      <c r="I1263" s="47"/>
      <c r="J1263" s="48" t="s">
        <v>42</v>
      </c>
      <c r="K1263" s="100" t="s">
        <v>2250</v>
      </c>
      <c r="L1263" s="101" t="s">
        <v>780</v>
      </c>
      <c r="M1263" s="101" t="s">
        <v>781</v>
      </c>
      <c r="N1263" s="14" t="s">
        <v>27</v>
      </c>
      <c r="O1263" s="14" t="s">
        <v>28</v>
      </c>
      <c r="P1263" s="51">
        <v>1.5</v>
      </c>
      <c r="Q1263" s="47">
        <f t="shared" si="41"/>
        <v>90</v>
      </c>
      <c r="R1263" s="47"/>
      <c r="S1263" s="47"/>
      <c r="T1263" s="47"/>
    </row>
    <row r="1264" customHeight="1" spans="1:20">
      <c r="A1264" s="166" t="s">
        <v>2252</v>
      </c>
      <c r="B1264" s="129" t="s">
        <v>1961</v>
      </c>
      <c r="C1264" s="129"/>
      <c r="D1264" s="166">
        <v>15</v>
      </c>
      <c r="E1264" s="167" t="s">
        <v>221</v>
      </c>
      <c r="F1264" s="44">
        <f t="shared" si="42"/>
        <v>30</v>
      </c>
      <c r="G1264" s="91" t="s">
        <v>2253</v>
      </c>
      <c r="H1264" s="46" t="s">
        <v>18</v>
      </c>
      <c r="I1264" s="47"/>
      <c r="J1264" s="48" t="s">
        <v>42</v>
      </c>
      <c r="K1264" s="92" t="s">
        <v>2252</v>
      </c>
      <c r="L1264" s="93" t="s">
        <v>780</v>
      </c>
      <c r="M1264" s="93" t="s">
        <v>781</v>
      </c>
      <c r="N1264" s="14" t="s">
        <v>27</v>
      </c>
      <c r="O1264" s="14" t="s">
        <v>28</v>
      </c>
      <c r="P1264" s="161">
        <v>2.5</v>
      </c>
      <c r="Q1264" s="47">
        <f t="shared" si="41"/>
        <v>75</v>
      </c>
      <c r="R1264" s="47"/>
      <c r="S1264" s="47"/>
      <c r="T1264" s="47"/>
    </row>
    <row r="1265" customHeight="1" spans="1:20">
      <c r="A1265" s="166" t="s">
        <v>2254</v>
      </c>
      <c r="B1265" s="129" t="s">
        <v>1961</v>
      </c>
      <c r="C1265" s="129"/>
      <c r="D1265" s="166">
        <v>6</v>
      </c>
      <c r="E1265" s="167" t="s">
        <v>221</v>
      </c>
      <c r="F1265" s="44">
        <f t="shared" si="42"/>
        <v>12</v>
      </c>
      <c r="G1265" s="91" t="s">
        <v>2255</v>
      </c>
      <c r="H1265" s="46" t="s">
        <v>18</v>
      </c>
      <c r="I1265" s="47"/>
      <c r="J1265" s="48" t="s">
        <v>42</v>
      </c>
      <c r="K1265" s="92" t="s">
        <v>2254</v>
      </c>
      <c r="L1265" s="93" t="s">
        <v>780</v>
      </c>
      <c r="M1265" s="93" t="s">
        <v>781</v>
      </c>
      <c r="N1265" s="14" t="s">
        <v>27</v>
      </c>
      <c r="O1265" s="14" t="s">
        <v>28</v>
      </c>
      <c r="P1265" s="161">
        <v>2.5</v>
      </c>
      <c r="Q1265" s="47">
        <f t="shared" si="41"/>
        <v>30</v>
      </c>
      <c r="R1265" s="47"/>
      <c r="S1265" s="47"/>
      <c r="T1265" s="47"/>
    </row>
    <row r="1266" customHeight="1" spans="1:20">
      <c r="A1266" s="166" t="s">
        <v>2256</v>
      </c>
      <c r="B1266" s="129" t="s">
        <v>1967</v>
      </c>
      <c r="C1266" s="129"/>
      <c r="D1266" s="166">
        <v>6</v>
      </c>
      <c r="E1266" s="167" t="s">
        <v>221</v>
      </c>
      <c r="F1266" s="44">
        <f t="shared" si="42"/>
        <v>12</v>
      </c>
      <c r="G1266" s="91" t="s">
        <v>2257</v>
      </c>
      <c r="H1266" s="46" t="s">
        <v>18</v>
      </c>
      <c r="I1266" s="47"/>
      <c r="J1266" s="48" t="s">
        <v>42</v>
      </c>
      <c r="K1266" s="92" t="s">
        <v>2256</v>
      </c>
      <c r="L1266" s="93" t="s">
        <v>780</v>
      </c>
      <c r="M1266" s="93" t="s">
        <v>781</v>
      </c>
      <c r="N1266" s="14" t="s">
        <v>27</v>
      </c>
      <c r="O1266" s="14" t="s">
        <v>28</v>
      </c>
      <c r="P1266" s="161">
        <v>7</v>
      </c>
      <c r="Q1266" s="47">
        <f t="shared" si="41"/>
        <v>84</v>
      </c>
      <c r="R1266" s="47"/>
      <c r="S1266" s="47"/>
      <c r="T1266" s="47"/>
    </row>
    <row r="1267" customHeight="1" spans="1:20">
      <c r="A1267" s="166" t="s">
        <v>2258</v>
      </c>
      <c r="B1267" s="129" t="s">
        <v>1969</v>
      </c>
      <c r="C1267" s="129"/>
      <c r="D1267" s="166">
        <v>18</v>
      </c>
      <c r="E1267" s="167" t="s">
        <v>21</v>
      </c>
      <c r="F1267" s="44">
        <f t="shared" si="42"/>
        <v>36</v>
      </c>
      <c r="G1267" s="91" t="s">
        <v>2259</v>
      </c>
      <c r="H1267" s="46" t="s">
        <v>18</v>
      </c>
      <c r="I1267" s="47"/>
      <c r="J1267" s="48" t="s">
        <v>42</v>
      </c>
      <c r="K1267" s="92" t="s">
        <v>2258</v>
      </c>
      <c r="L1267" s="93" t="s">
        <v>780</v>
      </c>
      <c r="M1267" s="93" t="s">
        <v>781</v>
      </c>
      <c r="N1267" s="14" t="s">
        <v>27</v>
      </c>
      <c r="O1267" s="14" t="s">
        <v>28</v>
      </c>
      <c r="P1267" s="161">
        <v>14</v>
      </c>
      <c r="Q1267" s="47">
        <f t="shared" si="41"/>
        <v>504</v>
      </c>
      <c r="R1267" s="47"/>
      <c r="S1267" s="47"/>
      <c r="T1267" s="47"/>
    </row>
    <row r="1268" customHeight="1" spans="1:20">
      <c r="A1268" s="166" t="s">
        <v>2260</v>
      </c>
      <c r="B1268" s="129" t="s">
        <v>1969</v>
      </c>
      <c r="C1268" s="129"/>
      <c r="D1268" s="166">
        <v>4</v>
      </c>
      <c r="E1268" s="167" t="s">
        <v>21</v>
      </c>
      <c r="F1268" s="44">
        <f t="shared" si="42"/>
        <v>8</v>
      </c>
      <c r="G1268" s="91" t="s">
        <v>2261</v>
      </c>
      <c r="H1268" s="46" t="s">
        <v>18</v>
      </c>
      <c r="I1268" s="47"/>
      <c r="J1268" s="48" t="s">
        <v>42</v>
      </c>
      <c r="K1268" s="92" t="s">
        <v>2260</v>
      </c>
      <c r="L1268" s="93" t="s">
        <v>780</v>
      </c>
      <c r="M1268" s="93" t="s">
        <v>781</v>
      </c>
      <c r="N1268" s="14" t="s">
        <v>27</v>
      </c>
      <c r="O1268" s="14" t="s">
        <v>28</v>
      </c>
      <c r="P1268" s="161">
        <v>16</v>
      </c>
      <c r="Q1268" s="47">
        <f t="shared" si="41"/>
        <v>128</v>
      </c>
      <c r="R1268" s="47"/>
      <c r="S1268" s="47"/>
      <c r="T1268" s="47"/>
    </row>
    <row r="1269" customHeight="1" spans="1:20">
      <c r="A1269" s="166" t="s">
        <v>2262</v>
      </c>
      <c r="B1269" s="129" t="s">
        <v>1972</v>
      </c>
      <c r="C1269" s="129"/>
      <c r="D1269" s="166">
        <v>4</v>
      </c>
      <c r="E1269" s="167" t="s">
        <v>21</v>
      </c>
      <c r="F1269" s="44">
        <f t="shared" si="42"/>
        <v>8</v>
      </c>
      <c r="G1269" s="91" t="s">
        <v>2263</v>
      </c>
      <c r="H1269" s="46" t="s">
        <v>18</v>
      </c>
      <c r="I1269" s="47"/>
      <c r="J1269" s="48" t="s">
        <v>42</v>
      </c>
      <c r="K1269" s="92" t="s">
        <v>2262</v>
      </c>
      <c r="L1269" s="93" t="s">
        <v>780</v>
      </c>
      <c r="M1269" s="93" t="s">
        <v>781</v>
      </c>
      <c r="N1269" s="14" t="s">
        <v>27</v>
      </c>
      <c r="O1269" s="14" t="s">
        <v>28</v>
      </c>
      <c r="P1269" s="51">
        <v>32</v>
      </c>
      <c r="Q1269" s="47">
        <f t="shared" si="41"/>
        <v>256</v>
      </c>
      <c r="R1269" s="47"/>
      <c r="S1269" s="47"/>
      <c r="T1269" s="47"/>
    </row>
    <row r="1270" customHeight="1" spans="1:20">
      <c r="A1270" s="166">
        <v>63</v>
      </c>
      <c r="B1270" s="129" t="s">
        <v>1976</v>
      </c>
      <c r="C1270" s="129"/>
      <c r="D1270" s="166"/>
      <c r="E1270" s="167"/>
      <c r="F1270" s="44">
        <f t="shared" si="42"/>
        <v>0</v>
      </c>
      <c r="G1270" s="131"/>
      <c r="H1270" s="46"/>
      <c r="I1270" s="47"/>
      <c r="J1270" s="48" t="s">
        <v>42</v>
      </c>
      <c r="K1270" s="132"/>
      <c r="L1270" s="133"/>
      <c r="M1270" s="133"/>
      <c r="O1270" s="14" t="s">
        <v>28</v>
      </c>
      <c r="P1270" s="51"/>
      <c r="Q1270" s="47">
        <f t="shared" si="41"/>
        <v>0</v>
      </c>
      <c r="R1270" s="47"/>
      <c r="S1270" s="47"/>
      <c r="T1270" s="47"/>
    </row>
    <row r="1271" customHeight="1" spans="1:20">
      <c r="A1271" s="134">
        <v>63001</v>
      </c>
      <c r="B1271" s="136" t="s">
        <v>1977</v>
      </c>
      <c r="C1271" s="136"/>
      <c r="D1271" s="134">
        <v>400</v>
      </c>
      <c r="E1271" s="135" t="s">
        <v>21</v>
      </c>
      <c r="F1271" s="44">
        <f t="shared" si="42"/>
        <v>800</v>
      </c>
      <c r="G1271" s="91" t="s">
        <v>2264</v>
      </c>
      <c r="H1271" s="46" t="s">
        <v>18</v>
      </c>
      <c r="I1271" s="47"/>
      <c r="J1271" s="48" t="s">
        <v>42</v>
      </c>
      <c r="K1271" s="92">
        <v>63001</v>
      </c>
      <c r="L1271" s="93" t="s">
        <v>780</v>
      </c>
      <c r="M1271" s="93" t="s">
        <v>781</v>
      </c>
      <c r="N1271" s="14" t="s">
        <v>27</v>
      </c>
      <c r="O1271" s="14" t="s">
        <v>28</v>
      </c>
      <c r="P1271" s="161">
        <v>3</v>
      </c>
      <c r="Q1271" s="47">
        <f t="shared" si="41"/>
        <v>2400</v>
      </c>
      <c r="R1271" s="47"/>
      <c r="S1271" s="47"/>
      <c r="T1271" s="47"/>
    </row>
    <row r="1272" customHeight="1" spans="1:20">
      <c r="A1272" s="166">
        <v>63002</v>
      </c>
      <c r="B1272" s="129" t="s">
        <v>1977</v>
      </c>
      <c r="C1272" s="129"/>
      <c r="D1272" s="166">
        <v>400</v>
      </c>
      <c r="E1272" s="167" t="s">
        <v>21</v>
      </c>
      <c r="F1272" s="44">
        <f t="shared" si="42"/>
        <v>800</v>
      </c>
      <c r="G1272" s="91" t="s">
        <v>2265</v>
      </c>
      <c r="H1272" s="46" t="s">
        <v>18</v>
      </c>
      <c r="I1272" s="47"/>
      <c r="J1272" s="48" t="s">
        <v>42</v>
      </c>
      <c r="K1272" s="92">
        <v>63002</v>
      </c>
      <c r="L1272" s="93" t="s">
        <v>780</v>
      </c>
      <c r="M1272" s="93" t="s">
        <v>781</v>
      </c>
      <c r="N1272" s="14" t="s">
        <v>27</v>
      </c>
      <c r="O1272" s="14" t="s">
        <v>28</v>
      </c>
      <c r="P1272" s="161">
        <v>4</v>
      </c>
      <c r="Q1272" s="47">
        <f t="shared" si="41"/>
        <v>3200</v>
      </c>
      <c r="R1272" s="47"/>
      <c r="S1272" s="47"/>
      <c r="T1272" s="47"/>
    </row>
    <row r="1273" customHeight="1" spans="1:20">
      <c r="A1273" s="166">
        <v>63003</v>
      </c>
      <c r="B1273" s="129" t="s">
        <v>1977</v>
      </c>
      <c r="C1273" s="129"/>
      <c r="D1273" s="166">
        <v>40</v>
      </c>
      <c r="E1273" s="167" t="s">
        <v>21</v>
      </c>
      <c r="F1273" s="44">
        <f t="shared" si="42"/>
        <v>80</v>
      </c>
      <c r="G1273" s="91" t="s">
        <v>2266</v>
      </c>
      <c r="H1273" s="46" t="s">
        <v>18</v>
      </c>
      <c r="I1273" s="47"/>
      <c r="J1273" s="48" t="s">
        <v>42</v>
      </c>
      <c r="K1273" s="92">
        <v>63003</v>
      </c>
      <c r="L1273" s="93" t="s">
        <v>780</v>
      </c>
      <c r="M1273" s="93" t="s">
        <v>781</v>
      </c>
      <c r="N1273" s="14" t="s">
        <v>27</v>
      </c>
      <c r="O1273" s="14" t="s">
        <v>28</v>
      </c>
      <c r="P1273" s="161">
        <v>4.5</v>
      </c>
      <c r="Q1273" s="47">
        <f t="shared" si="41"/>
        <v>360</v>
      </c>
      <c r="R1273" s="47"/>
      <c r="S1273" s="47"/>
      <c r="T1273" s="47"/>
    </row>
    <row r="1274" customHeight="1" spans="1:20">
      <c r="A1274" s="166" t="s">
        <v>2267</v>
      </c>
      <c r="B1274" s="129" t="s">
        <v>1981</v>
      </c>
      <c r="C1274" s="129"/>
      <c r="D1274" s="166">
        <v>10</v>
      </c>
      <c r="E1274" s="167" t="s">
        <v>21</v>
      </c>
      <c r="F1274" s="44">
        <f t="shared" si="42"/>
        <v>20</v>
      </c>
      <c r="G1274" s="91" t="s">
        <v>2268</v>
      </c>
      <c r="H1274" s="46" t="s">
        <v>18</v>
      </c>
      <c r="I1274" s="47"/>
      <c r="J1274" s="48" t="s">
        <v>42</v>
      </c>
      <c r="K1274" s="92" t="s">
        <v>2267</v>
      </c>
      <c r="L1274" s="93" t="s">
        <v>780</v>
      </c>
      <c r="M1274" s="93" t="s">
        <v>781</v>
      </c>
      <c r="N1274" s="14" t="s">
        <v>27</v>
      </c>
      <c r="O1274" s="14" t="s">
        <v>28</v>
      </c>
      <c r="P1274" s="161">
        <v>17</v>
      </c>
      <c r="Q1274" s="47">
        <f t="shared" si="41"/>
        <v>340</v>
      </c>
      <c r="R1274" s="47"/>
      <c r="S1274" s="47"/>
      <c r="T1274" s="47"/>
    </row>
    <row r="1275" customHeight="1" spans="1:20">
      <c r="A1275" s="166" t="s">
        <v>2269</v>
      </c>
      <c r="B1275" s="129" t="s">
        <v>1982</v>
      </c>
      <c r="C1275" s="129"/>
      <c r="D1275" s="166">
        <v>600</v>
      </c>
      <c r="E1275" s="167" t="s">
        <v>21</v>
      </c>
      <c r="F1275" s="44">
        <f t="shared" si="42"/>
        <v>1200</v>
      </c>
      <c r="G1275" s="91" t="s">
        <v>2270</v>
      </c>
      <c r="H1275" s="46" t="s">
        <v>18</v>
      </c>
      <c r="I1275" s="47"/>
      <c r="J1275" s="48" t="s">
        <v>42</v>
      </c>
      <c r="K1275" s="92" t="s">
        <v>2269</v>
      </c>
      <c r="L1275" s="93" t="s">
        <v>780</v>
      </c>
      <c r="M1275" s="93" t="s">
        <v>781</v>
      </c>
      <c r="N1275" s="14" t="s">
        <v>27</v>
      </c>
      <c r="O1275" s="14" t="s">
        <v>28</v>
      </c>
      <c r="P1275" s="161">
        <v>2.5</v>
      </c>
      <c r="Q1275" s="47">
        <f t="shared" si="41"/>
        <v>3000</v>
      </c>
      <c r="R1275" s="47"/>
      <c r="S1275" s="47"/>
      <c r="T1275" s="47"/>
    </row>
    <row r="1276" customHeight="1" spans="1:20">
      <c r="A1276" s="166" t="s">
        <v>2271</v>
      </c>
      <c r="B1276" s="129" t="s">
        <v>1982</v>
      </c>
      <c r="C1276" s="129"/>
      <c r="D1276" s="166">
        <v>100</v>
      </c>
      <c r="E1276" s="167" t="s">
        <v>21</v>
      </c>
      <c r="F1276" s="44">
        <f t="shared" si="42"/>
        <v>200</v>
      </c>
      <c r="G1276" s="91" t="s">
        <v>2272</v>
      </c>
      <c r="H1276" s="46" t="s">
        <v>18</v>
      </c>
      <c r="I1276" s="47"/>
      <c r="J1276" s="48" t="s">
        <v>42</v>
      </c>
      <c r="K1276" s="92" t="s">
        <v>2271</v>
      </c>
      <c r="L1276" s="93" t="s">
        <v>780</v>
      </c>
      <c r="M1276" s="93" t="s">
        <v>781</v>
      </c>
      <c r="N1276" s="14" t="s">
        <v>27</v>
      </c>
      <c r="O1276" s="14" t="s">
        <v>28</v>
      </c>
      <c r="P1276" s="161">
        <v>3.5</v>
      </c>
      <c r="Q1276" s="47">
        <f t="shared" si="41"/>
        <v>700</v>
      </c>
      <c r="R1276" s="47"/>
      <c r="S1276" s="47"/>
      <c r="T1276" s="47"/>
    </row>
    <row r="1277" customHeight="1" spans="1:20">
      <c r="A1277" s="166" t="s">
        <v>2273</v>
      </c>
      <c r="B1277" s="129" t="s">
        <v>1982</v>
      </c>
      <c r="C1277" s="129"/>
      <c r="D1277" s="166">
        <v>80</v>
      </c>
      <c r="E1277" s="167" t="s">
        <v>21</v>
      </c>
      <c r="F1277" s="44">
        <f t="shared" si="42"/>
        <v>160</v>
      </c>
      <c r="G1277" s="91" t="s">
        <v>2274</v>
      </c>
      <c r="H1277" s="46" t="s">
        <v>18</v>
      </c>
      <c r="I1277" s="47"/>
      <c r="J1277" s="48" t="s">
        <v>42</v>
      </c>
      <c r="K1277" s="92" t="s">
        <v>2273</v>
      </c>
      <c r="L1277" s="93" t="s">
        <v>780</v>
      </c>
      <c r="M1277" s="93" t="s">
        <v>781</v>
      </c>
      <c r="N1277" s="14" t="s">
        <v>27</v>
      </c>
      <c r="O1277" s="14" t="s">
        <v>28</v>
      </c>
      <c r="P1277" s="161">
        <v>4.5</v>
      </c>
      <c r="Q1277" s="47">
        <f t="shared" si="41"/>
        <v>720</v>
      </c>
      <c r="R1277" s="47"/>
      <c r="S1277" s="47"/>
      <c r="T1277" s="47"/>
    </row>
    <row r="1278" customHeight="1" spans="1:20">
      <c r="A1278" s="166" t="s">
        <v>2275</v>
      </c>
      <c r="B1278" s="129" t="s">
        <v>1982</v>
      </c>
      <c r="C1278" s="129"/>
      <c r="D1278" s="166">
        <v>100</v>
      </c>
      <c r="E1278" s="167" t="s">
        <v>21</v>
      </c>
      <c r="F1278" s="44">
        <f t="shared" si="42"/>
        <v>200</v>
      </c>
      <c r="G1278" s="91" t="s">
        <v>2276</v>
      </c>
      <c r="H1278" s="46" t="s">
        <v>18</v>
      </c>
      <c r="I1278" s="47"/>
      <c r="J1278" s="48" t="s">
        <v>42</v>
      </c>
      <c r="K1278" s="92" t="s">
        <v>2275</v>
      </c>
      <c r="L1278" s="93" t="s">
        <v>780</v>
      </c>
      <c r="M1278" s="93" t="s">
        <v>781</v>
      </c>
      <c r="N1278" s="14" t="s">
        <v>27</v>
      </c>
      <c r="O1278" s="14" t="s">
        <v>28</v>
      </c>
      <c r="P1278" s="161">
        <v>6</v>
      </c>
      <c r="Q1278" s="47">
        <f t="shared" si="41"/>
        <v>1200</v>
      </c>
      <c r="R1278" s="47"/>
      <c r="S1278" s="47"/>
      <c r="T1278" s="47"/>
    </row>
    <row r="1279" customHeight="1" spans="1:20">
      <c r="A1279" s="166" t="s">
        <v>2277</v>
      </c>
      <c r="B1279" s="129" t="s">
        <v>1982</v>
      </c>
      <c r="C1279" s="129"/>
      <c r="D1279" s="166">
        <v>100</v>
      </c>
      <c r="E1279" s="167" t="s">
        <v>21</v>
      </c>
      <c r="F1279" s="44">
        <f t="shared" si="42"/>
        <v>200</v>
      </c>
      <c r="G1279" s="91" t="s">
        <v>2278</v>
      </c>
      <c r="H1279" s="46" t="s">
        <v>18</v>
      </c>
      <c r="I1279" s="47"/>
      <c r="J1279" s="48" t="s">
        <v>42</v>
      </c>
      <c r="K1279" s="92" t="s">
        <v>2277</v>
      </c>
      <c r="L1279" s="93" t="s">
        <v>780</v>
      </c>
      <c r="M1279" s="93" t="s">
        <v>781</v>
      </c>
      <c r="N1279" s="14" t="s">
        <v>27</v>
      </c>
      <c r="O1279" s="14" t="s">
        <v>28</v>
      </c>
      <c r="P1279" s="161">
        <v>3</v>
      </c>
      <c r="Q1279" s="47">
        <f t="shared" si="41"/>
        <v>600</v>
      </c>
      <c r="R1279" s="47"/>
      <c r="S1279" s="47"/>
      <c r="T1279" s="47"/>
    </row>
    <row r="1280" customHeight="1" spans="1:20">
      <c r="A1280" s="166" t="s">
        <v>2279</v>
      </c>
      <c r="B1280" s="129" t="s">
        <v>1982</v>
      </c>
      <c r="C1280" s="129"/>
      <c r="D1280" s="166">
        <f>D1133</f>
        <v>56</v>
      </c>
      <c r="E1280" s="167" t="s">
        <v>21</v>
      </c>
      <c r="F1280" s="44">
        <f t="shared" si="42"/>
        <v>112</v>
      </c>
      <c r="G1280" s="91" t="s">
        <v>2280</v>
      </c>
      <c r="H1280" s="46" t="s">
        <v>18</v>
      </c>
      <c r="I1280" s="47"/>
      <c r="J1280" s="48" t="s">
        <v>42</v>
      </c>
      <c r="K1280" s="92" t="s">
        <v>2279</v>
      </c>
      <c r="L1280" s="93" t="s">
        <v>780</v>
      </c>
      <c r="M1280" s="93" t="s">
        <v>781</v>
      </c>
      <c r="N1280" s="14" t="s">
        <v>27</v>
      </c>
      <c r="O1280" s="14" t="s">
        <v>28</v>
      </c>
      <c r="P1280" s="161">
        <v>4</v>
      </c>
      <c r="Q1280" s="47">
        <f t="shared" si="41"/>
        <v>448</v>
      </c>
      <c r="R1280" s="47"/>
      <c r="S1280" s="47"/>
      <c r="T1280" s="47"/>
    </row>
    <row r="1281" customHeight="1" spans="1:20">
      <c r="A1281" s="166" t="s">
        <v>2281</v>
      </c>
      <c r="B1281" s="129" t="s">
        <v>1982</v>
      </c>
      <c r="C1281" s="129"/>
      <c r="D1281" s="166">
        <v>30</v>
      </c>
      <c r="E1281" s="167" t="s">
        <v>21</v>
      </c>
      <c r="F1281" s="44">
        <f t="shared" si="42"/>
        <v>60</v>
      </c>
      <c r="G1281" s="91" t="s">
        <v>2282</v>
      </c>
      <c r="H1281" s="46" t="s">
        <v>18</v>
      </c>
      <c r="I1281" s="47"/>
      <c r="J1281" s="48" t="s">
        <v>42</v>
      </c>
      <c r="K1281" s="92" t="s">
        <v>2281</v>
      </c>
      <c r="L1281" s="93" t="s">
        <v>780</v>
      </c>
      <c r="M1281" s="93" t="s">
        <v>781</v>
      </c>
      <c r="N1281" s="14" t="s">
        <v>27</v>
      </c>
      <c r="O1281" s="14" t="s">
        <v>28</v>
      </c>
      <c r="P1281" s="161">
        <v>5</v>
      </c>
      <c r="Q1281" s="47">
        <f t="shared" si="41"/>
        <v>300</v>
      </c>
      <c r="R1281" s="47"/>
      <c r="S1281" s="47"/>
      <c r="T1281" s="47"/>
    </row>
    <row r="1282" customHeight="1" spans="1:20">
      <c r="A1282" s="166" t="s">
        <v>1992</v>
      </c>
      <c r="B1282" s="129" t="s">
        <v>1990</v>
      </c>
      <c r="C1282" s="129"/>
      <c r="D1282" s="166">
        <v>200</v>
      </c>
      <c r="E1282" s="167" t="s">
        <v>21</v>
      </c>
      <c r="F1282" s="44">
        <f t="shared" si="42"/>
        <v>400</v>
      </c>
      <c r="G1282" s="91" t="s">
        <v>2283</v>
      </c>
      <c r="H1282" s="46" t="s">
        <v>18</v>
      </c>
      <c r="I1282" s="47"/>
      <c r="J1282" s="48" t="s">
        <v>42</v>
      </c>
      <c r="K1282" s="92" t="s">
        <v>1992</v>
      </c>
      <c r="L1282" s="93" t="s">
        <v>780</v>
      </c>
      <c r="M1282" s="93" t="s">
        <v>781</v>
      </c>
      <c r="N1282" s="14" t="s">
        <v>27</v>
      </c>
      <c r="O1282" s="14" t="s">
        <v>28</v>
      </c>
      <c r="P1282" s="161">
        <v>2.5</v>
      </c>
      <c r="Q1282" s="47">
        <f t="shared" si="41"/>
        <v>1000</v>
      </c>
      <c r="R1282" s="47"/>
      <c r="S1282" s="47"/>
      <c r="T1282" s="47"/>
    </row>
    <row r="1283" customHeight="1" spans="1:20">
      <c r="A1283" s="166" t="s">
        <v>1993</v>
      </c>
      <c r="B1283" s="129" t="s">
        <v>1990</v>
      </c>
      <c r="C1283" s="129"/>
      <c r="D1283" s="166">
        <v>700</v>
      </c>
      <c r="E1283" s="167" t="s">
        <v>21</v>
      </c>
      <c r="F1283" s="44">
        <f t="shared" si="42"/>
        <v>1400</v>
      </c>
      <c r="G1283" s="91" t="s">
        <v>2284</v>
      </c>
      <c r="H1283" s="46" t="s">
        <v>18</v>
      </c>
      <c r="I1283" s="47"/>
      <c r="J1283" s="48" t="s">
        <v>42</v>
      </c>
      <c r="K1283" s="92" t="s">
        <v>1993</v>
      </c>
      <c r="L1283" s="93" t="s">
        <v>780</v>
      </c>
      <c r="M1283" s="93" t="s">
        <v>781</v>
      </c>
      <c r="N1283" s="14" t="s">
        <v>27</v>
      </c>
      <c r="O1283" s="14" t="s">
        <v>28</v>
      </c>
      <c r="P1283" s="161">
        <v>3.5</v>
      </c>
      <c r="Q1283" s="47">
        <f t="shared" si="41"/>
        <v>4900</v>
      </c>
      <c r="R1283" s="47"/>
      <c r="S1283" s="47"/>
      <c r="T1283" s="47"/>
    </row>
    <row r="1284" customHeight="1" spans="1:20">
      <c r="A1284" s="166" t="s">
        <v>1995</v>
      </c>
      <c r="B1284" s="129" t="s">
        <v>1990</v>
      </c>
      <c r="C1284" s="129"/>
      <c r="D1284" s="166">
        <v>40</v>
      </c>
      <c r="E1284" s="167" t="s">
        <v>21</v>
      </c>
      <c r="F1284" s="44">
        <f t="shared" si="42"/>
        <v>80</v>
      </c>
      <c r="G1284" s="91" t="s">
        <v>2285</v>
      </c>
      <c r="H1284" s="46" t="s">
        <v>18</v>
      </c>
      <c r="I1284" s="47"/>
      <c r="J1284" s="48" t="s">
        <v>42</v>
      </c>
      <c r="K1284" s="92" t="s">
        <v>1995</v>
      </c>
      <c r="L1284" s="93" t="s">
        <v>780</v>
      </c>
      <c r="M1284" s="93" t="s">
        <v>781</v>
      </c>
      <c r="N1284" s="14" t="s">
        <v>27</v>
      </c>
      <c r="O1284" s="14" t="s">
        <v>28</v>
      </c>
      <c r="P1284" s="161">
        <v>4.5</v>
      </c>
      <c r="Q1284" s="47">
        <f t="shared" ref="Q1284:Q1347" si="43">P1284*F1284</f>
        <v>360</v>
      </c>
      <c r="R1284" s="47"/>
      <c r="S1284" s="47"/>
      <c r="T1284" s="47"/>
    </row>
    <row r="1285" customHeight="1" spans="1:20">
      <c r="A1285" s="166" t="s">
        <v>1996</v>
      </c>
      <c r="B1285" s="129" t="s">
        <v>1990</v>
      </c>
      <c r="C1285" s="129"/>
      <c r="D1285" s="166">
        <v>10</v>
      </c>
      <c r="E1285" s="167" t="s">
        <v>21</v>
      </c>
      <c r="F1285" s="44">
        <f t="shared" si="42"/>
        <v>20</v>
      </c>
      <c r="G1285" s="91" t="s">
        <v>2286</v>
      </c>
      <c r="H1285" s="46" t="s">
        <v>18</v>
      </c>
      <c r="I1285" s="47"/>
      <c r="J1285" s="48" t="s">
        <v>42</v>
      </c>
      <c r="K1285" s="92" t="s">
        <v>1996</v>
      </c>
      <c r="L1285" s="93" t="s">
        <v>780</v>
      </c>
      <c r="M1285" s="93" t="s">
        <v>781</v>
      </c>
      <c r="N1285" s="14" t="s">
        <v>27</v>
      </c>
      <c r="O1285" s="14" t="s">
        <v>28</v>
      </c>
      <c r="P1285" s="161">
        <v>6</v>
      </c>
      <c r="Q1285" s="47">
        <f t="shared" si="43"/>
        <v>120</v>
      </c>
      <c r="R1285" s="47"/>
      <c r="S1285" s="47"/>
      <c r="T1285" s="47"/>
    </row>
    <row r="1286" customHeight="1" spans="1:20">
      <c r="A1286" s="166" t="s">
        <v>1998</v>
      </c>
      <c r="B1286" s="129" t="s">
        <v>1990</v>
      </c>
      <c r="C1286" s="129"/>
      <c r="D1286" s="166">
        <v>10</v>
      </c>
      <c r="E1286" s="167" t="s">
        <v>21</v>
      </c>
      <c r="F1286" s="44">
        <f t="shared" si="42"/>
        <v>20</v>
      </c>
      <c r="G1286" s="91" t="s">
        <v>2287</v>
      </c>
      <c r="H1286" s="46" t="s">
        <v>18</v>
      </c>
      <c r="I1286" s="47"/>
      <c r="J1286" s="48" t="s">
        <v>42</v>
      </c>
      <c r="K1286" s="92" t="s">
        <v>1998</v>
      </c>
      <c r="L1286" s="93" t="s">
        <v>780</v>
      </c>
      <c r="M1286" s="93" t="s">
        <v>781</v>
      </c>
      <c r="N1286" s="14" t="s">
        <v>27</v>
      </c>
      <c r="O1286" s="14" t="s">
        <v>28</v>
      </c>
      <c r="P1286" s="161">
        <v>10</v>
      </c>
      <c r="Q1286" s="47">
        <f t="shared" si="43"/>
        <v>200</v>
      </c>
      <c r="R1286" s="47"/>
      <c r="S1286" s="47"/>
      <c r="T1286" s="47"/>
    </row>
    <row r="1287" customHeight="1" spans="1:20">
      <c r="A1287" s="166" t="s">
        <v>2000</v>
      </c>
      <c r="B1287" s="129" t="s">
        <v>1990</v>
      </c>
      <c r="C1287" s="129"/>
      <c r="D1287" s="166">
        <v>10</v>
      </c>
      <c r="E1287" s="167" t="s">
        <v>21</v>
      </c>
      <c r="F1287" s="44">
        <f t="shared" si="42"/>
        <v>20</v>
      </c>
      <c r="G1287" s="91" t="s">
        <v>2288</v>
      </c>
      <c r="H1287" s="46" t="s">
        <v>18</v>
      </c>
      <c r="I1287" s="47"/>
      <c r="J1287" s="48" t="s">
        <v>42</v>
      </c>
      <c r="K1287" s="92" t="s">
        <v>2000</v>
      </c>
      <c r="L1287" s="93" t="s">
        <v>780</v>
      </c>
      <c r="M1287" s="93" t="s">
        <v>781</v>
      </c>
      <c r="N1287" s="14" t="s">
        <v>27</v>
      </c>
      <c r="O1287" s="14" t="s">
        <v>28</v>
      </c>
      <c r="P1287" s="161">
        <v>17.5</v>
      </c>
      <c r="Q1287" s="47">
        <f t="shared" si="43"/>
        <v>350</v>
      </c>
      <c r="R1287" s="47"/>
      <c r="S1287" s="47"/>
      <c r="T1287" s="47"/>
    </row>
    <row r="1288" customHeight="1" spans="1:20">
      <c r="A1288" s="166" t="s">
        <v>2001</v>
      </c>
      <c r="B1288" s="129" t="s">
        <v>1990</v>
      </c>
      <c r="C1288" s="129"/>
      <c r="D1288" s="166">
        <v>20</v>
      </c>
      <c r="E1288" s="167" t="s">
        <v>21</v>
      </c>
      <c r="F1288" s="44">
        <f t="shared" si="42"/>
        <v>40</v>
      </c>
      <c r="G1288" s="91" t="s">
        <v>2289</v>
      </c>
      <c r="H1288" s="46" t="s">
        <v>18</v>
      </c>
      <c r="I1288" s="47"/>
      <c r="J1288" s="48" t="s">
        <v>42</v>
      </c>
      <c r="K1288" s="92" t="s">
        <v>2001</v>
      </c>
      <c r="L1288" s="93" t="s">
        <v>780</v>
      </c>
      <c r="M1288" s="93" t="s">
        <v>781</v>
      </c>
      <c r="N1288" s="14" t="s">
        <v>27</v>
      </c>
      <c r="O1288" s="14" t="s">
        <v>28</v>
      </c>
      <c r="P1288" s="161">
        <v>3</v>
      </c>
      <c r="Q1288" s="47">
        <f t="shared" si="43"/>
        <v>120</v>
      </c>
      <c r="R1288" s="47"/>
      <c r="S1288" s="47"/>
      <c r="T1288" s="47"/>
    </row>
    <row r="1289" customHeight="1" spans="1:20">
      <c r="A1289" s="166" t="s">
        <v>2002</v>
      </c>
      <c r="B1289" s="129" t="s">
        <v>1990</v>
      </c>
      <c r="C1289" s="129"/>
      <c r="D1289" s="166">
        <v>100</v>
      </c>
      <c r="E1289" s="167" t="s">
        <v>21</v>
      </c>
      <c r="F1289" s="44">
        <f t="shared" si="42"/>
        <v>200</v>
      </c>
      <c r="G1289" s="91" t="s">
        <v>2290</v>
      </c>
      <c r="H1289" s="46" t="s">
        <v>18</v>
      </c>
      <c r="I1289" s="47"/>
      <c r="J1289" s="48" t="s">
        <v>42</v>
      </c>
      <c r="K1289" s="92" t="s">
        <v>2002</v>
      </c>
      <c r="L1289" s="93" t="s">
        <v>780</v>
      </c>
      <c r="M1289" s="93" t="s">
        <v>781</v>
      </c>
      <c r="N1289" s="14" t="s">
        <v>27</v>
      </c>
      <c r="O1289" s="14" t="s">
        <v>28</v>
      </c>
      <c r="P1289" s="161">
        <v>4.5</v>
      </c>
      <c r="Q1289" s="47">
        <f t="shared" si="43"/>
        <v>900</v>
      </c>
      <c r="R1289" s="47"/>
      <c r="S1289" s="47"/>
      <c r="T1289" s="47"/>
    </row>
    <row r="1290" customHeight="1" spans="1:20">
      <c r="A1290" s="170">
        <v>63029</v>
      </c>
      <c r="B1290" s="78" t="s">
        <v>2291</v>
      </c>
      <c r="C1290" s="78"/>
      <c r="D1290" s="166">
        <v>60</v>
      </c>
      <c r="E1290" s="171" t="s">
        <v>21</v>
      </c>
      <c r="F1290" s="44">
        <f t="shared" si="42"/>
        <v>120</v>
      </c>
      <c r="G1290" s="91" t="s">
        <v>2292</v>
      </c>
      <c r="H1290" s="46" t="s">
        <v>18</v>
      </c>
      <c r="I1290" s="47"/>
      <c r="J1290" s="48" t="s">
        <v>42</v>
      </c>
      <c r="K1290" s="92">
        <v>63029</v>
      </c>
      <c r="L1290" s="93" t="s">
        <v>780</v>
      </c>
      <c r="M1290" s="93" t="s">
        <v>781</v>
      </c>
      <c r="N1290" s="14" t="s">
        <v>27</v>
      </c>
      <c r="O1290" s="14" t="s">
        <v>28</v>
      </c>
      <c r="P1290" s="161">
        <v>5</v>
      </c>
      <c r="Q1290" s="47">
        <f t="shared" si="43"/>
        <v>600</v>
      </c>
      <c r="R1290" s="47"/>
      <c r="S1290" s="47"/>
      <c r="T1290" s="47"/>
    </row>
    <row r="1291" customHeight="1" spans="1:20">
      <c r="A1291" s="170">
        <v>63030</v>
      </c>
      <c r="B1291" s="78" t="s">
        <v>2291</v>
      </c>
      <c r="C1291" s="78"/>
      <c r="D1291" s="166">
        <v>4</v>
      </c>
      <c r="E1291" s="171" t="s">
        <v>21</v>
      </c>
      <c r="F1291" s="44">
        <f t="shared" si="42"/>
        <v>8</v>
      </c>
      <c r="G1291" s="91" t="s">
        <v>2293</v>
      </c>
      <c r="H1291" s="46" t="s">
        <v>18</v>
      </c>
      <c r="I1291" s="47"/>
      <c r="J1291" s="48" t="s">
        <v>42</v>
      </c>
      <c r="K1291" s="92">
        <v>63030</v>
      </c>
      <c r="L1291" s="93" t="s">
        <v>780</v>
      </c>
      <c r="M1291" s="93" t="s">
        <v>781</v>
      </c>
      <c r="N1291" s="14" t="s">
        <v>27</v>
      </c>
      <c r="O1291" s="14" t="s">
        <v>28</v>
      </c>
      <c r="P1291" s="161">
        <v>6.5</v>
      </c>
      <c r="Q1291" s="47">
        <f t="shared" si="43"/>
        <v>52</v>
      </c>
      <c r="R1291" s="47"/>
      <c r="S1291" s="47"/>
      <c r="T1291" s="47"/>
    </row>
    <row r="1292" customHeight="1" spans="1:20">
      <c r="A1292" s="166" t="s">
        <v>2007</v>
      </c>
      <c r="B1292" s="129" t="s">
        <v>1990</v>
      </c>
      <c r="C1292" s="129"/>
      <c r="D1292" s="166">
        <v>4</v>
      </c>
      <c r="E1292" s="167" t="s">
        <v>21</v>
      </c>
      <c r="F1292" s="44">
        <f t="shared" si="42"/>
        <v>8</v>
      </c>
      <c r="G1292" s="91" t="s">
        <v>2294</v>
      </c>
      <c r="H1292" s="46" t="s">
        <v>18</v>
      </c>
      <c r="I1292" s="47"/>
      <c r="J1292" s="48" t="s">
        <v>42</v>
      </c>
      <c r="K1292" s="92" t="s">
        <v>2007</v>
      </c>
      <c r="L1292" s="93" t="s">
        <v>780</v>
      </c>
      <c r="M1292" s="93" t="s">
        <v>781</v>
      </c>
      <c r="N1292" s="14" t="s">
        <v>27</v>
      </c>
      <c r="O1292" s="14" t="s">
        <v>28</v>
      </c>
      <c r="P1292" s="161">
        <v>11</v>
      </c>
      <c r="Q1292" s="47">
        <f t="shared" si="43"/>
        <v>88</v>
      </c>
      <c r="R1292" s="47"/>
      <c r="S1292" s="47"/>
      <c r="T1292" s="47"/>
    </row>
    <row r="1293" customHeight="1" spans="1:20">
      <c r="A1293" s="170">
        <v>63041</v>
      </c>
      <c r="B1293" s="78" t="s">
        <v>2011</v>
      </c>
      <c r="C1293" s="78"/>
      <c r="D1293" s="166">
        <v>40</v>
      </c>
      <c r="E1293" s="171" t="s">
        <v>21</v>
      </c>
      <c r="F1293" s="44">
        <f t="shared" si="42"/>
        <v>80</v>
      </c>
      <c r="G1293" s="91" t="s">
        <v>2295</v>
      </c>
      <c r="H1293" s="46" t="s">
        <v>18</v>
      </c>
      <c r="I1293" s="47"/>
      <c r="J1293" s="48" t="s">
        <v>42</v>
      </c>
      <c r="K1293" s="92">
        <v>63041</v>
      </c>
      <c r="L1293" s="93" t="s">
        <v>780</v>
      </c>
      <c r="M1293" s="93" t="s">
        <v>781</v>
      </c>
      <c r="N1293" s="14" t="s">
        <v>27</v>
      </c>
      <c r="O1293" s="14" t="s">
        <v>28</v>
      </c>
      <c r="P1293" s="161">
        <v>3</v>
      </c>
      <c r="Q1293" s="47">
        <f t="shared" si="43"/>
        <v>240</v>
      </c>
      <c r="R1293" s="47"/>
      <c r="S1293" s="47"/>
      <c r="T1293" s="47"/>
    </row>
    <row r="1294" customHeight="1" spans="1:20">
      <c r="A1294" s="166" t="s">
        <v>2296</v>
      </c>
      <c r="B1294" s="129" t="s">
        <v>2011</v>
      </c>
      <c r="C1294" s="129"/>
      <c r="D1294" s="166">
        <v>300</v>
      </c>
      <c r="E1294" s="167" t="s">
        <v>21</v>
      </c>
      <c r="F1294" s="44">
        <f t="shared" si="42"/>
        <v>600</v>
      </c>
      <c r="G1294" s="91" t="s">
        <v>2297</v>
      </c>
      <c r="H1294" s="46" t="s">
        <v>18</v>
      </c>
      <c r="I1294" s="47"/>
      <c r="J1294" s="48" t="s">
        <v>42</v>
      </c>
      <c r="K1294" s="92" t="s">
        <v>2296</v>
      </c>
      <c r="L1294" s="93" t="s">
        <v>780</v>
      </c>
      <c r="M1294" s="93" t="s">
        <v>781</v>
      </c>
      <c r="N1294" s="14" t="s">
        <v>27</v>
      </c>
      <c r="O1294" s="14" t="s">
        <v>28</v>
      </c>
      <c r="P1294" s="51">
        <v>3.8</v>
      </c>
      <c r="Q1294" s="47">
        <f t="shared" si="43"/>
        <v>2280</v>
      </c>
      <c r="R1294" s="47"/>
      <c r="S1294" s="47"/>
      <c r="T1294" s="47"/>
    </row>
    <row r="1295" customHeight="1" spans="1:20">
      <c r="A1295" s="166" t="s">
        <v>2298</v>
      </c>
      <c r="B1295" s="129" t="s">
        <v>2011</v>
      </c>
      <c r="C1295" s="129"/>
      <c r="D1295" s="166">
        <v>10</v>
      </c>
      <c r="E1295" s="167" t="s">
        <v>21</v>
      </c>
      <c r="F1295" s="44">
        <f t="shared" si="42"/>
        <v>20</v>
      </c>
      <c r="G1295" s="91" t="s">
        <v>2299</v>
      </c>
      <c r="H1295" s="46" t="s">
        <v>18</v>
      </c>
      <c r="I1295" s="47"/>
      <c r="J1295" s="48" t="s">
        <v>42</v>
      </c>
      <c r="K1295" s="92" t="s">
        <v>2298</v>
      </c>
      <c r="L1295" s="93" t="s">
        <v>780</v>
      </c>
      <c r="M1295" s="93" t="s">
        <v>781</v>
      </c>
      <c r="N1295" s="14" t="s">
        <v>27</v>
      </c>
      <c r="O1295" s="14" t="s">
        <v>28</v>
      </c>
      <c r="P1295" s="51">
        <v>3</v>
      </c>
      <c r="Q1295" s="47">
        <f t="shared" si="43"/>
        <v>60</v>
      </c>
      <c r="R1295" s="47"/>
      <c r="S1295" s="47"/>
      <c r="T1295" s="47"/>
    </row>
    <row r="1296" customHeight="1" spans="1:20">
      <c r="A1296" s="166" t="s">
        <v>2300</v>
      </c>
      <c r="B1296" s="129" t="s">
        <v>2011</v>
      </c>
      <c r="C1296" s="129"/>
      <c r="D1296" s="166">
        <v>100</v>
      </c>
      <c r="E1296" s="167" t="s">
        <v>21</v>
      </c>
      <c r="F1296" s="44">
        <f t="shared" si="42"/>
        <v>200</v>
      </c>
      <c r="G1296" s="91" t="s">
        <v>2301</v>
      </c>
      <c r="H1296" s="46" t="s">
        <v>18</v>
      </c>
      <c r="I1296" s="47"/>
      <c r="J1296" s="48" t="s">
        <v>42</v>
      </c>
      <c r="K1296" s="92" t="s">
        <v>2300</v>
      </c>
      <c r="L1296" s="93" t="s">
        <v>780</v>
      </c>
      <c r="M1296" s="93" t="s">
        <v>781</v>
      </c>
      <c r="N1296" s="14" t="s">
        <v>27</v>
      </c>
      <c r="O1296" s="14" t="s">
        <v>28</v>
      </c>
      <c r="P1296" s="51">
        <v>3.8</v>
      </c>
      <c r="Q1296" s="47">
        <f t="shared" si="43"/>
        <v>760</v>
      </c>
      <c r="R1296" s="47"/>
      <c r="S1296" s="47"/>
      <c r="T1296" s="47"/>
    </row>
    <row r="1297" customHeight="1" spans="1:20">
      <c r="A1297" s="166" t="s">
        <v>1549</v>
      </c>
      <c r="B1297" s="129" t="s">
        <v>810</v>
      </c>
      <c r="C1297" s="129"/>
      <c r="D1297" s="166"/>
      <c r="E1297" s="167"/>
      <c r="F1297" s="44">
        <f t="shared" si="42"/>
        <v>0</v>
      </c>
      <c r="G1297" s="131"/>
      <c r="H1297" s="46"/>
      <c r="I1297" s="47"/>
      <c r="J1297" s="48" t="s">
        <v>42</v>
      </c>
      <c r="K1297" s="132"/>
      <c r="L1297" s="133"/>
      <c r="M1297" s="133"/>
      <c r="O1297" s="14" t="s">
        <v>28</v>
      </c>
      <c r="P1297" s="51"/>
      <c r="Q1297" s="47">
        <f t="shared" si="43"/>
        <v>0</v>
      </c>
      <c r="R1297" s="47"/>
      <c r="S1297" s="47"/>
      <c r="T1297" s="47"/>
    </row>
    <row r="1298" customHeight="1" spans="1:20">
      <c r="A1298" s="166" t="s">
        <v>2302</v>
      </c>
      <c r="B1298" s="129" t="s">
        <v>2018</v>
      </c>
      <c r="C1298" s="129"/>
      <c r="D1298" s="166">
        <v>6</v>
      </c>
      <c r="E1298" s="167" t="s">
        <v>21</v>
      </c>
      <c r="F1298" s="44">
        <f t="shared" si="42"/>
        <v>12</v>
      </c>
      <c r="G1298" s="91" t="s">
        <v>2303</v>
      </c>
      <c r="H1298" s="46" t="s">
        <v>18</v>
      </c>
      <c r="I1298" s="47"/>
      <c r="J1298" s="48" t="s">
        <v>42</v>
      </c>
      <c r="K1298" s="92" t="s">
        <v>2302</v>
      </c>
      <c r="L1298" s="93" t="s">
        <v>780</v>
      </c>
      <c r="M1298" s="93" t="s">
        <v>781</v>
      </c>
      <c r="N1298" s="14" t="s">
        <v>27</v>
      </c>
      <c r="O1298" s="14" t="s">
        <v>28</v>
      </c>
      <c r="P1298" s="161">
        <v>3</v>
      </c>
      <c r="Q1298" s="47">
        <f t="shared" si="43"/>
        <v>36</v>
      </c>
      <c r="R1298" s="47"/>
      <c r="S1298" s="47"/>
      <c r="T1298" s="47"/>
    </row>
    <row r="1299" customHeight="1" spans="1:20">
      <c r="A1299" s="166" t="s">
        <v>2304</v>
      </c>
      <c r="B1299" s="129" t="s">
        <v>2020</v>
      </c>
      <c r="C1299" s="129"/>
      <c r="D1299" s="166">
        <v>100</v>
      </c>
      <c r="E1299" s="167" t="s">
        <v>21</v>
      </c>
      <c r="F1299" s="44">
        <f t="shared" si="42"/>
        <v>200</v>
      </c>
      <c r="G1299" s="91" t="s">
        <v>2305</v>
      </c>
      <c r="H1299" s="46" t="s">
        <v>18</v>
      </c>
      <c r="I1299" s="47"/>
      <c r="J1299" s="48" t="s">
        <v>42</v>
      </c>
      <c r="K1299" s="92" t="s">
        <v>2304</v>
      </c>
      <c r="L1299" s="93" t="s">
        <v>780</v>
      </c>
      <c r="M1299" s="93" t="s">
        <v>781</v>
      </c>
      <c r="N1299" s="14" t="s">
        <v>27</v>
      </c>
      <c r="O1299" s="14" t="s">
        <v>28</v>
      </c>
      <c r="P1299" s="161">
        <v>5</v>
      </c>
      <c r="Q1299" s="47">
        <f t="shared" si="43"/>
        <v>1000</v>
      </c>
      <c r="R1299" s="47"/>
      <c r="S1299" s="47"/>
      <c r="T1299" s="47"/>
    </row>
    <row r="1300" customHeight="1" spans="1:20">
      <c r="A1300" s="166" t="s">
        <v>2306</v>
      </c>
      <c r="B1300" s="129" t="s">
        <v>2022</v>
      </c>
      <c r="C1300" s="129"/>
      <c r="D1300" s="166">
        <v>10</v>
      </c>
      <c r="E1300" s="167" t="s">
        <v>21</v>
      </c>
      <c r="F1300" s="44">
        <f t="shared" si="42"/>
        <v>20</v>
      </c>
      <c r="G1300" s="85" t="s">
        <v>1551</v>
      </c>
      <c r="H1300" s="46" t="s">
        <v>18</v>
      </c>
      <c r="I1300" s="47"/>
      <c r="J1300" s="48" t="s">
        <v>42</v>
      </c>
      <c r="K1300" s="86" t="s">
        <v>2306</v>
      </c>
      <c r="L1300" s="87" t="s">
        <v>780</v>
      </c>
      <c r="M1300" s="87" t="s">
        <v>781</v>
      </c>
      <c r="N1300" s="14" t="s">
        <v>27</v>
      </c>
      <c r="O1300" s="14" t="s">
        <v>28</v>
      </c>
      <c r="P1300" s="161">
        <v>5</v>
      </c>
      <c r="Q1300" s="47">
        <f t="shared" si="43"/>
        <v>100</v>
      </c>
      <c r="R1300" s="47"/>
      <c r="S1300" s="47"/>
      <c r="T1300" s="47"/>
    </row>
    <row r="1301" customHeight="1" spans="1:20">
      <c r="A1301" s="166" t="s">
        <v>1550</v>
      </c>
      <c r="B1301" s="129" t="s">
        <v>811</v>
      </c>
      <c r="C1301" s="129"/>
      <c r="D1301" s="166">
        <v>100</v>
      </c>
      <c r="E1301" s="167" t="s">
        <v>21</v>
      </c>
      <c r="F1301" s="44">
        <f t="shared" si="42"/>
        <v>200</v>
      </c>
      <c r="G1301" s="123" t="s">
        <v>2307</v>
      </c>
      <c r="H1301" s="46" t="s">
        <v>18</v>
      </c>
      <c r="I1301" s="47"/>
      <c r="J1301" s="48" t="s">
        <v>42</v>
      </c>
      <c r="K1301" s="124" t="s">
        <v>1550</v>
      </c>
      <c r="L1301" s="125" t="s">
        <v>780</v>
      </c>
      <c r="M1301" s="125" t="s">
        <v>781</v>
      </c>
      <c r="N1301" s="14" t="s">
        <v>27</v>
      </c>
      <c r="O1301" s="14" t="s">
        <v>28</v>
      </c>
      <c r="P1301" s="161">
        <v>2.5</v>
      </c>
      <c r="Q1301" s="47">
        <f t="shared" si="43"/>
        <v>500</v>
      </c>
      <c r="R1301" s="47"/>
      <c r="S1301" s="47"/>
      <c r="T1301" s="47"/>
    </row>
    <row r="1302" customHeight="1" spans="1:20">
      <c r="A1302" s="166" t="s">
        <v>2308</v>
      </c>
      <c r="B1302" s="129" t="s">
        <v>2025</v>
      </c>
      <c r="C1302" s="129"/>
      <c r="D1302" s="166">
        <v>100</v>
      </c>
      <c r="E1302" s="167" t="s">
        <v>21</v>
      </c>
      <c r="F1302" s="44">
        <f t="shared" si="42"/>
        <v>200</v>
      </c>
      <c r="G1302" s="123" t="s">
        <v>2309</v>
      </c>
      <c r="H1302" s="46" t="s">
        <v>18</v>
      </c>
      <c r="I1302" s="47"/>
      <c r="J1302" s="48" t="s">
        <v>42</v>
      </c>
      <c r="K1302" s="124" t="s">
        <v>2308</v>
      </c>
      <c r="L1302" s="125" t="s">
        <v>780</v>
      </c>
      <c r="M1302" s="125" t="s">
        <v>781</v>
      </c>
      <c r="N1302" s="14" t="s">
        <v>27</v>
      </c>
      <c r="O1302" s="14" t="s">
        <v>28</v>
      </c>
      <c r="P1302" s="161">
        <v>1.1</v>
      </c>
      <c r="Q1302" s="47">
        <f t="shared" si="43"/>
        <v>220</v>
      </c>
      <c r="R1302" s="47"/>
      <c r="S1302" s="47"/>
      <c r="T1302" s="47"/>
    </row>
    <row r="1303" customHeight="1" spans="1:20">
      <c r="A1303" s="166" t="s">
        <v>2310</v>
      </c>
      <c r="B1303" s="129" t="s">
        <v>2311</v>
      </c>
      <c r="C1303" s="129"/>
      <c r="D1303" s="166">
        <v>100</v>
      </c>
      <c r="E1303" s="167" t="s">
        <v>21</v>
      </c>
      <c r="F1303" s="44">
        <f t="shared" si="42"/>
        <v>200</v>
      </c>
      <c r="G1303" s="123" t="s">
        <v>2312</v>
      </c>
      <c r="H1303" s="46" t="s">
        <v>18</v>
      </c>
      <c r="I1303" s="47"/>
      <c r="J1303" s="48" t="s">
        <v>42</v>
      </c>
      <c r="K1303" s="124" t="s">
        <v>2310</v>
      </c>
      <c r="L1303" s="125" t="s">
        <v>780</v>
      </c>
      <c r="M1303" s="125" t="s">
        <v>781</v>
      </c>
      <c r="N1303" s="14" t="s">
        <v>27</v>
      </c>
      <c r="O1303" s="14" t="s">
        <v>28</v>
      </c>
      <c r="P1303" s="161">
        <v>1.1</v>
      </c>
      <c r="Q1303" s="47">
        <f t="shared" si="43"/>
        <v>220</v>
      </c>
      <c r="R1303" s="47"/>
      <c r="S1303" s="47"/>
      <c r="T1303" s="47"/>
    </row>
    <row r="1304" customHeight="1" spans="1:20">
      <c r="A1304" s="166" t="s">
        <v>2313</v>
      </c>
      <c r="B1304" s="129" t="s">
        <v>2029</v>
      </c>
      <c r="C1304" s="129"/>
      <c r="D1304" s="166">
        <f>D1133</f>
        <v>56</v>
      </c>
      <c r="E1304" s="167" t="s">
        <v>21</v>
      </c>
      <c r="F1304" s="44">
        <f t="shared" si="42"/>
        <v>112</v>
      </c>
      <c r="G1304" s="123" t="s">
        <v>2314</v>
      </c>
      <c r="H1304" s="46" t="s">
        <v>18</v>
      </c>
      <c r="I1304" s="47"/>
      <c r="J1304" s="48" t="s">
        <v>42</v>
      </c>
      <c r="K1304" s="124" t="s">
        <v>2313</v>
      </c>
      <c r="L1304" s="125" t="s">
        <v>780</v>
      </c>
      <c r="M1304" s="125" t="s">
        <v>781</v>
      </c>
      <c r="N1304" s="14" t="s">
        <v>27</v>
      </c>
      <c r="O1304" s="14" t="s">
        <v>28</v>
      </c>
      <c r="P1304" s="161">
        <v>1.1</v>
      </c>
      <c r="Q1304" s="47">
        <f t="shared" si="43"/>
        <v>123.2</v>
      </c>
      <c r="R1304" s="47"/>
      <c r="S1304" s="47"/>
      <c r="T1304" s="47"/>
    </row>
    <row r="1305" customHeight="1" spans="1:20">
      <c r="A1305" s="166"/>
      <c r="B1305" s="129" t="s">
        <v>813</v>
      </c>
      <c r="C1305" s="129"/>
      <c r="D1305" s="166">
        <v>56</v>
      </c>
      <c r="E1305" s="167" t="s">
        <v>21</v>
      </c>
      <c r="F1305" s="44">
        <f t="shared" si="42"/>
        <v>112</v>
      </c>
      <c r="G1305" s="163" t="s">
        <v>814</v>
      </c>
      <c r="H1305" s="46" t="s">
        <v>18</v>
      </c>
      <c r="I1305" s="47"/>
      <c r="J1305" s="48" t="s">
        <v>42</v>
      </c>
      <c r="K1305" s="164">
        <v>82014</v>
      </c>
      <c r="L1305" s="165" t="s">
        <v>780</v>
      </c>
      <c r="M1305" s="103" t="s">
        <v>781</v>
      </c>
      <c r="N1305" s="14" t="s">
        <v>27</v>
      </c>
      <c r="O1305" s="14" t="s">
        <v>28</v>
      </c>
      <c r="P1305" s="161">
        <v>1.4</v>
      </c>
      <c r="Q1305" s="47">
        <f t="shared" si="43"/>
        <v>156.8</v>
      </c>
      <c r="R1305" s="47"/>
      <c r="S1305" s="47"/>
      <c r="T1305" s="47"/>
    </row>
    <row r="1306" customHeight="1" spans="1:20">
      <c r="A1306" s="170">
        <v>63041</v>
      </c>
      <c r="B1306" s="78" t="s">
        <v>2035</v>
      </c>
      <c r="C1306" s="78"/>
      <c r="D1306" s="166">
        <f>D1133</f>
        <v>56</v>
      </c>
      <c r="E1306" s="171" t="s">
        <v>21</v>
      </c>
      <c r="F1306" s="44">
        <f t="shared" si="42"/>
        <v>112</v>
      </c>
      <c r="G1306" s="123" t="s">
        <v>2315</v>
      </c>
      <c r="H1306" s="46" t="s">
        <v>18</v>
      </c>
      <c r="I1306" s="47"/>
      <c r="J1306" s="48" t="s">
        <v>42</v>
      </c>
      <c r="K1306" s="124">
        <v>64041</v>
      </c>
      <c r="L1306" s="125" t="s">
        <v>780</v>
      </c>
      <c r="M1306" s="125" t="s">
        <v>781</v>
      </c>
      <c r="N1306" s="14" t="s">
        <v>27</v>
      </c>
      <c r="O1306" s="14" t="s">
        <v>28</v>
      </c>
      <c r="P1306" s="51">
        <v>2</v>
      </c>
      <c r="Q1306" s="47">
        <f t="shared" si="43"/>
        <v>224</v>
      </c>
      <c r="R1306" s="47"/>
      <c r="S1306" s="47"/>
      <c r="T1306" s="47"/>
    </row>
    <row r="1307" customHeight="1" spans="1:20">
      <c r="A1307" s="166" t="s">
        <v>2316</v>
      </c>
      <c r="B1307" s="129" t="s">
        <v>2037</v>
      </c>
      <c r="C1307" s="129"/>
      <c r="D1307" s="166">
        <f>D1133</f>
        <v>56</v>
      </c>
      <c r="E1307" s="167" t="s">
        <v>21</v>
      </c>
      <c r="F1307" s="44">
        <f t="shared" si="42"/>
        <v>112</v>
      </c>
      <c r="G1307" s="123" t="s">
        <v>2317</v>
      </c>
      <c r="H1307" s="46" t="s">
        <v>18</v>
      </c>
      <c r="I1307" s="47"/>
      <c r="J1307" s="48" t="s">
        <v>42</v>
      </c>
      <c r="K1307" s="124" t="s">
        <v>2316</v>
      </c>
      <c r="L1307" s="125" t="s">
        <v>780</v>
      </c>
      <c r="M1307" s="125" t="s">
        <v>781</v>
      </c>
      <c r="N1307" s="14" t="s">
        <v>27</v>
      </c>
      <c r="O1307" s="14" t="s">
        <v>28</v>
      </c>
      <c r="P1307" s="51">
        <v>1</v>
      </c>
      <c r="Q1307" s="47">
        <f t="shared" si="43"/>
        <v>112</v>
      </c>
      <c r="R1307" s="47"/>
      <c r="S1307" s="47"/>
      <c r="T1307" s="47"/>
    </row>
    <row r="1308" customHeight="1" spans="1:20">
      <c r="A1308" s="166" t="s">
        <v>2318</v>
      </c>
      <c r="B1308" s="129" t="s">
        <v>815</v>
      </c>
      <c r="C1308" s="129"/>
      <c r="D1308" s="166">
        <v>6</v>
      </c>
      <c r="E1308" s="167" t="s">
        <v>816</v>
      </c>
      <c r="F1308" s="44">
        <f t="shared" si="42"/>
        <v>12</v>
      </c>
      <c r="G1308" s="91" t="s">
        <v>2319</v>
      </c>
      <c r="H1308" s="46" t="s">
        <v>18</v>
      </c>
      <c r="I1308" s="47"/>
      <c r="J1308" s="48" t="s">
        <v>42</v>
      </c>
      <c r="K1308" s="92" t="s">
        <v>2318</v>
      </c>
      <c r="L1308" s="93" t="s">
        <v>780</v>
      </c>
      <c r="M1308" s="93" t="s">
        <v>781</v>
      </c>
      <c r="N1308" s="14" t="s">
        <v>27</v>
      </c>
      <c r="O1308" s="14" t="s">
        <v>28</v>
      </c>
      <c r="P1308" s="51">
        <v>12</v>
      </c>
      <c r="Q1308" s="47">
        <f t="shared" si="43"/>
        <v>144</v>
      </c>
      <c r="R1308" s="47"/>
      <c r="S1308" s="47"/>
      <c r="T1308" s="47"/>
    </row>
    <row r="1309" customHeight="1" spans="1:20">
      <c r="A1309" s="166" t="s">
        <v>1552</v>
      </c>
      <c r="B1309" s="129" t="s">
        <v>815</v>
      </c>
      <c r="C1309" s="129"/>
      <c r="D1309" s="166">
        <v>5</v>
      </c>
      <c r="E1309" s="167" t="s">
        <v>816</v>
      </c>
      <c r="F1309" s="44">
        <f t="shared" si="42"/>
        <v>10</v>
      </c>
      <c r="G1309" s="91" t="s">
        <v>1553</v>
      </c>
      <c r="H1309" s="46" t="s">
        <v>18</v>
      </c>
      <c r="I1309" s="47"/>
      <c r="J1309" s="48" t="s">
        <v>42</v>
      </c>
      <c r="K1309" s="92" t="s">
        <v>1552</v>
      </c>
      <c r="L1309" s="93" t="s">
        <v>780</v>
      </c>
      <c r="M1309" s="93" t="s">
        <v>781</v>
      </c>
      <c r="N1309" s="14" t="s">
        <v>27</v>
      </c>
      <c r="O1309" s="14" t="s">
        <v>28</v>
      </c>
      <c r="P1309" s="51">
        <v>12</v>
      </c>
      <c r="Q1309" s="47">
        <f t="shared" si="43"/>
        <v>120</v>
      </c>
      <c r="R1309" s="47"/>
      <c r="S1309" s="47"/>
      <c r="T1309" s="47"/>
    </row>
    <row r="1310" customHeight="1" spans="1:20">
      <c r="A1310" s="166" t="s">
        <v>2320</v>
      </c>
      <c r="B1310" s="129" t="s">
        <v>2041</v>
      </c>
      <c r="C1310" s="129"/>
      <c r="D1310" s="166">
        <v>5</v>
      </c>
      <c r="E1310" s="167" t="s">
        <v>816</v>
      </c>
      <c r="F1310" s="44">
        <f t="shared" si="42"/>
        <v>10</v>
      </c>
      <c r="G1310" s="91" t="s">
        <v>2321</v>
      </c>
      <c r="H1310" s="46" t="s">
        <v>18</v>
      </c>
      <c r="I1310" s="47"/>
      <c r="J1310" s="48" t="s">
        <v>42</v>
      </c>
      <c r="K1310" s="92" t="s">
        <v>2320</v>
      </c>
      <c r="L1310" s="93" t="s">
        <v>780</v>
      </c>
      <c r="M1310" s="93" t="s">
        <v>781</v>
      </c>
      <c r="N1310" s="14" t="s">
        <v>27</v>
      </c>
      <c r="O1310" s="14" t="s">
        <v>28</v>
      </c>
      <c r="P1310" s="51">
        <v>12</v>
      </c>
      <c r="Q1310" s="47">
        <f t="shared" si="43"/>
        <v>120</v>
      </c>
      <c r="R1310" s="47"/>
      <c r="S1310" s="47"/>
      <c r="T1310" s="47"/>
    </row>
    <row r="1311" customHeight="1" spans="1:20">
      <c r="A1311" s="166" t="s">
        <v>2322</v>
      </c>
      <c r="B1311" s="129" t="s">
        <v>2041</v>
      </c>
      <c r="C1311" s="129"/>
      <c r="D1311" s="166">
        <v>5</v>
      </c>
      <c r="E1311" s="167" t="s">
        <v>816</v>
      </c>
      <c r="F1311" s="44">
        <f t="shared" si="42"/>
        <v>10</v>
      </c>
      <c r="G1311" s="91" t="s">
        <v>2323</v>
      </c>
      <c r="H1311" s="46" t="s">
        <v>18</v>
      </c>
      <c r="I1311" s="47"/>
      <c r="J1311" s="48" t="s">
        <v>42</v>
      </c>
      <c r="K1311" s="92" t="s">
        <v>2322</v>
      </c>
      <c r="L1311" s="93" t="s">
        <v>780</v>
      </c>
      <c r="M1311" s="93" t="s">
        <v>781</v>
      </c>
      <c r="N1311" s="14" t="s">
        <v>27</v>
      </c>
      <c r="O1311" s="14" t="s">
        <v>28</v>
      </c>
      <c r="P1311" s="51">
        <v>12</v>
      </c>
      <c r="Q1311" s="47">
        <f t="shared" si="43"/>
        <v>120</v>
      </c>
      <c r="R1311" s="47"/>
      <c r="S1311" s="47"/>
      <c r="T1311" s="47"/>
    </row>
    <row r="1312" customHeight="1" spans="1:20">
      <c r="A1312" s="166" t="s">
        <v>2324</v>
      </c>
      <c r="B1312" s="129" t="s">
        <v>2043</v>
      </c>
      <c r="C1312" s="129"/>
      <c r="D1312" s="166">
        <v>20</v>
      </c>
      <c r="E1312" s="167" t="s">
        <v>816</v>
      </c>
      <c r="F1312" s="44">
        <f t="shared" si="42"/>
        <v>40</v>
      </c>
      <c r="G1312" s="123" t="s">
        <v>2325</v>
      </c>
      <c r="H1312" s="46" t="s">
        <v>18</v>
      </c>
      <c r="I1312" s="47"/>
      <c r="J1312" s="48" t="s">
        <v>42</v>
      </c>
      <c r="K1312" s="124" t="s">
        <v>2324</v>
      </c>
      <c r="L1312" s="125" t="s">
        <v>780</v>
      </c>
      <c r="M1312" s="125" t="s">
        <v>781</v>
      </c>
      <c r="N1312" s="14" t="s">
        <v>27</v>
      </c>
      <c r="O1312" s="14" t="s">
        <v>28</v>
      </c>
      <c r="P1312" s="51">
        <v>25</v>
      </c>
      <c r="Q1312" s="47">
        <f t="shared" si="43"/>
        <v>1000</v>
      </c>
      <c r="R1312" s="47"/>
      <c r="S1312" s="47"/>
      <c r="T1312" s="47"/>
    </row>
    <row r="1313" customHeight="1" spans="1:20">
      <c r="A1313" s="166" t="s">
        <v>2326</v>
      </c>
      <c r="B1313" s="129" t="s">
        <v>2045</v>
      </c>
      <c r="C1313" s="129"/>
      <c r="D1313" s="166">
        <v>6</v>
      </c>
      <c r="E1313" s="167" t="s">
        <v>816</v>
      </c>
      <c r="F1313" s="44">
        <f t="shared" si="42"/>
        <v>12</v>
      </c>
      <c r="G1313" s="123" t="s">
        <v>2327</v>
      </c>
      <c r="H1313" s="46" t="s">
        <v>18</v>
      </c>
      <c r="I1313" s="47"/>
      <c r="J1313" s="48" t="s">
        <v>42</v>
      </c>
      <c r="K1313" s="124" t="s">
        <v>2326</v>
      </c>
      <c r="L1313" s="125" t="s">
        <v>780</v>
      </c>
      <c r="M1313" s="125" t="s">
        <v>781</v>
      </c>
      <c r="N1313" s="14" t="s">
        <v>27</v>
      </c>
      <c r="O1313" s="14" t="s">
        <v>28</v>
      </c>
      <c r="P1313" s="51">
        <v>28</v>
      </c>
      <c r="Q1313" s="47">
        <f t="shared" si="43"/>
        <v>336</v>
      </c>
      <c r="R1313" s="47"/>
      <c r="S1313" s="47"/>
      <c r="T1313" s="47"/>
    </row>
    <row r="1314" customHeight="1" spans="1:20">
      <c r="A1314" s="166" t="s">
        <v>1554</v>
      </c>
      <c r="B1314" s="129" t="s">
        <v>818</v>
      </c>
      <c r="C1314" s="129"/>
      <c r="D1314" s="166">
        <f>D1133</f>
        <v>56</v>
      </c>
      <c r="E1314" s="167" t="s">
        <v>819</v>
      </c>
      <c r="F1314" s="44">
        <f t="shared" si="42"/>
        <v>112</v>
      </c>
      <c r="G1314" s="123" t="s">
        <v>2328</v>
      </c>
      <c r="H1314" s="46" t="s">
        <v>18</v>
      </c>
      <c r="I1314" s="47"/>
      <c r="J1314" s="48" t="s">
        <v>42</v>
      </c>
      <c r="K1314" s="124" t="s">
        <v>1554</v>
      </c>
      <c r="L1314" s="125" t="s">
        <v>780</v>
      </c>
      <c r="M1314" s="125" t="s">
        <v>781</v>
      </c>
      <c r="N1314" s="14" t="s">
        <v>27</v>
      </c>
      <c r="O1314" s="14" t="s">
        <v>28</v>
      </c>
      <c r="P1314" s="51">
        <v>3</v>
      </c>
      <c r="Q1314" s="47">
        <f t="shared" si="43"/>
        <v>336</v>
      </c>
      <c r="R1314" s="47"/>
      <c r="S1314" s="47"/>
      <c r="T1314" s="47"/>
    </row>
    <row r="1315" customHeight="1" spans="1:20">
      <c r="A1315" s="166" t="s">
        <v>2329</v>
      </c>
      <c r="B1315" s="129" t="s">
        <v>2049</v>
      </c>
      <c r="C1315" s="129"/>
      <c r="D1315" s="166">
        <f>D1133</f>
        <v>56</v>
      </c>
      <c r="E1315" s="167" t="s">
        <v>21</v>
      </c>
      <c r="F1315" s="44">
        <f t="shared" si="42"/>
        <v>112</v>
      </c>
      <c r="G1315" s="123" t="s">
        <v>2330</v>
      </c>
      <c r="H1315" s="46" t="s">
        <v>18</v>
      </c>
      <c r="I1315" s="47"/>
      <c r="J1315" s="48" t="s">
        <v>42</v>
      </c>
      <c r="K1315" s="124" t="s">
        <v>2329</v>
      </c>
      <c r="L1315" s="125" t="s">
        <v>780</v>
      </c>
      <c r="M1315" s="125" t="s">
        <v>781</v>
      </c>
      <c r="N1315" s="14" t="s">
        <v>27</v>
      </c>
      <c r="O1315" s="14" t="s">
        <v>28</v>
      </c>
      <c r="P1315" s="161">
        <v>1</v>
      </c>
      <c r="Q1315" s="47">
        <f t="shared" si="43"/>
        <v>112</v>
      </c>
      <c r="R1315" s="47"/>
      <c r="S1315" s="47"/>
      <c r="T1315" s="47"/>
    </row>
    <row r="1316" customHeight="1" spans="1:20">
      <c r="A1316" s="166" t="s">
        <v>2331</v>
      </c>
      <c r="B1316" s="129" t="s">
        <v>2051</v>
      </c>
      <c r="C1316" s="129"/>
      <c r="D1316" s="166">
        <v>30</v>
      </c>
      <c r="E1316" s="167" t="s">
        <v>21</v>
      </c>
      <c r="F1316" s="44">
        <f t="shared" si="42"/>
        <v>60</v>
      </c>
      <c r="G1316" s="123" t="s">
        <v>2332</v>
      </c>
      <c r="H1316" s="46" t="s">
        <v>18</v>
      </c>
      <c r="I1316" s="47"/>
      <c r="J1316" s="48" t="s">
        <v>42</v>
      </c>
      <c r="K1316" s="124" t="s">
        <v>2331</v>
      </c>
      <c r="L1316" s="125" t="s">
        <v>780</v>
      </c>
      <c r="M1316" s="125" t="s">
        <v>781</v>
      </c>
      <c r="N1316" s="14" t="s">
        <v>27</v>
      </c>
      <c r="O1316" s="14" t="s">
        <v>28</v>
      </c>
      <c r="P1316" s="161">
        <v>2</v>
      </c>
      <c r="Q1316" s="47">
        <f t="shared" si="43"/>
        <v>120</v>
      </c>
      <c r="R1316" s="47"/>
      <c r="S1316" s="47"/>
      <c r="T1316" s="47"/>
    </row>
    <row r="1317" customHeight="1" spans="1:20">
      <c r="A1317" s="170">
        <v>64080</v>
      </c>
      <c r="B1317" s="78" t="s">
        <v>2055</v>
      </c>
      <c r="C1317" s="78"/>
      <c r="D1317" s="166">
        <v>10</v>
      </c>
      <c r="E1317" s="171" t="s">
        <v>21</v>
      </c>
      <c r="F1317" s="44">
        <f t="shared" si="42"/>
        <v>20</v>
      </c>
      <c r="G1317" s="91" t="s">
        <v>2333</v>
      </c>
      <c r="H1317" s="46" t="s">
        <v>18</v>
      </c>
      <c r="I1317" s="47"/>
      <c r="J1317" s="48" t="s">
        <v>42</v>
      </c>
      <c r="K1317" s="92">
        <v>64080</v>
      </c>
      <c r="L1317" s="93" t="s">
        <v>780</v>
      </c>
      <c r="M1317" s="93" t="s">
        <v>781</v>
      </c>
      <c r="N1317" s="14" t="s">
        <v>27</v>
      </c>
      <c r="O1317" s="14" t="s">
        <v>28</v>
      </c>
      <c r="P1317" s="161">
        <v>4</v>
      </c>
      <c r="Q1317" s="47">
        <f t="shared" si="43"/>
        <v>80</v>
      </c>
      <c r="R1317" s="47"/>
      <c r="S1317" s="47"/>
      <c r="T1317" s="47"/>
    </row>
    <row r="1318" customHeight="1" spans="1:20">
      <c r="A1318" s="166" t="s">
        <v>2334</v>
      </c>
      <c r="B1318" s="129" t="s">
        <v>2057</v>
      </c>
      <c r="C1318" s="129"/>
      <c r="D1318" s="166">
        <v>100</v>
      </c>
      <c r="E1318" s="167" t="s">
        <v>21</v>
      </c>
      <c r="F1318" s="44">
        <f t="shared" si="42"/>
        <v>200</v>
      </c>
      <c r="G1318" s="91" t="s">
        <v>2335</v>
      </c>
      <c r="H1318" s="46" t="s">
        <v>18</v>
      </c>
      <c r="I1318" s="47"/>
      <c r="J1318" s="48" t="s">
        <v>42</v>
      </c>
      <c r="K1318" s="92" t="s">
        <v>2334</v>
      </c>
      <c r="L1318" s="93" t="s">
        <v>780</v>
      </c>
      <c r="M1318" s="93" t="s">
        <v>781</v>
      </c>
      <c r="N1318" s="14" t="s">
        <v>27</v>
      </c>
      <c r="O1318" s="14" t="s">
        <v>28</v>
      </c>
      <c r="P1318" s="161">
        <v>3</v>
      </c>
      <c r="Q1318" s="47">
        <f t="shared" si="43"/>
        <v>600</v>
      </c>
      <c r="R1318" s="47"/>
      <c r="S1318" s="47"/>
      <c r="T1318" s="47"/>
    </row>
    <row r="1319" customHeight="1" spans="1:20">
      <c r="A1319" s="170">
        <v>64082</v>
      </c>
      <c r="B1319" s="78" t="s">
        <v>2057</v>
      </c>
      <c r="C1319" s="78"/>
      <c r="D1319" s="170">
        <v>4</v>
      </c>
      <c r="E1319" s="171" t="s">
        <v>21</v>
      </c>
      <c r="F1319" s="44">
        <f t="shared" si="42"/>
        <v>8</v>
      </c>
      <c r="G1319" s="91" t="s">
        <v>2336</v>
      </c>
      <c r="H1319" s="46" t="s">
        <v>18</v>
      </c>
      <c r="I1319" s="47"/>
      <c r="J1319" s="48" t="s">
        <v>42</v>
      </c>
      <c r="K1319" s="92">
        <v>64082</v>
      </c>
      <c r="L1319" s="93" t="s">
        <v>780</v>
      </c>
      <c r="M1319" s="93" t="s">
        <v>781</v>
      </c>
      <c r="N1319" s="14" t="s">
        <v>27</v>
      </c>
      <c r="O1319" s="14" t="s">
        <v>28</v>
      </c>
      <c r="P1319" s="161">
        <v>4.25</v>
      </c>
      <c r="Q1319" s="47">
        <f t="shared" si="43"/>
        <v>34</v>
      </c>
      <c r="R1319" s="47"/>
      <c r="S1319" s="47"/>
      <c r="T1319" s="47"/>
    </row>
    <row r="1320" customHeight="1" spans="1:20">
      <c r="A1320" s="166" t="s">
        <v>2337</v>
      </c>
      <c r="B1320" s="129" t="s">
        <v>2059</v>
      </c>
      <c r="C1320" s="129"/>
      <c r="D1320" s="166">
        <v>100</v>
      </c>
      <c r="E1320" s="167" t="s">
        <v>21</v>
      </c>
      <c r="F1320" s="44">
        <f t="shared" si="42"/>
        <v>200</v>
      </c>
      <c r="G1320" s="91" t="s">
        <v>2338</v>
      </c>
      <c r="H1320" s="46" t="s">
        <v>18</v>
      </c>
      <c r="I1320" s="47"/>
      <c r="J1320" s="48" t="s">
        <v>42</v>
      </c>
      <c r="K1320" s="92" t="s">
        <v>2337</v>
      </c>
      <c r="L1320" s="93" t="s">
        <v>780</v>
      </c>
      <c r="M1320" s="93" t="s">
        <v>781</v>
      </c>
      <c r="N1320" s="14" t="s">
        <v>27</v>
      </c>
      <c r="O1320" s="14" t="s">
        <v>28</v>
      </c>
      <c r="P1320" s="161">
        <v>3.75</v>
      </c>
      <c r="Q1320" s="47">
        <f t="shared" si="43"/>
        <v>750</v>
      </c>
      <c r="R1320" s="47"/>
      <c r="S1320" s="47"/>
      <c r="T1320" s="47"/>
    </row>
    <row r="1321" customHeight="1" spans="1:20">
      <c r="A1321" s="166" t="s">
        <v>2339</v>
      </c>
      <c r="B1321" s="129" t="s">
        <v>2059</v>
      </c>
      <c r="C1321" s="129"/>
      <c r="D1321" s="166">
        <v>2</v>
      </c>
      <c r="E1321" s="167" t="s">
        <v>21</v>
      </c>
      <c r="F1321" s="44">
        <f t="shared" si="42"/>
        <v>4</v>
      </c>
      <c r="G1321" s="91" t="s">
        <v>2340</v>
      </c>
      <c r="H1321" s="46" t="s">
        <v>18</v>
      </c>
      <c r="I1321" s="47"/>
      <c r="J1321" s="48" t="s">
        <v>42</v>
      </c>
      <c r="K1321" s="92" t="s">
        <v>2339</v>
      </c>
      <c r="L1321" s="93" t="s">
        <v>780</v>
      </c>
      <c r="M1321" s="93" t="s">
        <v>781</v>
      </c>
      <c r="N1321" s="14" t="s">
        <v>27</v>
      </c>
      <c r="O1321" s="14" t="s">
        <v>28</v>
      </c>
      <c r="P1321" s="161">
        <v>5.2</v>
      </c>
      <c r="Q1321" s="47">
        <f t="shared" si="43"/>
        <v>20.8</v>
      </c>
      <c r="R1321" s="47"/>
      <c r="S1321" s="47"/>
      <c r="T1321" s="47"/>
    </row>
    <row r="1322" customHeight="1" spans="1:20">
      <c r="A1322" s="166" t="s">
        <v>1556</v>
      </c>
      <c r="B1322" s="129" t="s">
        <v>1557</v>
      </c>
      <c r="C1322" s="129"/>
      <c r="D1322" s="166">
        <v>100</v>
      </c>
      <c r="E1322" s="167" t="s">
        <v>21</v>
      </c>
      <c r="F1322" s="44">
        <f t="shared" si="42"/>
        <v>200</v>
      </c>
      <c r="G1322" s="91" t="s">
        <v>2341</v>
      </c>
      <c r="H1322" s="46" t="s">
        <v>18</v>
      </c>
      <c r="I1322" s="47"/>
      <c r="J1322" s="48" t="s">
        <v>42</v>
      </c>
      <c r="K1322" s="92" t="s">
        <v>1556</v>
      </c>
      <c r="L1322" s="93" t="s">
        <v>780</v>
      </c>
      <c r="M1322" s="93" t="s">
        <v>781</v>
      </c>
      <c r="N1322" s="14" t="s">
        <v>27</v>
      </c>
      <c r="O1322" s="14" t="s">
        <v>28</v>
      </c>
      <c r="P1322" s="161">
        <v>2.8</v>
      </c>
      <c r="Q1322" s="47">
        <f t="shared" si="43"/>
        <v>560</v>
      </c>
      <c r="R1322" s="47"/>
      <c r="S1322" s="47"/>
      <c r="T1322" s="47"/>
    </row>
    <row r="1323" customHeight="1" spans="1:20">
      <c r="A1323" s="170">
        <v>64089</v>
      </c>
      <c r="B1323" s="78" t="s">
        <v>1557</v>
      </c>
      <c r="C1323" s="78"/>
      <c r="D1323" s="170">
        <v>6</v>
      </c>
      <c r="E1323" s="171" t="s">
        <v>21</v>
      </c>
      <c r="F1323" s="44">
        <f t="shared" si="42"/>
        <v>12</v>
      </c>
      <c r="G1323" s="91" t="s">
        <v>2342</v>
      </c>
      <c r="H1323" s="46" t="s">
        <v>18</v>
      </c>
      <c r="I1323" s="47"/>
      <c r="J1323" s="48" t="s">
        <v>42</v>
      </c>
      <c r="K1323" s="92">
        <v>64089</v>
      </c>
      <c r="L1323" s="93" t="s">
        <v>780</v>
      </c>
      <c r="M1323" s="93" t="s">
        <v>781</v>
      </c>
      <c r="N1323" s="14" t="s">
        <v>27</v>
      </c>
      <c r="O1323" s="14" t="s">
        <v>28</v>
      </c>
      <c r="P1323" s="161">
        <v>4</v>
      </c>
      <c r="Q1323" s="47">
        <f t="shared" si="43"/>
        <v>48</v>
      </c>
      <c r="R1323" s="47"/>
      <c r="S1323" s="47"/>
      <c r="T1323" s="47"/>
    </row>
    <row r="1324" customHeight="1" spans="1:20">
      <c r="A1324" s="166" t="s">
        <v>2343</v>
      </c>
      <c r="B1324" s="129" t="s">
        <v>2062</v>
      </c>
      <c r="C1324" s="129"/>
      <c r="D1324" s="166">
        <v>100</v>
      </c>
      <c r="E1324" s="167" t="s">
        <v>21</v>
      </c>
      <c r="F1324" s="44">
        <f t="shared" si="42"/>
        <v>200</v>
      </c>
      <c r="G1324" s="91" t="s">
        <v>2344</v>
      </c>
      <c r="H1324" s="46" t="s">
        <v>18</v>
      </c>
      <c r="I1324" s="47"/>
      <c r="J1324" s="48" t="s">
        <v>42</v>
      </c>
      <c r="K1324" s="92" t="s">
        <v>2343</v>
      </c>
      <c r="L1324" s="93" t="s">
        <v>780</v>
      </c>
      <c r="M1324" s="93" t="s">
        <v>781</v>
      </c>
      <c r="N1324" s="14" t="s">
        <v>27</v>
      </c>
      <c r="O1324" s="14" t="s">
        <v>28</v>
      </c>
      <c r="P1324" s="161">
        <v>2.5</v>
      </c>
      <c r="Q1324" s="47">
        <f t="shared" si="43"/>
        <v>500</v>
      </c>
      <c r="R1324" s="47"/>
      <c r="S1324" s="47"/>
      <c r="T1324" s="47"/>
    </row>
    <row r="1325" customHeight="1" spans="1:20">
      <c r="A1325" s="166" t="s">
        <v>2345</v>
      </c>
      <c r="B1325" s="129" t="s">
        <v>2064</v>
      </c>
      <c r="C1325" s="129"/>
      <c r="D1325" s="166">
        <v>100</v>
      </c>
      <c r="E1325" s="167" t="s">
        <v>21</v>
      </c>
      <c r="F1325" s="44">
        <f t="shared" si="42"/>
        <v>200</v>
      </c>
      <c r="G1325" s="143" t="s">
        <v>2065</v>
      </c>
      <c r="H1325" s="46" t="s">
        <v>18</v>
      </c>
      <c r="I1325" s="47"/>
      <c r="J1325" s="48" t="s">
        <v>42</v>
      </c>
      <c r="K1325" s="132" t="s">
        <v>2345</v>
      </c>
      <c r="L1325" s="132" t="s">
        <v>780</v>
      </c>
      <c r="M1325" s="132" t="s">
        <v>781</v>
      </c>
      <c r="N1325" s="14" t="s">
        <v>27</v>
      </c>
      <c r="O1325" s="14" t="s">
        <v>28</v>
      </c>
      <c r="P1325" s="161">
        <v>1.3</v>
      </c>
      <c r="Q1325" s="47">
        <f t="shared" si="43"/>
        <v>260</v>
      </c>
      <c r="R1325" s="47"/>
      <c r="S1325" s="47"/>
      <c r="T1325" s="47"/>
    </row>
    <row r="1326" customHeight="1" spans="1:20">
      <c r="A1326" s="166" t="s">
        <v>2346</v>
      </c>
      <c r="B1326" s="129" t="s">
        <v>2064</v>
      </c>
      <c r="C1326" s="129"/>
      <c r="D1326" s="166">
        <v>100</v>
      </c>
      <c r="E1326" s="167" t="s">
        <v>21</v>
      </c>
      <c r="F1326" s="44">
        <f t="shared" si="42"/>
        <v>200</v>
      </c>
      <c r="G1326" s="143" t="s">
        <v>2066</v>
      </c>
      <c r="H1326" s="46" t="s">
        <v>18</v>
      </c>
      <c r="I1326" s="47"/>
      <c r="J1326" s="48" t="s">
        <v>42</v>
      </c>
      <c r="K1326" s="132" t="s">
        <v>2346</v>
      </c>
      <c r="L1326" s="132" t="s">
        <v>780</v>
      </c>
      <c r="M1326" s="132" t="s">
        <v>781</v>
      </c>
      <c r="N1326" s="14" t="s">
        <v>27</v>
      </c>
      <c r="O1326" s="14" t="s">
        <v>28</v>
      </c>
      <c r="P1326" s="161">
        <v>6</v>
      </c>
      <c r="Q1326" s="47">
        <f t="shared" si="43"/>
        <v>1200</v>
      </c>
      <c r="R1326" s="47"/>
      <c r="S1326" s="47"/>
      <c r="T1326" s="47"/>
    </row>
    <row r="1327" customHeight="1" spans="1:20">
      <c r="A1327" s="166" t="s">
        <v>2347</v>
      </c>
      <c r="B1327" s="129" t="s">
        <v>2067</v>
      </c>
      <c r="C1327" s="129"/>
      <c r="D1327" s="166">
        <v>1560</v>
      </c>
      <c r="E1327" s="167" t="s">
        <v>221</v>
      </c>
      <c r="F1327" s="44">
        <f t="shared" ref="F1327:F1355" si="44">D1327*2</f>
        <v>3120</v>
      </c>
      <c r="G1327" s="91" t="s">
        <v>2348</v>
      </c>
      <c r="H1327" s="46" t="s">
        <v>18</v>
      </c>
      <c r="I1327" s="47"/>
      <c r="J1327" s="48" t="s">
        <v>42</v>
      </c>
      <c r="K1327" s="92" t="s">
        <v>2347</v>
      </c>
      <c r="L1327" s="93" t="s">
        <v>25</v>
      </c>
      <c r="M1327" s="93" t="s">
        <v>26</v>
      </c>
      <c r="N1327" s="14" t="s">
        <v>27</v>
      </c>
      <c r="O1327" s="14" t="s">
        <v>28</v>
      </c>
      <c r="P1327" s="161">
        <v>0.4</v>
      </c>
      <c r="Q1327" s="47">
        <f t="shared" si="43"/>
        <v>1248</v>
      </c>
      <c r="R1327" s="47"/>
      <c r="S1327" s="47"/>
      <c r="T1327" s="47"/>
    </row>
    <row r="1328" customHeight="1" spans="1:20">
      <c r="A1328" s="75" t="s">
        <v>821</v>
      </c>
      <c r="B1328" s="142" t="s">
        <v>822</v>
      </c>
      <c r="C1328" s="142"/>
      <c r="D1328" s="166"/>
      <c r="E1328" s="167"/>
      <c r="F1328" s="44">
        <f t="shared" si="44"/>
        <v>0</v>
      </c>
      <c r="G1328" s="131"/>
      <c r="H1328" s="46"/>
      <c r="I1328" s="47"/>
      <c r="J1328" s="48" t="s">
        <v>42</v>
      </c>
      <c r="K1328" s="132"/>
      <c r="L1328" s="133"/>
      <c r="M1328" s="133"/>
      <c r="O1328" s="14" t="s">
        <v>28</v>
      </c>
      <c r="P1328" s="51"/>
      <c r="Q1328" s="47">
        <f t="shared" si="43"/>
        <v>0</v>
      </c>
      <c r="R1328" s="47"/>
      <c r="S1328" s="47"/>
      <c r="T1328" s="47">
        <v>8</v>
      </c>
    </row>
    <row r="1329" customHeight="1" spans="1:20">
      <c r="A1329" s="166">
        <v>80</v>
      </c>
      <c r="B1329" s="129" t="s">
        <v>823</v>
      </c>
      <c r="C1329" s="129"/>
      <c r="D1329" s="166"/>
      <c r="E1329" s="167"/>
      <c r="F1329" s="44">
        <f t="shared" si="44"/>
        <v>0</v>
      </c>
      <c r="G1329" s="131"/>
      <c r="H1329" s="46"/>
      <c r="I1329" s="47"/>
      <c r="J1329" s="48" t="s">
        <v>42</v>
      </c>
      <c r="K1329" s="132"/>
      <c r="L1329" s="133"/>
      <c r="M1329" s="133"/>
      <c r="O1329" s="14" t="s">
        <v>28</v>
      </c>
      <c r="P1329" s="51"/>
      <c r="Q1329" s="47">
        <f t="shared" si="43"/>
        <v>0</v>
      </c>
      <c r="R1329" s="47"/>
      <c r="S1329" s="47"/>
      <c r="T1329" s="47">
        <v>80</v>
      </c>
    </row>
    <row r="1330" customHeight="1" spans="1:20">
      <c r="A1330" s="166">
        <v>80201</v>
      </c>
      <c r="B1330" s="129" t="s">
        <v>2349</v>
      </c>
      <c r="C1330" s="129"/>
      <c r="D1330" s="166">
        <f>D1133/2</f>
        <v>28</v>
      </c>
      <c r="E1330" s="167" t="s">
        <v>2072</v>
      </c>
      <c r="F1330" s="44">
        <f t="shared" si="44"/>
        <v>56</v>
      </c>
      <c r="G1330" s="85" t="s">
        <v>2350</v>
      </c>
      <c r="H1330" s="46" t="s">
        <v>18</v>
      </c>
      <c r="I1330" s="47"/>
      <c r="J1330" s="48" t="s">
        <v>42</v>
      </c>
      <c r="K1330" s="86">
        <v>80201</v>
      </c>
      <c r="L1330" s="87" t="s">
        <v>25</v>
      </c>
      <c r="M1330" s="87" t="s">
        <v>26</v>
      </c>
      <c r="N1330" s="14" t="s">
        <v>27</v>
      </c>
      <c r="O1330" s="14" t="s">
        <v>28</v>
      </c>
      <c r="P1330" s="51">
        <v>35</v>
      </c>
      <c r="Q1330" s="47">
        <f t="shared" si="43"/>
        <v>1960</v>
      </c>
      <c r="R1330" s="47"/>
      <c r="S1330" s="47"/>
      <c r="T1330" s="47"/>
    </row>
    <row r="1331" customHeight="1" spans="1:20">
      <c r="A1331" s="166" t="s">
        <v>1617</v>
      </c>
      <c r="B1331" s="129" t="s">
        <v>930</v>
      </c>
      <c r="C1331" s="129"/>
      <c r="D1331" s="166"/>
      <c r="E1331" s="167"/>
      <c r="F1331" s="44">
        <f t="shared" si="44"/>
        <v>0</v>
      </c>
      <c r="G1331" s="131"/>
      <c r="H1331" s="46"/>
      <c r="I1331" s="47"/>
      <c r="J1331" s="48" t="s">
        <v>42</v>
      </c>
      <c r="K1331" s="132"/>
      <c r="L1331" s="133"/>
      <c r="M1331" s="133"/>
      <c r="O1331" s="14" t="s">
        <v>28</v>
      </c>
      <c r="P1331" s="51"/>
      <c r="Q1331" s="47">
        <f t="shared" si="43"/>
        <v>0</v>
      </c>
      <c r="R1331" s="47"/>
      <c r="S1331" s="47"/>
      <c r="T1331" s="47">
        <v>81</v>
      </c>
    </row>
    <row r="1332" customHeight="1" spans="1:20">
      <c r="A1332" s="166" t="s">
        <v>1620</v>
      </c>
      <c r="B1332" s="129" t="s">
        <v>933</v>
      </c>
      <c r="C1332" s="129"/>
      <c r="D1332" s="166">
        <v>2</v>
      </c>
      <c r="E1332" s="167" t="s">
        <v>21</v>
      </c>
      <c r="F1332" s="44">
        <f t="shared" si="44"/>
        <v>4</v>
      </c>
      <c r="G1332" s="85" t="s">
        <v>1621</v>
      </c>
      <c r="H1332" s="46" t="s">
        <v>18</v>
      </c>
      <c r="I1332" s="47"/>
      <c r="J1332" s="48" t="s">
        <v>42</v>
      </c>
      <c r="K1332" s="86" t="s">
        <v>1620</v>
      </c>
      <c r="L1332" s="87" t="s">
        <v>25</v>
      </c>
      <c r="M1332" s="87" t="s">
        <v>26</v>
      </c>
      <c r="N1332" s="14" t="s">
        <v>27</v>
      </c>
      <c r="O1332" s="14" t="s">
        <v>28</v>
      </c>
      <c r="P1332" s="51">
        <v>4</v>
      </c>
      <c r="Q1332" s="47">
        <f t="shared" si="43"/>
        <v>16</v>
      </c>
      <c r="R1332" s="47"/>
      <c r="S1332" s="47"/>
      <c r="T1332" s="47">
        <v>81002</v>
      </c>
    </row>
    <row r="1333" customHeight="1" spans="1:20">
      <c r="A1333" s="166" t="s">
        <v>2351</v>
      </c>
      <c r="B1333" s="129" t="s">
        <v>935</v>
      </c>
      <c r="C1333" s="129"/>
      <c r="D1333" s="166">
        <v>2</v>
      </c>
      <c r="E1333" s="167" t="s">
        <v>21</v>
      </c>
      <c r="F1333" s="44">
        <f t="shared" si="44"/>
        <v>4</v>
      </c>
      <c r="G1333" s="85" t="s">
        <v>1622</v>
      </c>
      <c r="H1333" s="46" t="s">
        <v>18</v>
      </c>
      <c r="I1333" s="47"/>
      <c r="J1333" s="48" t="s">
        <v>42</v>
      </c>
      <c r="K1333" s="86" t="s">
        <v>2351</v>
      </c>
      <c r="L1333" s="87" t="s">
        <v>25</v>
      </c>
      <c r="M1333" s="87" t="s">
        <v>26</v>
      </c>
      <c r="N1333" s="14" t="s">
        <v>27</v>
      </c>
      <c r="O1333" s="14" t="s">
        <v>28</v>
      </c>
      <c r="P1333" s="51">
        <v>4</v>
      </c>
      <c r="Q1333" s="47">
        <f t="shared" si="43"/>
        <v>16</v>
      </c>
      <c r="R1333" s="47"/>
      <c r="S1333" s="47"/>
      <c r="T1333" s="47">
        <v>81003</v>
      </c>
    </row>
    <row r="1334" customHeight="1" spans="1:20">
      <c r="A1334" s="166" t="s">
        <v>2352</v>
      </c>
      <c r="B1334" s="129" t="s">
        <v>951</v>
      </c>
      <c r="C1334" s="129"/>
      <c r="D1334" s="166">
        <v>2</v>
      </c>
      <c r="E1334" s="167" t="s">
        <v>21</v>
      </c>
      <c r="F1334" s="44">
        <f t="shared" si="44"/>
        <v>4</v>
      </c>
      <c r="G1334" s="91" t="s">
        <v>1640</v>
      </c>
      <c r="H1334" s="46" t="s">
        <v>18</v>
      </c>
      <c r="I1334" s="47"/>
      <c r="J1334" s="48" t="s">
        <v>42</v>
      </c>
      <c r="K1334" s="92" t="s">
        <v>2352</v>
      </c>
      <c r="L1334" s="93" t="s">
        <v>25</v>
      </c>
      <c r="M1334" s="93" t="s">
        <v>26</v>
      </c>
      <c r="N1334" s="14" t="s">
        <v>27</v>
      </c>
      <c r="O1334" s="14" t="s">
        <v>28</v>
      </c>
      <c r="P1334" s="51">
        <v>22</v>
      </c>
      <c r="Q1334" s="47">
        <f t="shared" si="43"/>
        <v>88</v>
      </c>
      <c r="R1334" s="47"/>
      <c r="S1334" s="47"/>
      <c r="T1334" s="47">
        <v>81014</v>
      </c>
    </row>
    <row r="1335" customHeight="1" spans="1:20">
      <c r="A1335" s="166" t="s">
        <v>2353</v>
      </c>
      <c r="B1335" s="129" t="s">
        <v>953</v>
      </c>
      <c r="C1335" s="129"/>
      <c r="D1335" s="166">
        <v>2</v>
      </c>
      <c r="E1335" s="167" t="s">
        <v>21</v>
      </c>
      <c r="F1335" s="44">
        <f t="shared" si="44"/>
        <v>4</v>
      </c>
      <c r="G1335" s="123" t="s">
        <v>1641</v>
      </c>
      <c r="H1335" s="46" t="s">
        <v>18</v>
      </c>
      <c r="I1335" s="47"/>
      <c r="J1335" s="48" t="s">
        <v>42</v>
      </c>
      <c r="K1335" s="124" t="s">
        <v>2353</v>
      </c>
      <c r="L1335" s="125" t="s">
        <v>25</v>
      </c>
      <c r="M1335" s="125" t="s">
        <v>26</v>
      </c>
      <c r="N1335" s="14" t="s">
        <v>27</v>
      </c>
      <c r="O1335" s="14" t="s">
        <v>28</v>
      </c>
      <c r="P1335" s="51">
        <v>11</v>
      </c>
      <c r="Q1335" s="47">
        <f t="shared" si="43"/>
        <v>44</v>
      </c>
      <c r="R1335" s="47"/>
      <c r="S1335" s="47"/>
      <c r="T1335" s="47">
        <v>81015</v>
      </c>
    </row>
    <row r="1336" customHeight="1" spans="1:20">
      <c r="A1336" s="166" t="s">
        <v>2354</v>
      </c>
      <c r="B1336" s="129" t="s">
        <v>1643</v>
      </c>
      <c r="C1336" s="129"/>
      <c r="D1336" s="166">
        <v>2</v>
      </c>
      <c r="E1336" s="167" t="s">
        <v>21</v>
      </c>
      <c r="F1336" s="44">
        <f t="shared" si="44"/>
        <v>4</v>
      </c>
      <c r="G1336" s="85" t="s">
        <v>2355</v>
      </c>
      <c r="H1336" s="46" t="s">
        <v>18</v>
      </c>
      <c r="I1336" s="47"/>
      <c r="J1336" s="48" t="s">
        <v>42</v>
      </c>
      <c r="K1336" s="86" t="s">
        <v>2354</v>
      </c>
      <c r="L1336" s="87" t="s">
        <v>25</v>
      </c>
      <c r="M1336" s="87" t="s">
        <v>26</v>
      </c>
      <c r="N1336" s="14" t="s">
        <v>27</v>
      </c>
      <c r="O1336" s="14" t="s">
        <v>28</v>
      </c>
      <c r="P1336" s="51">
        <v>10</v>
      </c>
      <c r="Q1336" s="47">
        <f t="shared" si="43"/>
        <v>40</v>
      </c>
      <c r="R1336" s="47"/>
      <c r="S1336" s="47"/>
      <c r="T1336" s="47"/>
    </row>
    <row r="1337" customHeight="1" spans="1:20">
      <c r="A1337" s="166" t="s">
        <v>2356</v>
      </c>
      <c r="B1337" s="129" t="s">
        <v>2078</v>
      </c>
      <c r="C1337" s="129"/>
      <c r="D1337" s="166">
        <v>2</v>
      </c>
      <c r="E1337" s="167" t="s">
        <v>172</v>
      </c>
      <c r="F1337" s="44">
        <f t="shared" si="44"/>
        <v>4</v>
      </c>
      <c r="G1337" s="85" t="s">
        <v>2357</v>
      </c>
      <c r="H1337" s="46" t="s">
        <v>18</v>
      </c>
      <c r="I1337" s="47"/>
      <c r="J1337" s="48" t="s">
        <v>42</v>
      </c>
      <c r="K1337" s="86" t="s">
        <v>2356</v>
      </c>
      <c r="L1337" s="87" t="s">
        <v>25</v>
      </c>
      <c r="M1337" s="87" t="s">
        <v>26</v>
      </c>
      <c r="N1337" s="14" t="s">
        <v>27</v>
      </c>
      <c r="O1337" s="14" t="s">
        <v>28</v>
      </c>
      <c r="P1337" s="51">
        <v>7</v>
      </c>
      <c r="Q1337" s="47">
        <f t="shared" si="43"/>
        <v>28</v>
      </c>
      <c r="R1337" s="47"/>
      <c r="S1337" s="47"/>
      <c r="T1337" s="47"/>
    </row>
    <row r="1338" customHeight="1" spans="1:20">
      <c r="A1338" s="166" t="s">
        <v>2358</v>
      </c>
      <c r="B1338" s="129" t="s">
        <v>2080</v>
      </c>
      <c r="C1338" s="129"/>
      <c r="D1338" s="166">
        <v>2</v>
      </c>
      <c r="E1338" s="167" t="s">
        <v>32</v>
      </c>
      <c r="F1338" s="44">
        <f t="shared" si="44"/>
        <v>4</v>
      </c>
      <c r="G1338" s="85" t="s">
        <v>2359</v>
      </c>
      <c r="H1338" s="46" t="s">
        <v>18</v>
      </c>
      <c r="I1338" s="47"/>
      <c r="J1338" s="48" t="s">
        <v>42</v>
      </c>
      <c r="K1338" s="86" t="s">
        <v>2358</v>
      </c>
      <c r="L1338" s="87" t="s">
        <v>25</v>
      </c>
      <c r="M1338" s="87" t="s">
        <v>26</v>
      </c>
      <c r="N1338" s="14" t="s">
        <v>27</v>
      </c>
      <c r="O1338" s="14" t="s">
        <v>28</v>
      </c>
      <c r="P1338" s="169">
        <v>18</v>
      </c>
      <c r="Q1338" s="47">
        <f t="shared" si="43"/>
        <v>72</v>
      </c>
      <c r="R1338" s="47"/>
      <c r="S1338" s="47"/>
      <c r="T1338" s="47"/>
    </row>
    <row r="1339" customHeight="1" spans="1:20">
      <c r="A1339" s="170">
        <v>81052</v>
      </c>
      <c r="B1339" s="78" t="s">
        <v>2082</v>
      </c>
      <c r="C1339" s="78"/>
      <c r="D1339" s="170">
        <v>2</v>
      </c>
      <c r="E1339" s="171" t="s">
        <v>21</v>
      </c>
      <c r="F1339" s="44">
        <f t="shared" si="44"/>
        <v>4</v>
      </c>
      <c r="G1339" s="85" t="s">
        <v>2360</v>
      </c>
      <c r="H1339" s="46" t="s">
        <v>18</v>
      </c>
      <c r="I1339" s="47"/>
      <c r="J1339" s="48" t="s">
        <v>42</v>
      </c>
      <c r="K1339" s="86">
        <v>81052</v>
      </c>
      <c r="L1339" s="87" t="s">
        <v>25</v>
      </c>
      <c r="M1339" s="87" t="s">
        <v>26</v>
      </c>
      <c r="N1339" s="14" t="s">
        <v>27</v>
      </c>
      <c r="O1339" s="14" t="s">
        <v>28</v>
      </c>
      <c r="P1339" s="169">
        <v>18</v>
      </c>
      <c r="Q1339" s="47">
        <f t="shared" si="43"/>
        <v>72</v>
      </c>
      <c r="R1339" s="47"/>
      <c r="S1339" s="47"/>
      <c r="T1339" s="47"/>
    </row>
    <row r="1340" customHeight="1" spans="1:20">
      <c r="A1340" s="166" t="s">
        <v>2361</v>
      </c>
      <c r="B1340" s="129" t="s">
        <v>1000</v>
      </c>
      <c r="C1340" s="129"/>
      <c r="D1340" s="166"/>
      <c r="E1340" s="167"/>
      <c r="F1340" s="44">
        <f t="shared" si="44"/>
        <v>0</v>
      </c>
      <c r="G1340" s="131"/>
      <c r="H1340" s="46"/>
      <c r="I1340" s="47"/>
      <c r="J1340" s="48" t="s">
        <v>42</v>
      </c>
      <c r="K1340" s="132"/>
      <c r="L1340" s="133"/>
      <c r="M1340" s="133"/>
      <c r="O1340" s="14" t="s">
        <v>28</v>
      </c>
      <c r="P1340" s="51"/>
      <c r="Q1340" s="47">
        <f t="shared" si="43"/>
        <v>0</v>
      </c>
      <c r="R1340" s="47"/>
      <c r="S1340" s="47"/>
      <c r="T1340" s="47">
        <v>82</v>
      </c>
    </row>
    <row r="1341" customHeight="1" spans="1:20">
      <c r="A1341" s="170">
        <v>82001</v>
      </c>
      <c r="B1341" s="78" t="s">
        <v>1001</v>
      </c>
      <c r="C1341" s="78"/>
      <c r="D1341" s="166">
        <v>6</v>
      </c>
      <c r="E1341" s="171" t="s">
        <v>1002</v>
      </c>
      <c r="F1341" s="44">
        <f t="shared" si="44"/>
        <v>12</v>
      </c>
      <c r="G1341" s="123" t="s">
        <v>1672</v>
      </c>
      <c r="H1341" s="46" t="s">
        <v>18</v>
      </c>
      <c r="I1341" s="47"/>
      <c r="J1341" s="48" t="s">
        <v>42</v>
      </c>
      <c r="K1341" s="124">
        <v>82001</v>
      </c>
      <c r="L1341" s="125" t="s">
        <v>25</v>
      </c>
      <c r="M1341" s="125" t="s">
        <v>26</v>
      </c>
      <c r="N1341" s="14" t="s">
        <v>27</v>
      </c>
      <c r="O1341" s="14" t="s">
        <v>28</v>
      </c>
      <c r="P1341" s="51">
        <v>29</v>
      </c>
      <c r="Q1341" s="47">
        <f t="shared" si="43"/>
        <v>348</v>
      </c>
      <c r="R1341" s="47"/>
      <c r="S1341" s="47"/>
      <c r="T1341" s="47">
        <v>82001</v>
      </c>
    </row>
    <row r="1342" customHeight="1" spans="1:20">
      <c r="A1342" s="170">
        <v>82003</v>
      </c>
      <c r="B1342" s="78" t="s">
        <v>1004</v>
      </c>
      <c r="C1342" s="78"/>
      <c r="D1342" s="166">
        <f>D1133+2</f>
        <v>58</v>
      </c>
      <c r="E1342" s="171" t="s">
        <v>21</v>
      </c>
      <c r="F1342" s="44">
        <f t="shared" si="44"/>
        <v>116</v>
      </c>
      <c r="G1342" s="85" t="s">
        <v>2362</v>
      </c>
      <c r="H1342" s="46" t="s">
        <v>18</v>
      </c>
      <c r="I1342" s="47"/>
      <c r="J1342" s="48" t="s">
        <v>42</v>
      </c>
      <c r="K1342" s="86">
        <v>82003</v>
      </c>
      <c r="L1342" s="87" t="s">
        <v>25</v>
      </c>
      <c r="M1342" s="87" t="s">
        <v>26</v>
      </c>
      <c r="N1342" s="14" t="s">
        <v>27</v>
      </c>
      <c r="O1342" s="14" t="s">
        <v>28</v>
      </c>
      <c r="P1342" s="51">
        <v>6</v>
      </c>
      <c r="Q1342" s="47">
        <f t="shared" si="43"/>
        <v>696</v>
      </c>
      <c r="R1342" s="47"/>
      <c r="S1342" s="47"/>
      <c r="T1342" s="47">
        <v>82002</v>
      </c>
    </row>
    <row r="1343" customHeight="1" spans="1:20">
      <c r="A1343" s="170">
        <v>82004</v>
      </c>
      <c r="B1343" s="78" t="s">
        <v>2086</v>
      </c>
      <c r="C1343" s="78"/>
      <c r="D1343" s="166">
        <v>3</v>
      </c>
      <c r="E1343" s="171" t="s">
        <v>21</v>
      </c>
      <c r="F1343" s="44">
        <f t="shared" si="44"/>
        <v>6</v>
      </c>
      <c r="G1343" s="85" t="s">
        <v>2363</v>
      </c>
      <c r="H1343" s="46" t="s">
        <v>18</v>
      </c>
      <c r="I1343" s="47"/>
      <c r="J1343" s="48" t="s">
        <v>42</v>
      </c>
      <c r="K1343" s="86">
        <v>82004</v>
      </c>
      <c r="L1343" s="87" t="s">
        <v>25</v>
      </c>
      <c r="M1343" s="87" t="s">
        <v>26</v>
      </c>
      <c r="N1343" s="14" t="s">
        <v>27</v>
      </c>
      <c r="O1343" s="14" t="s">
        <v>28</v>
      </c>
      <c r="P1343" s="169">
        <v>24</v>
      </c>
      <c r="Q1343" s="47">
        <f t="shared" si="43"/>
        <v>144</v>
      </c>
      <c r="R1343" s="47"/>
      <c r="S1343" s="47"/>
      <c r="T1343" s="47"/>
    </row>
    <row r="1344" customHeight="1" spans="1:20">
      <c r="A1344" s="170">
        <v>82005</v>
      </c>
      <c r="B1344" s="78" t="s">
        <v>2088</v>
      </c>
      <c r="C1344" s="78"/>
      <c r="D1344" s="166">
        <v>3</v>
      </c>
      <c r="E1344" s="171" t="s">
        <v>21</v>
      </c>
      <c r="F1344" s="44">
        <f t="shared" si="44"/>
        <v>6</v>
      </c>
      <c r="G1344" s="85" t="s">
        <v>2364</v>
      </c>
      <c r="H1344" s="46" t="s">
        <v>18</v>
      </c>
      <c r="I1344" s="47"/>
      <c r="J1344" s="48" t="s">
        <v>42</v>
      </c>
      <c r="K1344" s="86">
        <v>82005</v>
      </c>
      <c r="L1344" s="87" t="s">
        <v>2090</v>
      </c>
      <c r="M1344" s="87" t="s">
        <v>2091</v>
      </c>
      <c r="N1344" s="14" t="s">
        <v>27</v>
      </c>
      <c r="O1344" s="14" t="s">
        <v>28</v>
      </c>
      <c r="P1344" s="169">
        <v>17.5</v>
      </c>
      <c r="Q1344" s="47">
        <f t="shared" si="43"/>
        <v>105</v>
      </c>
      <c r="R1344" s="47"/>
      <c r="S1344" s="47"/>
      <c r="T1344" s="47"/>
    </row>
    <row r="1345" customHeight="1" spans="1:20">
      <c r="A1345" s="166" t="s">
        <v>2365</v>
      </c>
      <c r="B1345" s="129" t="s">
        <v>2366</v>
      </c>
      <c r="C1345" s="129"/>
      <c r="D1345" s="166">
        <v>3</v>
      </c>
      <c r="E1345" s="167" t="s">
        <v>1007</v>
      </c>
      <c r="F1345" s="44">
        <f t="shared" si="44"/>
        <v>6</v>
      </c>
      <c r="G1345" s="85" t="s">
        <v>2367</v>
      </c>
      <c r="H1345" s="46" t="s">
        <v>18</v>
      </c>
      <c r="I1345" s="47"/>
      <c r="J1345" s="48" t="s">
        <v>42</v>
      </c>
      <c r="K1345" s="86" t="s">
        <v>2365</v>
      </c>
      <c r="L1345" s="87" t="s">
        <v>2093</v>
      </c>
      <c r="M1345" s="87" t="s">
        <v>2094</v>
      </c>
      <c r="N1345" s="14" t="s">
        <v>27</v>
      </c>
      <c r="O1345" s="14" t="s">
        <v>28</v>
      </c>
      <c r="P1345" s="51">
        <v>8</v>
      </c>
      <c r="Q1345" s="47">
        <f t="shared" si="43"/>
        <v>48</v>
      </c>
      <c r="R1345" s="47"/>
      <c r="S1345" s="47"/>
      <c r="T1345" s="47"/>
    </row>
    <row r="1346" customHeight="1" spans="1:20">
      <c r="A1346" s="166" t="s">
        <v>2368</v>
      </c>
      <c r="B1346" s="129" t="s">
        <v>2098</v>
      </c>
      <c r="C1346" s="129"/>
      <c r="D1346" s="166">
        <v>2</v>
      </c>
      <c r="E1346" s="167" t="s">
        <v>32</v>
      </c>
      <c r="F1346" s="44">
        <f t="shared" si="44"/>
        <v>4</v>
      </c>
      <c r="G1346" s="123" t="s">
        <v>2369</v>
      </c>
      <c r="H1346" s="46" t="s">
        <v>18</v>
      </c>
      <c r="I1346" s="47"/>
      <c r="J1346" s="48" t="s">
        <v>42</v>
      </c>
      <c r="K1346" s="124" t="s">
        <v>2368</v>
      </c>
      <c r="L1346" s="125" t="s">
        <v>25</v>
      </c>
      <c r="M1346" s="125" t="s">
        <v>26</v>
      </c>
      <c r="N1346" s="14" t="s">
        <v>27</v>
      </c>
      <c r="O1346" s="14" t="s">
        <v>28</v>
      </c>
      <c r="P1346" s="51">
        <v>55</v>
      </c>
      <c r="Q1346" s="47">
        <f t="shared" si="43"/>
        <v>220</v>
      </c>
      <c r="R1346" s="47"/>
      <c r="S1346" s="47"/>
      <c r="T1346" s="47"/>
    </row>
    <row r="1347" customHeight="1" spans="1:20">
      <c r="A1347" s="166" t="s">
        <v>2370</v>
      </c>
      <c r="B1347" s="129" t="s">
        <v>2100</v>
      </c>
      <c r="C1347" s="129"/>
      <c r="D1347" s="166">
        <v>1</v>
      </c>
      <c r="E1347" s="167" t="s">
        <v>1002</v>
      </c>
      <c r="F1347" s="44">
        <f t="shared" si="44"/>
        <v>2</v>
      </c>
      <c r="G1347" s="82" t="s">
        <v>2101</v>
      </c>
      <c r="H1347" s="46" t="s">
        <v>18</v>
      </c>
      <c r="I1347" s="47"/>
      <c r="J1347" s="48" t="s">
        <v>42</v>
      </c>
      <c r="K1347" s="83" t="s">
        <v>2370</v>
      </c>
      <c r="L1347" s="84" t="s">
        <v>1053</v>
      </c>
      <c r="M1347" s="84" t="s">
        <v>1054</v>
      </c>
      <c r="N1347" s="14" t="s">
        <v>27</v>
      </c>
      <c r="O1347" s="14" t="s">
        <v>28</v>
      </c>
      <c r="P1347" s="51">
        <v>120</v>
      </c>
      <c r="Q1347" s="47">
        <f t="shared" si="43"/>
        <v>240</v>
      </c>
      <c r="R1347" s="47"/>
      <c r="S1347" s="47"/>
      <c r="T1347" s="47"/>
    </row>
    <row r="1348" customHeight="1" spans="1:20">
      <c r="A1348" s="170">
        <v>82011</v>
      </c>
      <c r="B1348" s="78" t="s">
        <v>2371</v>
      </c>
      <c r="C1348" s="78"/>
      <c r="D1348" s="170">
        <v>3</v>
      </c>
      <c r="E1348" s="171" t="s">
        <v>1002</v>
      </c>
      <c r="F1348" s="44">
        <f t="shared" si="44"/>
        <v>6</v>
      </c>
      <c r="G1348" s="85" t="s">
        <v>2372</v>
      </c>
      <c r="H1348" s="46" t="s">
        <v>18</v>
      </c>
      <c r="I1348" s="47"/>
      <c r="J1348" s="48" t="s">
        <v>42</v>
      </c>
      <c r="K1348" s="86">
        <v>82011</v>
      </c>
      <c r="L1348" s="87" t="s">
        <v>25</v>
      </c>
      <c r="M1348" s="87" t="s">
        <v>26</v>
      </c>
      <c r="N1348" s="14" t="s">
        <v>27</v>
      </c>
      <c r="O1348" s="14" t="s">
        <v>28</v>
      </c>
      <c r="P1348" s="51">
        <v>65</v>
      </c>
      <c r="Q1348" s="47">
        <f t="shared" ref="Q1348:Q1411" si="45">P1348*F1348</f>
        <v>390</v>
      </c>
      <c r="R1348" s="47"/>
      <c r="S1348" s="47"/>
      <c r="T1348" s="47"/>
    </row>
    <row r="1349" customHeight="1" spans="1:20">
      <c r="A1349" s="43">
        <v>82014</v>
      </c>
      <c r="B1349" s="78" t="s">
        <v>2047</v>
      </c>
      <c r="C1349" s="78"/>
      <c r="D1349" s="43">
        <v>2</v>
      </c>
      <c r="E1349" s="78" t="s">
        <v>21</v>
      </c>
      <c r="F1349" s="44">
        <f t="shared" si="44"/>
        <v>4</v>
      </c>
      <c r="G1349" s="85" t="s">
        <v>2373</v>
      </c>
      <c r="H1349" s="46" t="s">
        <v>18</v>
      </c>
      <c r="I1349" s="47"/>
      <c r="J1349" s="48" t="s">
        <v>42</v>
      </c>
      <c r="K1349" s="86">
        <v>64067</v>
      </c>
      <c r="L1349" s="87" t="s">
        <v>780</v>
      </c>
      <c r="M1349" s="87" t="s">
        <v>781</v>
      </c>
      <c r="N1349" s="14" t="s">
        <v>27</v>
      </c>
      <c r="O1349" s="14" t="s">
        <v>28</v>
      </c>
      <c r="P1349" s="51">
        <v>4</v>
      </c>
      <c r="Q1349" s="47">
        <f t="shared" si="45"/>
        <v>16</v>
      </c>
      <c r="R1349" s="47"/>
      <c r="S1349" s="47"/>
      <c r="T1349" s="47"/>
    </row>
    <row r="1350" customHeight="1" spans="1:20">
      <c r="A1350" s="6">
        <v>83</v>
      </c>
      <c r="B1350" s="2" t="s">
        <v>2374</v>
      </c>
      <c r="C1350" s="2"/>
      <c r="D1350" s="43"/>
      <c r="E1350" s="2"/>
      <c r="F1350" s="44">
        <f t="shared" si="44"/>
        <v>0</v>
      </c>
      <c r="G1350" s="77"/>
      <c r="H1350" s="46"/>
      <c r="I1350" s="47"/>
      <c r="J1350" s="48" t="s">
        <v>42</v>
      </c>
      <c r="K1350" s="94"/>
      <c r="L1350" s="95"/>
      <c r="M1350" s="95"/>
      <c r="O1350" s="14" t="s">
        <v>28</v>
      </c>
      <c r="P1350" s="51"/>
      <c r="Q1350" s="47">
        <f t="shared" si="45"/>
        <v>0</v>
      </c>
      <c r="R1350" s="47"/>
      <c r="S1350" s="47"/>
      <c r="T1350" s="47"/>
    </row>
    <row r="1351" customHeight="1" spans="1:20">
      <c r="A1351" s="43">
        <v>83201</v>
      </c>
      <c r="B1351" s="78" t="s">
        <v>2375</v>
      </c>
      <c r="C1351" s="78"/>
      <c r="D1351" s="43">
        <v>10</v>
      </c>
      <c r="E1351" s="78" t="s">
        <v>32</v>
      </c>
      <c r="F1351" s="44">
        <f t="shared" si="44"/>
        <v>20</v>
      </c>
      <c r="G1351" s="85" t="s">
        <v>2376</v>
      </c>
      <c r="H1351" s="46" t="s">
        <v>18</v>
      </c>
      <c r="I1351" s="47"/>
      <c r="J1351" s="48" t="s">
        <v>42</v>
      </c>
      <c r="K1351" s="86">
        <v>83201</v>
      </c>
      <c r="L1351" s="87" t="s">
        <v>25</v>
      </c>
      <c r="M1351" s="87" t="s">
        <v>26</v>
      </c>
      <c r="N1351" s="14" t="s">
        <v>27</v>
      </c>
      <c r="O1351" s="14" t="s">
        <v>28</v>
      </c>
      <c r="P1351" s="51">
        <v>35</v>
      </c>
      <c r="Q1351" s="47">
        <f t="shared" si="45"/>
        <v>700</v>
      </c>
      <c r="R1351" s="47"/>
      <c r="S1351" s="47"/>
      <c r="T1351" s="47"/>
    </row>
    <row r="1352" customHeight="1" spans="1:20">
      <c r="A1352" s="43">
        <v>72061</v>
      </c>
      <c r="B1352" s="78" t="s">
        <v>2377</v>
      </c>
      <c r="C1352" s="78"/>
      <c r="D1352" s="43">
        <v>10</v>
      </c>
      <c r="E1352" s="78" t="s">
        <v>2378</v>
      </c>
      <c r="F1352" s="44">
        <f t="shared" si="44"/>
        <v>20</v>
      </c>
      <c r="G1352" s="85" t="s">
        <v>2379</v>
      </c>
      <c r="H1352" s="46" t="s">
        <v>18</v>
      </c>
      <c r="I1352" s="47"/>
      <c r="J1352" s="48" t="s">
        <v>42</v>
      </c>
      <c r="K1352" s="86">
        <v>72061</v>
      </c>
      <c r="L1352" s="87" t="s">
        <v>2380</v>
      </c>
      <c r="M1352" s="87" t="s">
        <v>2381</v>
      </c>
      <c r="N1352" s="14" t="s">
        <v>27</v>
      </c>
      <c r="O1352" s="14" t="s">
        <v>28</v>
      </c>
      <c r="P1352" s="51">
        <v>3</v>
      </c>
      <c r="Q1352" s="47">
        <f t="shared" si="45"/>
        <v>60</v>
      </c>
      <c r="R1352" s="47"/>
      <c r="S1352" s="47"/>
      <c r="T1352" s="47"/>
    </row>
    <row r="1353" customHeight="1" spans="1:20">
      <c r="A1353" s="43">
        <v>72062</v>
      </c>
      <c r="B1353" s="78" t="s">
        <v>2382</v>
      </c>
      <c r="C1353" s="78"/>
      <c r="D1353" s="43">
        <v>5</v>
      </c>
      <c r="E1353" s="78" t="s">
        <v>2378</v>
      </c>
      <c r="F1353" s="44">
        <f t="shared" si="44"/>
        <v>10</v>
      </c>
      <c r="G1353" s="85" t="s">
        <v>2383</v>
      </c>
      <c r="H1353" s="46" t="s">
        <v>18</v>
      </c>
      <c r="I1353" s="47"/>
      <c r="J1353" s="48" t="s">
        <v>42</v>
      </c>
      <c r="K1353" s="86">
        <v>72062</v>
      </c>
      <c r="L1353" s="87" t="s">
        <v>2380</v>
      </c>
      <c r="M1353" s="87" t="s">
        <v>2381</v>
      </c>
      <c r="N1353" s="14" t="s">
        <v>27</v>
      </c>
      <c r="O1353" s="14" t="s">
        <v>28</v>
      </c>
      <c r="P1353" s="51">
        <v>3</v>
      </c>
      <c r="Q1353" s="47">
        <f t="shared" si="45"/>
        <v>30</v>
      </c>
      <c r="R1353" s="47"/>
      <c r="S1353" s="47"/>
      <c r="T1353" s="47"/>
    </row>
    <row r="1354" customHeight="1" spans="1:20">
      <c r="A1354" s="43">
        <v>72063</v>
      </c>
      <c r="B1354" s="78" t="s">
        <v>2384</v>
      </c>
      <c r="C1354" s="78"/>
      <c r="D1354" s="43">
        <v>5</v>
      </c>
      <c r="E1354" s="78" t="s">
        <v>2378</v>
      </c>
      <c r="F1354" s="44">
        <f t="shared" si="44"/>
        <v>10</v>
      </c>
      <c r="G1354" s="85" t="s">
        <v>2385</v>
      </c>
      <c r="H1354" s="46" t="s">
        <v>18</v>
      </c>
      <c r="I1354" s="47"/>
      <c r="J1354" s="48" t="s">
        <v>42</v>
      </c>
      <c r="K1354" s="86">
        <v>72063</v>
      </c>
      <c r="L1354" s="87" t="s">
        <v>2380</v>
      </c>
      <c r="M1354" s="87" t="s">
        <v>2381</v>
      </c>
      <c r="N1354" s="14" t="s">
        <v>27</v>
      </c>
      <c r="O1354" s="14" t="s">
        <v>28</v>
      </c>
      <c r="P1354" s="51">
        <v>3</v>
      </c>
      <c r="Q1354" s="47">
        <f t="shared" si="45"/>
        <v>30</v>
      </c>
      <c r="R1354" s="47"/>
      <c r="S1354" s="47"/>
      <c r="T1354" s="47"/>
    </row>
    <row r="1355" customHeight="1" spans="1:20">
      <c r="A1355" s="43">
        <v>72091</v>
      </c>
      <c r="B1355" s="78" t="s">
        <v>2386</v>
      </c>
      <c r="C1355" s="78"/>
      <c r="D1355" s="43">
        <v>5</v>
      </c>
      <c r="E1355" s="78" t="s">
        <v>169</v>
      </c>
      <c r="F1355" s="44">
        <f t="shared" si="44"/>
        <v>10</v>
      </c>
      <c r="G1355" s="85" t="s">
        <v>2387</v>
      </c>
      <c r="H1355" s="46" t="s">
        <v>18</v>
      </c>
      <c r="I1355" s="47"/>
      <c r="J1355" s="48" t="s">
        <v>42</v>
      </c>
      <c r="K1355" s="86">
        <v>72091</v>
      </c>
      <c r="L1355" s="87" t="s">
        <v>2380</v>
      </c>
      <c r="M1355" s="87" t="s">
        <v>2381</v>
      </c>
      <c r="N1355" s="14" t="s">
        <v>27</v>
      </c>
      <c r="O1355" s="14" t="s">
        <v>28</v>
      </c>
      <c r="P1355" s="51">
        <v>10</v>
      </c>
      <c r="Q1355" s="47">
        <f t="shared" si="45"/>
        <v>100</v>
      </c>
      <c r="R1355" s="47"/>
      <c r="S1355" s="47"/>
      <c r="T1355" s="47"/>
    </row>
    <row r="1356" s="13" customFormat="1" ht="21" customHeight="1" spans="1:20">
      <c r="A1356" s="52" t="s">
        <v>1675</v>
      </c>
      <c r="B1356" s="53"/>
      <c r="C1356" s="53"/>
      <c r="D1356" s="53"/>
      <c r="E1356" s="53"/>
      <c r="F1356" s="54"/>
      <c r="G1356" s="55"/>
      <c r="H1356" s="56"/>
      <c r="I1356" s="57"/>
      <c r="J1356" s="48"/>
      <c r="K1356" s="58"/>
      <c r="L1356" s="58"/>
      <c r="M1356" s="59"/>
      <c r="P1356" s="60"/>
      <c r="Q1356" s="47">
        <f t="shared" si="45"/>
        <v>0</v>
      </c>
      <c r="R1356" s="57"/>
      <c r="S1356" s="57"/>
      <c r="T1356" s="57"/>
    </row>
    <row r="1357" s="13" customFormat="1" ht="21" customHeight="1" spans="1:20">
      <c r="A1357" s="61" t="s">
        <v>2104</v>
      </c>
      <c r="B1357" s="62"/>
      <c r="C1357" s="62"/>
      <c r="D1357" s="62"/>
      <c r="E1357" s="62"/>
      <c r="F1357" s="63"/>
      <c r="G1357" s="64"/>
      <c r="H1357" s="65"/>
      <c r="I1357" s="66"/>
      <c r="J1357" s="48"/>
      <c r="K1357" s="58"/>
      <c r="L1357" s="58"/>
      <c r="M1357" s="59"/>
      <c r="P1357" s="67"/>
      <c r="Q1357" s="47">
        <f t="shared" si="45"/>
        <v>0</v>
      </c>
      <c r="R1357" s="66"/>
      <c r="S1357" s="66"/>
      <c r="T1357" s="66"/>
    </row>
    <row r="1358" customHeight="1" spans="1:20">
      <c r="A1358" s="1" t="s">
        <v>2388</v>
      </c>
      <c r="B1358" s="2" t="s">
        <v>2389</v>
      </c>
      <c r="C1358" s="2"/>
      <c r="D1358" s="6">
        <v>4</v>
      </c>
      <c r="E1358" s="8" t="s">
        <v>16</v>
      </c>
      <c r="F1358" s="172"/>
      <c r="G1358" s="77" t="s">
        <v>2390</v>
      </c>
      <c r="H1358" s="46" t="s">
        <v>18</v>
      </c>
      <c r="I1358" s="47"/>
      <c r="J1358" s="48"/>
      <c r="K1358" s="73"/>
      <c r="L1358" s="73"/>
      <c r="M1358" s="74"/>
      <c r="P1358" s="51"/>
      <c r="Q1358" s="47">
        <f t="shared" si="45"/>
        <v>0</v>
      </c>
      <c r="R1358" s="47"/>
      <c r="S1358" s="47"/>
      <c r="T1358" s="47"/>
    </row>
    <row r="1359" customHeight="1" spans="1:20">
      <c r="A1359" s="244" t="s">
        <v>2391</v>
      </c>
      <c r="B1359" s="2" t="s">
        <v>2392</v>
      </c>
      <c r="C1359" s="2"/>
      <c r="D1359" s="173">
        <v>1</v>
      </c>
      <c r="E1359" s="174" t="s">
        <v>16</v>
      </c>
      <c r="F1359" s="175"/>
      <c r="G1359" s="176" t="s">
        <v>2393</v>
      </c>
      <c r="H1359" s="46"/>
      <c r="I1359" s="47"/>
      <c r="J1359" s="48"/>
      <c r="K1359" s="73"/>
      <c r="L1359" s="73"/>
      <c r="M1359" s="74"/>
      <c r="P1359" s="51"/>
      <c r="Q1359" s="47">
        <f t="shared" si="45"/>
        <v>0</v>
      </c>
      <c r="R1359" s="47"/>
      <c r="S1359" s="47"/>
      <c r="T1359" s="47"/>
    </row>
    <row r="1360" customHeight="1" spans="1:20">
      <c r="A1360" s="244" t="s">
        <v>2394</v>
      </c>
      <c r="B1360" s="177" t="s">
        <v>2395</v>
      </c>
      <c r="C1360" s="177"/>
      <c r="D1360" s="41">
        <v>56</v>
      </c>
      <c r="E1360" s="71" t="s">
        <v>2396</v>
      </c>
      <c r="F1360" s="44"/>
      <c r="G1360" s="178"/>
      <c r="H1360" s="46"/>
      <c r="I1360" s="47"/>
      <c r="J1360" s="48"/>
      <c r="K1360" s="73"/>
      <c r="L1360" s="73"/>
      <c r="M1360" s="74"/>
      <c r="P1360" s="51"/>
      <c r="Q1360" s="47">
        <f t="shared" si="45"/>
        <v>0</v>
      </c>
      <c r="R1360" s="47"/>
      <c r="S1360" s="47"/>
      <c r="T1360" s="47"/>
    </row>
    <row r="1361" customHeight="1" spans="1:20">
      <c r="A1361" s="244" t="s">
        <v>2397</v>
      </c>
      <c r="B1361" s="177" t="s">
        <v>2398</v>
      </c>
      <c r="C1361" s="177"/>
      <c r="D1361" s="179"/>
      <c r="E1361" s="180"/>
      <c r="F1361" s="181"/>
      <c r="G1361" s="182"/>
      <c r="H1361" s="46"/>
      <c r="I1361" s="47"/>
      <c r="J1361" s="48"/>
      <c r="K1361" s="73"/>
      <c r="L1361" s="73"/>
      <c r="M1361" s="74"/>
      <c r="P1361" s="51"/>
      <c r="Q1361" s="47">
        <f t="shared" si="45"/>
        <v>0</v>
      </c>
      <c r="R1361" s="47"/>
      <c r="S1361" s="47"/>
      <c r="T1361" s="47"/>
    </row>
    <row r="1362" s="13" customFormat="1" ht="21" customHeight="1" spans="1:20">
      <c r="A1362" s="52" t="s">
        <v>29</v>
      </c>
      <c r="B1362" s="53"/>
      <c r="C1362" s="53"/>
      <c r="D1362" s="53"/>
      <c r="E1362" s="53"/>
      <c r="F1362" s="54"/>
      <c r="G1362" s="55"/>
      <c r="H1362" s="56"/>
      <c r="I1362" s="57"/>
      <c r="J1362" s="48"/>
      <c r="K1362" s="58"/>
      <c r="L1362" s="58"/>
      <c r="M1362" s="59"/>
      <c r="P1362" s="60"/>
      <c r="Q1362" s="47">
        <f t="shared" si="45"/>
        <v>0</v>
      </c>
      <c r="R1362" s="57"/>
      <c r="S1362" s="57"/>
      <c r="T1362" s="57"/>
    </row>
    <row r="1363" s="13" customFormat="1" ht="21" customHeight="1" spans="1:20">
      <c r="A1363" s="61" t="s">
        <v>1676</v>
      </c>
      <c r="B1363" s="62"/>
      <c r="C1363" s="62"/>
      <c r="D1363" s="62"/>
      <c r="E1363" s="62"/>
      <c r="F1363" s="63"/>
      <c r="G1363" s="64"/>
      <c r="H1363" s="65"/>
      <c r="I1363" s="66"/>
      <c r="J1363" s="48"/>
      <c r="K1363" s="58"/>
      <c r="L1363" s="58"/>
      <c r="M1363" s="59"/>
      <c r="P1363" s="67"/>
      <c r="Q1363" s="47">
        <f t="shared" si="45"/>
        <v>0</v>
      </c>
      <c r="R1363" s="66"/>
      <c r="S1363" s="66"/>
      <c r="T1363" s="66"/>
    </row>
    <row r="1364" customHeight="1" spans="1:20">
      <c r="A1364" s="1">
        <v>2</v>
      </c>
      <c r="B1364" s="2" t="s">
        <v>2399</v>
      </c>
      <c r="C1364" s="2"/>
      <c r="D1364" s="6">
        <v>3</v>
      </c>
      <c r="E1364" s="8" t="s">
        <v>16</v>
      </c>
      <c r="F1364" s="172"/>
      <c r="G1364" s="77" t="s">
        <v>2400</v>
      </c>
      <c r="H1364" s="46" t="s">
        <v>18</v>
      </c>
      <c r="I1364" s="47"/>
      <c r="J1364" s="48"/>
      <c r="K1364" s="73"/>
      <c r="L1364" s="73"/>
      <c r="M1364" s="74"/>
      <c r="P1364" s="51"/>
      <c r="Q1364" s="47">
        <f t="shared" si="45"/>
        <v>0</v>
      </c>
      <c r="R1364" s="47"/>
      <c r="S1364" s="47"/>
      <c r="T1364" s="47"/>
    </row>
    <row r="1365" customHeight="1" spans="1:20">
      <c r="A1365" s="246" t="s">
        <v>2401</v>
      </c>
      <c r="B1365" s="71" t="s">
        <v>2395</v>
      </c>
      <c r="C1365" s="71"/>
      <c r="D1365" s="41">
        <v>56</v>
      </c>
      <c r="E1365" s="71" t="s">
        <v>2396</v>
      </c>
      <c r="F1365" s="44"/>
      <c r="G1365" s="178"/>
      <c r="H1365" s="46"/>
      <c r="I1365" s="47"/>
      <c r="J1365" s="48"/>
      <c r="K1365" s="73"/>
      <c r="L1365" s="73"/>
      <c r="M1365" s="74"/>
      <c r="P1365" s="51"/>
      <c r="Q1365" s="47">
        <f t="shared" si="45"/>
        <v>0</v>
      </c>
      <c r="R1365" s="47"/>
      <c r="S1365" s="47"/>
      <c r="T1365" s="47"/>
    </row>
    <row r="1366" customHeight="1" spans="1:20">
      <c r="A1366" s="246" t="s">
        <v>2402</v>
      </c>
      <c r="B1366" s="71" t="s">
        <v>2398</v>
      </c>
      <c r="C1366" s="71"/>
      <c r="D1366" s="179"/>
      <c r="E1366" s="180"/>
      <c r="F1366" s="181"/>
      <c r="G1366" s="182"/>
      <c r="H1366" s="46"/>
      <c r="I1366" s="47"/>
      <c r="J1366" s="48"/>
      <c r="K1366" s="73"/>
      <c r="L1366" s="73"/>
      <c r="M1366" s="74"/>
      <c r="P1366" s="51"/>
      <c r="Q1366" s="47">
        <f t="shared" si="45"/>
        <v>0</v>
      </c>
      <c r="R1366" s="47"/>
      <c r="S1366" s="47"/>
      <c r="T1366" s="47"/>
    </row>
    <row r="1367" s="13" customFormat="1" ht="21" customHeight="1" spans="1:20">
      <c r="A1367" s="52" t="s">
        <v>29</v>
      </c>
      <c r="B1367" s="53"/>
      <c r="C1367" s="53"/>
      <c r="D1367" s="53"/>
      <c r="E1367" s="53"/>
      <c r="F1367" s="54"/>
      <c r="G1367" s="55"/>
      <c r="H1367" s="56"/>
      <c r="I1367" s="57"/>
      <c r="J1367" s="48"/>
      <c r="K1367" s="58"/>
      <c r="L1367" s="58"/>
      <c r="M1367" s="59"/>
      <c r="P1367" s="60"/>
      <c r="Q1367" s="47">
        <f t="shared" si="45"/>
        <v>0</v>
      </c>
      <c r="R1367" s="57"/>
      <c r="S1367" s="57"/>
      <c r="T1367" s="57"/>
    </row>
    <row r="1368" s="13" customFormat="1" ht="21" customHeight="1" spans="1:20">
      <c r="A1368" s="61" t="s">
        <v>2403</v>
      </c>
      <c r="B1368" s="62"/>
      <c r="C1368" s="62"/>
      <c r="D1368" s="62"/>
      <c r="E1368" s="62"/>
      <c r="F1368" s="63"/>
      <c r="G1368" s="64"/>
      <c r="H1368" s="65"/>
      <c r="I1368" s="66"/>
      <c r="J1368" s="48"/>
      <c r="K1368" s="58"/>
      <c r="L1368" s="58"/>
      <c r="M1368" s="59"/>
      <c r="P1368" s="67"/>
      <c r="Q1368" s="47">
        <f t="shared" si="45"/>
        <v>0</v>
      </c>
      <c r="R1368" s="66"/>
      <c r="S1368" s="66"/>
      <c r="T1368" s="66"/>
    </row>
    <row r="1369" customHeight="1" spans="1:20">
      <c r="A1369" s="183">
        <v>3</v>
      </c>
      <c r="B1369" s="2" t="s">
        <v>2404</v>
      </c>
      <c r="C1369" s="2"/>
      <c r="D1369" s="183">
        <v>2</v>
      </c>
      <c r="E1369" s="184" t="s">
        <v>16</v>
      </c>
      <c r="F1369" s="185"/>
      <c r="G1369" s="186" t="s">
        <v>2405</v>
      </c>
      <c r="H1369" s="46" t="s">
        <v>18</v>
      </c>
      <c r="I1369" s="47"/>
      <c r="J1369" s="48"/>
      <c r="K1369" s="73"/>
      <c r="L1369" s="73"/>
      <c r="M1369" s="74"/>
      <c r="P1369" s="51"/>
      <c r="Q1369" s="47">
        <f t="shared" si="45"/>
        <v>0</v>
      </c>
      <c r="R1369" s="47"/>
      <c r="S1369" s="47"/>
      <c r="T1369" s="47"/>
    </row>
    <row r="1370" s="13" customFormat="1" ht="21" customHeight="1" spans="1:20">
      <c r="A1370" s="52" t="s">
        <v>29</v>
      </c>
      <c r="B1370" s="53"/>
      <c r="C1370" s="53"/>
      <c r="D1370" s="53"/>
      <c r="E1370" s="53"/>
      <c r="F1370" s="54"/>
      <c r="G1370" s="55"/>
      <c r="H1370" s="56"/>
      <c r="I1370" s="57"/>
      <c r="J1370" s="48"/>
      <c r="K1370" s="58"/>
      <c r="L1370" s="58"/>
      <c r="M1370" s="59"/>
      <c r="P1370" s="60"/>
      <c r="Q1370" s="47">
        <f t="shared" si="45"/>
        <v>0</v>
      </c>
      <c r="R1370" s="57"/>
      <c r="S1370" s="57"/>
      <c r="T1370" s="57"/>
    </row>
    <row r="1371" s="13" customFormat="1" ht="21" customHeight="1" spans="1:20">
      <c r="A1371" s="61" t="s">
        <v>30</v>
      </c>
      <c r="B1371" s="62"/>
      <c r="C1371" s="62"/>
      <c r="D1371" s="62"/>
      <c r="E1371" s="62"/>
      <c r="F1371" s="63"/>
      <c r="G1371" s="64"/>
      <c r="H1371" s="65"/>
      <c r="I1371" s="66"/>
      <c r="J1371" s="48"/>
      <c r="K1371" s="58"/>
      <c r="L1371" s="58"/>
      <c r="M1371" s="59"/>
      <c r="P1371" s="67"/>
      <c r="Q1371" s="47">
        <f t="shared" si="45"/>
        <v>0</v>
      </c>
      <c r="R1371" s="66"/>
      <c r="S1371" s="66"/>
      <c r="T1371" s="66"/>
    </row>
    <row r="1372" customHeight="1" spans="1:20">
      <c r="A1372" s="183">
        <v>4</v>
      </c>
      <c r="B1372" s="2" t="s">
        <v>2406</v>
      </c>
      <c r="C1372" s="2"/>
      <c r="D1372" s="183">
        <v>2</v>
      </c>
      <c r="E1372" s="184" t="s">
        <v>16</v>
      </c>
      <c r="F1372" s="185"/>
      <c r="G1372" s="187"/>
      <c r="H1372" s="46"/>
      <c r="I1372" s="47"/>
      <c r="J1372" s="48"/>
      <c r="K1372" s="73"/>
      <c r="L1372" s="73"/>
      <c r="M1372" s="74"/>
      <c r="P1372" s="51"/>
      <c r="Q1372" s="47">
        <f t="shared" si="45"/>
        <v>0</v>
      </c>
      <c r="R1372" s="47"/>
      <c r="S1372" s="47"/>
      <c r="T1372" s="47"/>
    </row>
    <row r="1373" s="13" customFormat="1" ht="21" customHeight="1" spans="1:20">
      <c r="A1373" s="52" t="s">
        <v>29</v>
      </c>
      <c r="B1373" s="53"/>
      <c r="C1373" s="53"/>
      <c r="D1373" s="53"/>
      <c r="E1373" s="53"/>
      <c r="F1373" s="54"/>
      <c r="G1373" s="55"/>
      <c r="H1373" s="56"/>
      <c r="I1373" s="57"/>
      <c r="J1373" s="48"/>
      <c r="K1373" s="58"/>
      <c r="L1373" s="58"/>
      <c r="M1373" s="59"/>
      <c r="P1373" s="60"/>
      <c r="Q1373" s="47">
        <f t="shared" si="45"/>
        <v>0</v>
      </c>
      <c r="R1373" s="57"/>
      <c r="S1373" s="57"/>
      <c r="T1373" s="57"/>
    </row>
    <row r="1374" s="13" customFormat="1" ht="21" customHeight="1" spans="1:20">
      <c r="A1374" s="61" t="s">
        <v>30</v>
      </c>
      <c r="B1374" s="62"/>
      <c r="C1374" s="62"/>
      <c r="D1374" s="62"/>
      <c r="E1374" s="62"/>
      <c r="F1374" s="63"/>
      <c r="G1374" s="64"/>
      <c r="H1374" s="65"/>
      <c r="I1374" s="66"/>
      <c r="J1374" s="48"/>
      <c r="K1374" s="58"/>
      <c r="L1374" s="58"/>
      <c r="M1374" s="59"/>
      <c r="P1374" s="67"/>
      <c r="Q1374" s="47">
        <f t="shared" si="45"/>
        <v>0</v>
      </c>
      <c r="R1374" s="66"/>
      <c r="S1374" s="66"/>
      <c r="T1374" s="66"/>
    </row>
    <row r="1375" s="12" customFormat="1" customHeight="1" spans="1:20">
      <c r="A1375" s="68">
        <v>5</v>
      </c>
      <c r="B1375" s="30" t="s">
        <v>2407</v>
      </c>
      <c r="C1375" s="30"/>
      <c r="D1375" s="68">
        <v>2</v>
      </c>
      <c r="E1375" s="30" t="s">
        <v>32</v>
      </c>
      <c r="F1375" s="69"/>
      <c r="G1375" s="70" t="s">
        <v>33</v>
      </c>
      <c r="H1375" s="35" t="s">
        <v>18</v>
      </c>
      <c r="I1375" s="36"/>
      <c r="J1375" s="37"/>
      <c r="K1375" s="38"/>
      <c r="L1375" s="38"/>
      <c r="M1375" s="39"/>
      <c r="N1375" s="12"/>
      <c r="O1375" s="12"/>
      <c r="P1375" s="40"/>
      <c r="Q1375" s="36">
        <f t="shared" si="45"/>
        <v>0</v>
      </c>
      <c r="R1375" s="36"/>
      <c r="S1375" s="36"/>
      <c r="T1375" s="36"/>
    </row>
    <row r="1376" customHeight="1" spans="1:20">
      <c r="A1376" s="244" t="s">
        <v>34</v>
      </c>
      <c r="B1376" s="71" t="s">
        <v>35</v>
      </c>
      <c r="C1376" s="71"/>
      <c r="D1376" s="41">
        <v>56</v>
      </c>
      <c r="E1376" s="71" t="s">
        <v>36</v>
      </c>
      <c r="F1376" s="44"/>
      <c r="G1376" s="72"/>
      <c r="H1376" s="46"/>
      <c r="I1376" s="47"/>
      <c r="J1376" s="48"/>
      <c r="K1376" s="73"/>
      <c r="L1376" s="73"/>
      <c r="M1376" s="74"/>
      <c r="P1376" s="51"/>
      <c r="Q1376" s="47">
        <f t="shared" si="45"/>
        <v>0</v>
      </c>
      <c r="R1376" s="47"/>
      <c r="S1376" s="47"/>
      <c r="T1376" s="47"/>
    </row>
    <row r="1377" customHeight="1" spans="1:20">
      <c r="A1377" s="43">
        <v>2002</v>
      </c>
      <c r="B1377" s="78" t="s">
        <v>50</v>
      </c>
      <c r="C1377" s="78"/>
      <c r="D1377" s="43">
        <v>5</v>
      </c>
      <c r="E1377" s="78" t="s">
        <v>32</v>
      </c>
      <c r="F1377" s="44">
        <f t="shared" ref="F1377:F1440" si="46">D1377*2</f>
        <v>10</v>
      </c>
      <c r="G1377" s="82" t="s">
        <v>51</v>
      </c>
      <c r="H1377" s="46" t="s">
        <v>18</v>
      </c>
      <c r="I1377" s="47"/>
      <c r="J1377" s="48" t="s">
        <v>42</v>
      </c>
      <c r="K1377" s="83" t="s">
        <v>49</v>
      </c>
      <c r="L1377" s="84" t="s">
        <v>25</v>
      </c>
      <c r="M1377" s="84" t="s">
        <v>26</v>
      </c>
      <c r="N1377" s="14" t="s">
        <v>27</v>
      </c>
      <c r="O1377" s="14" t="s">
        <v>28</v>
      </c>
      <c r="P1377" s="51">
        <v>6</v>
      </c>
      <c r="Q1377" s="47">
        <f t="shared" si="45"/>
        <v>60</v>
      </c>
      <c r="R1377" s="47"/>
      <c r="S1377" s="47"/>
      <c r="T1377" s="47">
        <v>2002</v>
      </c>
    </row>
    <row r="1378" customHeight="1" spans="1:20">
      <c r="A1378" s="43">
        <v>2006</v>
      </c>
      <c r="B1378" s="78" t="s">
        <v>2408</v>
      </c>
      <c r="C1378" s="78"/>
      <c r="D1378" s="43">
        <v>1</v>
      </c>
      <c r="E1378" s="78" t="s">
        <v>47</v>
      </c>
      <c r="F1378" s="44">
        <f t="shared" si="46"/>
        <v>2</v>
      </c>
      <c r="G1378" s="85" t="s">
        <v>2409</v>
      </c>
      <c r="H1378" s="46" t="s">
        <v>18</v>
      </c>
      <c r="I1378" s="47"/>
      <c r="J1378" s="48" t="s">
        <v>42</v>
      </c>
      <c r="K1378" s="86" t="s">
        <v>2410</v>
      </c>
      <c r="L1378" s="87" t="s">
        <v>25</v>
      </c>
      <c r="M1378" s="87" t="s">
        <v>26</v>
      </c>
      <c r="N1378" s="14" t="s">
        <v>27</v>
      </c>
      <c r="O1378" s="14" t="s">
        <v>28</v>
      </c>
      <c r="P1378" s="51">
        <v>320</v>
      </c>
      <c r="Q1378" s="47">
        <f t="shared" si="45"/>
        <v>640</v>
      </c>
      <c r="R1378" s="47"/>
      <c r="S1378" s="47"/>
      <c r="T1378" s="47"/>
    </row>
    <row r="1379" customHeight="1" spans="1:20">
      <c r="A1379" s="43">
        <v>2020</v>
      </c>
      <c r="B1379" s="78" t="s">
        <v>77</v>
      </c>
      <c r="C1379" s="78"/>
      <c r="D1379" s="43">
        <v>1</v>
      </c>
      <c r="E1379" s="78" t="s">
        <v>78</v>
      </c>
      <c r="F1379" s="44">
        <f t="shared" si="46"/>
        <v>2</v>
      </c>
      <c r="G1379" s="85" t="s">
        <v>79</v>
      </c>
      <c r="H1379" s="46" t="s">
        <v>18</v>
      </c>
      <c r="I1379" s="47"/>
      <c r="J1379" s="48" t="s">
        <v>42</v>
      </c>
      <c r="K1379" s="86">
        <v>2020</v>
      </c>
      <c r="L1379" s="87" t="s">
        <v>25</v>
      </c>
      <c r="M1379" s="87" t="s">
        <v>26</v>
      </c>
      <c r="N1379" s="14" t="s">
        <v>27</v>
      </c>
      <c r="O1379" s="14" t="s">
        <v>28</v>
      </c>
      <c r="P1379" s="51">
        <v>260</v>
      </c>
      <c r="Q1379" s="47">
        <f t="shared" si="45"/>
        <v>520</v>
      </c>
      <c r="R1379" s="47"/>
      <c r="S1379" s="47"/>
      <c r="T1379" s="47">
        <v>2020</v>
      </c>
    </row>
    <row r="1380" customHeight="1" spans="1:20">
      <c r="A1380" s="43">
        <v>2051</v>
      </c>
      <c r="B1380" s="78" t="s">
        <v>1041</v>
      </c>
      <c r="C1380" s="78"/>
      <c r="D1380" s="43">
        <v>56</v>
      </c>
      <c r="E1380" s="78" t="s">
        <v>21</v>
      </c>
      <c r="F1380" s="44">
        <f t="shared" si="46"/>
        <v>112</v>
      </c>
      <c r="G1380" s="85" t="s">
        <v>2411</v>
      </c>
      <c r="H1380" s="46" t="s">
        <v>18</v>
      </c>
      <c r="I1380" s="47"/>
      <c r="J1380" s="48" t="s">
        <v>42</v>
      </c>
      <c r="K1380" s="86" t="s">
        <v>1040</v>
      </c>
      <c r="L1380" s="87" t="s">
        <v>25</v>
      </c>
      <c r="M1380" s="87" t="s">
        <v>26</v>
      </c>
      <c r="N1380" s="14" t="s">
        <v>27</v>
      </c>
      <c r="O1380" s="14" t="s">
        <v>28</v>
      </c>
      <c r="P1380" s="51">
        <v>2</v>
      </c>
      <c r="Q1380" s="47">
        <f t="shared" si="45"/>
        <v>224</v>
      </c>
      <c r="R1380" s="47"/>
      <c r="S1380" s="47"/>
      <c r="T1380" s="47"/>
    </row>
    <row r="1381" customHeight="1" spans="1:20">
      <c r="A1381" s="43">
        <v>2070</v>
      </c>
      <c r="B1381" s="78" t="s">
        <v>1687</v>
      </c>
      <c r="C1381" s="78"/>
      <c r="D1381" s="43">
        <v>2</v>
      </c>
      <c r="E1381" s="78" t="s">
        <v>54</v>
      </c>
      <c r="F1381" s="44">
        <f t="shared" si="46"/>
        <v>4</v>
      </c>
      <c r="G1381" s="85" t="s">
        <v>1688</v>
      </c>
      <c r="H1381" s="46" t="s">
        <v>18</v>
      </c>
      <c r="I1381" s="47"/>
      <c r="J1381" s="48" t="s">
        <v>42</v>
      </c>
      <c r="K1381" s="86" t="s">
        <v>1689</v>
      </c>
      <c r="L1381" s="87" t="s">
        <v>25</v>
      </c>
      <c r="M1381" s="87" t="s">
        <v>26</v>
      </c>
      <c r="N1381" s="14" t="s">
        <v>27</v>
      </c>
      <c r="O1381" s="14" t="s">
        <v>28</v>
      </c>
      <c r="P1381" s="51">
        <v>220</v>
      </c>
      <c r="Q1381" s="47">
        <f t="shared" si="45"/>
        <v>880</v>
      </c>
      <c r="R1381" s="47"/>
      <c r="S1381" s="47"/>
      <c r="T1381" s="47"/>
    </row>
    <row r="1382" customHeight="1" spans="1:20">
      <c r="A1382" s="43">
        <v>2070</v>
      </c>
      <c r="B1382" s="78" t="s">
        <v>1687</v>
      </c>
      <c r="C1382" s="78"/>
      <c r="D1382" s="43">
        <v>2</v>
      </c>
      <c r="E1382" s="78" t="s">
        <v>54</v>
      </c>
      <c r="F1382" s="44">
        <f t="shared" si="46"/>
        <v>4</v>
      </c>
      <c r="G1382" s="85" t="s">
        <v>2412</v>
      </c>
      <c r="H1382" s="46" t="s">
        <v>18</v>
      </c>
      <c r="I1382" s="47"/>
      <c r="J1382" s="48" t="s">
        <v>42</v>
      </c>
      <c r="K1382" s="86" t="s">
        <v>1689</v>
      </c>
      <c r="L1382" s="87" t="s">
        <v>25</v>
      </c>
      <c r="M1382" s="87" t="s">
        <v>26</v>
      </c>
      <c r="N1382" s="14" t="s">
        <v>27</v>
      </c>
      <c r="O1382" s="14" t="s">
        <v>28</v>
      </c>
      <c r="P1382" s="51">
        <v>750</v>
      </c>
      <c r="Q1382" s="47">
        <f t="shared" si="45"/>
        <v>3000</v>
      </c>
      <c r="R1382" s="47"/>
      <c r="S1382" s="47"/>
      <c r="T1382" s="47"/>
    </row>
    <row r="1383" customHeight="1" spans="1:20">
      <c r="A1383" s="43">
        <v>2073</v>
      </c>
      <c r="B1383" s="78" t="s">
        <v>1692</v>
      </c>
      <c r="C1383" s="78"/>
      <c r="D1383" s="43">
        <v>1</v>
      </c>
      <c r="E1383" s="78" t="s">
        <v>54</v>
      </c>
      <c r="F1383" s="44">
        <f t="shared" si="46"/>
        <v>2</v>
      </c>
      <c r="G1383" s="79" t="s">
        <v>1693</v>
      </c>
      <c r="H1383" s="46" t="s">
        <v>18</v>
      </c>
      <c r="I1383" s="47"/>
      <c r="J1383" s="48" t="s">
        <v>42</v>
      </c>
      <c r="K1383" s="80" t="s">
        <v>1694</v>
      </c>
      <c r="L1383" s="81" t="s">
        <v>25</v>
      </c>
      <c r="M1383" s="81" t="s">
        <v>26</v>
      </c>
      <c r="N1383" s="14" t="s">
        <v>27</v>
      </c>
      <c r="O1383" s="14" t="s">
        <v>28</v>
      </c>
      <c r="P1383" s="51">
        <v>120</v>
      </c>
      <c r="Q1383" s="47">
        <f t="shared" si="45"/>
        <v>240</v>
      </c>
      <c r="R1383" s="47"/>
      <c r="S1383" s="47"/>
      <c r="T1383" s="47"/>
    </row>
    <row r="1384" customHeight="1" spans="1:20">
      <c r="A1384" s="43" t="s">
        <v>2413</v>
      </c>
      <c r="B1384" s="78" t="s">
        <v>2414</v>
      </c>
      <c r="C1384" s="78"/>
      <c r="D1384" s="166">
        <v>1</v>
      </c>
      <c r="E1384" s="167" t="s">
        <v>21</v>
      </c>
      <c r="F1384" s="44">
        <f t="shared" si="46"/>
        <v>2</v>
      </c>
      <c r="G1384" s="85" t="s">
        <v>2415</v>
      </c>
      <c r="H1384" s="46" t="s">
        <v>18</v>
      </c>
      <c r="I1384" s="47"/>
      <c r="J1384" s="48" t="s">
        <v>42</v>
      </c>
      <c r="K1384" s="86" t="s">
        <v>2413</v>
      </c>
      <c r="L1384" s="87" t="s">
        <v>2416</v>
      </c>
      <c r="M1384" s="87" t="s">
        <v>2417</v>
      </c>
      <c r="N1384" s="14" t="s">
        <v>27</v>
      </c>
      <c r="O1384" s="14" t="s">
        <v>28</v>
      </c>
      <c r="P1384" s="51">
        <v>260</v>
      </c>
      <c r="Q1384" s="47">
        <f t="shared" si="45"/>
        <v>520</v>
      </c>
      <c r="R1384" s="47"/>
      <c r="S1384" s="47"/>
      <c r="T1384" s="47"/>
    </row>
    <row r="1385" customHeight="1" spans="1:20">
      <c r="A1385" s="43" t="s">
        <v>2413</v>
      </c>
      <c r="B1385" s="78" t="s">
        <v>2418</v>
      </c>
      <c r="C1385" s="78"/>
      <c r="D1385" s="43">
        <v>1</v>
      </c>
      <c r="E1385" s="78" t="s">
        <v>54</v>
      </c>
      <c r="F1385" s="44">
        <f t="shared" si="46"/>
        <v>2</v>
      </c>
      <c r="G1385" s="85" t="s">
        <v>2419</v>
      </c>
      <c r="H1385" s="46" t="s">
        <v>18</v>
      </c>
      <c r="I1385" s="47"/>
      <c r="J1385" s="48" t="s">
        <v>42</v>
      </c>
      <c r="K1385" s="86" t="s">
        <v>2413</v>
      </c>
      <c r="L1385" s="87" t="s">
        <v>2416</v>
      </c>
      <c r="M1385" s="87" t="s">
        <v>2417</v>
      </c>
      <c r="N1385" s="14" t="s">
        <v>27</v>
      </c>
      <c r="O1385" s="14" t="s">
        <v>28</v>
      </c>
      <c r="P1385" s="51">
        <v>900</v>
      </c>
      <c r="Q1385" s="47">
        <f t="shared" si="45"/>
        <v>1800</v>
      </c>
      <c r="R1385" s="47"/>
      <c r="S1385" s="47"/>
      <c r="T1385" s="47"/>
    </row>
    <row r="1386" customHeight="1" spans="1:20">
      <c r="A1386" s="43">
        <v>2082</v>
      </c>
      <c r="B1386" s="78" t="s">
        <v>2420</v>
      </c>
      <c r="C1386" s="78"/>
      <c r="D1386" s="43">
        <v>4</v>
      </c>
      <c r="E1386" s="78" t="s">
        <v>54</v>
      </c>
      <c r="F1386" s="44">
        <f t="shared" si="46"/>
        <v>8</v>
      </c>
      <c r="G1386" s="79" t="s">
        <v>2421</v>
      </c>
      <c r="H1386" s="46" t="s">
        <v>18</v>
      </c>
      <c r="I1386" s="47"/>
      <c r="J1386" s="48" t="s">
        <v>42</v>
      </c>
      <c r="K1386" s="80" t="s">
        <v>2422</v>
      </c>
      <c r="L1386" s="81" t="s">
        <v>25</v>
      </c>
      <c r="M1386" s="81" t="s">
        <v>26</v>
      </c>
      <c r="N1386" s="14" t="s">
        <v>27</v>
      </c>
      <c r="O1386" s="14" t="s">
        <v>28</v>
      </c>
      <c r="P1386" s="51">
        <v>260</v>
      </c>
      <c r="Q1386" s="47">
        <f t="shared" si="45"/>
        <v>2080</v>
      </c>
      <c r="R1386" s="47"/>
      <c r="S1386" s="47"/>
      <c r="T1386" s="47"/>
    </row>
    <row r="1387" customHeight="1" spans="1:20">
      <c r="A1387" s="43">
        <v>2084</v>
      </c>
      <c r="B1387" s="78" t="s">
        <v>1707</v>
      </c>
      <c r="C1387" s="78"/>
      <c r="D1387" s="43">
        <v>1</v>
      </c>
      <c r="E1387" s="78" t="s">
        <v>54</v>
      </c>
      <c r="F1387" s="44">
        <f t="shared" si="46"/>
        <v>2</v>
      </c>
      <c r="G1387" s="82" t="s">
        <v>1708</v>
      </c>
      <c r="H1387" s="46" t="s">
        <v>18</v>
      </c>
      <c r="I1387" s="47"/>
      <c r="J1387" s="48" t="s">
        <v>42</v>
      </c>
      <c r="K1387" s="83" t="s">
        <v>1709</v>
      </c>
      <c r="L1387" s="84" t="s">
        <v>25</v>
      </c>
      <c r="M1387" s="84" t="s">
        <v>26</v>
      </c>
      <c r="N1387" s="14" t="s">
        <v>27</v>
      </c>
      <c r="O1387" s="14" t="s">
        <v>28</v>
      </c>
      <c r="P1387" s="51">
        <v>750</v>
      </c>
      <c r="Q1387" s="47">
        <f t="shared" si="45"/>
        <v>1500</v>
      </c>
      <c r="R1387" s="47"/>
      <c r="S1387" s="47"/>
      <c r="T1387" s="47"/>
    </row>
    <row r="1388" customHeight="1" spans="1:20">
      <c r="A1388" s="43">
        <v>2086</v>
      </c>
      <c r="B1388" s="78" t="s">
        <v>1710</v>
      </c>
      <c r="C1388" s="78"/>
      <c r="D1388" s="43">
        <v>1</v>
      </c>
      <c r="E1388" s="78" t="s">
        <v>54</v>
      </c>
      <c r="F1388" s="44">
        <f t="shared" si="46"/>
        <v>2</v>
      </c>
      <c r="G1388" s="85" t="s">
        <v>2423</v>
      </c>
      <c r="H1388" s="46" t="s">
        <v>18</v>
      </c>
      <c r="I1388" s="47"/>
      <c r="J1388" s="48" t="s">
        <v>42</v>
      </c>
      <c r="K1388" s="86" t="s">
        <v>1712</v>
      </c>
      <c r="L1388" s="87" t="s">
        <v>1713</v>
      </c>
      <c r="M1388" s="87" t="s">
        <v>1714</v>
      </c>
      <c r="N1388" s="14" t="s">
        <v>27</v>
      </c>
      <c r="O1388" s="14" t="s">
        <v>28</v>
      </c>
      <c r="P1388" s="51">
        <v>2000</v>
      </c>
      <c r="Q1388" s="47">
        <f t="shared" si="45"/>
        <v>4000</v>
      </c>
      <c r="R1388" s="47"/>
      <c r="S1388" s="47"/>
      <c r="T1388" s="47"/>
    </row>
    <row r="1389" customHeight="1" spans="1:20">
      <c r="A1389" s="43">
        <v>2087</v>
      </c>
      <c r="B1389" s="78" t="s">
        <v>2424</v>
      </c>
      <c r="C1389" s="78"/>
      <c r="D1389" s="43">
        <v>1</v>
      </c>
      <c r="E1389" s="78" t="s">
        <v>54</v>
      </c>
      <c r="F1389" s="44">
        <f t="shared" si="46"/>
        <v>2</v>
      </c>
      <c r="G1389" s="82" t="s">
        <v>2425</v>
      </c>
      <c r="H1389" s="46" t="s">
        <v>18</v>
      </c>
      <c r="I1389" s="47"/>
      <c r="J1389" s="48" t="s">
        <v>42</v>
      </c>
      <c r="K1389" s="83" t="s">
        <v>2426</v>
      </c>
      <c r="L1389" s="84" t="s">
        <v>25</v>
      </c>
      <c r="M1389" s="84" t="s">
        <v>26</v>
      </c>
      <c r="N1389" s="14" t="s">
        <v>27</v>
      </c>
      <c r="O1389" s="14" t="s">
        <v>28</v>
      </c>
      <c r="P1389" s="51">
        <v>750</v>
      </c>
      <c r="Q1389" s="47">
        <f t="shared" si="45"/>
        <v>1500</v>
      </c>
      <c r="R1389" s="47"/>
      <c r="S1389" s="47"/>
      <c r="T1389" s="47"/>
    </row>
    <row r="1390" customHeight="1" spans="1:20">
      <c r="A1390" s="43">
        <v>2088</v>
      </c>
      <c r="B1390" s="78" t="s">
        <v>2427</v>
      </c>
      <c r="C1390" s="78"/>
      <c r="D1390" s="43">
        <v>1</v>
      </c>
      <c r="E1390" s="78" t="s">
        <v>54</v>
      </c>
      <c r="F1390" s="44">
        <f t="shared" si="46"/>
        <v>2</v>
      </c>
      <c r="G1390" s="85" t="s">
        <v>2428</v>
      </c>
      <c r="H1390" s="46" t="s">
        <v>18</v>
      </c>
      <c r="I1390" s="47"/>
      <c r="J1390" s="48" t="s">
        <v>42</v>
      </c>
      <c r="K1390" s="86" t="s">
        <v>2429</v>
      </c>
      <c r="L1390" s="87" t="s">
        <v>25</v>
      </c>
      <c r="M1390" s="87" t="s">
        <v>26</v>
      </c>
      <c r="N1390" s="14" t="s">
        <v>27</v>
      </c>
      <c r="O1390" s="14" t="s">
        <v>28</v>
      </c>
      <c r="P1390" s="51">
        <v>2400</v>
      </c>
      <c r="Q1390" s="47">
        <f t="shared" si="45"/>
        <v>4800</v>
      </c>
      <c r="R1390" s="47"/>
      <c r="S1390" s="47"/>
      <c r="T1390" s="47"/>
    </row>
    <row r="1391" customHeight="1" spans="1:20">
      <c r="A1391" s="43">
        <v>2089</v>
      </c>
      <c r="B1391" s="78" t="s">
        <v>2430</v>
      </c>
      <c r="C1391" s="78"/>
      <c r="D1391" s="43">
        <v>1</v>
      </c>
      <c r="E1391" s="78" t="s">
        <v>54</v>
      </c>
      <c r="F1391" s="44">
        <f t="shared" si="46"/>
        <v>2</v>
      </c>
      <c r="G1391" s="85" t="s">
        <v>2431</v>
      </c>
      <c r="H1391" s="46" t="s">
        <v>18</v>
      </c>
      <c r="I1391" s="47"/>
      <c r="J1391" s="48" t="s">
        <v>2432</v>
      </c>
      <c r="K1391" s="86" t="s">
        <v>2433</v>
      </c>
      <c r="L1391" s="87" t="s">
        <v>25</v>
      </c>
      <c r="M1391" s="87" t="s">
        <v>26</v>
      </c>
      <c r="N1391" s="14" t="s">
        <v>27</v>
      </c>
      <c r="O1391" s="14" t="s">
        <v>28</v>
      </c>
      <c r="P1391" s="51">
        <v>2200</v>
      </c>
      <c r="Q1391" s="47">
        <f t="shared" si="45"/>
        <v>4400</v>
      </c>
      <c r="R1391" s="47"/>
      <c r="S1391" s="47"/>
      <c r="T1391" s="47"/>
    </row>
    <row r="1392" customHeight="1" spans="1:20">
      <c r="A1392" s="43">
        <v>2102</v>
      </c>
      <c r="B1392" s="78" t="s">
        <v>92</v>
      </c>
      <c r="C1392" s="78"/>
      <c r="D1392" s="43">
        <v>2</v>
      </c>
      <c r="E1392" s="78" t="s">
        <v>221</v>
      </c>
      <c r="F1392" s="44">
        <f t="shared" si="46"/>
        <v>4</v>
      </c>
      <c r="G1392" s="91" t="s">
        <v>2434</v>
      </c>
      <c r="H1392" s="46" t="s">
        <v>18</v>
      </c>
      <c r="I1392" s="47"/>
      <c r="J1392" s="48" t="s">
        <v>42</v>
      </c>
      <c r="K1392" s="92" t="s">
        <v>2435</v>
      </c>
      <c r="L1392" s="93" t="s">
        <v>95</v>
      </c>
      <c r="M1392" s="93" t="s">
        <v>96</v>
      </c>
      <c r="N1392" s="14" t="s">
        <v>27</v>
      </c>
      <c r="O1392" s="14" t="s">
        <v>28</v>
      </c>
      <c r="P1392" s="51">
        <v>1</v>
      </c>
      <c r="Q1392" s="47">
        <f t="shared" si="45"/>
        <v>4</v>
      </c>
      <c r="R1392" s="47"/>
      <c r="S1392" s="47"/>
      <c r="T1392" s="47">
        <v>2102</v>
      </c>
    </row>
    <row r="1393" customHeight="1" spans="1:20">
      <c r="A1393" s="43">
        <v>2102</v>
      </c>
      <c r="B1393" s="78" t="s">
        <v>92</v>
      </c>
      <c r="C1393" s="78"/>
      <c r="D1393" s="43">
        <v>2</v>
      </c>
      <c r="E1393" s="78" t="s">
        <v>221</v>
      </c>
      <c r="F1393" s="44">
        <f t="shared" si="46"/>
        <v>4</v>
      </c>
      <c r="G1393" s="91" t="s">
        <v>1730</v>
      </c>
      <c r="H1393" s="46" t="s">
        <v>18</v>
      </c>
      <c r="I1393" s="47"/>
      <c r="J1393" s="48" t="s">
        <v>42</v>
      </c>
      <c r="K1393" s="92" t="s">
        <v>94</v>
      </c>
      <c r="L1393" s="93" t="s">
        <v>95</v>
      </c>
      <c r="M1393" s="93" t="s">
        <v>96</v>
      </c>
      <c r="N1393" s="14" t="s">
        <v>27</v>
      </c>
      <c r="O1393" s="14" t="s">
        <v>28</v>
      </c>
      <c r="P1393" s="51">
        <v>9</v>
      </c>
      <c r="Q1393" s="47">
        <f t="shared" si="45"/>
        <v>36</v>
      </c>
      <c r="R1393" s="47"/>
      <c r="S1393" s="47"/>
      <c r="T1393" s="47">
        <v>2102</v>
      </c>
    </row>
    <row r="1394" customHeight="1" spans="1:20">
      <c r="A1394" s="43">
        <v>2119</v>
      </c>
      <c r="B1394" s="78" t="s">
        <v>2436</v>
      </c>
      <c r="C1394" s="78"/>
      <c r="D1394" s="43">
        <v>10</v>
      </c>
      <c r="E1394" s="78" t="s">
        <v>21</v>
      </c>
      <c r="F1394" s="44">
        <f t="shared" si="46"/>
        <v>20</v>
      </c>
      <c r="G1394" s="85" t="s">
        <v>2437</v>
      </c>
      <c r="H1394" s="46" t="s">
        <v>18</v>
      </c>
      <c r="I1394" s="47"/>
      <c r="J1394" s="48" t="s">
        <v>42</v>
      </c>
      <c r="K1394" s="86" t="s">
        <v>2438</v>
      </c>
      <c r="L1394" s="87" t="s">
        <v>25</v>
      </c>
      <c r="M1394" s="87" t="s">
        <v>26</v>
      </c>
      <c r="N1394" s="14" t="s">
        <v>27</v>
      </c>
      <c r="O1394" s="14" t="s">
        <v>28</v>
      </c>
      <c r="P1394" s="51">
        <v>45</v>
      </c>
      <c r="Q1394" s="47">
        <f t="shared" si="45"/>
        <v>900</v>
      </c>
      <c r="R1394" s="47"/>
      <c r="S1394" s="47"/>
      <c r="T1394" s="47"/>
    </row>
    <row r="1395" customHeight="1" spans="1:20">
      <c r="A1395" s="43">
        <v>2121</v>
      </c>
      <c r="B1395" s="78" t="s">
        <v>1731</v>
      </c>
      <c r="C1395" s="78"/>
      <c r="D1395" s="43">
        <v>5</v>
      </c>
      <c r="E1395" s="78" t="s">
        <v>21</v>
      </c>
      <c r="F1395" s="44">
        <f t="shared" si="46"/>
        <v>10</v>
      </c>
      <c r="G1395" s="117" t="s">
        <v>2439</v>
      </c>
      <c r="H1395" s="46" t="s">
        <v>18</v>
      </c>
      <c r="I1395" s="47"/>
      <c r="J1395" s="48" t="s">
        <v>42</v>
      </c>
      <c r="K1395" s="118">
        <v>2121</v>
      </c>
      <c r="L1395" s="119" t="s">
        <v>25</v>
      </c>
      <c r="M1395" s="119" t="s">
        <v>26</v>
      </c>
      <c r="N1395" s="14" t="s">
        <v>27</v>
      </c>
      <c r="O1395" s="14" t="s">
        <v>28</v>
      </c>
      <c r="P1395" s="51">
        <v>4</v>
      </c>
      <c r="Q1395" s="47">
        <f t="shared" si="45"/>
        <v>40</v>
      </c>
      <c r="R1395" s="47"/>
      <c r="S1395" s="47"/>
      <c r="T1395" s="47"/>
    </row>
    <row r="1396" customHeight="1" spans="1:20">
      <c r="A1396" s="75" t="s">
        <v>103</v>
      </c>
      <c r="B1396" s="2" t="s">
        <v>104</v>
      </c>
      <c r="C1396" s="2"/>
      <c r="D1396" s="6"/>
      <c r="E1396" s="2"/>
      <c r="F1396" s="44">
        <f t="shared" si="46"/>
        <v>0</v>
      </c>
      <c r="G1396" s="77"/>
      <c r="H1396" s="46"/>
      <c r="I1396" s="47"/>
      <c r="J1396" s="48"/>
      <c r="K1396" s="94"/>
      <c r="L1396" s="95"/>
      <c r="M1396" s="95"/>
      <c r="P1396" s="51"/>
      <c r="Q1396" s="47">
        <f t="shared" si="45"/>
        <v>0</v>
      </c>
      <c r="R1396" s="47"/>
      <c r="S1396" s="47"/>
      <c r="T1396" s="47">
        <v>3</v>
      </c>
    </row>
    <row r="1397" customHeight="1" spans="1:20">
      <c r="A1397" s="43">
        <v>3002</v>
      </c>
      <c r="B1397" s="78" t="s">
        <v>109</v>
      </c>
      <c r="C1397" s="78"/>
      <c r="D1397" s="43">
        <f>D1376</f>
        <v>56</v>
      </c>
      <c r="E1397" s="78" t="s">
        <v>32</v>
      </c>
      <c r="F1397" s="44">
        <f t="shared" si="46"/>
        <v>112</v>
      </c>
      <c r="G1397" s="85" t="s">
        <v>110</v>
      </c>
      <c r="H1397" s="46" t="s">
        <v>18</v>
      </c>
      <c r="I1397" s="47"/>
      <c r="J1397" s="48" t="s">
        <v>42</v>
      </c>
      <c r="K1397" s="86" t="s">
        <v>108</v>
      </c>
      <c r="L1397" s="87" t="s">
        <v>25</v>
      </c>
      <c r="M1397" s="87" t="s">
        <v>26</v>
      </c>
      <c r="N1397" s="14" t="s">
        <v>27</v>
      </c>
      <c r="O1397" s="14" t="s">
        <v>28</v>
      </c>
      <c r="P1397" s="51">
        <v>36</v>
      </c>
      <c r="Q1397" s="47">
        <f t="shared" si="45"/>
        <v>4032</v>
      </c>
      <c r="R1397" s="47"/>
      <c r="S1397" s="47"/>
      <c r="T1397" s="47">
        <v>3002</v>
      </c>
    </row>
    <row r="1398" customHeight="1" spans="1:20">
      <c r="A1398" s="43">
        <v>3006</v>
      </c>
      <c r="B1398" s="78" t="s">
        <v>118</v>
      </c>
      <c r="C1398" s="78"/>
      <c r="D1398" s="43">
        <f>D1376</f>
        <v>56</v>
      </c>
      <c r="E1398" s="78" t="s">
        <v>21</v>
      </c>
      <c r="F1398" s="44">
        <f t="shared" si="46"/>
        <v>112</v>
      </c>
      <c r="G1398" s="79" t="s">
        <v>119</v>
      </c>
      <c r="H1398" s="46" t="s">
        <v>18</v>
      </c>
      <c r="I1398" s="47"/>
      <c r="J1398" s="48" t="s">
        <v>42</v>
      </c>
      <c r="K1398" s="80" t="s">
        <v>117</v>
      </c>
      <c r="L1398" s="81" t="s">
        <v>25</v>
      </c>
      <c r="M1398" s="81" t="s">
        <v>26</v>
      </c>
      <c r="N1398" s="14" t="s">
        <v>27</v>
      </c>
      <c r="O1398" s="14" t="s">
        <v>28</v>
      </c>
      <c r="P1398" s="51">
        <v>5</v>
      </c>
      <c r="Q1398" s="47">
        <f t="shared" si="45"/>
        <v>560</v>
      </c>
      <c r="R1398" s="47"/>
      <c r="S1398" s="47"/>
      <c r="T1398" s="47">
        <v>3006</v>
      </c>
    </row>
    <row r="1399" customHeight="1" spans="1:20">
      <c r="A1399" s="43">
        <v>3008</v>
      </c>
      <c r="B1399" s="78" t="s">
        <v>1749</v>
      </c>
      <c r="C1399" s="78"/>
      <c r="D1399" s="43">
        <f>D1376</f>
        <v>56</v>
      </c>
      <c r="E1399" s="78" t="s">
        <v>21</v>
      </c>
      <c r="F1399" s="44">
        <f t="shared" si="46"/>
        <v>112</v>
      </c>
      <c r="G1399" s="85" t="s">
        <v>2440</v>
      </c>
      <c r="H1399" s="46" t="s">
        <v>18</v>
      </c>
      <c r="I1399" s="47"/>
      <c r="J1399" s="48" t="s">
        <v>42</v>
      </c>
      <c r="K1399" s="86" t="s">
        <v>1751</v>
      </c>
      <c r="L1399" s="87" t="s">
        <v>25</v>
      </c>
      <c r="M1399" s="87" t="s">
        <v>26</v>
      </c>
      <c r="N1399" s="14" t="s">
        <v>27</v>
      </c>
      <c r="O1399" s="14" t="s">
        <v>28</v>
      </c>
      <c r="P1399" s="51">
        <v>6</v>
      </c>
      <c r="Q1399" s="47">
        <f t="shared" si="45"/>
        <v>672</v>
      </c>
      <c r="R1399" s="47"/>
      <c r="S1399" s="47"/>
      <c r="T1399" s="47"/>
    </row>
    <row r="1400" customHeight="1" spans="1:20">
      <c r="A1400" s="43">
        <v>3008</v>
      </c>
      <c r="B1400" s="78" t="s">
        <v>1749</v>
      </c>
      <c r="C1400" s="78"/>
      <c r="D1400" s="43">
        <v>4</v>
      </c>
      <c r="E1400" s="78" t="s">
        <v>21</v>
      </c>
      <c r="F1400" s="44">
        <f t="shared" si="46"/>
        <v>8</v>
      </c>
      <c r="G1400" s="85" t="s">
        <v>2441</v>
      </c>
      <c r="H1400" s="46" t="s">
        <v>18</v>
      </c>
      <c r="I1400" s="47"/>
      <c r="J1400" s="48" t="s">
        <v>42</v>
      </c>
      <c r="K1400" s="86" t="s">
        <v>1751</v>
      </c>
      <c r="L1400" s="87" t="s">
        <v>25</v>
      </c>
      <c r="M1400" s="87" t="s">
        <v>26</v>
      </c>
      <c r="N1400" s="14" t="s">
        <v>27</v>
      </c>
      <c r="O1400" s="14" t="s">
        <v>28</v>
      </c>
      <c r="P1400" s="51">
        <v>28</v>
      </c>
      <c r="Q1400" s="47">
        <f t="shared" si="45"/>
        <v>224</v>
      </c>
      <c r="R1400" s="47"/>
      <c r="S1400" s="47"/>
      <c r="T1400" s="47"/>
    </row>
    <row r="1401" customHeight="1" spans="1:20">
      <c r="A1401" s="6">
        <v>11</v>
      </c>
      <c r="B1401" s="2" t="s">
        <v>181</v>
      </c>
      <c r="C1401" s="2"/>
      <c r="D1401" s="6"/>
      <c r="E1401" s="2"/>
      <c r="F1401" s="44">
        <f t="shared" si="46"/>
        <v>0</v>
      </c>
      <c r="G1401" s="77"/>
      <c r="H1401" s="46"/>
      <c r="I1401" s="47"/>
      <c r="J1401" s="48"/>
      <c r="K1401" s="94"/>
      <c r="L1401" s="95"/>
      <c r="M1401" s="95"/>
      <c r="O1401" s="14" t="s">
        <v>28</v>
      </c>
      <c r="P1401" s="51"/>
      <c r="Q1401" s="47">
        <f t="shared" si="45"/>
        <v>0</v>
      </c>
      <c r="R1401" s="47"/>
      <c r="S1401" s="47"/>
      <c r="T1401" s="47">
        <v>11</v>
      </c>
    </row>
    <row r="1402" customHeight="1" spans="1:20">
      <c r="A1402" s="43">
        <v>11003</v>
      </c>
      <c r="B1402" s="78" t="s">
        <v>186</v>
      </c>
      <c r="C1402" s="78"/>
      <c r="D1402" s="43">
        <f>D1376</f>
        <v>56</v>
      </c>
      <c r="E1402" s="78" t="s">
        <v>54</v>
      </c>
      <c r="F1402" s="44">
        <f t="shared" si="46"/>
        <v>112</v>
      </c>
      <c r="G1402" s="91" t="s">
        <v>187</v>
      </c>
      <c r="H1402" s="46" t="s">
        <v>18</v>
      </c>
      <c r="I1402" s="47"/>
      <c r="J1402" s="48" t="s">
        <v>42</v>
      </c>
      <c r="K1402" s="92">
        <v>11004</v>
      </c>
      <c r="L1402" s="93" t="s">
        <v>25</v>
      </c>
      <c r="M1402" s="93" t="s">
        <v>26</v>
      </c>
      <c r="N1402" s="14" t="s">
        <v>27</v>
      </c>
      <c r="O1402" s="14" t="s">
        <v>28</v>
      </c>
      <c r="P1402" s="51">
        <v>30</v>
      </c>
      <c r="Q1402" s="47">
        <f t="shared" si="45"/>
        <v>3360</v>
      </c>
      <c r="R1402" s="47"/>
      <c r="S1402" s="47"/>
      <c r="T1402" s="47">
        <v>11003</v>
      </c>
    </row>
    <row r="1403" customHeight="1" spans="1:20">
      <c r="A1403" s="43">
        <v>11010</v>
      </c>
      <c r="B1403" s="78" t="s">
        <v>189</v>
      </c>
      <c r="C1403" s="78"/>
      <c r="D1403" s="43">
        <v>8</v>
      </c>
      <c r="E1403" s="78" t="s">
        <v>54</v>
      </c>
      <c r="F1403" s="44">
        <f t="shared" si="46"/>
        <v>16</v>
      </c>
      <c r="G1403" s="85" t="s">
        <v>1775</v>
      </c>
      <c r="H1403" s="46" t="s">
        <v>18</v>
      </c>
      <c r="I1403" s="47"/>
      <c r="J1403" s="48" t="s">
        <v>42</v>
      </c>
      <c r="K1403" s="86">
        <v>11010</v>
      </c>
      <c r="L1403" s="87" t="s">
        <v>191</v>
      </c>
      <c r="M1403" s="87" t="s">
        <v>192</v>
      </c>
      <c r="N1403" s="14" t="s">
        <v>27</v>
      </c>
      <c r="O1403" s="14" t="s">
        <v>28</v>
      </c>
      <c r="P1403" s="51">
        <v>280</v>
      </c>
      <c r="Q1403" s="47">
        <f t="shared" si="45"/>
        <v>4480</v>
      </c>
      <c r="R1403" s="47"/>
      <c r="S1403" s="47"/>
      <c r="T1403" s="47">
        <v>11010</v>
      </c>
    </row>
    <row r="1404" customHeight="1" spans="1:20">
      <c r="A1404" s="43">
        <v>11012</v>
      </c>
      <c r="B1404" s="78" t="s">
        <v>2442</v>
      </c>
      <c r="C1404" s="78"/>
      <c r="D1404" s="43">
        <v>1</v>
      </c>
      <c r="E1404" s="78" t="s">
        <v>54</v>
      </c>
      <c r="F1404" s="44">
        <f t="shared" si="46"/>
        <v>2</v>
      </c>
      <c r="G1404" s="85" t="s">
        <v>2443</v>
      </c>
      <c r="H1404" s="46" t="s">
        <v>18</v>
      </c>
      <c r="I1404" s="47"/>
      <c r="J1404" s="48" t="s">
        <v>42</v>
      </c>
      <c r="K1404" s="86">
        <v>11012</v>
      </c>
      <c r="L1404" s="87" t="s">
        <v>191</v>
      </c>
      <c r="M1404" s="87" t="s">
        <v>192</v>
      </c>
      <c r="N1404" s="14" t="s">
        <v>27</v>
      </c>
      <c r="O1404" s="14" t="s">
        <v>28</v>
      </c>
      <c r="P1404" s="51">
        <v>2300</v>
      </c>
      <c r="Q1404" s="47">
        <f t="shared" si="45"/>
        <v>4600</v>
      </c>
      <c r="R1404" s="47"/>
      <c r="S1404" s="47"/>
      <c r="T1404" s="47"/>
    </row>
    <row r="1405" customHeight="1" spans="1:20">
      <c r="A1405" s="6">
        <v>13</v>
      </c>
      <c r="B1405" s="2" t="s">
        <v>219</v>
      </c>
      <c r="C1405" s="2"/>
      <c r="D1405" s="6"/>
      <c r="E1405" s="2"/>
      <c r="F1405" s="44">
        <f t="shared" si="46"/>
        <v>0</v>
      </c>
      <c r="G1405" s="77"/>
      <c r="H1405" s="46"/>
      <c r="I1405" s="47"/>
      <c r="J1405" s="48" t="s">
        <v>42</v>
      </c>
      <c r="K1405" s="94"/>
      <c r="L1405" s="95"/>
      <c r="M1405" s="95"/>
      <c r="O1405" s="14" t="s">
        <v>28</v>
      </c>
      <c r="P1405" s="51"/>
      <c r="Q1405" s="47">
        <f t="shared" si="45"/>
        <v>0</v>
      </c>
      <c r="R1405" s="47"/>
      <c r="S1405" s="47"/>
      <c r="T1405" s="47">
        <v>13</v>
      </c>
    </row>
    <row r="1406" customHeight="1" spans="1:20">
      <c r="A1406" s="43">
        <v>13001</v>
      </c>
      <c r="B1406" s="78" t="s">
        <v>220</v>
      </c>
      <c r="C1406" s="78"/>
      <c r="D1406" s="43">
        <f>D1376</f>
        <v>56</v>
      </c>
      <c r="E1406" s="78" t="s">
        <v>221</v>
      </c>
      <c r="F1406" s="44">
        <f t="shared" si="46"/>
        <v>112</v>
      </c>
      <c r="G1406" s="117" t="s">
        <v>1779</v>
      </c>
      <c r="H1406" s="46" t="s">
        <v>18</v>
      </c>
      <c r="I1406" s="47"/>
      <c r="J1406" s="48" t="s">
        <v>42</v>
      </c>
      <c r="K1406" s="118">
        <v>13001</v>
      </c>
      <c r="L1406" s="119" t="s">
        <v>25</v>
      </c>
      <c r="M1406" s="119" t="s">
        <v>26</v>
      </c>
      <c r="N1406" s="14" t="s">
        <v>27</v>
      </c>
      <c r="O1406" s="14" t="s">
        <v>28</v>
      </c>
      <c r="P1406" s="51">
        <v>2</v>
      </c>
      <c r="Q1406" s="47">
        <f t="shared" si="45"/>
        <v>224</v>
      </c>
      <c r="R1406" s="47"/>
      <c r="S1406" s="47"/>
      <c r="T1406" s="47">
        <v>13001</v>
      </c>
    </row>
    <row r="1407" customHeight="1" spans="1:20">
      <c r="A1407" s="166" t="s">
        <v>1140</v>
      </c>
      <c r="B1407" s="78" t="s">
        <v>220</v>
      </c>
      <c r="C1407" s="78"/>
      <c r="D1407" s="43">
        <v>5</v>
      </c>
      <c r="E1407" s="78" t="s">
        <v>221</v>
      </c>
      <c r="F1407" s="44">
        <f t="shared" si="46"/>
        <v>10</v>
      </c>
      <c r="G1407" s="117" t="s">
        <v>1780</v>
      </c>
      <c r="H1407" s="46" t="s">
        <v>18</v>
      </c>
      <c r="I1407" s="47"/>
      <c r="J1407" s="48" t="s">
        <v>42</v>
      </c>
      <c r="K1407" s="118" t="s">
        <v>1140</v>
      </c>
      <c r="L1407" s="119" t="s">
        <v>25</v>
      </c>
      <c r="M1407" s="119" t="s">
        <v>26</v>
      </c>
      <c r="N1407" s="14" t="s">
        <v>27</v>
      </c>
      <c r="O1407" s="14" t="s">
        <v>28</v>
      </c>
      <c r="P1407" s="51">
        <v>3</v>
      </c>
      <c r="Q1407" s="47">
        <f t="shared" si="45"/>
        <v>30</v>
      </c>
      <c r="R1407" s="47"/>
      <c r="S1407" s="47"/>
      <c r="T1407" s="47">
        <v>13001</v>
      </c>
    </row>
    <row r="1408" customHeight="1" spans="1:20">
      <c r="A1408" s="6">
        <v>16</v>
      </c>
      <c r="B1408" s="2" t="s">
        <v>297</v>
      </c>
      <c r="C1408" s="2"/>
      <c r="D1408" s="6"/>
      <c r="E1408" s="2"/>
      <c r="F1408" s="44">
        <f t="shared" si="46"/>
        <v>0</v>
      </c>
      <c r="G1408" s="117"/>
      <c r="H1408" s="46"/>
      <c r="I1408" s="47"/>
      <c r="J1408" s="48" t="s">
        <v>42</v>
      </c>
      <c r="K1408" s="118"/>
      <c r="L1408" s="119"/>
      <c r="M1408" s="119"/>
      <c r="O1408" s="14" t="s">
        <v>28</v>
      </c>
      <c r="P1408" s="51"/>
      <c r="Q1408" s="47">
        <f t="shared" si="45"/>
        <v>0</v>
      </c>
      <c r="R1408" s="47"/>
      <c r="S1408" s="47"/>
      <c r="T1408" s="47">
        <v>16</v>
      </c>
    </row>
    <row r="1409" customHeight="1" spans="1:20">
      <c r="A1409" s="43">
        <v>16003</v>
      </c>
      <c r="B1409" s="78" t="s">
        <v>1787</v>
      </c>
      <c r="C1409" s="78"/>
      <c r="D1409" s="43">
        <v>5</v>
      </c>
      <c r="E1409" s="78" t="s">
        <v>54</v>
      </c>
      <c r="F1409" s="44">
        <f t="shared" si="46"/>
        <v>10</v>
      </c>
      <c r="G1409" s="117" t="s">
        <v>1788</v>
      </c>
      <c r="H1409" s="46" t="s">
        <v>18</v>
      </c>
      <c r="I1409" s="47"/>
      <c r="J1409" s="48" t="s">
        <v>42</v>
      </c>
      <c r="K1409" s="118">
        <v>16003</v>
      </c>
      <c r="L1409" s="119" t="s">
        <v>25</v>
      </c>
      <c r="M1409" s="119" t="s">
        <v>26</v>
      </c>
      <c r="N1409" s="14" t="s">
        <v>27</v>
      </c>
      <c r="O1409" s="14" t="s">
        <v>28</v>
      </c>
      <c r="P1409" s="51">
        <v>65</v>
      </c>
      <c r="Q1409" s="47">
        <f t="shared" si="45"/>
        <v>650</v>
      </c>
      <c r="R1409" s="47"/>
      <c r="S1409" s="47"/>
      <c r="T1409" s="47"/>
    </row>
    <row r="1410" customHeight="1" spans="1:20">
      <c r="A1410" s="43">
        <v>16017</v>
      </c>
      <c r="B1410" s="78" t="s">
        <v>2444</v>
      </c>
      <c r="C1410" s="78"/>
      <c r="D1410" s="43">
        <f>D1376</f>
        <v>56</v>
      </c>
      <c r="E1410" s="78" t="s">
        <v>2445</v>
      </c>
      <c r="F1410" s="44">
        <f t="shared" si="46"/>
        <v>112</v>
      </c>
      <c r="G1410" s="79" t="s">
        <v>2446</v>
      </c>
      <c r="H1410" s="46" t="s">
        <v>18</v>
      </c>
      <c r="I1410" s="47"/>
      <c r="J1410" s="48" t="s">
        <v>42</v>
      </c>
      <c r="K1410" s="80">
        <v>16017</v>
      </c>
      <c r="L1410" s="81" t="s">
        <v>25</v>
      </c>
      <c r="M1410" s="81" t="s">
        <v>26</v>
      </c>
      <c r="N1410" s="14" t="s">
        <v>27</v>
      </c>
      <c r="O1410" s="14" t="s">
        <v>28</v>
      </c>
      <c r="P1410" s="51">
        <v>20</v>
      </c>
      <c r="Q1410" s="47">
        <f t="shared" si="45"/>
        <v>2240</v>
      </c>
      <c r="R1410" s="47"/>
      <c r="S1410" s="47"/>
      <c r="T1410" s="47"/>
    </row>
    <row r="1411" customHeight="1" spans="1:20">
      <c r="A1411" s="43">
        <v>16041</v>
      </c>
      <c r="B1411" s="78" t="s">
        <v>2447</v>
      </c>
      <c r="C1411" s="78"/>
      <c r="D1411" s="43">
        <f>D1376</f>
        <v>56</v>
      </c>
      <c r="E1411" s="78" t="s">
        <v>21</v>
      </c>
      <c r="F1411" s="44">
        <f t="shared" si="46"/>
        <v>112</v>
      </c>
      <c r="G1411" s="85" t="s">
        <v>2448</v>
      </c>
      <c r="H1411" s="46" t="s">
        <v>18</v>
      </c>
      <c r="I1411" s="47"/>
      <c r="J1411" s="48" t="s">
        <v>42</v>
      </c>
      <c r="K1411" s="86">
        <v>16041</v>
      </c>
      <c r="L1411" s="87" t="s">
        <v>25</v>
      </c>
      <c r="M1411" s="87" t="s">
        <v>26</v>
      </c>
      <c r="N1411" s="14" t="s">
        <v>27</v>
      </c>
      <c r="O1411" s="14" t="s">
        <v>28</v>
      </c>
      <c r="P1411" s="51">
        <v>12</v>
      </c>
      <c r="Q1411" s="47">
        <f t="shared" si="45"/>
        <v>1344</v>
      </c>
      <c r="R1411" s="47"/>
      <c r="S1411" s="47"/>
      <c r="T1411" s="47"/>
    </row>
    <row r="1412" customHeight="1" spans="1:20">
      <c r="A1412" s="108" t="s">
        <v>306</v>
      </c>
      <c r="B1412" s="2" t="s">
        <v>307</v>
      </c>
      <c r="C1412" s="2"/>
      <c r="D1412" s="6"/>
      <c r="E1412" s="2"/>
      <c r="F1412" s="44">
        <f t="shared" si="46"/>
        <v>0</v>
      </c>
      <c r="G1412" s="77"/>
      <c r="H1412" s="46"/>
      <c r="I1412" s="47"/>
      <c r="J1412" s="48" t="s">
        <v>42</v>
      </c>
      <c r="K1412" s="94"/>
      <c r="L1412" s="95"/>
      <c r="M1412" s="95"/>
      <c r="P1412" s="51"/>
      <c r="Q1412" s="47">
        <f t="shared" ref="Q1412:Q1475" si="47">P1412*F1412</f>
        <v>0</v>
      </c>
      <c r="R1412" s="47"/>
      <c r="S1412" s="47"/>
      <c r="T1412" s="47">
        <v>2</v>
      </c>
    </row>
    <row r="1413" customHeight="1" spans="1:20">
      <c r="A1413" s="6">
        <v>27</v>
      </c>
      <c r="B1413" s="2" t="s">
        <v>2449</v>
      </c>
      <c r="C1413" s="2"/>
      <c r="D1413" s="6"/>
      <c r="E1413" s="2"/>
      <c r="F1413" s="44">
        <f t="shared" si="46"/>
        <v>0</v>
      </c>
      <c r="G1413" s="77"/>
      <c r="H1413" s="46"/>
      <c r="I1413" s="47"/>
      <c r="J1413" s="48" t="s">
        <v>42</v>
      </c>
      <c r="K1413" s="94"/>
      <c r="L1413" s="95"/>
      <c r="M1413" s="95"/>
      <c r="P1413" s="51"/>
      <c r="Q1413" s="47">
        <f t="shared" si="47"/>
        <v>0</v>
      </c>
      <c r="R1413" s="47"/>
      <c r="S1413" s="47"/>
      <c r="T1413" s="47"/>
    </row>
    <row r="1414" customHeight="1" spans="1:20">
      <c r="A1414" s="166">
        <v>27003</v>
      </c>
      <c r="B1414" s="167" t="s">
        <v>2450</v>
      </c>
      <c r="C1414" s="167"/>
      <c r="D1414" s="166">
        <v>28</v>
      </c>
      <c r="E1414" s="167" t="s">
        <v>21</v>
      </c>
      <c r="F1414" s="44">
        <f t="shared" si="46"/>
        <v>56</v>
      </c>
      <c r="G1414" s="85" t="s">
        <v>2451</v>
      </c>
      <c r="H1414" s="46" t="s">
        <v>18</v>
      </c>
      <c r="I1414" s="47"/>
      <c r="J1414" s="48" t="s">
        <v>42</v>
      </c>
      <c r="K1414" s="86">
        <v>27003</v>
      </c>
      <c r="L1414" s="87" t="s">
        <v>25</v>
      </c>
      <c r="M1414" s="87" t="s">
        <v>26</v>
      </c>
      <c r="N1414" s="14" t="s">
        <v>27</v>
      </c>
      <c r="O1414" s="14" t="s">
        <v>28</v>
      </c>
      <c r="P1414" s="51">
        <v>12</v>
      </c>
      <c r="Q1414" s="47">
        <f t="shared" si="47"/>
        <v>672</v>
      </c>
      <c r="R1414" s="47"/>
      <c r="S1414" s="47"/>
      <c r="T1414" s="47"/>
    </row>
    <row r="1415" customHeight="1" spans="1:20">
      <c r="A1415" s="43">
        <v>27007</v>
      </c>
      <c r="B1415" s="78" t="s">
        <v>2452</v>
      </c>
      <c r="C1415" s="78"/>
      <c r="D1415" s="43">
        <f>D1376</f>
        <v>56</v>
      </c>
      <c r="E1415" s="78" t="s">
        <v>221</v>
      </c>
      <c r="F1415" s="44">
        <f t="shared" si="46"/>
        <v>112</v>
      </c>
      <c r="G1415" s="117" t="s">
        <v>2453</v>
      </c>
      <c r="H1415" s="46" t="s">
        <v>18</v>
      </c>
      <c r="I1415" s="47"/>
      <c r="J1415" s="48" t="s">
        <v>42</v>
      </c>
      <c r="K1415" s="118">
        <v>27006</v>
      </c>
      <c r="L1415" s="119" t="s">
        <v>25</v>
      </c>
      <c r="M1415" s="119" t="s">
        <v>26</v>
      </c>
      <c r="N1415" s="14" t="s">
        <v>27</v>
      </c>
      <c r="O1415" s="14" t="s">
        <v>28</v>
      </c>
      <c r="P1415" s="51">
        <v>8</v>
      </c>
      <c r="Q1415" s="47">
        <f t="shared" si="47"/>
        <v>896</v>
      </c>
      <c r="R1415" s="47"/>
      <c r="S1415" s="47"/>
      <c r="T1415" s="47"/>
    </row>
    <row r="1416" customHeight="1" spans="1:20">
      <c r="A1416" s="43">
        <v>27011</v>
      </c>
      <c r="B1416" s="78" t="s">
        <v>2454</v>
      </c>
      <c r="C1416" s="78"/>
      <c r="D1416" s="43">
        <f>D1376</f>
        <v>56</v>
      </c>
      <c r="E1416" s="78" t="s">
        <v>21</v>
      </c>
      <c r="F1416" s="44">
        <f t="shared" si="46"/>
        <v>112</v>
      </c>
      <c r="G1416" s="120" t="s">
        <v>2455</v>
      </c>
      <c r="H1416" s="46" t="s">
        <v>18</v>
      </c>
      <c r="I1416" s="47"/>
      <c r="J1416" s="48" t="s">
        <v>42</v>
      </c>
      <c r="K1416" s="121">
        <v>27011</v>
      </c>
      <c r="L1416" s="122" t="s">
        <v>25</v>
      </c>
      <c r="M1416" s="122" t="s">
        <v>26</v>
      </c>
      <c r="N1416" s="14" t="s">
        <v>27</v>
      </c>
      <c r="O1416" s="14" t="s">
        <v>28</v>
      </c>
      <c r="P1416" s="51">
        <v>18</v>
      </c>
      <c r="Q1416" s="47">
        <f t="shared" si="47"/>
        <v>2016</v>
      </c>
      <c r="R1416" s="47"/>
      <c r="S1416" s="47"/>
      <c r="T1416" s="47"/>
    </row>
    <row r="1417" customHeight="1" spans="1:20">
      <c r="A1417" s="43">
        <v>27012</v>
      </c>
      <c r="B1417" s="78" t="s">
        <v>2456</v>
      </c>
      <c r="C1417" s="78"/>
      <c r="D1417" s="43">
        <v>4</v>
      </c>
      <c r="E1417" s="78" t="s">
        <v>54</v>
      </c>
      <c r="F1417" s="44">
        <f t="shared" si="46"/>
        <v>8</v>
      </c>
      <c r="G1417" s="85" t="s">
        <v>2457</v>
      </c>
      <c r="H1417" s="46" t="s">
        <v>18</v>
      </c>
      <c r="I1417" s="47"/>
      <c r="J1417" s="48" t="s">
        <v>42</v>
      </c>
      <c r="K1417" s="86">
        <v>27012</v>
      </c>
      <c r="L1417" s="87" t="s">
        <v>25</v>
      </c>
      <c r="M1417" s="87" t="s">
        <v>26</v>
      </c>
      <c r="N1417" s="14" t="s">
        <v>27</v>
      </c>
      <c r="O1417" s="14" t="s">
        <v>28</v>
      </c>
      <c r="P1417" s="51">
        <v>800</v>
      </c>
      <c r="Q1417" s="47">
        <f t="shared" si="47"/>
        <v>6400</v>
      </c>
      <c r="R1417" s="47"/>
      <c r="S1417" s="47"/>
      <c r="T1417" s="47"/>
    </row>
    <row r="1418" customHeight="1" spans="1:20">
      <c r="A1418" s="43">
        <v>27013</v>
      </c>
      <c r="B1418" s="78" t="s">
        <v>2458</v>
      </c>
      <c r="C1418" s="78"/>
      <c r="D1418" s="43">
        <f>D1376</f>
        <v>56</v>
      </c>
      <c r="E1418" s="78" t="s">
        <v>172</v>
      </c>
      <c r="F1418" s="44">
        <f t="shared" si="46"/>
        <v>112</v>
      </c>
      <c r="G1418" s="85" t="s">
        <v>2459</v>
      </c>
      <c r="H1418" s="46" t="s">
        <v>18</v>
      </c>
      <c r="I1418" s="47"/>
      <c r="J1418" s="48" t="s">
        <v>42</v>
      </c>
      <c r="K1418" s="86">
        <v>27013</v>
      </c>
      <c r="L1418" s="87" t="s">
        <v>25</v>
      </c>
      <c r="M1418" s="87" t="s">
        <v>26</v>
      </c>
      <c r="N1418" s="14" t="s">
        <v>27</v>
      </c>
      <c r="O1418" s="14" t="s">
        <v>28</v>
      </c>
      <c r="P1418" s="51">
        <v>8</v>
      </c>
      <c r="Q1418" s="47">
        <f t="shared" si="47"/>
        <v>896</v>
      </c>
      <c r="R1418" s="47"/>
      <c r="S1418" s="47"/>
      <c r="T1418" s="47"/>
    </row>
    <row r="1419" customHeight="1" spans="1:20">
      <c r="A1419" s="43">
        <v>27014</v>
      </c>
      <c r="B1419" s="78" t="s">
        <v>2460</v>
      </c>
      <c r="C1419" s="78"/>
      <c r="D1419" s="43">
        <v>2</v>
      </c>
      <c r="E1419" s="78" t="s">
        <v>172</v>
      </c>
      <c r="F1419" s="44">
        <f t="shared" si="46"/>
        <v>4</v>
      </c>
      <c r="G1419" s="85" t="s">
        <v>2461</v>
      </c>
      <c r="H1419" s="46" t="s">
        <v>18</v>
      </c>
      <c r="I1419" s="47"/>
      <c r="J1419" s="48" t="s">
        <v>42</v>
      </c>
      <c r="K1419" s="86">
        <v>27014</v>
      </c>
      <c r="L1419" s="87" t="s">
        <v>25</v>
      </c>
      <c r="M1419" s="87" t="s">
        <v>26</v>
      </c>
      <c r="N1419" s="14" t="s">
        <v>27</v>
      </c>
      <c r="O1419" s="14" t="s">
        <v>28</v>
      </c>
      <c r="P1419" s="51">
        <v>8</v>
      </c>
      <c r="Q1419" s="47">
        <f t="shared" si="47"/>
        <v>32</v>
      </c>
      <c r="R1419" s="47"/>
      <c r="S1419" s="47"/>
      <c r="T1419" s="47"/>
    </row>
    <row r="1420" customHeight="1" spans="1:20">
      <c r="A1420" s="43">
        <v>27015</v>
      </c>
      <c r="B1420" s="78" t="s">
        <v>2462</v>
      </c>
      <c r="C1420" s="78"/>
      <c r="D1420" s="43">
        <v>8</v>
      </c>
      <c r="E1420" s="78" t="s">
        <v>172</v>
      </c>
      <c r="F1420" s="44">
        <f t="shared" si="46"/>
        <v>16</v>
      </c>
      <c r="G1420" s="85" t="s">
        <v>2463</v>
      </c>
      <c r="H1420" s="46" t="s">
        <v>18</v>
      </c>
      <c r="I1420" s="47"/>
      <c r="J1420" s="48" t="s">
        <v>42</v>
      </c>
      <c r="K1420" s="86">
        <v>27015</v>
      </c>
      <c r="L1420" s="87" t="s">
        <v>25</v>
      </c>
      <c r="M1420" s="87" t="s">
        <v>26</v>
      </c>
      <c r="N1420" s="14" t="s">
        <v>27</v>
      </c>
      <c r="O1420" s="14" t="s">
        <v>28</v>
      </c>
      <c r="P1420" s="51">
        <v>3</v>
      </c>
      <c r="Q1420" s="47">
        <f t="shared" si="47"/>
        <v>48</v>
      </c>
      <c r="R1420" s="47"/>
      <c r="S1420" s="47"/>
      <c r="T1420" s="47"/>
    </row>
    <row r="1421" customHeight="1" spans="1:20">
      <c r="A1421" s="43">
        <v>27016</v>
      </c>
      <c r="B1421" s="78" t="s">
        <v>2464</v>
      </c>
      <c r="C1421" s="78"/>
      <c r="D1421" s="43">
        <v>8</v>
      </c>
      <c r="E1421" s="78" t="s">
        <v>2465</v>
      </c>
      <c r="F1421" s="44">
        <f t="shared" si="46"/>
        <v>16</v>
      </c>
      <c r="G1421" s="85" t="s">
        <v>2466</v>
      </c>
      <c r="H1421" s="46" t="s">
        <v>18</v>
      </c>
      <c r="I1421" s="47"/>
      <c r="J1421" s="48" t="s">
        <v>42</v>
      </c>
      <c r="K1421" s="86">
        <v>27016</v>
      </c>
      <c r="L1421" s="87" t="s">
        <v>2467</v>
      </c>
      <c r="M1421" s="87" t="s">
        <v>2468</v>
      </c>
      <c r="N1421" s="14" t="s">
        <v>27</v>
      </c>
      <c r="O1421" s="14" t="s">
        <v>28</v>
      </c>
      <c r="P1421" s="51">
        <v>5</v>
      </c>
      <c r="Q1421" s="47">
        <f t="shared" si="47"/>
        <v>80</v>
      </c>
      <c r="R1421" s="47"/>
      <c r="S1421" s="47"/>
      <c r="T1421" s="47"/>
    </row>
    <row r="1422" customHeight="1" spans="1:20">
      <c r="A1422" s="43">
        <v>27017</v>
      </c>
      <c r="B1422" s="78" t="s">
        <v>2469</v>
      </c>
      <c r="C1422" s="78"/>
      <c r="D1422" s="43">
        <f>D1376</f>
        <v>56</v>
      </c>
      <c r="E1422" s="78" t="s">
        <v>172</v>
      </c>
      <c r="F1422" s="44">
        <f t="shared" si="46"/>
        <v>112</v>
      </c>
      <c r="G1422" s="85" t="s">
        <v>2470</v>
      </c>
      <c r="H1422" s="46" t="s">
        <v>18</v>
      </c>
      <c r="I1422" s="47"/>
      <c r="J1422" s="48" t="s">
        <v>42</v>
      </c>
      <c r="K1422" s="86">
        <v>27017</v>
      </c>
      <c r="L1422" s="87" t="s">
        <v>25</v>
      </c>
      <c r="M1422" s="87" t="s">
        <v>26</v>
      </c>
      <c r="N1422" s="14" t="s">
        <v>27</v>
      </c>
      <c r="O1422" s="14" t="s">
        <v>28</v>
      </c>
      <c r="P1422" s="51">
        <v>2.5</v>
      </c>
      <c r="Q1422" s="47">
        <f t="shared" si="47"/>
        <v>280</v>
      </c>
      <c r="R1422" s="47"/>
      <c r="S1422" s="47"/>
      <c r="T1422" s="47"/>
    </row>
    <row r="1423" customHeight="1" spans="1:20">
      <c r="A1423" s="43">
        <v>27017</v>
      </c>
      <c r="B1423" s="78" t="s">
        <v>2469</v>
      </c>
      <c r="C1423" s="78"/>
      <c r="D1423" s="43">
        <f>D1376</f>
        <v>56</v>
      </c>
      <c r="E1423" s="78" t="s">
        <v>172</v>
      </c>
      <c r="F1423" s="44">
        <f t="shared" si="46"/>
        <v>112</v>
      </c>
      <c r="G1423" s="85" t="s">
        <v>2471</v>
      </c>
      <c r="H1423" s="46" t="s">
        <v>18</v>
      </c>
      <c r="I1423" s="47"/>
      <c r="J1423" s="48" t="s">
        <v>42</v>
      </c>
      <c r="K1423" s="86">
        <v>27017</v>
      </c>
      <c r="L1423" s="87" t="s">
        <v>25</v>
      </c>
      <c r="M1423" s="87" t="s">
        <v>26</v>
      </c>
      <c r="N1423" s="14" t="s">
        <v>27</v>
      </c>
      <c r="O1423" s="14" t="s">
        <v>28</v>
      </c>
      <c r="P1423" s="51">
        <v>2.5</v>
      </c>
      <c r="Q1423" s="47">
        <f t="shared" si="47"/>
        <v>280</v>
      </c>
      <c r="R1423" s="47"/>
      <c r="S1423" s="47"/>
      <c r="T1423" s="47"/>
    </row>
    <row r="1424" customHeight="1" spans="1:20">
      <c r="A1424" s="43">
        <v>27018</v>
      </c>
      <c r="B1424" s="78" t="s">
        <v>2472</v>
      </c>
      <c r="C1424" s="78"/>
      <c r="D1424" s="43">
        <v>8</v>
      </c>
      <c r="E1424" s="78" t="s">
        <v>172</v>
      </c>
      <c r="F1424" s="44">
        <f t="shared" si="46"/>
        <v>16</v>
      </c>
      <c r="G1424" s="85" t="s">
        <v>2473</v>
      </c>
      <c r="H1424" s="46" t="s">
        <v>18</v>
      </c>
      <c r="I1424" s="47"/>
      <c r="J1424" s="48" t="s">
        <v>42</v>
      </c>
      <c r="K1424" s="86">
        <v>27018</v>
      </c>
      <c r="L1424" s="87" t="s">
        <v>25</v>
      </c>
      <c r="M1424" s="87" t="s">
        <v>26</v>
      </c>
      <c r="N1424" s="14" t="s">
        <v>27</v>
      </c>
      <c r="O1424" s="14" t="s">
        <v>28</v>
      </c>
      <c r="P1424" s="51">
        <v>5</v>
      </c>
      <c r="Q1424" s="47">
        <f t="shared" si="47"/>
        <v>80</v>
      </c>
      <c r="R1424" s="47"/>
      <c r="S1424" s="47"/>
      <c r="T1424" s="47"/>
    </row>
    <row r="1425" customHeight="1" spans="1:20">
      <c r="A1425" s="43">
        <v>27019</v>
      </c>
      <c r="B1425" s="78" t="s">
        <v>2474</v>
      </c>
      <c r="C1425" s="78"/>
      <c r="D1425" s="43">
        <v>2</v>
      </c>
      <c r="E1425" s="78" t="s">
        <v>172</v>
      </c>
      <c r="F1425" s="44">
        <f t="shared" si="46"/>
        <v>4</v>
      </c>
      <c r="G1425" s="85" t="s">
        <v>2475</v>
      </c>
      <c r="H1425" s="46" t="s">
        <v>18</v>
      </c>
      <c r="I1425" s="47"/>
      <c r="J1425" s="48" t="s">
        <v>42</v>
      </c>
      <c r="K1425" s="86">
        <v>27019</v>
      </c>
      <c r="L1425" s="87" t="s">
        <v>25</v>
      </c>
      <c r="M1425" s="87" t="s">
        <v>26</v>
      </c>
      <c r="N1425" s="14" t="s">
        <v>27</v>
      </c>
      <c r="O1425" s="14" t="s">
        <v>28</v>
      </c>
      <c r="P1425" s="51">
        <v>5</v>
      </c>
      <c r="Q1425" s="47">
        <f t="shared" si="47"/>
        <v>20</v>
      </c>
      <c r="R1425" s="47"/>
      <c r="S1425" s="47"/>
      <c r="T1425" s="47"/>
    </row>
    <row r="1426" customHeight="1" spans="1:20">
      <c r="A1426" s="43">
        <v>27020</v>
      </c>
      <c r="B1426" s="78" t="s">
        <v>2476</v>
      </c>
      <c r="C1426" s="78"/>
      <c r="D1426" s="43">
        <v>2</v>
      </c>
      <c r="E1426" s="78" t="s">
        <v>54</v>
      </c>
      <c r="F1426" s="44">
        <f t="shared" si="46"/>
        <v>4</v>
      </c>
      <c r="G1426" s="82" t="s">
        <v>2477</v>
      </c>
      <c r="H1426" s="46" t="s">
        <v>18</v>
      </c>
      <c r="I1426" s="47"/>
      <c r="J1426" s="48" t="s">
        <v>42</v>
      </c>
      <c r="K1426" s="83">
        <v>27020</v>
      </c>
      <c r="L1426" s="84" t="s">
        <v>25</v>
      </c>
      <c r="M1426" s="84" t="s">
        <v>26</v>
      </c>
      <c r="N1426" s="14" t="s">
        <v>27</v>
      </c>
      <c r="O1426" s="14" t="s">
        <v>28</v>
      </c>
      <c r="P1426" s="51">
        <v>880</v>
      </c>
      <c r="Q1426" s="47">
        <f t="shared" si="47"/>
        <v>3520</v>
      </c>
      <c r="R1426" s="47"/>
      <c r="S1426" s="47"/>
      <c r="T1426" s="47"/>
    </row>
    <row r="1427" customHeight="1" spans="1:20">
      <c r="A1427" s="43">
        <v>27021</v>
      </c>
      <c r="B1427" s="78" t="s">
        <v>2478</v>
      </c>
      <c r="C1427" s="78"/>
      <c r="D1427" s="43">
        <v>1</v>
      </c>
      <c r="E1427" s="78" t="s">
        <v>54</v>
      </c>
      <c r="F1427" s="44">
        <f t="shared" si="46"/>
        <v>2</v>
      </c>
      <c r="G1427" s="85" t="s">
        <v>2479</v>
      </c>
      <c r="H1427" s="46" t="s">
        <v>18</v>
      </c>
      <c r="I1427" s="47"/>
      <c r="J1427" s="48" t="s">
        <v>42</v>
      </c>
      <c r="K1427" s="86">
        <v>27021</v>
      </c>
      <c r="L1427" s="87" t="s">
        <v>25</v>
      </c>
      <c r="M1427" s="87" t="s">
        <v>26</v>
      </c>
      <c r="N1427" s="14" t="s">
        <v>27</v>
      </c>
      <c r="O1427" s="14" t="s">
        <v>28</v>
      </c>
      <c r="P1427" s="51">
        <v>320</v>
      </c>
      <c r="Q1427" s="47">
        <f t="shared" si="47"/>
        <v>640</v>
      </c>
      <c r="R1427" s="47"/>
      <c r="S1427" s="47"/>
      <c r="T1427" s="47"/>
    </row>
    <row r="1428" customHeight="1" spans="1:20">
      <c r="A1428" s="43">
        <v>27022</v>
      </c>
      <c r="B1428" s="78" t="s">
        <v>2480</v>
      </c>
      <c r="C1428" s="78"/>
      <c r="D1428" s="43">
        <v>8</v>
      </c>
      <c r="E1428" s="78" t="s">
        <v>21</v>
      </c>
      <c r="F1428" s="44">
        <f t="shared" si="46"/>
        <v>16</v>
      </c>
      <c r="G1428" s="82" t="s">
        <v>2481</v>
      </c>
      <c r="H1428" s="46" t="s">
        <v>18</v>
      </c>
      <c r="I1428" s="47"/>
      <c r="J1428" s="48" t="s">
        <v>42</v>
      </c>
      <c r="K1428" s="83">
        <v>27022</v>
      </c>
      <c r="L1428" s="84" t="s">
        <v>25</v>
      </c>
      <c r="M1428" s="84" t="s">
        <v>26</v>
      </c>
      <c r="N1428" s="14" t="s">
        <v>27</v>
      </c>
      <c r="O1428" s="14" t="s">
        <v>28</v>
      </c>
      <c r="P1428" s="51">
        <v>135</v>
      </c>
      <c r="Q1428" s="47">
        <f t="shared" si="47"/>
        <v>2160</v>
      </c>
      <c r="R1428" s="47"/>
      <c r="S1428" s="47"/>
      <c r="T1428" s="47"/>
    </row>
    <row r="1429" customHeight="1" spans="1:20">
      <c r="A1429" s="43">
        <v>27023</v>
      </c>
      <c r="B1429" s="78" t="s">
        <v>2482</v>
      </c>
      <c r="C1429" s="78"/>
      <c r="D1429" s="43">
        <v>4</v>
      </c>
      <c r="E1429" s="78" t="s">
        <v>21</v>
      </c>
      <c r="F1429" s="44">
        <f t="shared" si="46"/>
        <v>8</v>
      </c>
      <c r="G1429" s="82" t="s">
        <v>2481</v>
      </c>
      <c r="H1429" s="46" t="s">
        <v>18</v>
      </c>
      <c r="I1429" s="47"/>
      <c r="J1429" s="48" t="s">
        <v>42</v>
      </c>
      <c r="K1429" s="83">
        <v>27023</v>
      </c>
      <c r="L1429" s="84" t="s">
        <v>25</v>
      </c>
      <c r="M1429" s="84" t="s">
        <v>26</v>
      </c>
      <c r="N1429" s="14" t="s">
        <v>27</v>
      </c>
      <c r="O1429" s="14" t="s">
        <v>28</v>
      </c>
      <c r="P1429" s="51">
        <v>140</v>
      </c>
      <c r="Q1429" s="47">
        <f t="shared" si="47"/>
        <v>1120</v>
      </c>
      <c r="R1429" s="47"/>
      <c r="S1429" s="47"/>
      <c r="T1429" s="47"/>
    </row>
    <row r="1430" customHeight="1" spans="1:20">
      <c r="A1430" s="43">
        <v>27024</v>
      </c>
      <c r="B1430" s="78" t="s">
        <v>2483</v>
      </c>
      <c r="C1430" s="78"/>
      <c r="D1430" s="43">
        <v>8</v>
      </c>
      <c r="E1430" s="78" t="s">
        <v>21</v>
      </c>
      <c r="F1430" s="44">
        <f t="shared" si="46"/>
        <v>16</v>
      </c>
      <c r="G1430" s="85" t="s">
        <v>2484</v>
      </c>
      <c r="H1430" s="46" t="s">
        <v>18</v>
      </c>
      <c r="I1430" s="47"/>
      <c r="J1430" s="48" t="s">
        <v>42</v>
      </c>
      <c r="K1430" s="86">
        <v>27024</v>
      </c>
      <c r="L1430" s="87" t="s">
        <v>25</v>
      </c>
      <c r="M1430" s="87" t="s">
        <v>26</v>
      </c>
      <c r="N1430" s="14" t="s">
        <v>27</v>
      </c>
      <c r="O1430" s="14" t="s">
        <v>28</v>
      </c>
      <c r="P1430" s="51">
        <v>40</v>
      </c>
      <c r="Q1430" s="47">
        <f t="shared" si="47"/>
        <v>640</v>
      </c>
      <c r="R1430" s="47"/>
      <c r="S1430" s="47"/>
      <c r="T1430" s="47"/>
    </row>
    <row r="1431" customHeight="1" spans="1:20">
      <c r="A1431" s="43">
        <v>27025</v>
      </c>
      <c r="B1431" s="78" t="s">
        <v>2485</v>
      </c>
      <c r="C1431" s="78"/>
      <c r="D1431" s="43">
        <v>13</v>
      </c>
      <c r="E1431" s="78" t="s">
        <v>21</v>
      </c>
      <c r="F1431" s="44">
        <f t="shared" si="46"/>
        <v>26</v>
      </c>
      <c r="G1431" s="85" t="s">
        <v>2486</v>
      </c>
      <c r="H1431" s="46" t="s">
        <v>18</v>
      </c>
      <c r="I1431" s="47"/>
      <c r="J1431" s="48" t="s">
        <v>42</v>
      </c>
      <c r="K1431" s="86">
        <v>27025</v>
      </c>
      <c r="L1431" s="87" t="s">
        <v>25</v>
      </c>
      <c r="M1431" s="87" t="s">
        <v>26</v>
      </c>
      <c r="N1431" s="14" t="s">
        <v>27</v>
      </c>
      <c r="O1431" s="14" t="s">
        <v>28</v>
      </c>
      <c r="P1431" s="51">
        <v>35</v>
      </c>
      <c r="Q1431" s="47">
        <f t="shared" si="47"/>
        <v>910</v>
      </c>
      <c r="R1431" s="47"/>
      <c r="S1431" s="47"/>
      <c r="T1431" s="47"/>
    </row>
    <row r="1432" customHeight="1" spans="1:20">
      <c r="A1432" s="43">
        <v>27026</v>
      </c>
      <c r="B1432" s="78" t="s">
        <v>2487</v>
      </c>
      <c r="C1432" s="78"/>
      <c r="D1432" s="43">
        <f>D1376/2</f>
        <v>28</v>
      </c>
      <c r="E1432" s="78" t="s">
        <v>221</v>
      </c>
      <c r="F1432" s="44">
        <f t="shared" si="46"/>
        <v>56</v>
      </c>
      <c r="G1432" s="85" t="s">
        <v>2488</v>
      </c>
      <c r="H1432" s="46" t="s">
        <v>18</v>
      </c>
      <c r="I1432" s="47"/>
      <c r="J1432" s="48" t="s">
        <v>42</v>
      </c>
      <c r="K1432" s="86">
        <v>27026</v>
      </c>
      <c r="L1432" s="87" t="s">
        <v>25</v>
      </c>
      <c r="M1432" s="87" t="s">
        <v>26</v>
      </c>
      <c r="N1432" s="14" t="s">
        <v>27</v>
      </c>
      <c r="O1432" s="14" t="s">
        <v>28</v>
      </c>
      <c r="P1432" s="51">
        <v>85</v>
      </c>
      <c r="Q1432" s="47">
        <f t="shared" si="47"/>
        <v>4760</v>
      </c>
      <c r="R1432" s="47"/>
      <c r="S1432" s="47"/>
      <c r="T1432" s="47"/>
    </row>
    <row r="1433" customHeight="1" spans="1:20">
      <c r="A1433" s="43">
        <v>27026</v>
      </c>
      <c r="B1433" s="78" t="s">
        <v>2487</v>
      </c>
      <c r="C1433" s="78"/>
      <c r="D1433" s="43">
        <f>D1376/2</f>
        <v>28</v>
      </c>
      <c r="E1433" s="78" t="s">
        <v>221</v>
      </c>
      <c r="F1433" s="44">
        <f t="shared" si="46"/>
        <v>56</v>
      </c>
      <c r="G1433" s="85" t="s">
        <v>2489</v>
      </c>
      <c r="H1433" s="46" t="s">
        <v>18</v>
      </c>
      <c r="I1433" s="47"/>
      <c r="J1433" s="48" t="s">
        <v>42</v>
      </c>
      <c r="K1433" s="86">
        <v>27026</v>
      </c>
      <c r="L1433" s="87" t="s">
        <v>25</v>
      </c>
      <c r="M1433" s="87" t="s">
        <v>26</v>
      </c>
      <c r="N1433" s="14" t="s">
        <v>27</v>
      </c>
      <c r="O1433" s="14" t="s">
        <v>28</v>
      </c>
      <c r="P1433" s="51">
        <v>85</v>
      </c>
      <c r="Q1433" s="47">
        <f t="shared" si="47"/>
        <v>4760</v>
      </c>
      <c r="R1433" s="47"/>
      <c r="S1433" s="47"/>
      <c r="T1433" s="47"/>
    </row>
    <row r="1434" customHeight="1" spans="1:20">
      <c r="A1434" s="43">
        <v>27026</v>
      </c>
      <c r="B1434" s="78" t="s">
        <v>2487</v>
      </c>
      <c r="C1434" s="78"/>
      <c r="D1434" s="43">
        <f>D1376/2</f>
        <v>28</v>
      </c>
      <c r="E1434" s="78" t="s">
        <v>221</v>
      </c>
      <c r="F1434" s="44">
        <f t="shared" si="46"/>
        <v>56</v>
      </c>
      <c r="G1434" s="85" t="s">
        <v>2490</v>
      </c>
      <c r="H1434" s="46" t="s">
        <v>18</v>
      </c>
      <c r="I1434" s="47"/>
      <c r="J1434" s="48" t="s">
        <v>42</v>
      </c>
      <c r="K1434" s="86">
        <v>27026</v>
      </c>
      <c r="L1434" s="87" t="s">
        <v>25</v>
      </c>
      <c r="M1434" s="87" t="s">
        <v>26</v>
      </c>
      <c r="N1434" s="14" t="s">
        <v>27</v>
      </c>
      <c r="O1434" s="14" t="s">
        <v>28</v>
      </c>
      <c r="P1434" s="51">
        <v>85</v>
      </c>
      <c r="Q1434" s="47">
        <f t="shared" si="47"/>
        <v>4760</v>
      </c>
      <c r="R1434" s="47"/>
      <c r="S1434" s="47"/>
      <c r="T1434" s="47"/>
    </row>
    <row r="1435" customHeight="1" spans="1:20">
      <c r="A1435" s="43">
        <v>27026</v>
      </c>
      <c r="B1435" s="78" t="s">
        <v>2487</v>
      </c>
      <c r="C1435" s="78"/>
      <c r="D1435" s="43">
        <f>D1376/2</f>
        <v>28</v>
      </c>
      <c r="E1435" s="78" t="s">
        <v>221</v>
      </c>
      <c r="F1435" s="44">
        <f t="shared" si="46"/>
        <v>56</v>
      </c>
      <c r="G1435" s="85" t="s">
        <v>2491</v>
      </c>
      <c r="H1435" s="46" t="s">
        <v>18</v>
      </c>
      <c r="I1435" s="47"/>
      <c r="J1435" s="48" t="s">
        <v>42</v>
      </c>
      <c r="K1435" s="86">
        <v>27026</v>
      </c>
      <c r="L1435" s="87" t="s">
        <v>25</v>
      </c>
      <c r="M1435" s="87" t="s">
        <v>26</v>
      </c>
      <c r="N1435" s="14" t="s">
        <v>27</v>
      </c>
      <c r="O1435" s="14" t="s">
        <v>28</v>
      </c>
      <c r="P1435" s="51">
        <v>85</v>
      </c>
      <c r="Q1435" s="47">
        <f t="shared" si="47"/>
        <v>4760</v>
      </c>
      <c r="R1435" s="47"/>
      <c r="S1435" s="47"/>
      <c r="T1435" s="47"/>
    </row>
    <row r="1436" customHeight="1" spans="1:20">
      <c r="A1436" s="43">
        <v>27027</v>
      </c>
      <c r="B1436" s="78" t="s">
        <v>2492</v>
      </c>
      <c r="C1436" s="78"/>
      <c r="D1436" s="43">
        <f>D1376/2</f>
        <v>28</v>
      </c>
      <c r="E1436" s="78" t="s">
        <v>21</v>
      </c>
      <c r="F1436" s="44">
        <f t="shared" si="46"/>
        <v>56</v>
      </c>
      <c r="G1436" s="85" t="s">
        <v>2493</v>
      </c>
      <c r="H1436" s="46" t="s">
        <v>18</v>
      </c>
      <c r="I1436" s="47"/>
      <c r="J1436" s="48" t="s">
        <v>2432</v>
      </c>
      <c r="K1436" s="86">
        <v>27027</v>
      </c>
      <c r="L1436" s="87" t="s">
        <v>25</v>
      </c>
      <c r="M1436" s="87" t="s">
        <v>26</v>
      </c>
      <c r="N1436" s="14" t="s">
        <v>27</v>
      </c>
      <c r="O1436" s="14" t="s">
        <v>28</v>
      </c>
      <c r="P1436" s="51">
        <v>45</v>
      </c>
      <c r="Q1436" s="47">
        <f t="shared" si="47"/>
        <v>2520</v>
      </c>
      <c r="R1436" s="47"/>
      <c r="S1436" s="47"/>
      <c r="T1436" s="47"/>
    </row>
    <row r="1437" customHeight="1" spans="1:20">
      <c r="A1437" s="43">
        <v>27028</v>
      </c>
      <c r="B1437" s="78" t="s">
        <v>2494</v>
      </c>
      <c r="C1437" s="78"/>
      <c r="D1437" s="43">
        <v>2</v>
      </c>
      <c r="E1437" s="78" t="s">
        <v>54</v>
      </c>
      <c r="F1437" s="44">
        <f t="shared" si="46"/>
        <v>4</v>
      </c>
      <c r="G1437" s="85" t="s">
        <v>2495</v>
      </c>
      <c r="H1437" s="46" t="s">
        <v>18</v>
      </c>
      <c r="I1437" s="47"/>
      <c r="J1437" s="48" t="s">
        <v>42</v>
      </c>
      <c r="K1437" s="86">
        <v>27028</v>
      </c>
      <c r="L1437" s="87" t="s">
        <v>25</v>
      </c>
      <c r="M1437" s="87" t="s">
        <v>26</v>
      </c>
      <c r="N1437" s="14" t="s">
        <v>27</v>
      </c>
      <c r="O1437" s="14" t="s">
        <v>28</v>
      </c>
      <c r="P1437" s="51">
        <v>500</v>
      </c>
      <c r="Q1437" s="47">
        <f t="shared" si="47"/>
        <v>2000</v>
      </c>
      <c r="R1437" s="47"/>
      <c r="S1437" s="47"/>
      <c r="T1437" s="47"/>
    </row>
    <row r="1438" customHeight="1" spans="1:20">
      <c r="A1438" s="43">
        <v>27029</v>
      </c>
      <c r="B1438" s="78" t="s">
        <v>2496</v>
      </c>
      <c r="C1438" s="78"/>
      <c r="D1438" s="43">
        <v>14</v>
      </c>
      <c r="E1438" s="78" t="s">
        <v>54</v>
      </c>
      <c r="F1438" s="44">
        <f t="shared" si="46"/>
        <v>28</v>
      </c>
      <c r="G1438" s="85" t="s">
        <v>2497</v>
      </c>
      <c r="H1438" s="46" t="s">
        <v>18</v>
      </c>
      <c r="I1438" s="47"/>
      <c r="J1438" s="48" t="s">
        <v>42</v>
      </c>
      <c r="K1438" s="86">
        <v>27029</v>
      </c>
      <c r="L1438" s="87" t="s">
        <v>25</v>
      </c>
      <c r="M1438" s="87" t="s">
        <v>26</v>
      </c>
      <c r="N1438" s="14" t="s">
        <v>27</v>
      </c>
      <c r="O1438" s="14" t="s">
        <v>28</v>
      </c>
      <c r="P1438" s="51">
        <v>650</v>
      </c>
      <c r="Q1438" s="47">
        <f t="shared" si="47"/>
        <v>18200</v>
      </c>
      <c r="R1438" s="47"/>
      <c r="S1438" s="47"/>
      <c r="T1438" s="47"/>
    </row>
    <row r="1439" customHeight="1" spans="1:20">
      <c r="A1439" s="43">
        <v>27030</v>
      </c>
      <c r="B1439" s="78" t="s">
        <v>2498</v>
      </c>
      <c r="C1439" s="78"/>
      <c r="D1439" s="43">
        <v>1</v>
      </c>
      <c r="E1439" s="78" t="s">
        <v>54</v>
      </c>
      <c r="F1439" s="44">
        <f t="shared" si="46"/>
        <v>2</v>
      </c>
      <c r="G1439" s="82" t="s">
        <v>2499</v>
      </c>
      <c r="H1439" s="46" t="s">
        <v>18</v>
      </c>
      <c r="I1439" s="47"/>
      <c r="J1439" s="48" t="s">
        <v>42</v>
      </c>
      <c r="K1439" s="83">
        <v>27030</v>
      </c>
      <c r="L1439" s="84" t="s">
        <v>25</v>
      </c>
      <c r="M1439" s="84" t="s">
        <v>26</v>
      </c>
      <c r="N1439" s="14" t="s">
        <v>27</v>
      </c>
      <c r="O1439" s="14" t="s">
        <v>28</v>
      </c>
      <c r="P1439" s="51">
        <v>1600</v>
      </c>
      <c r="Q1439" s="47">
        <f t="shared" si="47"/>
        <v>3200</v>
      </c>
      <c r="R1439" s="47"/>
      <c r="S1439" s="47"/>
      <c r="T1439" s="47"/>
    </row>
    <row r="1440" customHeight="1" spans="1:20">
      <c r="A1440" s="43">
        <v>27031</v>
      </c>
      <c r="B1440" s="78" t="s">
        <v>2500</v>
      </c>
      <c r="C1440" s="78"/>
      <c r="D1440" s="43">
        <v>1</v>
      </c>
      <c r="E1440" s="78" t="s">
        <v>54</v>
      </c>
      <c r="F1440" s="44">
        <f t="shared" si="46"/>
        <v>2</v>
      </c>
      <c r="G1440" s="85" t="s">
        <v>2501</v>
      </c>
      <c r="H1440" s="46" t="s">
        <v>18</v>
      </c>
      <c r="I1440" s="47"/>
      <c r="J1440" s="48" t="s">
        <v>42</v>
      </c>
      <c r="K1440" s="86">
        <v>27031</v>
      </c>
      <c r="L1440" s="87" t="s">
        <v>25</v>
      </c>
      <c r="M1440" s="87" t="s">
        <v>26</v>
      </c>
      <c r="N1440" s="14" t="s">
        <v>27</v>
      </c>
      <c r="O1440" s="14" t="s">
        <v>28</v>
      </c>
      <c r="P1440" s="51">
        <v>480</v>
      </c>
      <c r="Q1440" s="47">
        <f t="shared" si="47"/>
        <v>960</v>
      </c>
      <c r="R1440" s="47"/>
      <c r="S1440" s="47"/>
      <c r="T1440" s="47"/>
    </row>
    <row r="1441" customHeight="1" spans="1:20">
      <c r="A1441" s="43">
        <v>27032</v>
      </c>
      <c r="B1441" s="78" t="s">
        <v>2502</v>
      </c>
      <c r="C1441" s="78"/>
      <c r="D1441" s="43">
        <v>1</v>
      </c>
      <c r="E1441" s="78" t="s">
        <v>54</v>
      </c>
      <c r="F1441" s="44">
        <f t="shared" ref="F1441:F1504" si="48">D1441*2</f>
        <v>2</v>
      </c>
      <c r="G1441" s="85" t="s">
        <v>2503</v>
      </c>
      <c r="H1441" s="46" t="s">
        <v>18</v>
      </c>
      <c r="I1441" s="47"/>
      <c r="J1441" s="48" t="s">
        <v>42</v>
      </c>
      <c r="K1441" s="86">
        <v>27032</v>
      </c>
      <c r="L1441" s="87" t="s">
        <v>25</v>
      </c>
      <c r="M1441" s="87" t="s">
        <v>26</v>
      </c>
      <c r="N1441" s="14" t="s">
        <v>27</v>
      </c>
      <c r="O1441" s="14" t="s">
        <v>28</v>
      </c>
      <c r="P1441" s="51">
        <v>1500</v>
      </c>
      <c r="Q1441" s="47">
        <f t="shared" si="47"/>
        <v>3000</v>
      </c>
      <c r="R1441" s="47"/>
      <c r="S1441" s="47"/>
      <c r="T1441" s="47"/>
    </row>
    <row r="1442" customHeight="1" spans="1:20">
      <c r="A1442" s="43">
        <v>27033</v>
      </c>
      <c r="B1442" s="78" t="s">
        <v>2504</v>
      </c>
      <c r="C1442" s="78"/>
      <c r="D1442" s="43">
        <f>D1376</f>
        <v>56</v>
      </c>
      <c r="E1442" s="78" t="s">
        <v>21</v>
      </c>
      <c r="F1442" s="44">
        <f t="shared" si="48"/>
        <v>112</v>
      </c>
      <c r="G1442" s="85" t="s">
        <v>2505</v>
      </c>
      <c r="H1442" s="46" t="s">
        <v>18</v>
      </c>
      <c r="I1442" s="47"/>
      <c r="J1442" s="48" t="s">
        <v>2432</v>
      </c>
      <c r="K1442" s="86">
        <v>27033</v>
      </c>
      <c r="L1442" s="87" t="s">
        <v>25</v>
      </c>
      <c r="M1442" s="87" t="s">
        <v>26</v>
      </c>
      <c r="N1442" s="14" t="s">
        <v>27</v>
      </c>
      <c r="O1442" s="14" t="s">
        <v>28</v>
      </c>
      <c r="P1442" s="51">
        <v>28</v>
      </c>
      <c r="Q1442" s="47">
        <f t="shared" si="47"/>
        <v>3136</v>
      </c>
      <c r="R1442" s="47"/>
      <c r="S1442" s="47"/>
      <c r="T1442" s="47"/>
    </row>
    <row r="1443" customHeight="1" spans="1:20">
      <c r="A1443" s="43">
        <v>27034</v>
      </c>
      <c r="B1443" s="78" t="s">
        <v>2506</v>
      </c>
      <c r="C1443" s="78"/>
      <c r="D1443" s="43">
        <v>1</v>
      </c>
      <c r="E1443" s="78" t="s">
        <v>54</v>
      </c>
      <c r="F1443" s="44">
        <f t="shared" si="48"/>
        <v>2</v>
      </c>
      <c r="G1443" s="85" t="s">
        <v>2507</v>
      </c>
      <c r="H1443" s="46" t="s">
        <v>18</v>
      </c>
      <c r="I1443" s="47"/>
      <c r="J1443" s="48" t="s">
        <v>42</v>
      </c>
      <c r="K1443" s="86">
        <v>27034</v>
      </c>
      <c r="L1443" s="87" t="s">
        <v>2508</v>
      </c>
      <c r="M1443" s="87" t="s">
        <v>2509</v>
      </c>
      <c r="N1443" s="14" t="s">
        <v>27</v>
      </c>
      <c r="O1443" s="14" t="s">
        <v>28</v>
      </c>
      <c r="P1443" s="51">
        <v>950</v>
      </c>
      <c r="Q1443" s="47">
        <f t="shared" si="47"/>
        <v>1900</v>
      </c>
      <c r="R1443" s="47"/>
      <c r="S1443" s="47"/>
      <c r="T1443" s="47"/>
    </row>
    <row r="1444" customHeight="1" spans="1:20">
      <c r="A1444" s="43">
        <v>27035</v>
      </c>
      <c r="B1444" s="78" t="s">
        <v>2510</v>
      </c>
      <c r="C1444" s="78"/>
      <c r="D1444" s="43">
        <f>D1376</f>
        <v>56</v>
      </c>
      <c r="E1444" s="78" t="s">
        <v>21</v>
      </c>
      <c r="F1444" s="44">
        <f t="shared" si="48"/>
        <v>112</v>
      </c>
      <c r="G1444" s="117" t="s">
        <v>2511</v>
      </c>
      <c r="H1444" s="46" t="s">
        <v>18</v>
      </c>
      <c r="I1444" s="47"/>
      <c r="J1444" s="48" t="s">
        <v>42</v>
      </c>
      <c r="K1444" s="118">
        <v>27035</v>
      </c>
      <c r="L1444" s="119" t="s">
        <v>25</v>
      </c>
      <c r="M1444" s="119" t="s">
        <v>26</v>
      </c>
      <c r="N1444" s="14" t="s">
        <v>27</v>
      </c>
      <c r="O1444" s="14" t="s">
        <v>28</v>
      </c>
      <c r="P1444" s="51">
        <v>5</v>
      </c>
      <c r="Q1444" s="47">
        <f t="shared" si="47"/>
        <v>560</v>
      </c>
      <c r="R1444" s="47"/>
      <c r="S1444" s="47"/>
      <c r="T1444" s="47"/>
    </row>
    <row r="1445" customHeight="1" spans="1:20">
      <c r="A1445" s="75" t="s">
        <v>103</v>
      </c>
      <c r="B1445" s="2" t="s">
        <v>741</v>
      </c>
      <c r="C1445" s="2"/>
      <c r="D1445" s="6"/>
      <c r="E1445" s="2"/>
      <c r="F1445" s="44">
        <f t="shared" si="48"/>
        <v>0</v>
      </c>
      <c r="G1445" s="77"/>
      <c r="H1445" s="46"/>
      <c r="I1445" s="47"/>
      <c r="J1445" s="48" t="s">
        <v>42</v>
      </c>
      <c r="K1445" s="94"/>
      <c r="L1445" s="95"/>
      <c r="M1445" s="95"/>
      <c r="P1445" s="51"/>
      <c r="Q1445" s="47">
        <f t="shared" si="47"/>
        <v>0</v>
      </c>
      <c r="R1445" s="47"/>
      <c r="S1445" s="47"/>
      <c r="T1445" s="47">
        <v>3</v>
      </c>
    </row>
    <row r="1446" customHeight="1" spans="1:20">
      <c r="A1446" s="6">
        <v>33</v>
      </c>
      <c r="B1446" s="2" t="s">
        <v>2449</v>
      </c>
      <c r="C1446" s="2"/>
      <c r="D1446" s="6"/>
      <c r="E1446" s="2"/>
      <c r="F1446" s="44">
        <f t="shared" si="48"/>
        <v>0</v>
      </c>
      <c r="G1446" s="77"/>
      <c r="H1446" s="46"/>
      <c r="I1446" s="47"/>
      <c r="J1446" s="48" t="s">
        <v>42</v>
      </c>
      <c r="K1446" s="94"/>
      <c r="L1446" s="95"/>
      <c r="M1446" s="95"/>
      <c r="P1446" s="51"/>
      <c r="Q1446" s="47">
        <f t="shared" si="47"/>
        <v>0</v>
      </c>
      <c r="R1446" s="47"/>
      <c r="S1446" s="47"/>
      <c r="T1446" s="47"/>
    </row>
    <row r="1447" customHeight="1" spans="1:20">
      <c r="A1447" s="43">
        <v>33301</v>
      </c>
      <c r="B1447" s="78" t="s">
        <v>2512</v>
      </c>
      <c r="C1447" s="78"/>
      <c r="D1447" s="43">
        <v>1</v>
      </c>
      <c r="E1447" s="78" t="s">
        <v>21</v>
      </c>
      <c r="F1447" s="44">
        <f t="shared" si="48"/>
        <v>2</v>
      </c>
      <c r="G1447" s="85" t="s">
        <v>2513</v>
      </c>
      <c r="H1447" s="46" t="s">
        <v>18</v>
      </c>
      <c r="I1447" s="47"/>
      <c r="J1447" s="48" t="s">
        <v>42</v>
      </c>
      <c r="K1447" s="86">
        <v>33301</v>
      </c>
      <c r="L1447" s="87" t="s">
        <v>25</v>
      </c>
      <c r="M1447" s="87" t="s">
        <v>26</v>
      </c>
      <c r="N1447" s="14" t="s">
        <v>27</v>
      </c>
      <c r="O1447" s="14" t="s">
        <v>28</v>
      </c>
      <c r="P1447" s="51">
        <v>75</v>
      </c>
      <c r="Q1447" s="47">
        <f t="shared" si="47"/>
        <v>150</v>
      </c>
      <c r="R1447" s="47"/>
      <c r="S1447" s="47"/>
      <c r="T1447" s="47"/>
    </row>
    <row r="1448" customHeight="1" spans="1:20">
      <c r="A1448" s="43">
        <v>33302</v>
      </c>
      <c r="B1448" s="78" t="s">
        <v>2514</v>
      </c>
      <c r="C1448" s="78"/>
      <c r="D1448" s="43">
        <v>1</v>
      </c>
      <c r="E1448" s="78" t="s">
        <v>21</v>
      </c>
      <c r="F1448" s="44">
        <f t="shared" si="48"/>
        <v>2</v>
      </c>
      <c r="G1448" s="85" t="s">
        <v>2515</v>
      </c>
      <c r="H1448" s="46" t="s">
        <v>18</v>
      </c>
      <c r="I1448" s="47"/>
      <c r="J1448" s="48" t="s">
        <v>42</v>
      </c>
      <c r="K1448" s="86">
        <v>33302</v>
      </c>
      <c r="L1448" s="87" t="s">
        <v>25</v>
      </c>
      <c r="M1448" s="87" t="s">
        <v>26</v>
      </c>
      <c r="N1448" s="14" t="s">
        <v>27</v>
      </c>
      <c r="O1448" s="14" t="s">
        <v>28</v>
      </c>
      <c r="P1448" s="51">
        <v>130</v>
      </c>
      <c r="Q1448" s="47">
        <f t="shared" si="47"/>
        <v>260</v>
      </c>
      <c r="R1448" s="47"/>
      <c r="S1448" s="47"/>
      <c r="T1448" s="47"/>
    </row>
    <row r="1449" customHeight="1" spans="1:20">
      <c r="A1449" s="43">
        <v>33303</v>
      </c>
      <c r="B1449" s="78" t="s">
        <v>2516</v>
      </c>
      <c r="C1449" s="78"/>
      <c r="D1449" s="43">
        <v>1</v>
      </c>
      <c r="E1449" s="78" t="s">
        <v>21</v>
      </c>
      <c r="F1449" s="44">
        <f t="shared" si="48"/>
        <v>2</v>
      </c>
      <c r="G1449" s="82" t="s">
        <v>2517</v>
      </c>
      <c r="H1449" s="46" t="s">
        <v>18</v>
      </c>
      <c r="I1449" s="47"/>
      <c r="J1449" s="48" t="s">
        <v>42</v>
      </c>
      <c r="K1449" s="83">
        <v>33303</v>
      </c>
      <c r="L1449" s="84" t="s">
        <v>25</v>
      </c>
      <c r="M1449" s="84" t="s">
        <v>26</v>
      </c>
      <c r="N1449" s="14" t="s">
        <v>27</v>
      </c>
      <c r="O1449" s="14" t="s">
        <v>28</v>
      </c>
      <c r="P1449" s="51">
        <v>70</v>
      </c>
      <c r="Q1449" s="47">
        <f t="shared" si="47"/>
        <v>140</v>
      </c>
      <c r="R1449" s="47"/>
      <c r="S1449" s="47"/>
      <c r="T1449" s="47"/>
    </row>
    <row r="1450" customHeight="1" spans="1:20">
      <c r="A1450" s="43">
        <v>33304</v>
      </c>
      <c r="B1450" s="78" t="s">
        <v>2518</v>
      </c>
      <c r="C1450" s="78"/>
      <c r="D1450" s="43">
        <f>D1376</f>
        <v>56</v>
      </c>
      <c r="E1450" s="78" t="s">
        <v>21</v>
      </c>
      <c r="F1450" s="44">
        <f t="shared" si="48"/>
        <v>112</v>
      </c>
      <c r="G1450" s="79" t="s">
        <v>2519</v>
      </c>
      <c r="H1450" s="46" t="s">
        <v>18</v>
      </c>
      <c r="I1450" s="47"/>
      <c r="J1450" s="48" t="s">
        <v>42</v>
      </c>
      <c r="K1450" s="80">
        <v>33304</v>
      </c>
      <c r="L1450" s="81" t="s">
        <v>25</v>
      </c>
      <c r="M1450" s="81" t="s">
        <v>26</v>
      </c>
      <c r="N1450" s="14" t="s">
        <v>27</v>
      </c>
      <c r="O1450" s="14" t="s">
        <v>28</v>
      </c>
      <c r="P1450" s="51">
        <v>60</v>
      </c>
      <c r="Q1450" s="47">
        <f t="shared" si="47"/>
        <v>6720</v>
      </c>
      <c r="R1450" s="47"/>
      <c r="S1450" s="47"/>
      <c r="T1450" s="47"/>
    </row>
    <row r="1451" customHeight="1" spans="1:20">
      <c r="A1451" s="43">
        <v>33305</v>
      </c>
      <c r="B1451" s="78" t="s">
        <v>2520</v>
      </c>
      <c r="C1451" s="78"/>
      <c r="D1451" s="43">
        <f>D1376</f>
        <v>56</v>
      </c>
      <c r="E1451" s="78" t="s">
        <v>21</v>
      </c>
      <c r="F1451" s="44">
        <f t="shared" si="48"/>
        <v>112</v>
      </c>
      <c r="G1451" s="85" t="s">
        <v>2521</v>
      </c>
      <c r="H1451" s="46" t="s">
        <v>18</v>
      </c>
      <c r="I1451" s="47"/>
      <c r="J1451" s="48" t="s">
        <v>42</v>
      </c>
      <c r="K1451" s="86">
        <v>33305</v>
      </c>
      <c r="L1451" s="87" t="s">
        <v>25</v>
      </c>
      <c r="M1451" s="87" t="s">
        <v>26</v>
      </c>
      <c r="N1451" s="14" t="s">
        <v>27</v>
      </c>
      <c r="O1451" s="14" t="s">
        <v>28</v>
      </c>
      <c r="P1451" s="51">
        <v>42</v>
      </c>
      <c r="Q1451" s="47">
        <f t="shared" si="47"/>
        <v>4704</v>
      </c>
      <c r="R1451" s="47"/>
      <c r="S1451" s="47"/>
      <c r="T1451" s="47"/>
    </row>
    <row r="1452" customHeight="1" spans="1:20">
      <c r="A1452" s="43">
        <v>33306</v>
      </c>
      <c r="B1452" s="78" t="s">
        <v>2522</v>
      </c>
      <c r="C1452" s="78"/>
      <c r="D1452" s="43">
        <v>1</v>
      </c>
      <c r="E1452" s="78" t="s">
        <v>21</v>
      </c>
      <c r="F1452" s="44">
        <f t="shared" si="48"/>
        <v>2</v>
      </c>
      <c r="G1452" s="117" t="s">
        <v>2523</v>
      </c>
      <c r="H1452" s="46" t="s">
        <v>18</v>
      </c>
      <c r="I1452" s="47"/>
      <c r="J1452" s="48" t="s">
        <v>42</v>
      </c>
      <c r="K1452" s="118">
        <v>33306</v>
      </c>
      <c r="L1452" s="119" t="s">
        <v>25</v>
      </c>
      <c r="M1452" s="119" t="s">
        <v>26</v>
      </c>
      <c r="N1452" s="14" t="s">
        <v>27</v>
      </c>
      <c r="O1452" s="14" t="s">
        <v>28</v>
      </c>
      <c r="P1452" s="51">
        <v>95</v>
      </c>
      <c r="Q1452" s="47">
        <f t="shared" si="47"/>
        <v>190</v>
      </c>
      <c r="R1452" s="47"/>
      <c r="S1452" s="47"/>
      <c r="T1452" s="47"/>
    </row>
    <row r="1453" customHeight="1" spans="1:20">
      <c r="A1453" s="43">
        <v>33307</v>
      </c>
      <c r="B1453" s="78" t="s">
        <v>2524</v>
      </c>
      <c r="C1453" s="78"/>
      <c r="D1453" s="43">
        <f>D1376</f>
        <v>56</v>
      </c>
      <c r="E1453" s="78" t="s">
        <v>21</v>
      </c>
      <c r="F1453" s="44">
        <f t="shared" si="48"/>
        <v>112</v>
      </c>
      <c r="G1453" s="120" t="s">
        <v>2525</v>
      </c>
      <c r="H1453" s="46" t="s">
        <v>18</v>
      </c>
      <c r="I1453" s="47"/>
      <c r="J1453" s="48" t="s">
        <v>42</v>
      </c>
      <c r="K1453" s="121">
        <v>33307</v>
      </c>
      <c r="L1453" s="122" t="s">
        <v>25</v>
      </c>
      <c r="M1453" s="122" t="s">
        <v>26</v>
      </c>
      <c r="N1453" s="14" t="s">
        <v>27</v>
      </c>
      <c r="O1453" s="14" t="s">
        <v>28</v>
      </c>
      <c r="P1453" s="51">
        <v>20</v>
      </c>
      <c r="Q1453" s="47">
        <f t="shared" si="47"/>
        <v>2240</v>
      </c>
      <c r="R1453" s="47"/>
      <c r="S1453" s="47"/>
      <c r="T1453" s="47"/>
    </row>
    <row r="1454" customHeight="1" spans="1:20">
      <c r="A1454" s="75" t="s">
        <v>120</v>
      </c>
      <c r="B1454" s="2" t="s">
        <v>1863</v>
      </c>
      <c r="C1454" s="2"/>
      <c r="D1454" s="6"/>
      <c r="E1454" s="2"/>
      <c r="F1454" s="44">
        <f t="shared" si="48"/>
        <v>0</v>
      </c>
      <c r="G1454" s="77"/>
      <c r="H1454" s="46"/>
      <c r="I1454" s="47"/>
      <c r="J1454" s="48" t="s">
        <v>42</v>
      </c>
      <c r="K1454" s="94"/>
      <c r="L1454" s="95"/>
      <c r="M1454" s="95"/>
      <c r="O1454" s="14" t="s">
        <v>28</v>
      </c>
      <c r="P1454" s="51"/>
      <c r="Q1454" s="47">
        <f t="shared" si="47"/>
        <v>0</v>
      </c>
      <c r="R1454" s="47"/>
      <c r="S1454" s="47"/>
      <c r="T1454" s="47"/>
    </row>
    <row r="1455" customHeight="1" spans="1:20">
      <c r="A1455" s="6">
        <v>43</v>
      </c>
      <c r="B1455" s="2" t="s">
        <v>2449</v>
      </c>
      <c r="C1455" s="2"/>
      <c r="D1455" s="6"/>
      <c r="E1455" s="2"/>
      <c r="F1455" s="44">
        <f t="shared" si="48"/>
        <v>0</v>
      </c>
      <c r="G1455" s="77"/>
      <c r="H1455" s="46"/>
      <c r="I1455" s="47"/>
      <c r="J1455" s="48" t="s">
        <v>42</v>
      </c>
      <c r="K1455" s="94"/>
      <c r="L1455" s="95"/>
      <c r="M1455" s="95"/>
      <c r="O1455" s="14" t="s">
        <v>28</v>
      </c>
      <c r="P1455" s="51"/>
      <c r="Q1455" s="47">
        <f t="shared" si="47"/>
        <v>0</v>
      </c>
      <c r="R1455" s="47"/>
      <c r="S1455" s="47"/>
      <c r="T1455" s="47"/>
    </row>
    <row r="1456" customHeight="1" spans="1:20">
      <c r="A1456" s="43">
        <v>43110</v>
      </c>
      <c r="B1456" s="78" t="s">
        <v>2526</v>
      </c>
      <c r="C1456" s="78"/>
      <c r="D1456" s="43">
        <v>9</v>
      </c>
      <c r="E1456" s="78" t="s">
        <v>32</v>
      </c>
      <c r="F1456" s="44">
        <f t="shared" si="48"/>
        <v>18</v>
      </c>
      <c r="G1456" s="117" t="s">
        <v>2527</v>
      </c>
      <c r="H1456" s="46" t="s">
        <v>18</v>
      </c>
      <c r="I1456" s="47"/>
      <c r="J1456" s="48" t="s">
        <v>42</v>
      </c>
      <c r="K1456" s="118">
        <v>43110</v>
      </c>
      <c r="L1456" s="119" t="s">
        <v>25</v>
      </c>
      <c r="M1456" s="119" t="s">
        <v>26</v>
      </c>
      <c r="N1456" s="14" t="s">
        <v>27</v>
      </c>
      <c r="O1456" s="14" t="s">
        <v>28</v>
      </c>
      <c r="P1456" s="51">
        <v>35</v>
      </c>
      <c r="Q1456" s="47">
        <f t="shared" si="47"/>
        <v>630</v>
      </c>
      <c r="R1456" s="47"/>
      <c r="S1456" s="47"/>
      <c r="T1456" s="47"/>
    </row>
    <row r="1457" customHeight="1" spans="1:20">
      <c r="A1457" s="43">
        <v>43111</v>
      </c>
      <c r="B1457" s="78" t="s">
        <v>2528</v>
      </c>
      <c r="C1457" s="78"/>
      <c r="D1457" s="43">
        <v>9</v>
      </c>
      <c r="E1457" s="78" t="s">
        <v>32</v>
      </c>
      <c r="F1457" s="44">
        <f t="shared" si="48"/>
        <v>18</v>
      </c>
      <c r="G1457" s="117" t="s">
        <v>2527</v>
      </c>
      <c r="H1457" s="46" t="s">
        <v>18</v>
      </c>
      <c r="I1457" s="47"/>
      <c r="J1457" s="48" t="s">
        <v>42</v>
      </c>
      <c r="K1457" s="118">
        <v>43111</v>
      </c>
      <c r="L1457" s="119" t="s">
        <v>25</v>
      </c>
      <c r="M1457" s="119" t="s">
        <v>26</v>
      </c>
      <c r="N1457" s="14" t="s">
        <v>27</v>
      </c>
      <c r="O1457" s="14" t="s">
        <v>28</v>
      </c>
      <c r="P1457" s="51">
        <v>35</v>
      </c>
      <c r="Q1457" s="47">
        <f t="shared" si="47"/>
        <v>630</v>
      </c>
      <c r="R1457" s="47"/>
      <c r="S1457" s="47"/>
      <c r="T1457" s="47"/>
    </row>
    <row r="1458" customHeight="1" spans="1:20">
      <c r="A1458" s="43">
        <v>43112</v>
      </c>
      <c r="B1458" s="78" t="s">
        <v>2529</v>
      </c>
      <c r="C1458" s="78"/>
      <c r="D1458" s="43">
        <v>9</v>
      </c>
      <c r="E1458" s="78" t="s">
        <v>32</v>
      </c>
      <c r="F1458" s="44">
        <f t="shared" si="48"/>
        <v>18</v>
      </c>
      <c r="G1458" s="117" t="s">
        <v>2527</v>
      </c>
      <c r="H1458" s="46" t="s">
        <v>18</v>
      </c>
      <c r="I1458" s="47"/>
      <c r="J1458" s="48" t="s">
        <v>42</v>
      </c>
      <c r="K1458" s="118">
        <v>43112</v>
      </c>
      <c r="L1458" s="119" t="s">
        <v>25</v>
      </c>
      <c r="M1458" s="119" t="s">
        <v>26</v>
      </c>
      <c r="N1458" s="14" t="s">
        <v>27</v>
      </c>
      <c r="O1458" s="14" t="s">
        <v>28</v>
      </c>
      <c r="P1458" s="51">
        <v>35</v>
      </c>
      <c r="Q1458" s="47">
        <f t="shared" si="47"/>
        <v>630</v>
      </c>
      <c r="R1458" s="47"/>
      <c r="S1458" s="47"/>
      <c r="T1458" s="47"/>
    </row>
    <row r="1459" customHeight="1" spans="1:20">
      <c r="A1459" s="43"/>
      <c r="B1459" s="2" t="s">
        <v>2530</v>
      </c>
      <c r="C1459" s="2"/>
      <c r="D1459" s="6"/>
      <c r="E1459" s="2"/>
      <c r="F1459" s="44">
        <f t="shared" si="48"/>
        <v>0</v>
      </c>
      <c r="G1459" s="77"/>
      <c r="H1459" s="46"/>
      <c r="I1459" s="47"/>
      <c r="J1459" s="48" t="s">
        <v>42</v>
      </c>
      <c r="K1459" s="94"/>
      <c r="L1459" s="95"/>
      <c r="M1459" s="95"/>
      <c r="O1459" s="14" t="s">
        <v>28</v>
      </c>
      <c r="P1459" s="51"/>
      <c r="Q1459" s="47">
        <f t="shared" si="47"/>
        <v>0</v>
      </c>
      <c r="R1459" s="47"/>
      <c r="S1459" s="47"/>
      <c r="T1459" s="47"/>
    </row>
    <row r="1460" customHeight="1" spans="1:20">
      <c r="A1460" s="43">
        <v>432</v>
      </c>
      <c r="B1460" s="2" t="s">
        <v>2531</v>
      </c>
      <c r="C1460" s="2"/>
      <c r="D1460" s="6"/>
      <c r="E1460" s="2"/>
      <c r="F1460" s="44">
        <f t="shared" si="48"/>
        <v>0</v>
      </c>
      <c r="G1460" s="77"/>
      <c r="H1460" s="46"/>
      <c r="I1460" s="47"/>
      <c r="J1460" s="48" t="s">
        <v>42</v>
      </c>
      <c r="K1460" s="94"/>
      <c r="L1460" s="95"/>
      <c r="M1460" s="95"/>
      <c r="O1460" s="14" t="s">
        <v>28</v>
      </c>
      <c r="P1460" s="51"/>
      <c r="Q1460" s="47">
        <f t="shared" si="47"/>
        <v>0</v>
      </c>
      <c r="R1460" s="47"/>
      <c r="S1460" s="47"/>
      <c r="T1460" s="47"/>
    </row>
    <row r="1461" customHeight="1" spans="1:20">
      <c r="A1461" s="43">
        <v>43208</v>
      </c>
      <c r="B1461" s="78" t="s">
        <v>2532</v>
      </c>
      <c r="C1461" s="78"/>
      <c r="D1461" s="43">
        <f>D1376</f>
        <v>56</v>
      </c>
      <c r="E1461" s="78" t="s">
        <v>2445</v>
      </c>
      <c r="F1461" s="44">
        <f t="shared" si="48"/>
        <v>112</v>
      </c>
      <c r="G1461" s="79" t="s">
        <v>2533</v>
      </c>
      <c r="H1461" s="46" t="s">
        <v>18</v>
      </c>
      <c r="I1461" s="47"/>
      <c r="J1461" s="48" t="s">
        <v>42</v>
      </c>
      <c r="K1461" s="80">
        <v>43208</v>
      </c>
      <c r="L1461" s="81" t="s">
        <v>2534</v>
      </c>
      <c r="M1461" s="81" t="s">
        <v>2535</v>
      </c>
      <c r="N1461" s="14" t="s">
        <v>27</v>
      </c>
      <c r="O1461" s="14" t="s">
        <v>28</v>
      </c>
      <c r="P1461" s="51">
        <v>2.4</v>
      </c>
      <c r="Q1461" s="47">
        <f t="shared" si="47"/>
        <v>268.8</v>
      </c>
      <c r="R1461" s="47"/>
      <c r="S1461" s="47"/>
      <c r="T1461" s="47"/>
    </row>
    <row r="1462" customHeight="1" spans="1:20">
      <c r="A1462" s="43">
        <v>43209</v>
      </c>
      <c r="B1462" s="78" t="s">
        <v>2536</v>
      </c>
      <c r="C1462" s="78"/>
      <c r="D1462" s="43">
        <f>D1376</f>
        <v>56</v>
      </c>
      <c r="E1462" s="78" t="s">
        <v>2445</v>
      </c>
      <c r="F1462" s="44">
        <f t="shared" si="48"/>
        <v>112</v>
      </c>
      <c r="G1462" s="79" t="s">
        <v>2533</v>
      </c>
      <c r="H1462" s="46" t="s">
        <v>18</v>
      </c>
      <c r="I1462" s="47"/>
      <c r="J1462" s="48" t="s">
        <v>42</v>
      </c>
      <c r="K1462" s="80">
        <v>43209</v>
      </c>
      <c r="L1462" s="81" t="s">
        <v>2534</v>
      </c>
      <c r="M1462" s="81" t="s">
        <v>2535</v>
      </c>
      <c r="N1462" s="14" t="s">
        <v>27</v>
      </c>
      <c r="O1462" s="14" t="s">
        <v>28</v>
      </c>
      <c r="P1462" s="51">
        <v>2.4</v>
      </c>
      <c r="Q1462" s="47">
        <f t="shared" si="47"/>
        <v>268.8</v>
      </c>
      <c r="R1462" s="47"/>
      <c r="S1462" s="47"/>
      <c r="T1462" s="47"/>
    </row>
    <row r="1463" customHeight="1" spans="1:20">
      <c r="A1463" s="43">
        <v>43211</v>
      </c>
      <c r="B1463" s="78" t="s">
        <v>2537</v>
      </c>
      <c r="C1463" s="78"/>
      <c r="D1463" s="43">
        <f>D1376</f>
        <v>56</v>
      </c>
      <c r="E1463" s="78" t="s">
        <v>2445</v>
      </c>
      <c r="F1463" s="44">
        <f t="shared" si="48"/>
        <v>112</v>
      </c>
      <c r="G1463" s="79" t="s">
        <v>2533</v>
      </c>
      <c r="H1463" s="46" t="s">
        <v>18</v>
      </c>
      <c r="I1463" s="47"/>
      <c r="J1463" s="48" t="s">
        <v>42</v>
      </c>
      <c r="K1463" s="80">
        <v>43211</v>
      </c>
      <c r="L1463" s="81" t="s">
        <v>2534</v>
      </c>
      <c r="M1463" s="81" t="s">
        <v>2535</v>
      </c>
      <c r="N1463" s="14" t="s">
        <v>27</v>
      </c>
      <c r="O1463" s="14" t="s">
        <v>28</v>
      </c>
      <c r="P1463" s="51">
        <v>2.4</v>
      </c>
      <c r="Q1463" s="47">
        <f t="shared" si="47"/>
        <v>268.8</v>
      </c>
      <c r="R1463" s="47"/>
      <c r="S1463" s="47"/>
      <c r="T1463" s="47"/>
    </row>
    <row r="1464" customHeight="1" spans="1:20">
      <c r="A1464" s="43">
        <v>43224</v>
      </c>
      <c r="B1464" s="78" t="s">
        <v>2538</v>
      </c>
      <c r="C1464" s="78"/>
      <c r="D1464" s="43">
        <f>D1376</f>
        <v>56</v>
      </c>
      <c r="E1464" s="78" t="s">
        <v>2445</v>
      </c>
      <c r="F1464" s="44">
        <f t="shared" si="48"/>
        <v>112</v>
      </c>
      <c r="G1464" s="79" t="s">
        <v>2533</v>
      </c>
      <c r="H1464" s="46" t="s">
        <v>18</v>
      </c>
      <c r="I1464" s="47"/>
      <c r="J1464" s="48" t="s">
        <v>42</v>
      </c>
      <c r="K1464" s="80">
        <v>43224</v>
      </c>
      <c r="L1464" s="81" t="s">
        <v>2534</v>
      </c>
      <c r="M1464" s="81" t="s">
        <v>2535</v>
      </c>
      <c r="N1464" s="14" t="s">
        <v>27</v>
      </c>
      <c r="O1464" s="14" t="s">
        <v>28</v>
      </c>
      <c r="P1464" s="51">
        <v>2</v>
      </c>
      <c r="Q1464" s="47">
        <f t="shared" si="47"/>
        <v>224</v>
      </c>
      <c r="R1464" s="47"/>
      <c r="S1464" s="47"/>
      <c r="T1464" s="47"/>
    </row>
    <row r="1465" customHeight="1" spans="1:20">
      <c r="A1465" s="43">
        <v>433</v>
      </c>
      <c r="B1465" s="2" t="s">
        <v>2539</v>
      </c>
      <c r="C1465" s="2"/>
      <c r="D1465" s="6"/>
      <c r="E1465" s="2"/>
      <c r="F1465" s="44">
        <f t="shared" si="48"/>
        <v>0</v>
      </c>
      <c r="G1465" s="77"/>
      <c r="H1465" s="46"/>
      <c r="I1465" s="47"/>
      <c r="J1465" s="48" t="s">
        <v>42</v>
      </c>
      <c r="K1465" s="94"/>
      <c r="L1465" s="95"/>
      <c r="M1465" s="95"/>
      <c r="O1465" s="14" t="s">
        <v>28</v>
      </c>
      <c r="P1465" s="51"/>
      <c r="Q1465" s="47">
        <f t="shared" si="47"/>
        <v>0</v>
      </c>
      <c r="R1465" s="47"/>
      <c r="S1465" s="47"/>
      <c r="T1465" s="47"/>
    </row>
    <row r="1466" customHeight="1" spans="1:20">
      <c r="A1466" s="43">
        <v>43305</v>
      </c>
      <c r="B1466" s="78" t="s">
        <v>2540</v>
      </c>
      <c r="C1466" s="78"/>
      <c r="D1466" s="43">
        <f>D1376</f>
        <v>56</v>
      </c>
      <c r="E1466" s="78" t="s">
        <v>2445</v>
      </c>
      <c r="F1466" s="44">
        <f t="shared" si="48"/>
        <v>112</v>
      </c>
      <c r="G1466" s="79" t="s">
        <v>2533</v>
      </c>
      <c r="H1466" s="46" t="s">
        <v>18</v>
      </c>
      <c r="I1466" s="47"/>
      <c r="J1466" s="48" t="s">
        <v>42</v>
      </c>
      <c r="K1466" s="80">
        <v>43305</v>
      </c>
      <c r="L1466" s="81" t="s">
        <v>2534</v>
      </c>
      <c r="M1466" s="81" t="s">
        <v>2535</v>
      </c>
      <c r="N1466" s="14" t="s">
        <v>27</v>
      </c>
      <c r="O1466" s="14" t="s">
        <v>28</v>
      </c>
      <c r="P1466" s="51">
        <v>2.4</v>
      </c>
      <c r="Q1466" s="47">
        <f t="shared" si="47"/>
        <v>268.8</v>
      </c>
      <c r="R1466" s="47"/>
      <c r="S1466" s="47"/>
      <c r="T1466" s="47"/>
    </row>
    <row r="1467" customHeight="1" spans="1:20">
      <c r="A1467" s="43">
        <v>43307</v>
      </c>
      <c r="B1467" s="78" t="s">
        <v>2541</v>
      </c>
      <c r="C1467" s="78"/>
      <c r="D1467" s="43">
        <f>D1376</f>
        <v>56</v>
      </c>
      <c r="E1467" s="78" t="s">
        <v>2445</v>
      </c>
      <c r="F1467" s="44">
        <f t="shared" si="48"/>
        <v>112</v>
      </c>
      <c r="G1467" s="79" t="s">
        <v>2533</v>
      </c>
      <c r="H1467" s="46" t="s">
        <v>18</v>
      </c>
      <c r="I1467" s="47"/>
      <c r="J1467" s="48" t="s">
        <v>42</v>
      </c>
      <c r="K1467" s="80">
        <v>43307</v>
      </c>
      <c r="L1467" s="81" t="s">
        <v>2534</v>
      </c>
      <c r="M1467" s="81" t="s">
        <v>2535</v>
      </c>
      <c r="N1467" s="14" t="s">
        <v>27</v>
      </c>
      <c r="O1467" s="14" t="s">
        <v>28</v>
      </c>
      <c r="P1467" s="51">
        <v>2.4</v>
      </c>
      <c r="Q1467" s="47">
        <f t="shared" si="47"/>
        <v>268.8</v>
      </c>
      <c r="R1467" s="47"/>
      <c r="S1467" s="47"/>
      <c r="T1467" s="47"/>
    </row>
    <row r="1468" customHeight="1" spans="1:20">
      <c r="A1468" s="43">
        <v>43312</v>
      </c>
      <c r="B1468" s="78" t="s">
        <v>2542</v>
      </c>
      <c r="C1468" s="78"/>
      <c r="D1468" s="43">
        <f>D1376</f>
        <v>56</v>
      </c>
      <c r="E1468" s="78" t="s">
        <v>2445</v>
      </c>
      <c r="F1468" s="44">
        <f t="shared" si="48"/>
        <v>112</v>
      </c>
      <c r="G1468" s="79" t="s">
        <v>2533</v>
      </c>
      <c r="H1468" s="46" t="s">
        <v>18</v>
      </c>
      <c r="I1468" s="47"/>
      <c r="J1468" s="48" t="s">
        <v>42</v>
      </c>
      <c r="K1468" s="80">
        <v>43312</v>
      </c>
      <c r="L1468" s="81" t="s">
        <v>2534</v>
      </c>
      <c r="M1468" s="81" t="s">
        <v>2543</v>
      </c>
      <c r="N1468" s="14" t="s">
        <v>27</v>
      </c>
      <c r="O1468" s="14" t="s">
        <v>28</v>
      </c>
      <c r="P1468" s="51">
        <v>4</v>
      </c>
      <c r="Q1468" s="47">
        <f t="shared" si="47"/>
        <v>448</v>
      </c>
      <c r="R1468" s="47"/>
      <c r="S1468" s="47"/>
      <c r="T1468" s="47"/>
    </row>
    <row r="1469" customHeight="1" spans="1:20">
      <c r="A1469" s="43">
        <v>434</v>
      </c>
      <c r="B1469" s="2" t="s">
        <v>2544</v>
      </c>
      <c r="C1469" s="2"/>
      <c r="D1469" s="6"/>
      <c r="E1469" s="2"/>
      <c r="F1469" s="44">
        <f t="shared" si="48"/>
        <v>0</v>
      </c>
      <c r="G1469" s="77"/>
      <c r="H1469" s="46"/>
      <c r="I1469" s="47"/>
      <c r="J1469" s="48" t="s">
        <v>42</v>
      </c>
      <c r="K1469" s="94"/>
      <c r="L1469" s="95"/>
      <c r="M1469" s="95"/>
      <c r="O1469" s="14" t="s">
        <v>28</v>
      </c>
      <c r="P1469" s="51"/>
      <c r="Q1469" s="47">
        <f t="shared" si="47"/>
        <v>0</v>
      </c>
      <c r="R1469" s="47"/>
      <c r="S1469" s="47"/>
      <c r="T1469" s="47"/>
    </row>
    <row r="1470" customHeight="1" spans="1:20">
      <c r="A1470" s="43">
        <v>43403</v>
      </c>
      <c r="B1470" s="78" t="s">
        <v>2545</v>
      </c>
      <c r="C1470" s="78"/>
      <c r="D1470" s="43">
        <f>D1376</f>
        <v>56</v>
      </c>
      <c r="E1470" s="78" t="s">
        <v>2445</v>
      </c>
      <c r="F1470" s="44">
        <f t="shared" si="48"/>
        <v>112</v>
      </c>
      <c r="G1470" s="79" t="s">
        <v>2533</v>
      </c>
      <c r="H1470" s="46" t="s">
        <v>18</v>
      </c>
      <c r="I1470" s="47"/>
      <c r="J1470" s="48" t="s">
        <v>42</v>
      </c>
      <c r="K1470" s="80">
        <v>43403</v>
      </c>
      <c r="L1470" s="81" t="s">
        <v>2534</v>
      </c>
      <c r="M1470" s="81" t="s">
        <v>2535</v>
      </c>
      <c r="N1470" s="14" t="s">
        <v>27</v>
      </c>
      <c r="O1470" s="14" t="s">
        <v>28</v>
      </c>
      <c r="P1470" s="51">
        <v>8</v>
      </c>
      <c r="Q1470" s="47">
        <f t="shared" si="47"/>
        <v>896</v>
      </c>
      <c r="R1470" s="47"/>
      <c r="S1470" s="47"/>
      <c r="T1470" s="47"/>
    </row>
    <row r="1471" customHeight="1" spans="1:20">
      <c r="A1471" s="43">
        <v>43405</v>
      </c>
      <c r="B1471" s="78" t="s">
        <v>2546</v>
      </c>
      <c r="C1471" s="78"/>
      <c r="D1471" s="43">
        <f>D1376</f>
        <v>56</v>
      </c>
      <c r="E1471" s="78" t="s">
        <v>2445</v>
      </c>
      <c r="F1471" s="44">
        <f t="shared" si="48"/>
        <v>112</v>
      </c>
      <c r="G1471" s="79" t="s">
        <v>2533</v>
      </c>
      <c r="H1471" s="46" t="s">
        <v>18</v>
      </c>
      <c r="I1471" s="47"/>
      <c r="J1471" s="48" t="s">
        <v>42</v>
      </c>
      <c r="K1471" s="80">
        <v>43405</v>
      </c>
      <c r="L1471" s="81" t="s">
        <v>2534</v>
      </c>
      <c r="M1471" s="81" t="s">
        <v>2535</v>
      </c>
      <c r="N1471" s="14" t="s">
        <v>27</v>
      </c>
      <c r="O1471" s="14" t="s">
        <v>28</v>
      </c>
      <c r="P1471" s="51">
        <v>6</v>
      </c>
      <c r="Q1471" s="47">
        <f t="shared" si="47"/>
        <v>672</v>
      </c>
      <c r="R1471" s="47"/>
      <c r="S1471" s="47"/>
      <c r="T1471" s="47"/>
    </row>
    <row r="1472" customHeight="1" spans="1:20">
      <c r="A1472" s="43">
        <v>43414</v>
      </c>
      <c r="B1472" s="78" t="s">
        <v>2547</v>
      </c>
      <c r="C1472" s="78"/>
      <c r="D1472" s="43">
        <f>D1376</f>
        <v>56</v>
      </c>
      <c r="E1472" s="78" t="s">
        <v>2445</v>
      </c>
      <c r="F1472" s="44">
        <f t="shared" si="48"/>
        <v>112</v>
      </c>
      <c r="G1472" s="79" t="s">
        <v>2533</v>
      </c>
      <c r="H1472" s="46" t="s">
        <v>18</v>
      </c>
      <c r="I1472" s="47"/>
      <c r="J1472" s="48" t="s">
        <v>42</v>
      </c>
      <c r="K1472" s="80">
        <v>43414</v>
      </c>
      <c r="L1472" s="81" t="s">
        <v>2534</v>
      </c>
      <c r="M1472" s="81" t="s">
        <v>2543</v>
      </c>
      <c r="N1472" s="14" t="s">
        <v>27</v>
      </c>
      <c r="O1472" s="14" t="s">
        <v>28</v>
      </c>
      <c r="P1472" s="51">
        <v>6</v>
      </c>
      <c r="Q1472" s="47">
        <f t="shared" si="47"/>
        <v>672</v>
      </c>
      <c r="R1472" s="47"/>
      <c r="S1472" s="47"/>
      <c r="T1472" s="47"/>
    </row>
    <row r="1473" customHeight="1" spans="1:20">
      <c r="A1473" s="43">
        <v>43415</v>
      </c>
      <c r="B1473" s="78" t="s">
        <v>2548</v>
      </c>
      <c r="C1473" s="78"/>
      <c r="D1473" s="43">
        <f>D1376</f>
        <v>56</v>
      </c>
      <c r="E1473" s="78" t="s">
        <v>2445</v>
      </c>
      <c r="F1473" s="44">
        <f t="shared" si="48"/>
        <v>112</v>
      </c>
      <c r="G1473" s="79" t="s">
        <v>2533</v>
      </c>
      <c r="H1473" s="46" t="s">
        <v>18</v>
      </c>
      <c r="I1473" s="47"/>
      <c r="J1473" s="48" t="s">
        <v>42</v>
      </c>
      <c r="K1473" s="80">
        <v>43415</v>
      </c>
      <c r="L1473" s="81" t="s">
        <v>2534</v>
      </c>
      <c r="M1473" s="81" t="s">
        <v>2543</v>
      </c>
      <c r="N1473" s="14" t="s">
        <v>27</v>
      </c>
      <c r="O1473" s="14" t="s">
        <v>28</v>
      </c>
      <c r="P1473" s="51">
        <v>4</v>
      </c>
      <c r="Q1473" s="47">
        <f t="shared" si="47"/>
        <v>448</v>
      </c>
      <c r="R1473" s="47"/>
      <c r="S1473" s="47"/>
      <c r="T1473" s="47"/>
    </row>
    <row r="1474" customHeight="1" spans="1:20">
      <c r="A1474" s="43">
        <v>43416</v>
      </c>
      <c r="B1474" s="78" t="s">
        <v>2549</v>
      </c>
      <c r="C1474" s="78"/>
      <c r="D1474" s="43">
        <f>D1376</f>
        <v>56</v>
      </c>
      <c r="E1474" s="78" t="s">
        <v>2445</v>
      </c>
      <c r="F1474" s="44">
        <f t="shared" si="48"/>
        <v>112</v>
      </c>
      <c r="G1474" s="79" t="s">
        <v>2533</v>
      </c>
      <c r="H1474" s="46" t="s">
        <v>18</v>
      </c>
      <c r="I1474" s="47"/>
      <c r="J1474" s="48" t="s">
        <v>42</v>
      </c>
      <c r="K1474" s="80">
        <v>43416</v>
      </c>
      <c r="L1474" s="81" t="s">
        <v>2534</v>
      </c>
      <c r="M1474" s="81" t="s">
        <v>2543</v>
      </c>
      <c r="N1474" s="14" t="s">
        <v>27</v>
      </c>
      <c r="O1474" s="14" t="s">
        <v>28</v>
      </c>
      <c r="P1474" s="51">
        <v>4</v>
      </c>
      <c r="Q1474" s="47">
        <f t="shared" si="47"/>
        <v>448</v>
      </c>
      <c r="R1474" s="47"/>
      <c r="S1474" s="47"/>
      <c r="T1474" s="47"/>
    </row>
    <row r="1475" customHeight="1" spans="1:20">
      <c r="A1475" s="43">
        <v>435</v>
      </c>
      <c r="B1475" s="2" t="s">
        <v>2550</v>
      </c>
      <c r="C1475" s="2"/>
      <c r="D1475" s="6"/>
      <c r="E1475" s="2"/>
      <c r="F1475" s="44">
        <f t="shared" si="48"/>
        <v>0</v>
      </c>
      <c r="G1475" s="77"/>
      <c r="H1475" s="46"/>
      <c r="I1475" s="47"/>
      <c r="J1475" s="48" t="s">
        <v>42</v>
      </c>
      <c r="K1475" s="94"/>
      <c r="L1475" s="95"/>
      <c r="M1475" s="95"/>
      <c r="O1475" s="14" t="s">
        <v>28</v>
      </c>
      <c r="P1475" s="51"/>
      <c r="Q1475" s="47">
        <f t="shared" si="47"/>
        <v>0</v>
      </c>
      <c r="R1475" s="47"/>
      <c r="S1475" s="47"/>
      <c r="T1475" s="47"/>
    </row>
    <row r="1476" customHeight="1" spans="1:20">
      <c r="A1476" s="43">
        <v>43508</v>
      </c>
      <c r="B1476" s="78" t="s">
        <v>2551</v>
      </c>
      <c r="C1476" s="78"/>
      <c r="D1476" s="43">
        <f>D1376</f>
        <v>56</v>
      </c>
      <c r="E1476" s="78" t="s">
        <v>2445</v>
      </c>
      <c r="F1476" s="44">
        <f t="shared" si="48"/>
        <v>112</v>
      </c>
      <c r="G1476" s="85" t="s">
        <v>2552</v>
      </c>
      <c r="H1476" s="46" t="s">
        <v>18</v>
      </c>
      <c r="I1476" s="47"/>
      <c r="J1476" s="48" t="s">
        <v>42</v>
      </c>
      <c r="K1476" s="86">
        <v>43508</v>
      </c>
      <c r="L1476" s="87" t="s">
        <v>2534</v>
      </c>
      <c r="M1476" s="87" t="s">
        <v>2535</v>
      </c>
      <c r="N1476" s="14" t="s">
        <v>27</v>
      </c>
      <c r="O1476" s="14" t="s">
        <v>28</v>
      </c>
      <c r="P1476" s="51">
        <v>2.4</v>
      </c>
      <c r="Q1476" s="47">
        <f t="shared" ref="Q1476:Q1539" si="49">P1476*F1476</f>
        <v>268.8</v>
      </c>
      <c r="R1476" s="47"/>
      <c r="S1476" s="47"/>
      <c r="T1476" s="47"/>
    </row>
    <row r="1477" customHeight="1" spans="1:20">
      <c r="A1477" s="43">
        <v>43509</v>
      </c>
      <c r="B1477" s="78" t="s">
        <v>2553</v>
      </c>
      <c r="C1477" s="78"/>
      <c r="D1477" s="43">
        <f>D1376</f>
        <v>56</v>
      </c>
      <c r="E1477" s="78" t="s">
        <v>2445</v>
      </c>
      <c r="F1477" s="44">
        <f t="shared" si="48"/>
        <v>112</v>
      </c>
      <c r="G1477" s="85" t="s">
        <v>2554</v>
      </c>
      <c r="H1477" s="46" t="s">
        <v>18</v>
      </c>
      <c r="I1477" s="47"/>
      <c r="J1477" s="48" t="s">
        <v>42</v>
      </c>
      <c r="K1477" s="86">
        <v>43509</v>
      </c>
      <c r="L1477" s="87" t="s">
        <v>2534</v>
      </c>
      <c r="M1477" s="87" t="s">
        <v>2535</v>
      </c>
      <c r="N1477" s="14" t="s">
        <v>27</v>
      </c>
      <c r="O1477" s="14" t="s">
        <v>28</v>
      </c>
      <c r="P1477" s="51">
        <v>2.4</v>
      </c>
      <c r="Q1477" s="47">
        <f t="shared" si="49"/>
        <v>268.8</v>
      </c>
      <c r="R1477" s="47"/>
      <c r="S1477" s="47"/>
      <c r="T1477" s="47"/>
    </row>
    <row r="1478" customHeight="1" spans="1:20">
      <c r="A1478" s="43">
        <v>43510</v>
      </c>
      <c r="B1478" s="78" t="s">
        <v>2555</v>
      </c>
      <c r="C1478" s="78"/>
      <c r="D1478" s="43">
        <f>D1376</f>
        <v>56</v>
      </c>
      <c r="E1478" s="78" t="s">
        <v>2445</v>
      </c>
      <c r="F1478" s="44">
        <f t="shared" si="48"/>
        <v>112</v>
      </c>
      <c r="G1478" s="85" t="s">
        <v>2556</v>
      </c>
      <c r="H1478" s="46" t="s">
        <v>18</v>
      </c>
      <c r="I1478" s="47"/>
      <c r="J1478" s="48" t="s">
        <v>42</v>
      </c>
      <c r="K1478" s="86">
        <v>43510</v>
      </c>
      <c r="L1478" s="87" t="s">
        <v>2534</v>
      </c>
      <c r="M1478" s="87" t="s">
        <v>2535</v>
      </c>
      <c r="N1478" s="14" t="s">
        <v>27</v>
      </c>
      <c r="O1478" s="14" t="s">
        <v>28</v>
      </c>
      <c r="P1478" s="51">
        <v>2.4</v>
      </c>
      <c r="Q1478" s="47">
        <f t="shared" si="49"/>
        <v>268.8</v>
      </c>
      <c r="R1478" s="47"/>
      <c r="S1478" s="47"/>
      <c r="T1478" s="47"/>
    </row>
    <row r="1479" customHeight="1" spans="1:20">
      <c r="A1479" s="43">
        <v>43511</v>
      </c>
      <c r="B1479" s="78" t="s">
        <v>2557</v>
      </c>
      <c r="C1479" s="78"/>
      <c r="D1479" s="43">
        <f>D1376</f>
        <v>56</v>
      </c>
      <c r="E1479" s="78" t="s">
        <v>2445</v>
      </c>
      <c r="F1479" s="44">
        <f t="shared" si="48"/>
        <v>112</v>
      </c>
      <c r="G1479" s="85" t="s">
        <v>2558</v>
      </c>
      <c r="H1479" s="46" t="s">
        <v>18</v>
      </c>
      <c r="I1479" s="47"/>
      <c r="J1479" s="48" t="s">
        <v>42</v>
      </c>
      <c r="K1479" s="86">
        <v>43511</v>
      </c>
      <c r="L1479" s="87" t="s">
        <v>2534</v>
      </c>
      <c r="M1479" s="87" t="s">
        <v>2535</v>
      </c>
      <c r="N1479" s="14" t="s">
        <v>27</v>
      </c>
      <c r="O1479" s="14" t="s">
        <v>28</v>
      </c>
      <c r="P1479" s="51">
        <v>2.4</v>
      </c>
      <c r="Q1479" s="47">
        <f t="shared" si="49"/>
        <v>268.8</v>
      </c>
      <c r="R1479" s="47"/>
      <c r="S1479" s="47"/>
      <c r="T1479" s="47"/>
    </row>
    <row r="1480" customHeight="1" spans="1:20">
      <c r="A1480" s="43">
        <v>43525</v>
      </c>
      <c r="B1480" s="78" t="s">
        <v>2559</v>
      </c>
      <c r="C1480" s="78"/>
      <c r="D1480" s="43">
        <f>D1376</f>
        <v>56</v>
      </c>
      <c r="E1480" s="78" t="s">
        <v>2445</v>
      </c>
      <c r="F1480" s="44">
        <f t="shared" si="48"/>
        <v>112</v>
      </c>
      <c r="G1480" s="79" t="s">
        <v>2533</v>
      </c>
      <c r="H1480" s="46" t="s">
        <v>18</v>
      </c>
      <c r="I1480" s="47"/>
      <c r="J1480" s="48" t="s">
        <v>42</v>
      </c>
      <c r="K1480" s="80">
        <v>43525</v>
      </c>
      <c r="L1480" s="81" t="s">
        <v>2534</v>
      </c>
      <c r="M1480" s="81" t="s">
        <v>2543</v>
      </c>
      <c r="N1480" s="14" t="s">
        <v>27</v>
      </c>
      <c r="O1480" s="14" t="s">
        <v>28</v>
      </c>
      <c r="P1480" s="51">
        <v>2.4</v>
      </c>
      <c r="Q1480" s="47">
        <f t="shared" si="49"/>
        <v>268.8</v>
      </c>
      <c r="R1480" s="47"/>
      <c r="S1480" s="47"/>
      <c r="T1480" s="47"/>
    </row>
    <row r="1481" customHeight="1" spans="1:20">
      <c r="A1481" s="43">
        <v>436</v>
      </c>
      <c r="B1481" s="2" t="s">
        <v>2560</v>
      </c>
      <c r="C1481" s="2"/>
      <c r="D1481" s="6"/>
      <c r="E1481" s="2"/>
      <c r="F1481" s="44">
        <f t="shared" si="48"/>
        <v>0</v>
      </c>
      <c r="G1481" s="77"/>
      <c r="H1481" s="46"/>
      <c r="I1481" s="47"/>
      <c r="J1481" s="48" t="s">
        <v>42</v>
      </c>
      <c r="K1481" s="94"/>
      <c r="L1481" s="95"/>
      <c r="M1481" s="95"/>
      <c r="O1481" s="14" t="s">
        <v>28</v>
      </c>
      <c r="P1481" s="51"/>
      <c r="Q1481" s="47">
        <f t="shared" si="49"/>
        <v>0</v>
      </c>
      <c r="R1481" s="47"/>
      <c r="S1481" s="47"/>
      <c r="T1481" s="47"/>
    </row>
    <row r="1482" customHeight="1" spans="1:20">
      <c r="A1482" s="43">
        <v>43603</v>
      </c>
      <c r="B1482" s="78" t="s">
        <v>2561</v>
      </c>
      <c r="C1482" s="78"/>
      <c r="D1482" s="43">
        <f>D1376</f>
        <v>56</v>
      </c>
      <c r="E1482" s="78" t="s">
        <v>2445</v>
      </c>
      <c r="F1482" s="44">
        <f t="shared" si="48"/>
        <v>112</v>
      </c>
      <c r="G1482" s="85" t="s">
        <v>2562</v>
      </c>
      <c r="H1482" s="46" t="s">
        <v>18</v>
      </c>
      <c r="I1482" s="47"/>
      <c r="J1482" s="48" t="s">
        <v>42</v>
      </c>
      <c r="K1482" s="86">
        <v>43603</v>
      </c>
      <c r="L1482" s="87" t="s">
        <v>2534</v>
      </c>
      <c r="M1482" s="87" t="s">
        <v>2535</v>
      </c>
      <c r="N1482" s="14" t="s">
        <v>27</v>
      </c>
      <c r="O1482" s="14" t="s">
        <v>28</v>
      </c>
      <c r="P1482" s="51">
        <v>8</v>
      </c>
      <c r="Q1482" s="47">
        <f t="shared" si="49"/>
        <v>896</v>
      </c>
      <c r="R1482" s="47"/>
      <c r="S1482" s="47"/>
      <c r="T1482" s="47"/>
    </row>
    <row r="1483" customHeight="1" spans="1:20">
      <c r="A1483" s="43">
        <v>43604</v>
      </c>
      <c r="B1483" s="78" t="s">
        <v>2563</v>
      </c>
      <c r="C1483" s="78"/>
      <c r="D1483" s="43">
        <f>D1376</f>
        <v>56</v>
      </c>
      <c r="E1483" s="78" t="s">
        <v>2445</v>
      </c>
      <c r="F1483" s="44">
        <f t="shared" si="48"/>
        <v>112</v>
      </c>
      <c r="G1483" s="79" t="s">
        <v>2533</v>
      </c>
      <c r="H1483" s="46" t="s">
        <v>18</v>
      </c>
      <c r="I1483" s="47"/>
      <c r="J1483" s="48" t="s">
        <v>42</v>
      </c>
      <c r="K1483" s="80">
        <v>43604</v>
      </c>
      <c r="L1483" s="81" t="s">
        <v>2534</v>
      </c>
      <c r="M1483" s="81" t="s">
        <v>2543</v>
      </c>
      <c r="N1483" s="14" t="s">
        <v>27</v>
      </c>
      <c r="O1483" s="14" t="s">
        <v>28</v>
      </c>
      <c r="P1483" s="51">
        <v>6</v>
      </c>
      <c r="Q1483" s="47">
        <f t="shared" si="49"/>
        <v>672</v>
      </c>
      <c r="R1483" s="47"/>
      <c r="S1483" s="47"/>
      <c r="T1483" s="47"/>
    </row>
    <row r="1484" customHeight="1" spans="1:20">
      <c r="A1484" s="43">
        <v>43605</v>
      </c>
      <c r="B1484" s="78" t="s">
        <v>2564</v>
      </c>
      <c r="C1484" s="78"/>
      <c r="D1484" s="43">
        <f>D1376</f>
        <v>56</v>
      </c>
      <c r="E1484" s="78" t="s">
        <v>2445</v>
      </c>
      <c r="F1484" s="44">
        <f t="shared" si="48"/>
        <v>112</v>
      </c>
      <c r="G1484" s="79" t="s">
        <v>2533</v>
      </c>
      <c r="H1484" s="46" t="s">
        <v>18</v>
      </c>
      <c r="I1484" s="47"/>
      <c r="J1484" s="48" t="s">
        <v>42</v>
      </c>
      <c r="K1484" s="80">
        <v>43605</v>
      </c>
      <c r="L1484" s="81" t="s">
        <v>2534</v>
      </c>
      <c r="M1484" s="81" t="s">
        <v>2543</v>
      </c>
      <c r="N1484" s="14" t="s">
        <v>27</v>
      </c>
      <c r="O1484" s="14" t="s">
        <v>28</v>
      </c>
      <c r="P1484" s="51">
        <v>6</v>
      </c>
      <c r="Q1484" s="47">
        <f t="shared" si="49"/>
        <v>672</v>
      </c>
      <c r="R1484" s="47"/>
      <c r="S1484" s="47"/>
      <c r="T1484" s="47"/>
    </row>
    <row r="1485" customHeight="1" spans="1:20">
      <c r="A1485" s="75" t="s">
        <v>775</v>
      </c>
      <c r="B1485" s="2" t="s">
        <v>776</v>
      </c>
      <c r="C1485" s="2"/>
      <c r="D1485" s="6"/>
      <c r="E1485" s="2"/>
      <c r="F1485" s="44">
        <f t="shared" si="48"/>
        <v>0</v>
      </c>
      <c r="G1485" s="77"/>
      <c r="H1485" s="46"/>
      <c r="I1485" s="47"/>
      <c r="J1485" s="48" t="s">
        <v>42</v>
      </c>
      <c r="K1485" s="94"/>
      <c r="L1485" s="95"/>
      <c r="M1485" s="95"/>
      <c r="O1485" s="14" t="s">
        <v>28</v>
      </c>
      <c r="P1485" s="51"/>
      <c r="Q1485" s="47">
        <f t="shared" si="49"/>
        <v>0</v>
      </c>
      <c r="R1485" s="47"/>
      <c r="S1485" s="47"/>
      <c r="T1485" s="47"/>
    </row>
    <row r="1486" customHeight="1" spans="1:20">
      <c r="A1486" s="6">
        <v>60</v>
      </c>
      <c r="B1486" s="2" t="s">
        <v>777</v>
      </c>
      <c r="C1486" s="2"/>
      <c r="D1486" s="6"/>
      <c r="E1486" s="2"/>
      <c r="F1486" s="44">
        <f t="shared" si="48"/>
        <v>0</v>
      </c>
      <c r="G1486" s="77"/>
      <c r="H1486" s="46"/>
      <c r="I1486" s="47"/>
      <c r="J1486" s="48" t="s">
        <v>42</v>
      </c>
      <c r="K1486" s="94"/>
      <c r="L1486" s="95"/>
      <c r="M1486" s="95"/>
      <c r="O1486" s="14" t="s">
        <v>28</v>
      </c>
      <c r="P1486" s="51"/>
      <c r="Q1486" s="47">
        <f t="shared" si="49"/>
        <v>0</v>
      </c>
      <c r="R1486" s="47"/>
      <c r="S1486" s="47"/>
      <c r="T1486" s="47"/>
    </row>
    <row r="1487" customHeight="1" spans="1:20">
      <c r="A1487" s="43">
        <v>60001</v>
      </c>
      <c r="B1487" s="78" t="s">
        <v>778</v>
      </c>
      <c r="C1487" s="78"/>
      <c r="D1487" s="43">
        <v>100</v>
      </c>
      <c r="E1487" s="78" t="s">
        <v>21</v>
      </c>
      <c r="F1487" s="44">
        <f t="shared" si="48"/>
        <v>200</v>
      </c>
      <c r="G1487" s="85" t="s">
        <v>2565</v>
      </c>
      <c r="H1487" s="46" t="s">
        <v>18</v>
      </c>
      <c r="I1487" s="47"/>
      <c r="J1487" s="48" t="s">
        <v>42</v>
      </c>
      <c r="K1487" s="86">
        <v>60001</v>
      </c>
      <c r="L1487" s="87" t="s">
        <v>780</v>
      </c>
      <c r="M1487" s="87" t="s">
        <v>781</v>
      </c>
      <c r="N1487" s="14" t="s">
        <v>27</v>
      </c>
      <c r="O1487" s="14" t="s">
        <v>28</v>
      </c>
      <c r="P1487" s="161">
        <v>3.5</v>
      </c>
      <c r="Q1487" s="47">
        <f t="shared" si="49"/>
        <v>700</v>
      </c>
      <c r="R1487" s="47"/>
      <c r="S1487" s="47"/>
      <c r="T1487" s="47"/>
    </row>
    <row r="1488" customHeight="1" spans="1:20">
      <c r="A1488" s="43">
        <v>60002</v>
      </c>
      <c r="B1488" s="78" t="s">
        <v>778</v>
      </c>
      <c r="C1488" s="78"/>
      <c r="D1488" s="43">
        <v>100</v>
      </c>
      <c r="E1488" s="78" t="s">
        <v>21</v>
      </c>
      <c r="F1488" s="44">
        <f t="shared" si="48"/>
        <v>200</v>
      </c>
      <c r="G1488" s="85" t="s">
        <v>2566</v>
      </c>
      <c r="H1488" s="46" t="s">
        <v>18</v>
      </c>
      <c r="I1488" s="47"/>
      <c r="J1488" s="48" t="s">
        <v>42</v>
      </c>
      <c r="K1488" s="86">
        <v>60002</v>
      </c>
      <c r="L1488" s="87" t="s">
        <v>780</v>
      </c>
      <c r="M1488" s="87" t="s">
        <v>781</v>
      </c>
      <c r="N1488" s="14" t="s">
        <v>27</v>
      </c>
      <c r="O1488" s="14" t="s">
        <v>28</v>
      </c>
      <c r="P1488" s="161">
        <v>4</v>
      </c>
      <c r="Q1488" s="47">
        <f t="shared" si="49"/>
        <v>800</v>
      </c>
      <c r="R1488" s="47"/>
      <c r="S1488" s="47"/>
      <c r="T1488" s="47"/>
    </row>
    <row r="1489" customHeight="1" spans="1:20">
      <c r="A1489" s="43">
        <v>60003</v>
      </c>
      <c r="B1489" s="78" t="s">
        <v>778</v>
      </c>
      <c r="C1489" s="78"/>
      <c r="D1489" s="43">
        <v>100</v>
      </c>
      <c r="E1489" s="78" t="s">
        <v>21</v>
      </c>
      <c r="F1489" s="44">
        <f t="shared" si="48"/>
        <v>200</v>
      </c>
      <c r="G1489" s="85" t="s">
        <v>2567</v>
      </c>
      <c r="H1489" s="46" t="s">
        <v>18</v>
      </c>
      <c r="I1489" s="47"/>
      <c r="J1489" s="48" t="s">
        <v>42</v>
      </c>
      <c r="K1489" s="86">
        <v>60003</v>
      </c>
      <c r="L1489" s="87" t="s">
        <v>780</v>
      </c>
      <c r="M1489" s="87" t="s">
        <v>781</v>
      </c>
      <c r="N1489" s="14" t="s">
        <v>27</v>
      </c>
      <c r="O1489" s="14" t="s">
        <v>28</v>
      </c>
      <c r="P1489" s="161">
        <v>4.5</v>
      </c>
      <c r="Q1489" s="47">
        <f t="shared" si="49"/>
        <v>900</v>
      </c>
      <c r="R1489" s="47"/>
      <c r="S1489" s="47"/>
      <c r="T1489" s="47"/>
    </row>
    <row r="1490" customHeight="1" spans="1:20">
      <c r="A1490" s="43">
        <v>60004</v>
      </c>
      <c r="B1490" s="78" t="s">
        <v>778</v>
      </c>
      <c r="C1490" s="78"/>
      <c r="D1490" s="43">
        <v>100</v>
      </c>
      <c r="E1490" s="78" t="s">
        <v>21</v>
      </c>
      <c r="F1490" s="44">
        <f t="shared" si="48"/>
        <v>200</v>
      </c>
      <c r="G1490" s="85" t="s">
        <v>2568</v>
      </c>
      <c r="H1490" s="46" t="s">
        <v>18</v>
      </c>
      <c r="I1490" s="47"/>
      <c r="J1490" s="48" t="s">
        <v>42</v>
      </c>
      <c r="K1490" s="86">
        <v>60004</v>
      </c>
      <c r="L1490" s="87" t="s">
        <v>780</v>
      </c>
      <c r="M1490" s="87" t="s">
        <v>781</v>
      </c>
      <c r="N1490" s="14" t="s">
        <v>27</v>
      </c>
      <c r="O1490" s="14" t="s">
        <v>28</v>
      </c>
      <c r="P1490" s="161">
        <v>7</v>
      </c>
      <c r="Q1490" s="47">
        <f t="shared" si="49"/>
        <v>1400</v>
      </c>
      <c r="R1490" s="47"/>
      <c r="S1490" s="47"/>
      <c r="T1490" s="47"/>
    </row>
    <row r="1491" customHeight="1" spans="1:20">
      <c r="A1491" s="43">
        <v>60005</v>
      </c>
      <c r="B1491" s="78" t="s">
        <v>778</v>
      </c>
      <c r="C1491" s="78"/>
      <c r="D1491" s="43">
        <v>5</v>
      </c>
      <c r="E1491" s="78" t="s">
        <v>21</v>
      </c>
      <c r="F1491" s="44">
        <f t="shared" si="48"/>
        <v>10</v>
      </c>
      <c r="G1491" s="85" t="s">
        <v>2569</v>
      </c>
      <c r="H1491" s="46" t="s">
        <v>18</v>
      </c>
      <c r="I1491" s="47"/>
      <c r="J1491" s="48" t="s">
        <v>42</v>
      </c>
      <c r="K1491" s="86">
        <v>60005</v>
      </c>
      <c r="L1491" s="87" t="s">
        <v>780</v>
      </c>
      <c r="M1491" s="87" t="s">
        <v>781</v>
      </c>
      <c r="N1491" s="14" t="s">
        <v>27</v>
      </c>
      <c r="O1491" s="14" t="s">
        <v>28</v>
      </c>
      <c r="P1491" s="161">
        <v>12</v>
      </c>
      <c r="Q1491" s="47">
        <f t="shared" si="49"/>
        <v>120</v>
      </c>
      <c r="R1491" s="47"/>
      <c r="S1491" s="47"/>
      <c r="T1491" s="47"/>
    </row>
    <row r="1492" customHeight="1" spans="1:20">
      <c r="A1492" s="43">
        <v>60006</v>
      </c>
      <c r="B1492" s="78" t="s">
        <v>778</v>
      </c>
      <c r="C1492" s="78"/>
      <c r="D1492" s="43">
        <v>5</v>
      </c>
      <c r="E1492" s="78" t="s">
        <v>21</v>
      </c>
      <c r="F1492" s="44">
        <f t="shared" si="48"/>
        <v>10</v>
      </c>
      <c r="G1492" s="85" t="s">
        <v>2570</v>
      </c>
      <c r="H1492" s="46" t="s">
        <v>18</v>
      </c>
      <c r="I1492" s="47"/>
      <c r="J1492" s="48" t="s">
        <v>42</v>
      </c>
      <c r="K1492" s="86">
        <v>60006</v>
      </c>
      <c r="L1492" s="87" t="s">
        <v>780</v>
      </c>
      <c r="M1492" s="87" t="s">
        <v>781</v>
      </c>
      <c r="N1492" s="14" t="s">
        <v>27</v>
      </c>
      <c r="O1492" s="14" t="s">
        <v>28</v>
      </c>
      <c r="P1492" s="51">
        <v>22</v>
      </c>
      <c r="Q1492" s="47">
        <f t="shared" si="49"/>
        <v>220</v>
      </c>
      <c r="R1492" s="47"/>
      <c r="S1492" s="47"/>
      <c r="T1492" s="47"/>
    </row>
    <row r="1493" customHeight="1" spans="1:20">
      <c r="A1493" s="43">
        <v>60016</v>
      </c>
      <c r="B1493" s="78" t="s">
        <v>1878</v>
      </c>
      <c r="C1493" s="78"/>
      <c r="D1493" s="43">
        <v>100</v>
      </c>
      <c r="E1493" s="78" t="s">
        <v>21</v>
      </c>
      <c r="F1493" s="44">
        <f t="shared" si="48"/>
        <v>200</v>
      </c>
      <c r="G1493" s="85" t="s">
        <v>1894</v>
      </c>
      <c r="H1493" s="46" t="s">
        <v>18</v>
      </c>
      <c r="I1493" s="47"/>
      <c r="J1493" s="48" t="s">
        <v>42</v>
      </c>
      <c r="K1493" s="86">
        <v>60016</v>
      </c>
      <c r="L1493" s="87" t="s">
        <v>780</v>
      </c>
      <c r="M1493" s="87" t="s">
        <v>781</v>
      </c>
      <c r="N1493" s="14" t="s">
        <v>27</v>
      </c>
      <c r="O1493" s="14" t="s">
        <v>28</v>
      </c>
      <c r="P1493" s="161">
        <v>4</v>
      </c>
      <c r="Q1493" s="47">
        <f t="shared" si="49"/>
        <v>800</v>
      </c>
      <c r="R1493" s="47"/>
      <c r="S1493" s="47"/>
      <c r="T1493" s="47"/>
    </row>
    <row r="1494" customHeight="1" spans="1:20">
      <c r="A1494" s="43">
        <v>60017</v>
      </c>
      <c r="B1494" s="78" t="s">
        <v>1878</v>
      </c>
      <c r="C1494" s="78"/>
      <c r="D1494" s="43">
        <v>5</v>
      </c>
      <c r="E1494" s="78" t="s">
        <v>21</v>
      </c>
      <c r="F1494" s="44">
        <f t="shared" si="48"/>
        <v>10</v>
      </c>
      <c r="G1494" s="85" t="s">
        <v>1880</v>
      </c>
      <c r="H1494" s="46" t="s">
        <v>18</v>
      </c>
      <c r="I1494" s="47"/>
      <c r="J1494" s="48" t="s">
        <v>42</v>
      </c>
      <c r="K1494" s="86">
        <v>60017</v>
      </c>
      <c r="L1494" s="87" t="s">
        <v>780</v>
      </c>
      <c r="M1494" s="87" t="s">
        <v>781</v>
      </c>
      <c r="N1494" s="14" t="s">
        <v>27</v>
      </c>
      <c r="O1494" s="14" t="s">
        <v>28</v>
      </c>
      <c r="P1494" s="161">
        <v>5</v>
      </c>
      <c r="Q1494" s="47">
        <f t="shared" si="49"/>
        <v>50</v>
      </c>
      <c r="R1494" s="47"/>
      <c r="S1494" s="47"/>
      <c r="T1494" s="47"/>
    </row>
    <row r="1495" customHeight="1" spans="1:20">
      <c r="A1495" s="43">
        <v>60018</v>
      </c>
      <c r="B1495" s="78" t="s">
        <v>1878</v>
      </c>
      <c r="C1495" s="78"/>
      <c r="D1495" s="43">
        <v>5</v>
      </c>
      <c r="E1495" s="78" t="s">
        <v>21</v>
      </c>
      <c r="F1495" s="44">
        <f t="shared" si="48"/>
        <v>10</v>
      </c>
      <c r="G1495" s="85" t="s">
        <v>1931</v>
      </c>
      <c r="H1495" s="46" t="s">
        <v>18</v>
      </c>
      <c r="I1495" s="47"/>
      <c r="J1495" s="48" t="s">
        <v>42</v>
      </c>
      <c r="K1495" s="86">
        <v>60018</v>
      </c>
      <c r="L1495" s="87" t="s">
        <v>780</v>
      </c>
      <c r="M1495" s="87" t="s">
        <v>781</v>
      </c>
      <c r="N1495" s="14" t="s">
        <v>27</v>
      </c>
      <c r="O1495" s="14" t="s">
        <v>28</v>
      </c>
      <c r="P1495" s="161">
        <v>7.5</v>
      </c>
      <c r="Q1495" s="47">
        <f t="shared" si="49"/>
        <v>75</v>
      </c>
      <c r="R1495" s="47"/>
      <c r="S1495" s="47"/>
      <c r="T1495" s="47"/>
    </row>
    <row r="1496" customHeight="1" spans="1:20">
      <c r="A1496" s="43">
        <v>60019</v>
      </c>
      <c r="B1496" s="78" t="s">
        <v>1878</v>
      </c>
      <c r="C1496" s="78"/>
      <c r="D1496" s="43">
        <v>5</v>
      </c>
      <c r="E1496" s="78" t="s">
        <v>21</v>
      </c>
      <c r="F1496" s="44">
        <f t="shared" si="48"/>
        <v>10</v>
      </c>
      <c r="G1496" s="85" t="s">
        <v>1938</v>
      </c>
      <c r="H1496" s="46" t="s">
        <v>18</v>
      </c>
      <c r="I1496" s="47"/>
      <c r="J1496" s="48" t="s">
        <v>42</v>
      </c>
      <c r="K1496" s="86">
        <v>60019</v>
      </c>
      <c r="L1496" s="87" t="s">
        <v>780</v>
      </c>
      <c r="M1496" s="87" t="s">
        <v>781</v>
      </c>
      <c r="N1496" s="14" t="s">
        <v>27</v>
      </c>
      <c r="O1496" s="14" t="s">
        <v>28</v>
      </c>
      <c r="P1496" s="161">
        <v>10</v>
      </c>
      <c r="Q1496" s="47">
        <f t="shared" si="49"/>
        <v>100</v>
      </c>
      <c r="R1496" s="47"/>
      <c r="S1496" s="47"/>
      <c r="T1496" s="47"/>
    </row>
    <row r="1497" customHeight="1" spans="1:20">
      <c r="A1497" s="43">
        <v>60020</v>
      </c>
      <c r="B1497" s="78" t="s">
        <v>1878</v>
      </c>
      <c r="C1497" s="78"/>
      <c r="D1497" s="43">
        <v>5</v>
      </c>
      <c r="E1497" s="78" t="s">
        <v>21</v>
      </c>
      <c r="F1497" s="44">
        <f t="shared" si="48"/>
        <v>10</v>
      </c>
      <c r="G1497" s="85" t="s">
        <v>2571</v>
      </c>
      <c r="H1497" s="46" t="s">
        <v>18</v>
      </c>
      <c r="I1497" s="47"/>
      <c r="J1497" s="48" t="s">
        <v>42</v>
      </c>
      <c r="K1497" s="86">
        <v>60020</v>
      </c>
      <c r="L1497" s="87" t="s">
        <v>780</v>
      </c>
      <c r="M1497" s="87" t="s">
        <v>781</v>
      </c>
      <c r="N1497" s="14" t="s">
        <v>27</v>
      </c>
      <c r="O1497" s="14" t="s">
        <v>28</v>
      </c>
      <c r="P1497" s="161">
        <v>15</v>
      </c>
      <c r="Q1497" s="47">
        <f t="shared" si="49"/>
        <v>150</v>
      </c>
      <c r="R1497" s="47"/>
      <c r="S1497" s="47"/>
      <c r="T1497" s="47"/>
    </row>
    <row r="1498" customHeight="1" spans="1:20">
      <c r="A1498" s="43">
        <v>60052</v>
      </c>
      <c r="B1498" s="78" t="s">
        <v>1890</v>
      </c>
      <c r="C1498" s="78"/>
      <c r="D1498" s="43">
        <v>100</v>
      </c>
      <c r="E1498" s="78" t="s">
        <v>221</v>
      </c>
      <c r="F1498" s="44">
        <f t="shared" si="48"/>
        <v>200</v>
      </c>
      <c r="G1498" s="85" t="s">
        <v>1891</v>
      </c>
      <c r="H1498" s="46" t="s">
        <v>18</v>
      </c>
      <c r="I1498" s="47"/>
      <c r="J1498" s="48" t="s">
        <v>42</v>
      </c>
      <c r="K1498" s="86">
        <v>60052</v>
      </c>
      <c r="L1498" s="87" t="s">
        <v>780</v>
      </c>
      <c r="M1498" s="87" t="s">
        <v>781</v>
      </c>
      <c r="N1498" s="14" t="s">
        <v>27</v>
      </c>
      <c r="O1498" s="14" t="s">
        <v>28</v>
      </c>
      <c r="P1498" s="161">
        <v>2.5</v>
      </c>
      <c r="Q1498" s="47">
        <f t="shared" si="49"/>
        <v>500</v>
      </c>
      <c r="R1498" s="47"/>
      <c r="S1498" s="47"/>
      <c r="T1498" s="47"/>
    </row>
    <row r="1499" customHeight="1" spans="1:20">
      <c r="A1499" s="43">
        <v>60053</v>
      </c>
      <c r="B1499" s="78" t="s">
        <v>1890</v>
      </c>
      <c r="C1499" s="78"/>
      <c r="D1499" s="43">
        <v>100</v>
      </c>
      <c r="E1499" s="78" t="s">
        <v>221</v>
      </c>
      <c r="F1499" s="44">
        <f t="shared" si="48"/>
        <v>200</v>
      </c>
      <c r="G1499" s="85" t="s">
        <v>1892</v>
      </c>
      <c r="H1499" s="46" t="s">
        <v>18</v>
      </c>
      <c r="I1499" s="47"/>
      <c r="J1499" s="48" t="s">
        <v>42</v>
      </c>
      <c r="K1499" s="86">
        <v>60053</v>
      </c>
      <c r="L1499" s="87" t="s">
        <v>780</v>
      </c>
      <c r="M1499" s="87" t="s">
        <v>781</v>
      </c>
      <c r="N1499" s="14" t="s">
        <v>27</v>
      </c>
      <c r="O1499" s="14" t="s">
        <v>28</v>
      </c>
      <c r="P1499" s="161">
        <v>3</v>
      </c>
      <c r="Q1499" s="47">
        <f t="shared" si="49"/>
        <v>600</v>
      </c>
      <c r="R1499" s="47"/>
      <c r="S1499" s="47"/>
      <c r="T1499" s="47"/>
    </row>
    <row r="1500" customHeight="1" spans="1:20">
      <c r="A1500" s="43">
        <v>60054</v>
      </c>
      <c r="B1500" s="78" t="s">
        <v>1890</v>
      </c>
      <c r="C1500" s="78"/>
      <c r="D1500" s="43">
        <v>100</v>
      </c>
      <c r="E1500" s="78" t="s">
        <v>221</v>
      </c>
      <c r="F1500" s="44">
        <f t="shared" si="48"/>
        <v>200</v>
      </c>
      <c r="G1500" s="85" t="s">
        <v>1893</v>
      </c>
      <c r="H1500" s="46" t="s">
        <v>18</v>
      </c>
      <c r="I1500" s="47"/>
      <c r="J1500" s="48" t="s">
        <v>42</v>
      </c>
      <c r="K1500" s="86">
        <v>60054</v>
      </c>
      <c r="L1500" s="87" t="s">
        <v>780</v>
      </c>
      <c r="M1500" s="87" t="s">
        <v>781</v>
      </c>
      <c r="N1500" s="14" t="s">
        <v>27</v>
      </c>
      <c r="O1500" s="14" t="s">
        <v>28</v>
      </c>
      <c r="P1500" s="161">
        <v>4</v>
      </c>
      <c r="Q1500" s="47">
        <f t="shared" si="49"/>
        <v>800</v>
      </c>
      <c r="R1500" s="47"/>
      <c r="S1500" s="47"/>
      <c r="T1500" s="47"/>
    </row>
    <row r="1501" customHeight="1" spans="1:20">
      <c r="A1501" s="43">
        <v>60055</v>
      </c>
      <c r="B1501" s="78" t="s">
        <v>1890</v>
      </c>
      <c r="C1501" s="78"/>
      <c r="D1501" s="43">
        <v>100</v>
      </c>
      <c r="E1501" s="78" t="s">
        <v>221</v>
      </c>
      <c r="F1501" s="44">
        <f t="shared" si="48"/>
        <v>200</v>
      </c>
      <c r="G1501" s="85" t="s">
        <v>1960</v>
      </c>
      <c r="H1501" s="46" t="s">
        <v>18</v>
      </c>
      <c r="I1501" s="47"/>
      <c r="J1501" s="48" t="s">
        <v>42</v>
      </c>
      <c r="K1501" s="86">
        <v>60055</v>
      </c>
      <c r="L1501" s="87" t="s">
        <v>780</v>
      </c>
      <c r="M1501" s="87" t="s">
        <v>781</v>
      </c>
      <c r="N1501" s="14" t="s">
        <v>27</v>
      </c>
      <c r="O1501" s="14" t="s">
        <v>28</v>
      </c>
      <c r="P1501" s="161">
        <v>4</v>
      </c>
      <c r="Q1501" s="47">
        <f t="shared" si="49"/>
        <v>800</v>
      </c>
      <c r="R1501" s="47"/>
      <c r="S1501" s="47"/>
      <c r="T1501" s="47"/>
    </row>
    <row r="1502" customHeight="1" spans="1:20">
      <c r="A1502" s="6">
        <v>61</v>
      </c>
      <c r="B1502" s="2" t="s">
        <v>786</v>
      </c>
      <c r="C1502" s="2"/>
      <c r="D1502" s="6"/>
      <c r="E1502" s="2"/>
      <c r="F1502" s="44">
        <f t="shared" si="48"/>
        <v>0</v>
      </c>
      <c r="G1502" s="77"/>
      <c r="H1502" s="46"/>
      <c r="I1502" s="47"/>
      <c r="J1502" s="48" t="s">
        <v>42</v>
      </c>
      <c r="K1502" s="94"/>
      <c r="L1502" s="95"/>
      <c r="M1502" s="95"/>
      <c r="O1502" s="14" t="s">
        <v>28</v>
      </c>
      <c r="P1502" s="51"/>
      <c r="Q1502" s="47">
        <f t="shared" si="49"/>
        <v>0</v>
      </c>
      <c r="R1502" s="47"/>
      <c r="S1502" s="47"/>
      <c r="T1502" s="47"/>
    </row>
    <row r="1503" customHeight="1" spans="1:20">
      <c r="A1503" s="43">
        <v>61001</v>
      </c>
      <c r="B1503" s="78" t="s">
        <v>787</v>
      </c>
      <c r="C1503" s="78"/>
      <c r="D1503" s="43">
        <v>100</v>
      </c>
      <c r="E1503" s="78" t="s">
        <v>21</v>
      </c>
      <c r="F1503" s="44">
        <f t="shared" si="48"/>
        <v>200</v>
      </c>
      <c r="G1503" s="187" t="s">
        <v>2572</v>
      </c>
      <c r="H1503" s="46" t="s">
        <v>18</v>
      </c>
      <c r="I1503" s="47"/>
      <c r="J1503" s="48" t="s">
        <v>42</v>
      </c>
      <c r="K1503" s="188">
        <v>61001</v>
      </c>
      <c r="L1503" s="189" t="s">
        <v>780</v>
      </c>
      <c r="M1503" s="87" t="s">
        <v>781</v>
      </c>
      <c r="N1503" s="14" t="s">
        <v>27</v>
      </c>
      <c r="O1503" s="14" t="s">
        <v>28</v>
      </c>
      <c r="P1503" s="51">
        <v>0.7</v>
      </c>
      <c r="Q1503" s="47">
        <f t="shared" si="49"/>
        <v>140</v>
      </c>
      <c r="R1503" s="47"/>
      <c r="S1503" s="47"/>
      <c r="T1503" s="47"/>
    </row>
    <row r="1504" customHeight="1" spans="1:20">
      <c r="A1504" s="43">
        <v>61021</v>
      </c>
      <c r="B1504" s="78" t="s">
        <v>790</v>
      </c>
      <c r="C1504" s="78"/>
      <c r="D1504" s="43">
        <v>300</v>
      </c>
      <c r="E1504" s="78" t="s">
        <v>21</v>
      </c>
      <c r="F1504" s="44">
        <f t="shared" si="48"/>
        <v>600</v>
      </c>
      <c r="G1504" s="187" t="s">
        <v>2573</v>
      </c>
      <c r="H1504" s="46" t="s">
        <v>18</v>
      </c>
      <c r="I1504" s="47"/>
      <c r="J1504" s="48" t="s">
        <v>42</v>
      </c>
      <c r="K1504" s="188">
        <v>61021</v>
      </c>
      <c r="L1504" s="189" t="s">
        <v>780</v>
      </c>
      <c r="M1504" s="87" t="s">
        <v>781</v>
      </c>
      <c r="N1504" s="14" t="s">
        <v>27</v>
      </c>
      <c r="O1504" s="14" t="s">
        <v>28</v>
      </c>
      <c r="P1504" s="161">
        <v>3</v>
      </c>
      <c r="Q1504" s="47">
        <f t="shared" si="49"/>
        <v>1800</v>
      </c>
      <c r="R1504" s="47"/>
      <c r="S1504" s="47"/>
      <c r="T1504" s="47"/>
    </row>
    <row r="1505" customHeight="1" spans="1:20">
      <c r="A1505" s="43">
        <v>61022</v>
      </c>
      <c r="B1505" s="78" t="s">
        <v>790</v>
      </c>
      <c r="C1505" s="78"/>
      <c r="D1505" s="43">
        <v>120</v>
      </c>
      <c r="E1505" s="78" t="s">
        <v>21</v>
      </c>
      <c r="F1505" s="44">
        <f t="shared" ref="F1505:F1553" si="50">D1505*2</f>
        <v>240</v>
      </c>
      <c r="G1505" s="187" t="s">
        <v>2574</v>
      </c>
      <c r="H1505" s="46" t="s">
        <v>18</v>
      </c>
      <c r="I1505" s="47"/>
      <c r="J1505" s="48" t="s">
        <v>42</v>
      </c>
      <c r="K1505" s="188">
        <v>61022</v>
      </c>
      <c r="L1505" s="189" t="s">
        <v>780</v>
      </c>
      <c r="M1505" s="87" t="s">
        <v>781</v>
      </c>
      <c r="N1505" s="14" t="s">
        <v>27</v>
      </c>
      <c r="O1505" s="14" t="s">
        <v>28</v>
      </c>
      <c r="P1505" s="161">
        <v>3.5</v>
      </c>
      <c r="Q1505" s="47">
        <f t="shared" si="49"/>
        <v>840</v>
      </c>
      <c r="R1505" s="47"/>
      <c r="S1505" s="47"/>
      <c r="T1505" s="47"/>
    </row>
    <row r="1506" customHeight="1" spans="1:20">
      <c r="A1506" s="43">
        <v>61023</v>
      </c>
      <c r="B1506" s="78" t="s">
        <v>790</v>
      </c>
      <c r="C1506" s="78"/>
      <c r="D1506" s="43">
        <v>60</v>
      </c>
      <c r="E1506" s="78" t="s">
        <v>21</v>
      </c>
      <c r="F1506" s="44">
        <f t="shared" si="50"/>
        <v>120</v>
      </c>
      <c r="G1506" s="85" t="s">
        <v>2575</v>
      </c>
      <c r="H1506" s="46" t="s">
        <v>18</v>
      </c>
      <c r="I1506" s="47"/>
      <c r="J1506" s="48" t="s">
        <v>42</v>
      </c>
      <c r="K1506" s="86">
        <v>61023</v>
      </c>
      <c r="L1506" s="87" t="s">
        <v>780</v>
      </c>
      <c r="M1506" s="87" t="s">
        <v>781</v>
      </c>
      <c r="N1506" s="14" t="s">
        <v>27</v>
      </c>
      <c r="O1506" s="14" t="s">
        <v>28</v>
      </c>
      <c r="P1506" s="161">
        <v>5</v>
      </c>
      <c r="Q1506" s="47">
        <f t="shared" si="49"/>
        <v>600</v>
      </c>
      <c r="R1506" s="47"/>
      <c r="S1506" s="47"/>
      <c r="T1506" s="47"/>
    </row>
    <row r="1507" customHeight="1" spans="1:20">
      <c r="A1507" s="43">
        <v>61024</v>
      </c>
      <c r="B1507" s="78" t="s">
        <v>790</v>
      </c>
      <c r="C1507" s="78"/>
      <c r="D1507" s="43">
        <v>30</v>
      </c>
      <c r="E1507" s="78" t="s">
        <v>21</v>
      </c>
      <c r="F1507" s="44">
        <f t="shared" si="50"/>
        <v>60</v>
      </c>
      <c r="G1507" s="85" t="s">
        <v>2576</v>
      </c>
      <c r="H1507" s="46" t="s">
        <v>18</v>
      </c>
      <c r="I1507" s="47"/>
      <c r="J1507" s="48" t="s">
        <v>42</v>
      </c>
      <c r="K1507" s="86">
        <v>61024</v>
      </c>
      <c r="L1507" s="87" t="s">
        <v>780</v>
      </c>
      <c r="M1507" s="87" t="s">
        <v>781</v>
      </c>
      <c r="N1507" s="14" t="s">
        <v>27</v>
      </c>
      <c r="O1507" s="14" t="s">
        <v>28</v>
      </c>
      <c r="P1507" s="161">
        <v>8</v>
      </c>
      <c r="Q1507" s="47">
        <f t="shared" si="49"/>
        <v>480</v>
      </c>
      <c r="R1507" s="47"/>
      <c r="S1507" s="47"/>
      <c r="T1507" s="47"/>
    </row>
    <row r="1508" customHeight="1" spans="1:20">
      <c r="A1508" s="43">
        <v>61025</v>
      </c>
      <c r="B1508" s="78" t="s">
        <v>790</v>
      </c>
      <c r="C1508" s="78"/>
      <c r="D1508" s="43">
        <v>30</v>
      </c>
      <c r="E1508" s="78" t="s">
        <v>21</v>
      </c>
      <c r="F1508" s="44">
        <f t="shared" si="50"/>
        <v>60</v>
      </c>
      <c r="G1508" s="85" t="s">
        <v>2577</v>
      </c>
      <c r="H1508" s="46" t="s">
        <v>18</v>
      </c>
      <c r="I1508" s="47"/>
      <c r="J1508" s="48" t="s">
        <v>42</v>
      </c>
      <c r="K1508" s="86">
        <v>61025</v>
      </c>
      <c r="L1508" s="87" t="s">
        <v>780</v>
      </c>
      <c r="M1508" s="87" t="s">
        <v>781</v>
      </c>
      <c r="N1508" s="14" t="s">
        <v>27</v>
      </c>
      <c r="O1508" s="14" t="s">
        <v>28</v>
      </c>
      <c r="P1508" s="161">
        <v>12</v>
      </c>
      <c r="Q1508" s="47">
        <f t="shared" si="49"/>
        <v>720</v>
      </c>
      <c r="R1508" s="47"/>
      <c r="S1508" s="47"/>
      <c r="T1508" s="47"/>
    </row>
    <row r="1509" customHeight="1" spans="1:20">
      <c r="A1509" s="43">
        <v>61041</v>
      </c>
      <c r="B1509" s="78" t="s">
        <v>1925</v>
      </c>
      <c r="C1509" s="78"/>
      <c r="D1509" s="43">
        <v>500</v>
      </c>
      <c r="E1509" s="78" t="s">
        <v>21</v>
      </c>
      <c r="F1509" s="44">
        <f t="shared" si="50"/>
        <v>1000</v>
      </c>
      <c r="G1509" s="85" t="s">
        <v>2578</v>
      </c>
      <c r="H1509" s="46" t="s">
        <v>18</v>
      </c>
      <c r="I1509" s="47"/>
      <c r="J1509" s="48" t="s">
        <v>42</v>
      </c>
      <c r="K1509" s="86">
        <v>61041</v>
      </c>
      <c r="L1509" s="87" t="s">
        <v>780</v>
      </c>
      <c r="M1509" s="87" t="s">
        <v>781</v>
      </c>
      <c r="N1509" s="14" t="s">
        <v>27</v>
      </c>
      <c r="O1509" s="14" t="s">
        <v>28</v>
      </c>
      <c r="P1509" s="51">
        <v>5</v>
      </c>
      <c r="Q1509" s="47">
        <f t="shared" si="49"/>
        <v>5000</v>
      </c>
      <c r="R1509" s="47"/>
      <c r="S1509" s="47"/>
      <c r="T1509" s="47"/>
    </row>
    <row r="1510" customHeight="1" spans="1:20">
      <c r="A1510" s="43">
        <v>61042</v>
      </c>
      <c r="B1510" s="78" t="s">
        <v>1925</v>
      </c>
      <c r="C1510" s="78"/>
      <c r="D1510" s="43">
        <v>500</v>
      </c>
      <c r="E1510" s="78" t="s">
        <v>21</v>
      </c>
      <c r="F1510" s="44">
        <f t="shared" si="50"/>
        <v>1000</v>
      </c>
      <c r="G1510" s="85" t="s">
        <v>2579</v>
      </c>
      <c r="H1510" s="46" t="s">
        <v>18</v>
      </c>
      <c r="I1510" s="47"/>
      <c r="J1510" s="48" t="s">
        <v>42</v>
      </c>
      <c r="K1510" s="86">
        <v>61042</v>
      </c>
      <c r="L1510" s="87" t="s">
        <v>780</v>
      </c>
      <c r="M1510" s="87" t="s">
        <v>781</v>
      </c>
      <c r="N1510" s="14" t="s">
        <v>27</v>
      </c>
      <c r="O1510" s="14" t="s">
        <v>28</v>
      </c>
      <c r="P1510" s="51">
        <v>6</v>
      </c>
      <c r="Q1510" s="47">
        <f t="shared" si="49"/>
        <v>6000</v>
      </c>
      <c r="R1510" s="47"/>
      <c r="S1510" s="47"/>
      <c r="T1510" s="47"/>
    </row>
    <row r="1511" customHeight="1" spans="1:20">
      <c r="A1511" s="43">
        <v>61043</v>
      </c>
      <c r="B1511" s="78" t="s">
        <v>1925</v>
      </c>
      <c r="C1511" s="78"/>
      <c r="D1511" s="43">
        <v>90</v>
      </c>
      <c r="E1511" s="78" t="s">
        <v>21</v>
      </c>
      <c r="F1511" s="44">
        <f t="shared" si="50"/>
        <v>180</v>
      </c>
      <c r="G1511" s="85" t="s">
        <v>1931</v>
      </c>
      <c r="H1511" s="46" t="s">
        <v>18</v>
      </c>
      <c r="I1511" s="47"/>
      <c r="J1511" s="48" t="s">
        <v>42</v>
      </c>
      <c r="K1511" s="86" t="s">
        <v>2217</v>
      </c>
      <c r="L1511" s="87" t="s">
        <v>780</v>
      </c>
      <c r="M1511" s="87" t="s">
        <v>781</v>
      </c>
      <c r="N1511" s="14" t="s">
        <v>27</v>
      </c>
      <c r="O1511" s="14" t="s">
        <v>28</v>
      </c>
      <c r="P1511" s="51">
        <v>8</v>
      </c>
      <c r="Q1511" s="47">
        <f t="shared" si="49"/>
        <v>1440</v>
      </c>
      <c r="R1511" s="47"/>
      <c r="S1511" s="47"/>
      <c r="T1511" s="47"/>
    </row>
    <row r="1512" customHeight="1" spans="1:20">
      <c r="A1512" s="43">
        <v>61044</v>
      </c>
      <c r="B1512" s="78" t="s">
        <v>1925</v>
      </c>
      <c r="C1512" s="78"/>
      <c r="D1512" s="43">
        <v>90</v>
      </c>
      <c r="E1512" s="78" t="s">
        <v>21</v>
      </c>
      <c r="F1512" s="44">
        <f t="shared" si="50"/>
        <v>180</v>
      </c>
      <c r="G1512" s="85" t="s">
        <v>2580</v>
      </c>
      <c r="H1512" s="46" t="s">
        <v>18</v>
      </c>
      <c r="I1512" s="47"/>
      <c r="J1512" s="48" t="s">
        <v>42</v>
      </c>
      <c r="K1512" s="86">
        <v>61044</v>
      </c>
      <c r="L1512" s="87" t="s">
        <v>780</v>
      </c>
      <c r="M1512" s="87" t="s">
        <v>781</v>
      </c>
      <c r="N1512" s="14" t="s">
        <v>27</v>
      </c>
      <c r="O1512" s="14" t="s">
        <v>28</v>
      </c>
      <c r="P1512" s="51">
        <v>10</v>
      </c>
      <c r="Q1512" s="47">
        <f t="shared" si="49"/>
        <v>1800</v>
      </c>
      <c r="R1512" s="47"/>
      <c r="S1512" s="47"/>
      <c r="T1512" s="47"/>
    </row>
    <row r="1513" customHeight="1" spans="1:20">
      <c r="A1513" s="43">
        <v>61051</v>
      </c>
      <c r="B1513" s="78" t="s">
        <v>1928</v>
      </c>
      <c r="C1513" s="78"/>
      <c r="D1513" s="43">
        <f>D1376/2</f>
        <v>28</v>
      </c>
      <c r="E1513" s="78" t="s">
        <v>21</v>
      </c>
      <c r="F1513" s="44">
        <f t="shared" si="50"/>
        <v>56</v>
      </c>
      <c r="G1513" s="85" t="s">
        <v>1931</v>
      </c>
      <c r="H1513" s="46" t="s">
        <v>18</v>
      </c>
      <c r="I1513" s="47"/>
      <c r="J1513" s="48" t="s">
        <v>42</v>
      </c>
      <c r="K1513" s="86">
        <v>61051</v>
      </c>
      <c r="L1513" s="87" t="s">
        <v>780</v>
      </c>
      <c r="M1513" s="87" t="s">
        <v>781</v>
      </c>
      <c r="N1513" s="14" t="s">
        <v>27</v>
      </c>
      <c r="O1513" s="14" t="s">
        <v>28</v>
      </c>
      <c r="P1513" s="51">
        <v>9</v>
      </c>
      <c r="Q1513" s="47">
        <f t="shared" si="49"/>
        <v>504</v>
      </c>
      <c r="R1513" s="47"/>
      <c r="S1513" s="47"/>
      <c r="T1513" s="47"/>
    </row>
    <row r="1514" customHeight="1" spans="1:20">
      <c r="A1514" s="6">
        <v>62</v>
      </c>
      <c r="B1514" s="2" t="s">
        <v>38</v>
      </c>
      <c r="C1514" s="2"/>
      <c r="D1514" s="6"/>
      <c r="E1514" s="2"/>
      <c r="F1514" s="44">
        <f t="shared" si="50"/>
        <v>0</v>
      </c>
      <c r="G1514" s="77"/>
      <c r="H1514" s="46"/>
      <c r="I1514" s="47"/>
      <c r="J1514" s="48"/>
      <c r="K1514" s="94"/>
      <c r="L1514" s="95"/>
      <c r="M1514" s="95"/>
      <c r="O1514" s="14" t="s">
        <v>28</v>
      </c>
      <c r="P1514" s="51"/>
      <c r="Q1514" s="47">
        <f t="shared" si="49"/>
        <v>0</v>
      </c>
      <c r="R1514" s="47"/>
      <c r="S1514" s="47"/>
      <c r="T1514" s="47">
        <v>2</v>
      </c>
    </row>
    <row r="1515" customHeight="1" spans="1:20">
      <c r="A1515" s="43">
        <v>62001</v>
      </c>
      <c r="B1515" s="78" t="s">
        <v>798</v>
      </c>
      <c r="C1515" s="78"/>
      <c r="D1515" s="43">
        <v>30</v>
      </c>
      <c r="E1515" s="78" t="s">
        <v>21</v>
      </c>
      <c r="F1515" s="44">
        <f t="shared" si="50"/>
        <v>60</v>
      </c>
      <c r="G1515" s="85" t="s">
        <v>2581</v>
      </c>
      <c r="H1515" s="46" t="s">
        <v>18</v>
      </c>
      <c r="I1515" s="47"/>
      <c r="J1515" s="48" t="s">
        <v>42</v>
      </c>
      <c r="K1515" s="86">
        <v>62001</v>
      </c>
      <c r="L1515" s="87" t="s">
        <v>780</v>
      </c>
      <c r="M1515" s="87" t="s">
        <v>781</v>
      </c>
      <c r="N1515" s="14" t="s">
        <v>27</v>
      </c>
      <c r="O1515" s="14" t="s">
        <v>28</v>
      </c>
      <c r="P1515" s="51">
        <v>2.5</v>
      </c>
      <c r="Q1515" s="47">
        <f t="shared" si="49"/>
        <v>150</v>
      </c>
      <c r="R1515" s="47"/>
      <c r="S1515" s="47"/>
      <c r="T1515" s="47"/>
    </row>
    <row r="1516" customHeight="1" spans="1:20">
      <c r="A1516" s="43">
        <v>62006</v>
      </c>
      <c r="B1516" s="78" t="s">
        <v>1941</v>
      </c>
      <c r="C1516" s="78"/>
      <c r="D1516" s="43">
        <v>1</v>
      </c>
      <c r="E1516" s="78" t="s">
        <v>21</v>
      </c>
      <c r="F1516" s="44">
        <f t="shared" si="50"/>
        <v>2</v>
      </c>
      <c r="G1516" s="85" t="s">
        <v>1942</v>
      </c>
      <c r="H1516" s="46" t="s">
        <v>18</v>
      </c>
      <c r="I1516" s="47"/>
      <c r="J1516" s="48" t="s">
        <v>42</v>
      </c>
      <c r="K1516" s="86">
        <v>62006</v>
      </c>
      <c r="L1516" s="87" t="s">
        <v>780</v>
      </c>
      <c r="M1516" s="87" t="s">
        <v>781</v>
      </c>
      <c r="N1516" s="14" t="s">
        <v>27</v>
      </c>
      <c r="O1516" s="14" t="s">
        <v>28</v>
      </c>
      <c r="P1516" s="51">
        <v>25</v>
      </c>
      <c r="Q1516" s="47">
        <f t="shared" si="49"/>
        <v>50</v>
      </c>
      <c r="R1516" s="47"/>
      <c r="S1516" s="47"/>
      <c r="T1516" s="47"/>
    </row>
    <row r="1517" customHeight="1" spans="1:20">
      <c r="A1517" s="43">
        <v>62021</v>
      </c>
      <c r="B1517" s="78" t="s">
        <v>1944</v>
      </c>
      <c r="C1517" s="78"/>
      <c r="D1517" s="43">
        <f>D1376/2</f>
        <v>28</v>
      </c>
      <c r="E1517" s="78" t="s">
        <v>21</v>
      </c>
      <c r="F1517" s="44">
        <f t="shared" si="50"/>
        <v>56</v>
      </c>
      <c r="G1517" s="85" t="s">
        <v>2582</v>
      </c>
      <c r="H1517" s="46" t="s">
        <v>18</v>
      </c>
      <c r="I1517" s="47"/>
      <c r="J1517" s="48" t="s">
        <v>42</v>
      </c>
      <c r="K1517" s="86">
        <v>62021</v>
      </c>
      <c r="L1517" s="87" t="s">
        <v>780</v>
      </c>
      <c r="M1517" s="87" t="s">
        <v>781</v>
      </c>
      <c r="N1517" s="14" t="s">
        <v>27</v>
      </c>
      <c r="O1517" s="14" t="s">
        <v>28</v>
      </c>
      <c r="P1517" s="51">
        <v>10</v>
      </c>
      <c r="Q1517" s="47">
        <f t="shared" si="49"/>
        <v>560</v>
      </c>
      <c r="R1517" s="47"/>
      <c r="S1517" s="47"/>
      <c r="T1517" s="47"/>
    </row>
    <row r="1518" customHeight="1" spans="1:20">
      <c r="A1518" s="43">
        <v>62031</v>
      </c>
      <c r="B1518" s="78" t="s">
        <v>800</v>
      </c>
      <c r="C1518" s="78"/>
      <c r="D1518" s="43">
        <v>30</v>
      </c>
      <c r="E1518" s="78" t="s">
        <v>21</v>
      </c>
      <c r="F1518" s="44">
        <f t="shared" si="50"/>
        <v>60</v>
      </c>
      <c r="G1518" s="85" t="s">
        <v>2583</v>
      </c>
      <c r="H1518" s="46" t="s">
        <v>18</v>
      </c>
      <c r="I1518" s="47"/>
      <c r="J1518" s="48" t="s">
        <v>42</v>
      </c>
      <c r="K1518" s="86">
        <v>62031</v>
      </c>
      <c r="L1518" s="87" t="s">
        <v>780</v>
      </c>
      <c r="M1518" s="87" t="s">
        <v>781</v>
      </c>
      <c r="N1518" s="14" t="s">
        <v>27</v>
      </c>
      <c r="O1518" s="14" t="s">
        <v>28</v>
      </c>
      <c r="P1518" s="51">
        <v>4</v>
      </c>
      <c r="Q1518" s="47">
        <f t="shared" si="49"/>
        <v>240</v>
      </c>
      <c r="R1518" s="47"/>
      <c r="S1518" s="47"/>
      <c r="T1518" s="47"/>
    </row>
    <row r="1519" customHeight="1" spans="1:20">
      <c r="A1519" s="43">
        <v>62032</v>
      </c>
      <c r="B1519" s="78" t="s">
        <v>800</v>
      </c>
      <c r="C1519" s="78"/>
      <c r="D1519" s="43">
        <v>30</v>
      </c>
      <c r="E1519" s="78" t="s">
        <v>21</v>
      </c>
      <c r="F1519" s="44">
        <f t="shared" si="50"/>
        <v>60</v>
      </c>
      <c r="G1519" s="85" t="s">
        <v>2584</v>
      </c>
      <c r="H1519" s="46" t="s">
        <v>18</v>
      </c>
      <c r="I1519" s="47"/>
      <c r="J1519" s="48" t="s">
        <v>42</v>
      </c>
      <c r="K1519" s="86">
        <v>62032</v>
      </c>
      <c r="L1519" s="87" t="s">
        <v>780</v>
      </c>
      <c r="M1519" s="87" t="s">
        <v>781</v>
      </c>
      <c r="N1519" s="14" t="s">
        <v>27</v>
      </c>
      <c r="O1519" s="14" t="s">
        <v>28</v>
      </c>
      <c r="P1519" s="51">
        <v>6</v>
      </c>
      <c r="Q1519" s="47">
        <f t="shared" si="49"/>
        <v>360</v>
      </c>
      <c r="R1519" s="47"/>
      <c r="S1519" s="47"/>
      <c r="T1519" s="47"/>
    </row>
    <row r="1520" customHeight="1" spans="1:20">
      <c r="A1520" s="43">
        <v>62073</v>
      </c>
      <c r="B1520" s="78" t="s">
        <v>2248</v>
      </c>
      <c r="C1520" s="78"/>
      <c r="D1520" s="43">
        <v>300</v>
      </c>
      <c r="E1520" s="78" t="s">
        <v>221</v>
      </c>
      <c r="F1520" s="44">
        <f t="shared" si="50"/>
        <v>600</v>
      </c>
      <c r="G1520" s="85" t="s">
        <v>2585</v>
      </c>
      <c r="H1520" s="46" t="s">
        <v>18</v>
      </c>
      <c r="I1520" s="47"/>
      <c r="J1520" s="48" t="s">
        <v>42</v>
      </c>
      <c r="K1520" s="86">
        <v>62073</v>
      </c>
      <c r="L1520" s="87" t="s">
        <v>780</v>
      </c>
      <c r="M1520" s="87" t="s">
        <v>781</v>
      </c>
      <c r="N1520" s="14" t="s">
        <v>27</v>
      </c>
      <c r="O1520" s="14" t="s">
        <v>28</v>
      </c>
      <c r="P1520" s="51">
        <v>1</v>
      </c>
      <c r="Q1520" s="47">
        <f t="shared" si="49"/>
        <v>600</v>
      </c>
      <c r="R1520" s="47"/>
      <c r="S1520" s="47"/>
      <c r="T1520" s="47"/>
    </row>
    <row r="1521" customHeight="1" spans="1:20">
      <c r="A1521" s="43">
        <v>62077</v>
      </c>
      <c r="B1521" s="78" t="s">
        <v>1966</v>
      </c>
      <c r="C1521" s="78"/>
      <c r="D1521" s="43">
        <v>150</v>
      </c>
      <c r="E1521" s="78" t="s">
        <v>221</v>
      </c>
      <c r="F1521" s="44">
        <f t="shared" si="50"/>
        <v>300</v>
      </c>
      <c r="G1521" s="85" t="s">
        <v>1894</v>
      </c>
      <c r="H1521" s="46" t="s">
        <v>18</v>
      </c>
      <c r="I1521" s="47"/>
      <c r="J1521" s="48" t="s">
        <v>42</v>
      </c>
      <c r="K1521" s="86">
        <v>62077</v>
      </c>
      <c r="L1521" s="87" t="s">
        <v>780</v>
      </c>
      <c r="M1521" s="87" t="s">
        <v>781</v>
      </c>
      <c r="N1521" s="14" t="s">
        <v>27</v>
      </c>
      <c r="O1521" s="14" t="s">
        <v>28</v>
      </c>
      <c r="P1521" s="51">
        <v>3.5</v>
      </c>
      <c r="Q1521" s="47">
        <f t="shared" si="49"/>
        <v>1050</v>
      </c>
      <c r="R1521" s="47"/>
      <c r="S1521" s="47"/>
      <c r="T1521" s="47"/>
    </row>
    <row r="1522" customHeight="1" spans="1:20">
      <c r="A1522" s="6">
        <v>63</v>
      </c>
      <c r="B1522" s="2" t="s">
        <v>1976</v>
      </c>
      <c r="C1522" s="2"/>
      <c r="D1522" s="6"/>
      <c r="E1522" s="2"/>
      <c r="F1522" s="44">
        <f t="shared" si="50"/>
        <v>0</v>
      </c>
      <c r="G1522" s="77"/>
      <c r="H1522" s="46"/>
      <c r="I1522" s="47"/>
      <c r="J1522" s="48" t="s">
        <v>42</v>
      </c>
      <c r="K1522" s="94"/>
      <c r="L1522" s="95"/>
      <c r="M1522" s="95"/>
      <c r="O1522" s="14" t="s">
        <v>28</v>
      </c>
      <c r="P1522" s="51"/>
      <c r="Q1522" s="47">
        <f t="shared" si="49"/>
        <v>0</v>
      </c>
      <c r="R1522" s="47"/>
      <c r="S1522" s="47"/>
      <c r="T1522" s="47"/>
    </row>
    <row r="1523" customHeight="1" spans="1:20">
      <c r="A1523" s="43">
        <v>63011</v>
      </c>
      <c r="B1523" s="78" t="s">
        <v>1982</v>
      </c>
      <c r="C1523" s="78"/>
      <c r="D1523" s="43">
        <v>100</v>
      </c>
      <c r="E1523" s="78" t="s">
        <v>21</v>
      </c>
      <c r="F1523" s="44">
        <f t="shared" si="50"/>
        <v>200</v>
      </c>
      <c r="G1523" s="85" t="s">
        <v>1931</v>
      </c>
      <c r="H1523" s="46" t="s">
        <v>18</v>
      </c>
      <c r="I1523" s="47"/>
      <c r="J1523" s="48" t="s">
        <v>42</v>
      </c>
      <c r="K1523" s="86">
        <v>63011</v>
      </c>
      <c r="L1523" s="87" t="s">
        <v>780</v>
      </c>
      <c r="M1523" s="87" t="s">
        <v>781</v>
      </c>
      <c r="N1523" s="14" t="s">
        <v>27</v>
      </c>
      <c r="O1523" s="14" t="s">
        <v>28</v>
      </c>
      <c r="P1523" s="51">
        <v>4.5</v>
      </c>
      <c r="Q1523" s="47">
        <f t="shared" si="49"/>
        <v>900</v>
      </c>
      <c r="R1523" s="47"/>
      <c r="S1523" s="47"/>
      <c r="T1523" s="47"/>
    </row>
    <row r="1524" customHeight="1" spans="1:20">
      <c r="A1524" s="43">
        <v>63021</v>
      </c>
      <c r="B1524" s="78" t="s">
        <v>1990</v>
      </c>
      <c r="C1524" s="78"/>
      <c r="D1524" s="43">
        <v>5</v>
      </c>
      <c r="E1524" s="78" t="s">
        <v>21</v>
      </c>
      <c r="F1524" s="44">
        <f t="shared" si="50"/>
        <v>10</v>
      </c>
      <c r="G1524" s="85" t="s">
        <v>1931</v>
      </c>
      <c r="H1524" s="46" t="s">
        <v>18</v>
      </c>
      <c r="I1524" s="47"/>
      <c r="J1524" s="48" t="s">
        <v>42</v>
      </c>
      <c r="K1524" s="86" t="s">
        <v>1995</v>
      </c>
      <c r="L1524" s="87" t="s">
        <v>780</v>
      </c>
      <c r="M1524" s="87" t="s">
        <v>781</v>
      </c>
      <c r="N1524" s="14" t="s">
        <v>27</v>
      </c>
      <c r="O1524" s="14" t="s">
        <v>28</v>
      </c>
      <c r="P1524" s="161">
        <v>4.5</v>
      </c>
      <c r="Q1524" s="47">
        <f t="shared" si="49"/>
        <v>45</v>
      </c>
      <c r="R1524" s="47"/>
      <c r="S1524" s="47"/>
      <c r="T1524" s="47"/>
    </row>
    <row r="1525" customHeight="1" spans="1:20">
      <c r="A1525" s="43">
        <v>63022</v>
      </c>
      <c r="B1525" s="78" t="s">
        <v>1990</v>
      </c>
      <c r="C1525" s="78"/>
      <c r="D1525" s="43">
        <v>10</v>
      </c>
      <c r="E1525" s="78" t="s">
        <v>21</v>
      </c>
      <c r="F1525" s="44">
        <f t="shared" si="50"/>
        <v>20</v>
      </c>
      <c r="G1525" s="85" t="s">
        <v>1938</v>
      </c>
      <c r="H1525" s="46" t="s">
        <v>18</v>
      </c>
      <c r="I1525" s="47"/>
      <c r="J1525" s="48" t="s">
        <v>42</v>
      </c>
      <c r="K1525" s="86" t="s">
        <v>1996</v>
      </c>
      <c r="L1525" s="87" t="s">
        <v>780</v>
      </c>
      <c r="M1525" s="87" t="s">
        <v>781</v>
      </c>
      <c r="N1525" s="14" t="s">
        <v>27</v>
      </c>
      <c r="O1525" s="14" t="s">
        <v>28</v>
      </c>
      <c r="P1525" s="161">
        <v>6</v>
      </c>
      <c r="Q1525" s="47">
        <f t="shared" si="49"/>
        <v>120</v>
      </c>
      <c r="R1525" s="47"/>
      <c r="S1525" s="47"/>
      <c r="T1525" s="47"/>
    </row>
    <row r="1526" customHeight="1" spans="1:20">
      <c r="A1526" s="43">
        <v>63023</v>
      </c>
      <c r="B1526" s="78" t="s">
        <v>1990</v>
      </c>
      <c r="C1526" s="78"/>
      <c r="D1526" s="43">
        <v>10</v>
      </c>
      <c r="E1526" s="78" t="s">
        <v>21</v>
      </c>
      <c r="F1526" s="44">
        <f t="shared" si="50"/>
        <v>20</v>
      </c>
      <c r="G1526" s="85" t="s">
        <v>2571</v>
      </c>
      <c r="H1526" s="46" t="s">
        <v>18</v>
      </c>
      <c r="I1526" s="47"/>
      <c r="J1526" s="48" t="s">
        <v>42</v>
      </c>
      <c r="K1526" s="86" t="s">
        <v>1998</v>
      </c>
      <c r="L1526" s="87" t="s">
        <v>780</v>
      </c>
      <c r="M1526" s="87" t="s">
        <v>781</v>
      </c>
      <c r="N1526" s="14" t="s">
        <v>27</v>
      </c>
      <c r="O1526" s="14" t="s">
        <v>28</v>
      </c>
      <c r="P1526" s="161">
        <v>10</v>
      </c>
      <c r="Q1526" s="47">
        <f t="shared" si="49"/>
        <v>200</v>
      </c>
      <c r="R1526" s="47"/>
      <c r="S1526" s="47"/>
      <c r="T1526" s="47"/>
    </row>
    <row r="1527" customHeight="1" spans="1:20">
      <c r="A1527" s="43">
        <v>63041</v>
      </c>
      <c r="B1527" s="78" t="s">
        <v>2011</v>
      </c>
      <c r="C1527" s="78"/>
      <c r="D1527" s="43">
        <v>300</v>
      </c>
      <c r="E1527" s="78" t="s">
        <v>21</v>
      </c>
      <c r="F1527" s="44">
        <f t="shared" si="50"/>
        <v>600</v>
      </c>
      <c r="G1527" s="85" t="s">
        <v>2586</v>
      </c>
      <c r="H1527" s="46" t="s">
        <v>18</v>
      </c>
      <c r="I1527" s="47"/>
      <c r="J1527" s="48" t="s">
        <v>42</v>
      </c>
      <c r="K1527" s="86">
        <v>63041</v>
      </c>
      <c r="L1527" s="87" t="s">
        <v>780</v>
      </c>
      <c r="M1527" s="87" t="s">
        <v>781</v>
      </c>
      <c r="N1527" s="14" t="s">
        <v>27</v>
      </c>
      <c r="O1527" s="14" t="s">
        <v>28</v>
      </c>
      <c r="P1527" s="51">
        <v>3</v>
      </c>
      <c r="Q1527" s="47">
        <f t="shared" si="49"/>
        <v>1800</v>
      </c>
      <c r="R1527" s="47"/>
      <c r="S1527" s="47"/>
      <c r="T1527" s="47"/>
    </row>
    <row r="1528" customHeight="1" spans="1:20">
      <c r="A1528" s="43">
        <v>63042</v>
      </c>
      <c r="B1528" s="78" t="s">
        <v>2011</v>
      </c>
      <c r="C1528" s="78"/>
      <c r="D1528" s="43">
        <v>300</v>
      </c>
      <c r="E1528" s="78" t="s">
        <v>21</v>
      </c>
      <c r="F1528" s="44">
        <f t="shared" si="50"/>
        <v>600</v>
      </c>
      <c r="G1528" s="85" t="s">
        <v>2587</v>
      </c>
      <c r="H1528" s="46" t="s">
        <v>18</v>
      </c>
      <c r="I1528" s="47"/>
      <c r="J1528" s="48" t="s">
        <v>42</v>
      </c>
      <c r="K1528" s="86">
        <v>63042</v>
      </c>
      <c r="L1528" s="87" t="s">
        <v>780</v>
      </c>
      <c r="M1528" s="87" t="s">
        <v>781</v>
      </c>
      <c r="N1528" s="14" t="s">
        <v>27</v>
      </c>
      <c r="O1528" s="14" t="s">
        <v>28</v>
      </c>
      <c r="P1528" s="51">
        <v>3.8</v>
      </c>
      <c r="Q1528" s="47">
        <f t="shared" si="49"/>
        <v>2280</v>
      </c>
      <c r="R1528" s="47"/>
      <c r="S1528" s="47"/>
      <c r="T1528" s="47"/>
    </row>
    <row r="1529" customHeight="1" spans="1:20">
      <c r="A1529" s="43">
        <v>63043</v>
      </c>
      <c r="B1529" s="78" t="s">
        <v>2011</v>
      </c>
      <c r="C1529" s="78"/>
      <c r="D1529" s="43">
        <v>200</v>
      </c>
      <c r="E1529" s="78" t="s">
        <v>21</v>
      </c>
      <c r="F1529" s="44">
        <f t="shared" si="50"/>
        <v>400</v>
      </c>
      <c r="G1529" s="85" t="s">
        <v>2588</v>
      </c>
      <c r="H1529" s="46" t="s">
        <v>18</v>
      </c>
      <c r="I1529" s="47"/>
      <c r="J1529" s="48" t="s">
        <v>42</v>
      </c>
      <c r="K1529" s="86">
        <v>63043</v>
      </c>
      <c r="L1529" s="87" t="s">
        <v>780</v>
      </c>
      <c r="M1529" s="87" t="s">
        <v>781</v>
      </c>
      <c r="N1529" s="14" t="s">
        <v>27</v>
      </c>
      <c r="O1529" s="14" t="s">
        <v>28</v>
      </c>
      <c r="P1529" s="51">
        <v>3</v>
      </c>
      <c r="Q1529" s="47">
        <f t="shared" si="49"/>
        <v>1200</v>
      </c>
      <c r="R1529" s="47"/>
      <c r="S1529" s="47"/>
      <c r="T1529" s="47"/>
    </row>
    <row r="1530" customHeight="1" spans="1:20">
      <c r="A1530" s="43">
        <v>63044</v>
      </c>
      <c r="B1530" s="78" t="s">
        <v>2011</v>
      </c>
      <c r="C1530" s="78"/>
      <c r="D1530" s="43">
        <v>200</v>
      </c>
      <c r="E1530" s="78" t="s">
        <v>21</v>
      </c>
      <c r="F1530" s="44">
        <f t="shared" si="50"/>
        <v>400</v>
      </c>
      <c r="G1530" s="85" t="s">
        <v>2589</v>
      </c>
      <c r="H1530" s="46" t="s">
        <v>18</v>
      </c>
      <c r="I1530" s="47"/>
      <c r="J1530" s="48" t="s">
        <v>42</v>
      </c>
      <c r="K1530" s="86">
        <v>63044</v>
      </c>
      <c r="L1530" s="87" t="s">
        <v>780</v>
      </c>
      <c r="M1530" s="87" t="s">
        <v>781</v>
      </c>
      <c r="N1530" s="14" t="s">
        <v>27</v>
      </c>
      <c r="O1530" s="14" t="s">
        <v>28</v>
      </c>
      <c r="P1530" s="51">
        <v>3.8</v>
      </c>
      <c r="Q1530" s="47">
        <f t="shared" si="49"/>
        <v>1520</v>
      </c>
      <c r="R1530" s="47"/>
      <c r="S1530" s="47"/>
      <c r="T1530" s="47"/>
    </row>
    <row r="1531" customHeight="1" spans="1:20">
      <c r="A1531" s="43">
        <v>64</v>
      </c>
      <c r="B1531" s="2" t="s">
        <v>810</v>
      </c>
      <c r="C1531" s="2"/>
      <c r="D1531" s="6"/>
      <c r="E1531" s="2"/>
      <c r="F1531" s="44">
        <f t="shared" si="50"/>
        <v>0</v>
      </c>
      <c r="G1531" s="77"/>
      <c r="H1531" s="46"/>
      <c r="I1531" s="47"/>
      <c r="J1531" s="48" t="s">
        <v>42</v>
      </c>
      <c r="K1531" s="94"/>
      <c r="L1531" s="95"/>
      <c r="M1531" s="95"/>
      <c r="O1531" s="14" t="s">
        <v>28</v>
      </c>
      <c r="P1531" s="51"/>
      <c r="Q1531" s="47">
        <f t="shared" si="49"/>
        <v>0</v>
      </c>
      <c r="R1531" s="47"/>
      <c r="S1531" s="47"/>
      <c r="T1531" s="47"/>
    </row>
    <row r="1532" customHeight="1" spans="1:20">
      <c r="A1532" s="43">
        <v>64006</v>
      </c>
      <c r="B1532" s="78" t="s">
        <v>2025</v>
      </c>
      <c r="C1532" s="78"/>
      <c r="D1532" s="43">
        <v>100</v>
      </c>
      <c r="E1532" s="78" t="s">
        <v>172</v>
      </c>
      <c r="F1532" s="44">
        <f t="shared" si="50"/>
        <v>200</v>
      </c>
      <c r="G1532" s="85" t="s">
        <v>2590</v>
      </c>
      <c r="H1532" s="46" t="s">
        <v>18</v>
      </c>
      <c r="I1532" s="47"/>
      <c r="J1532" s="48" t="s">
        <v>42</v>
      </c>
      <c r="K1532" s="86">
        <v>64006</v>
      </c>
      <c r="L1532" s="87" t="s">
        <v>780</v>
      </c>
      <c r="M1532" s="87" t="s">
        <v>781</v>
      </c>
      <c r="N1532" s="14" t="s">
        <v>27</v>
      </c>
      <c r="O1532" s="14" t="s">
        <v>28</v>
      </c>
      <c r="P1532" s="51">
        <v>1.1</v>
      </c>
      <c r="Q1532" s="47">
        <f t="shared" si="49"/>
        <v>220</v>
      </c>
      <c r="R1532" s="47"/>
      <c r="S1532" s="47"/>
      <c r="T1532" s="47"/>
    </row>
    <row r="1533" customHeight="1" spans="1:20">
      <c r="A1533" s="43"/>
      <c r="B1533" s="78" t="s">
        <v>813</v>
      </c>
      <c r="C1533" s="78"/>
      <c r="D1533" s="43">
        <v>100</v>
      </c>
      <c r="E1533" s="78" t="s">
        <v>21</v>
      </c>
      <c r="F1533" s="44">
        <f t="shared" si="50"/>
        <v>200</v>
      </c>
      <c r="G1533" s="163" t="s">
        <v>814</v>
      </c>
      <c r="H1533" s="46" t="s">
        <v>18</v>
      </c>
      <c r="I1533" s="47"/>
      <c r="J1533" s="48" t="s">
        <v>42</v>
      </c>
      <c r="K1533" s="164">
        <v>82014</v>
      </c>
      <c r="L1533" s="165" t="s">
        <v>780</v>
      </c>
      <c r="M1533" s="103" t="s">
        <v>781</v>
      </c>
      <c r="N1533" s="14" t="s">
        <v>27</v>
      </c>
      <c r="O1533" s="14" t="s">
        <v>28</v>
      </c>
      <c r="P1533" s="51">
        <v>1.4</v>
      </c>
      <c r="Q1533" s="47">
        <f t="shared" si="49"/>
        <v>280</v>
      </c>
      <c r="R1533" s="47"/>
      <c r="S1533" s="47"/>
      <c r="T1533" s="47"/>
    </row>
    <row r="1534" customHeight="1" spans="1:20">
      <c r="A1534" s="43">
        <v>64053</v>
      </c>
      <c r="B1534" s="78" t="s">
        <v>2041</v>
      </c>
      <c r="C1534" s="78"/>
      <c r="D1534" s="43">
        <v>8</v>
      </c>
      <c r="E1534" s="78" t="s">
        <v>816</v>
      </c>
      <c r="F1534" s="44">
        <f t="shared" si="50"/>
        <v>16</v>
      </c>
      <c r="G1534" s="85" t="s">
        <v>2591</v>
      </c>
      <c r="H1534" s="46" t="s">
        <v>18</v>
      </c>
      <c r="I1534" s="47"/>
      <c r="J1534" s="48" t="s">
        <v>42</v>
      </c>
      <c r="K1534" s="86">
        <v>64053</v>
      </c>
      <c r="L1534" s="87" t="s">
        <v>780</v>
      </c>
      <c r="M1534" s="87" t="s">
        <v>781</v>
      </c>
      <c r="N1534" s="14" t="s">
        <v>27</v>
      </c>
      <c r="O1534" s="14" t="s">
        <v>28</v>
      </c>
      <c r="P1534" s="51">
        <v>12</v>
      </c>
      <c r="Q1534" s="47">
        <f t="shared" si="49"/>
        <v>192</v>
      </c>
      <c r="R1534" s="47"/>
      <c r="S1534" s="47"/>
      <c r="T1534" s="47"/>
    </row>
    <row r="1535" customHeight="1" spans="1:20">
      <c r="A1535" s="43">
        <v>64067</v>
      </c>
      <c r="B1535" s="78" t="s">
        <v>2047</v>
      </c>
      <c r="C1535" s="78"/>
      <c r="D1535" s="43">
        <v>100</v>
      </c>
      <c r="E1535" s="78" t="s">
        <v>21</v>
      </c>
      <c r="F1535" s="44">
        <f t="shared" si="50"/>
        <v>200</v>
      </c>
      <c r="G1535" s="85" t="s">
        <v>2587</v>
      </c>
      <c r="H1535" s="46" t="s">
        <v>18</v>
      </c>
      <c r="I1535" s="47"/>
      <c r="J1535" s="48" t="s">
        <v>42</v>
      </c>
      <c r="K1535" s="86">
        <v>64067</v>
      </c>
      <c r="L1535" s="87" t="s">
        <v>780</v>
      </c>
      <c r="M1535" s="87" t="s">
        <v>781</v>
      </c>
      <c r="N1535" s="14" t="s">
        <v>27</v>
      </c>
      <c r="O1535" s="14" t="s">
        <v>28</v>
      </c>
      <c r="P1535" s="51">
        <v>4</v>
      </c>
      <c r="Q1535" s="47">
        <f t="shared" si="49"/>
        <v>800</v>
      </c>
      <c r="R1535" s="47"/>
      <c r="S1535" s="47"/>
      <c r="T1535" s="47"/>
    </row>
    <row r="1536" customHeight="1" spans="1:20">
      <c r="A1536" s="43">
        <v>64084</v>
      </c>
      <c r="B1536" s="78" t="s">
        <v>2592</v>
      </c>
      <c r="C1536" s="78"/>
      <c r="D1536" s="43">
        <v>500</v>
      </c>
      <c r="E1536" s="78" t="s">
        <v>32</v>
      </c>
      <c r="F1536" s="44">
        <f t="shared" si="50"/>
        <v>1000</v>
      </c>
      <c r="G1536" s="85" t="s">
        <v>2593</v>
      </c>
      <c r="H1536" s="46" t="s">
        <v>18</v>
      </c>
      <c r="I1536" s="47"/>
      <c r="J1536" s="48" t="s">
        <v>42</v>
      </c>
      <c r="K1536" s="86">
        <v>64084</v>
      </c>
      <c r="L1536" s="87" t="s">
        <v>780</v>
      </c>
      <c r="M1536" s="87" t="s">
        <v>781</v>
      </c>
      <c r="N1536" s="14" t="s">
        <v>27</v>
      </c>
      <c r="O1536" s="14" t="s">
        <v>28</v>
      </c>
      <c r="P1536" s="190">
        <v>5</v>
      </c>
      <c r="Q1536" s="47">
        <f t="shared" si="49"/>
        <v>5000</v>
      </c>
      <c r="R1536" s="47"/>
      <c r="S1536" s="47"/>
      <c r="T1536" s="47"/>
    </row>
    <row r="1537" customHeight="1" spans="1:20">
      <c r="A1537" s="43">
        <v>64085</v>
      </c>
      <c r="B1537" s="78" t="s">
        <v>2592</v>
      </c>
      <c r="C1537" s="78"/>
      <c r="D1537" s="43">
        <v>100</v>
      </c>
      <c r="E1537" s="78" t="s">
        <v>32</v>
      </c>
      <c r="F1537" s="44">
        <f t="shared" si="50"/>
        <v>200</v>
      </c>
      <c r="G1537" s="85" t="s">
        <v>2594</v>
      </c>
      <c r="H1537" s="46" t="s">
        <v>18</v>
      </c>
      <c r="I1537" s="47"/>
      <c r="J1537" s="48" t="s">
        <v>42</v>
      </c>
      <c r="K1537" s="86">
        <v>64085</v>
      </c>
      <c r="L1537" s="87" t="s">
        <v>780</v>
      </c>
      <c r="M1537" s="87" t="s">
        <v>781</v>
      </c>
      <c r="N1537" s="14" t="s">
        <v>27</v>
      </c>
      <c r="O1537" s="14" t="s">
        <v>28</v>
      </c>
      <c r="P1537" s="190">
        <v>6</v>
      </c>
      <c r="Q1537" s="47">
        <f t="shared" si="49"/>
        <v>1200</v>
      </c>
      <c r="R1537" s="47"/>
      <c r="S1537" s="47"/>
      <c r="T1537" s="47"/>
    </row>
    <row r="1538" customHeight="1" spans="1:20">
      <c r="A1538" s="43">
        <v>64086</v>
      </c>
      <c r="B1538" s="78" t="s">
        <v>2059</v>
      </c>
      <c r="C1538" s="78"/>
      <c r="D1538" s="43">
        <v>100</v>
      </c>
      <c r="E1538" s="78" t="s">
        <v>21</v>
      </c>
      <c r="F1538" s="44">
        <f t="shared" si="50"/>
        <v>200</v>
      </c>
      <c r="G1538" s="85" t="s">
        <v>2595</v>
      </c>
      <c r="H1538" s="46" t="s">
        <v>18</v>
      </c>
      <c r="I1538" s="47"/>
      <c r="J1538" s="48" t="s">
        <v>42</v>
      </c>
      <c r="K1538" s="86">
        <v>64086</v>
      </c>
      <c r="L1538" s="87" t="s">
        <v>780</v>
      </c>
      <c r="M1538" s="87" t="s">
        <v>781</v>
      </c>
      <c r="N1538" s="14" t="s">
        <v>27</v>
      </c>
      <c r="O1538" s="14" t="s">
        <v>28</v>
      </c>
      <c r="P1538" s="51">
        <v>3.75</v>
      </c>
      <c r="Q1538" s="47">
        <f t="shared" si="49"/>
        <v>750</v>
      </c>
      <c r="R1538" s="47"/>
      <c r="S1538" s="47"/>
      <c r="T1538" s="47"/>
    </row>
    <row r="1539" customHeight="1" spans="1:20">
      <c r="A1539" s="6">
        <v>81</v>
      </c>
      <c r="B1539" s="2" t="s">
        <v>930</v>
      </c>
      <c r="C1539" s="2"/>
      <c r="D1539" s="6"/>
      <c r="E1539" s="2"/>
      <c r="F1539" s="44">
        <f t="shared" si="50"/>
        <v>0</v>
      </c>
      <c r="G1539" s="77"/>
      <c r="H1539" s="46"/>
      <c r="I1539" s="47"/>
      <c r="J1539" s="48" t="s">
        <v>42</v>
      </c>
      <c r="K1539" s="94"/>
      <c r="L1539" s="95"/>
      <c r="M1539" s="95"/>
      <c r="O1539" s="14" t="s">
        <v>28</v>
      </c>
      <c r="P1539" s="51"/>
      <c r="Q1539" s="47">
        <f t="shared" si="49"/>
        <v>0</v>
      </c>
      <c r="R1539" s="47"/>
      <c r="S1539" s="47"/>
      <c r="T1539" s="47">
        <v>81</v>
      </c>
    </row>
    <row r="1540" customHeight="1" spans="1:20">
      <c r="A1540" s="43">
        <v>81001</v>
      </c>
      <c r="B1540" s="78" t="s">
        <v>931</v>
      </c>
      <c r="C1540" s="78"/>
      <c r="D1540" s="43">
        <v>1</v>
      </c>
      <c r="E1540" s="78" t="s">
        <v>221</v>
      </c>
      <c r="F1540" s="44">
        <f t="shared" si="50"/>
        <v>2</v>
      </c>
      <c r="G1540" s="123" t="s">
        <v>932</v>
      </c>
      <c r="H1540" s="46" t="s">
        <v>18</v>
      </c>
      <c r="I1540" s="47"/>
      <c r="J1540" s="48" t="s">
        <v>42</v>
      </c>
      <c r="K1540" s="124">
        <v>81001</v>
      </c>
      <c r="L1540" s="125" t="s">
        <v>25</v>
      </c>
      <c r="M1540" s="125" t="s">
        <v>26</v>
      </c>
      <c r="N1540" s="14" t="s">
        <v>27</v>
      </c>
      <c r="O1540" s="14" t="s">
        <v>28</v>
      </c>
      <c r="P1540" s="51">
        <v>4</v>
      </c>
      <c r="Q1540" s="47">
        <f t="shared" ref="Q1540:Q1603" si="51">P1540*F1540</f>
        <v>8</v>
      </c>
      <c r="R1540" s="47"/>
      <c r="S1540" s="47"/>
      <c r="T1540" s="47">
        <v>81001</v>
      </c>
    </row>
    <row r="1541" customHeight="1" spans="1:20">
      <c r="A1541" s="43">
        <v>81002</v>
      </c>
      <c r="B1541" s="78" t="s">
        <v>933</v>
      </c>
      <c r="C1541" s="78"/>
      <c r="D1541" s="43">
        <v>1</v>
      </c>
      <c r="E1541" s="78" t="s">
        <v>221</v>
      </c>
      <c r="F1541" s="44">
        <f t="shared" si="50"/>
        <v>2</v>
      </c>
      <c r="G1541" s="85" t="s">
        <v>934</v>
      </c>
      <c r="H1541" s="46" t="s">
        <v>18</v>
      </c>
      <c r="I1541" s="47"/>
      <c r="J1541" s="48" t="s">
        <v>42</v>
      </c>
      <c r="K1541" s="86">
        <v>81002</v>
      </c>
      <c r="L1541" s="87" t="s">
        <v>25</v>
      </c>
      <c r="M1541" s="87" t="s">
        <v>26</v>
      </c>
      <c r="N1541" s="14" t="s">
        <v>27</v>
      </c>
      <c r="O1541" s="14" t="s">
        <v>28</v>
      </c>
      <c r="P1541" s="51">
        <v>4</v>
      </c>
      <c r="Q1541" s="47">
        <f t="shared" si="51"/>
        <v>8</v>
      </c>
      <c r="R1541" s="47"/>
      <c r="S1541" s="47"/>
      <c r="T1541" s="47">
        <v>81002</v>
      </c>
    </row>
    <row r="1542" customHeight="1" spans="1:20">
      <c r="A1542" s="43">
        <v>81003</v>
      </c>
      <c r="B1542" s="78" t="s">
        <v>935</v>
      </c>
      <c r="C1542" s="78"/>
      <c r="D1542" s="43">
        <v>1</v>
      </c>
      <c r="E1542" s="78" t="s">
        <v>221</v>
      </c>
      <c r="F1542" s="44">
        <f t="shared" si="50"/>
        <v>2</v>
      </c>
      <c r="G1542" s="85" t="s">
        <v>936</v>
      </c>
      <c r="H1542" s="46" t="s">
        <v>18</v>
      </c>
      <c r="I1542" s="47"/>
      <c r="J1542" s="48" t="s">
        <v>42</v>
      </c>
      <c r="K1542" s="86">
        <v>81003</v>
      </c>
      <c r="L1542" s="87" t="s">
        <v>25</v>
      </c>
      <c r="M1542" s="87" t="s">
        <v>26</v>
      </c>
      <c r="N1542" s="14" t="s">
        <v>27</v>
      </c>
      <c r="O1542" s="14" t="s">
        <v>28</v>
      </c>
      <c r="P1542" s="51">
        <v>4</v>
      </c>
      <c r="Q1542" s="47">
        <f t="shared" si="51"/>
        <v>8</v>
      </c>
      <c r="R1542" s="47"/>
      <c r="S1542" s="47"/>
      <c r="T1542" s="47">
        <v>81003</v>
      </c>
    </row>
    <row r="1543" customHeight="1" spans="1:20">
      <c r="A1543" s="43">
        <v>81009</v>
      </c>
      <c r="B1543" s="78" t="s">
        <v>945</v>
      </c>
      <c r="C1543" s="78"/>
      <c r="D1543" s="43">
        <v>1</v>
      </c>
      <c r="E1543" s="78" t="s">
        <v>172</v>
      </c>
      <c r="F1543" s="44">
        <f t="shared" si="50"/>
        <v>2</v>
      </c>
      <c r="G1543" s="123" t="s">
        <v>2596</v>
      </c>
      <c r="H1543" s="46" t="s">
        <v>18</v>
      </c>
      <c r="I1543" s="47"/>
      <c r="J1543" s="48" t="s">
        <v>42</v>
      </c>
      <c r="K1543" s="124">
        <v>81009</v>
      </c>
      <c r="L1543" s="125" t="s">
        <v>25</v>
      </c>
      <c r="M1543" s="125" t="s">
        <v>26</v>
      </c>
      <c r="N1543" s="14" t="s">
        <v>27</v>
      </c>
      <c r="O1543" s="14" t="s">
        <v>28</v>
      </c>
      <c r="P1543" s="51">
        <v>11</v>
      </c>
      <c r="Q1543" s="47">
        <f t="shared" si="51"/>
        <v>22</v>
      </c>
      <c r="R1543" s="47"/>
      <c r="S1543" s="47"/>
      <c r="T1543" s="47">
        <v>81009</v>
      </c>
    </row>
    <row r="1544" customHeight="1" spans="1:20">
      <c r="A1544" s="43">
        <v>81012</v>
      </c>
      <c r="B1544" s="78" t="s">
        <v>947</v>
      </c>
      <c r="C1544" s="78"/>
      <c r="D1544" s="43">
        <v>1</v>
      </c>
      <c r="E1544" s="78" t="s">
        <v>172</v>
      </c>
      <c r="F1544" s="44">
        <f t="shared" si="50"/>
        <v>2</v>
      </c>
      <c r="G1544" s="85" t="s">
        <v>948</v>
      </c>
      <c r="H1544" s="46" t="s">
        <v>18</v>
      </c>
      <c r="I1544" s="47"/>
      <c r="J1544" s="48" t="s">
        <v>42</v>
      </c>
      <c r="K1544" s="86">
        <v>81012</v>
      </c>
      <c r="L1544" s="87" t="s">
        <v>25</v>
      </c>
      <c r="M1544" s="87" t="s">
        <v>26</v>
      </c>
      <c r="N1544" s="14" t="s">
        <v>27</v>
      </c>
      <c r="O1544" s="14" t="s">
        <v>28</v>
      </c>
      <c r="P1544" s="51">
        <v>15</v>
      </c>
      <c r="Q1544" s="47">
        <f t="shared" si="51"/>
        <v>30</v>
      </c>
      <c r="R1544" s="47"/>
      <c r="S1544" s="47"/>
      <c r="T1544" s="47">
        <v>81012</v>
      </c>
    </row>
    <row r="1545" customHeight="1" spans="1:20">
      <c r="A1545" s="43">
        <v>81013</v>
      </c>
      <c r="B1545" s="78" t="s">
        <v>949</v>
      </c>
      <c r="C1545" s="78"/>
      <c r="D1545" s="43">
        <v>1</v>
      </c>
      <c r="E1545" s="78" t="s">
        <v>172</v>
      </c>
      <c r="F1545" s="44">
        <f t="shared" si="50"/>
        <v>2</v>
      </c>
      <c r="G1545" s="91" t="s">
        <v>950</v>
      </c>
      <c r="H1545" s="46" t="s">
        <v>18</v>
      </c>
      <c r="I1545" s="47"/>
      <c r="J1545" s="48" t="s">
        <v>42</v>
      </c>
      <c r="K1545" s="92">
        <v>81013</v>
      </c>
      <c r="L1545" s="93" t="s">
        <v>25</v>
      </c>
      <c r="M1545" s="93" t="s">
        <v>26</v>
      </c>
      <c r="N1545" s="14" t="s">
        <v>27</v>
      </c>
      <c r="O1545" s="14" t="s">
        <v>28</v>
      </c>
      <c r="P1545" s="51">
        <v>12</v>
      </c>
      <c r="Q1545" s="47">
        <f t="shared" si="51"/>
        <v>24</v>
      </c>
      <c r="R1545" s="47"/>
      <c r="S1545" s="47"/>
      <c r="T1545" s="47">
        <v>81013</v>
      </c>
    </row>
    <row r="1546" customHeight="1" spans="1:20">
      <c r="A1546" s="43">
        <v>81014</v>
      </c>
      <c r="B1546" s="78" t="s">
        <v>951</v>
      </c>
      <c r="C1546" s="78"/>
      <c r="D1546" s="43">
        <v>1</v>
      </c>
      <c r="E1546" s="78" t="s">
        <v>172</v>
      </c>
      <c r="F1546" s="44">
        <f t="shared" si="50"/>
        <v>2</v>
      </c>
      <c r="G1546" s="79" t="s">
        <v>2597</v>
      </c>
      <c r="H1546" s="46" t="s">
        <v>18</v>
      </c>
      <c r="I1546" s="47"/>
      <c r="J1546" s="48" t="s">
        <v>42</v>
      </c>
      <c r="K1546" s="80">
        <v>81014</v>
      </c>
      <c r="L1546" s="81" t="s">
        <v>25</v>
      </c>
      <c r="M1546" s="81" t="s">
        <v>26</v>
      </c>
      <c r="N1546" s="14" t="s">
        <v>27</v>
      </c>
      <c r="O1546" s="14" t="s">
        <v>28</v>
      </c>
      <c r="P1546" s="51">
        <v>22</v>
      </c>
      <c r="Q1546" s="47">
        <f t="shared" si="51"/>
        <v>44</v>
      </c>
      <c r="R1546" s="47"/>
      <c r="S1546" s="47"/>
      <c r="T1546" s="47">
        <v>81014</v>
      </c>
    </row>
    <row r="1547" customHeight="1" spans="1:20">
      <c r="A1547" s="43">
        <v>81020</v>
      </c>
      <c r="B1547" s="78" t="s">
        <v>962</v>
      </c>
      <c r="C1547" s="78"/>
      <c r="D1547" s="43">
        <v>1</v>
      </c>
      <c r="E1547" s="78" t="s">
        <v>172</v>
      </c>
      <c r="F1547" s="44">
        <f t="shared" si="50"/>
        <v>2</v>
      </c>
      <c r="G1547" s="79" t="s">
        <v>2598</v>
      </c>
      <c r="H1547" s="46" t="s">
        <v>18</v>
      </c>
      <c r="I1547" s="47"/>
      <c r="J1547" s="48" t="s">
        <v>42</v>
      </c>
      <c r="K1547" s="80">
        <v>81020</v>
      </c>
      <c r="L1547" s="81" t="s">
        <v>25</v>
      </c>
      <c r="M1547" s="81" t="s">
        <v>26</v>
      </c>
      <c r="N1547" s="14" t="s">
        <v>27</v>
      </c>
      <c r="O1547" s="14" t="s">
        <v>28</v>
      </c>
      <c r="P1547" s="51">
        <v>12</v>
      </c>
      <c r="Q1547" s="47">
        <f t="shared" si="51"/>
        <v>24</v>
      </c>
      <c r="R1547" s="47"/>
      <c r="S1547" s="47"/>
      <c r="T1547" s="47">
        <v>81020</v>
      </c>
    </row>
    <row r="1548" customHeight="1" spans="1:20">
      <c r="A1548" s="6">
        <v>82</v>
      </c>
      <c r="B1548" s="2" t="s">
        <v>1000</v>
      </c>
      <c r="C1548" s="2"/>
      <c r="D1548" s="6"/>
      <c r="E1548" s="2"/>
      <c r="F1548" s="44">
        <f t="shared" si="50"/>
        <v>0</v>
      </c>
      <c r="G1548" s="77"/>
      <c r="H1548" s="46"/>
      <c r="I1548" s="47"/>
      <c r="J1548" s="48" t="s">
        <v>42</v>
      </c>
      <c r="K1548" s="94"/>
      <c r="L1548" s="95"/>
      <c r="M1548" s="95"/>
      <c r="O1548" s="14" t="s">
        <v>28</v>
      </c>
      <c r="P1548" s="51"/>
      <c r="Q1548" s="47">
        <f t="shared" si="51"/>
        <v>0</v>
      </c>
      <c r="R1548" s="47"/>
      <c r="S1548" s="47"/>
      <c r="T1548" s="47">
        <v>82</v>
      </c>
    </row>
    <row r="1549" customHeight="1" spans="1:20">
      <c r="A1549" s="43">
        <v>82001</v>
      </c>
      <c r="B1549" s="78" t="s">
        <v>1001</v>
      </c>
      <c r="C1549" s="78"/>
      <c r="D1549" s="43">
        <v>10</v>
      </c>
      <c r="E1549" s="78" t="s">
        <v>1002</v>
      </c>
      <c r="F1549" s="44">
        <f t="shared" si="50"/>
        <v>20</v>
      </c>
      <c r="G1549" s="123" t="s">
        <v>1003</v>
      </c>
      <c r="H1549" s="46" t="s">
        <v>18</v>
      </c>
      <c r="I1549" s="47"/>
      <c r="J1549" s="48" t="s">
        <v>42</v>
      </c>
      <c r="K1549" s="124">
        <v>82001</v>
      </c>
      <c r="L1549" s="125" t="s">
        <v>25</v>
      </c>
      <c r="M1549" s="125" t="s">
        <v>26</v>
      </c>
      <c r="N1549" s="14" t="s">
        <v>27</v>
      </c>
      <c r="O1549" s="14" t="s">
        <v>28</v>
      </c>
      <c r="P1549" s="51">
        <v>29</v>
      </c>
      <c r="Q1549" s="47">
        <f t="shared" si="51"/>
        <v>580</v>
      </c>
      <c r="R1549" s="47"/>
      <c r="S1549" s="47"/>
      <c r="T1549" s="47">
        <v>82001</v>
      </c>
    </row>
    <row r="1550" customHeight="1" spans="1:20">
      <c r="A1550" s="43">
        <v>82002</v>
      </c>
      <c r="B1550" s="78" t="s">
        <v>1004</v>
      </c>
      <c r="C1550" s="78"/>
      <c r="D1550" s="43">
        <f>D1376</f>
        <v>56</v>
      </c>
      <c r="E1550" s="78" t="s">
        <v>21</v>
      </c>
      <c r="F1550" s="44">
        <f t="shared" si="50"/>
        <v>112</v>
      </c>
      <c r="G1550" s="85" t="s">
        <v>2599</v>
      </c>
      <c r="H1550" s="46" t="s">
        <v>18</v>
      </c>
      <c r="I1550" s="47"/>
      <c r="J1550" s="48" t="s">
        <v>42</v>
      </c>
      <c r="K1550" s="86">
        <v>82002</v>
      </c>
      <c r="L1550" s="87" t="s">
        <v>25</v>
      </c>
      <c r="M1550" s="87" t="s">
        <v>26</v>
      </c>
      <c r="N1550" s="14" t="s">
        <v>27</v>
      </c>
      <c r="O1550" s="14" t="s">
        <v>28</v>
      </c>
      <c r="P1550" s="51">
        <v>15</v>
      </c>
      <c r="Q1550" s="47">
        <f t="shared" si="51"/>
        <v>1680</v>
      </c>
      <c r="R1550" s="47"/>
      <c r="S1550" s="47"/>
      <c r="T1550" s="47">
        <v>82002</v>
      </c>
    </row>
    <row r="1551" customHeight="1" spans="1:20">
      <c r="A1551" s="43">
        <v>82008</v>
      </c>
      <c r="B1551" s="78" t="s">
        <v>2600</v>
      </c>
      <c r="C1551" s="78"/>
      <c r="D1551" s="43">
        <f>D1376</f>
        <v>56</v>
      </c>
      <c r="E1551" s="78" t="s">
        <v>2601</v>
      </c>
      <c r="F1551" s="44">
        <f t="shared" si="50"/>
        <v>112</v>
      </c>
      <c r="G1551" s="79" t="s">
        <v>2602</v>
      </c>
      <c r="H1551" s="46" t="s">
        <v>18</v>
      </c>
      <c r="I1551" s="47"/>
      <c r="J1551" s="48" t="s">
        <v>42</v>
      </c>
      <c r="K1551" s="80">
        <v>82008</v>
      </c>
      <c r="L1551" s="81" t="s">
        <v>2603</v>
      </c>
      <c r="M1551" s="81" t="s">
        <v>2604</v>
      </c>
      <c r="N1551" s="14" t="s">
        <v>27</v>
      </c>
      <c r="O1551" s="14" t="s">
        <v>28</v>
      </c>
      <c r="P1551" s="51">
        <v>8</v>
      </c>
      <c r="Q1551" s="47">
        <f t="shared" si="51"/>
        <v>896</v>
      </c>
      <c r="R1551" s="47"/>
      <c r="S1551" s="47"/>
      <c r="T1551" s="47"/>
    </row>
    <row r="1552" customHeight="1" spans="1:20">
      <c r="A1552" s="43">
        <v>82009</v>
      </c>
      <c r="B1552" s="78" t="s">
        <v>2098</v>
      </c>
      <c r="C1552" s="78"/>
      <c r="D1552" s="43">
        <v>1</v>
      </c>
      <c r="E1552" s="78" t="s">
        <v>32</v>
      </c>
      <c r="F1552" s="44">
        <f t="shared" si="50"/>
        <v>2</v>
      </c>
      <c r="G1552" s="123" t="s">
        <v>2099</v>
      </c>
      <c r="H1552" s="46" t="s">
        <v>18</v>
      </c>
      <c r="I1552" s="47"/>
      <c r="J1552" s="48" t="s">
        <v>42</v>
      </c>
      <c r="K1552" s="124">
        <v>82009</v>
      </c>
      <c r="L1552" s="125" t="s">
        <v>25</v>
      </c>
      <c r="M1552" s="125" t="s">
        <v>26</v>
      </c>
      <c r="N1552" s="14" t="s">
        <v>27</v>
      </c>
      <c r="O1552" s="14" t="s">
        <v>28</v>
      </c>
      <c r="P1552" s="51">
        <v>120</v>
      </c>
      <c r="Q1552" s="47">
        <f t="shared" si="51"/>
        <v>240</v>
      </c>
      <c r="R1552" s="47"/>
      <c r="S1552" s="47"/>
      <c r="T1552" s="47"/>
    </row>
    <row r="1553" customHeight="1" spans="1:20">
      <c r="A1553" s="43">
        <v>82014</v>
      </c>
      <c r="B1553" s="78" t="s">
        <v>2605</v>
      </c>
      <c r="C1553" s="78"/>
      <c r="D1553" s="43">
        <v>1</v>
      </c>
      <c r="E1553" s="78" t="s">
        <v>21</v>
      </c>
      <c r="F1553" s="44">
        <f t="shared" si="50"/>
        <v>2</v>
      </c>
      <c r="G1553" s="85" t="s">
        <v>2606</v>
      </c>
      <c r="H1553" s="46" t="s">
        <v>18</v>
      </c>
      <c r="I1553" s="47"/>
      <c r="J1553" s="48" t="s">
        <v>42</v>
      </c>
      <c r="K1553" s="86">
        <v>82014</v>
      </c>
      <c r="L1553" s="87" t="s">
        <v>1053</v>
      </c>
      <c r="M1553" s="87" t="s">
        <v>1054</v>
      </c>
      <c r="N1553" s="14" t="s">
        <v>27</v>
      </c>
      <c r="O1553" s="14" t="s">
        <v>28</v>
      </c>
      <c r="P1553" s="51">
        <v>80</v>
      </c>
      <c r="Q1553" s="47">
        <f t="shared" si="51"/>
        <v>160</v>
      </c>
      <c r="R1553" s="47"/>
      <c r="S1553" s="47"/>
      <c r="T1553" s="47"/>
    </row>
    <row r="1554" s="13" customFormat="1" ht="21" customHeight="1" spans="1:20">
      <c r="A1554" s="52" t="s">
        <v>1009</v>
      </c>
      <c r="B1554" s="53"/>
      <c r="C1554" s="53"/>
      <c r="D1554" s="53"/>
      <c r="E1554" s="53"/>
      <c r="F1554" s="54"/>
      <c r="G1554" s="55"/>
      <c r="H1554" s="56"/>
      <c r="I1554" s="57"/>
      <c r="J1554" s="48"/>
      <c r="K1554" s="58"/>
      <c r="L1554" s="58"/>
      <c r="M1554" s="59"/>
      <c r="P1554" s="60"/>
      <c r="Q1554" s="47">
        <f t="shared" si="51"/>
        <v>0</v>
      </c>
      <c r="R1554" s="57"/>
      <c r="S1554" s="57"/>
      <c r="T1554" s="57"/>
    </row>
    <row r="1555" s="13" customFormat="1" ht="21" customHeight="1" spans="1:20">
      <c r="A1555" s="61" t="s">
        <v>1010</v>
      </c>
      <c r="B1555" s="62"/>
      <c r="C1555" s="62"/>
      <c r="D1555" s="62"/>
      <c r="E1555" s="62"/>
      <c r="F1555" s="63"/>
      <c r="G1555" s="64"/>
      <c r="H1555" s="65"/>
      <c r="I1555" s="66"/>
      <c r="J1555" s="48"/>
      <c r="K1555" s="58"/>
      <c r="L1555" s="58"/>
      <c r="M1555" s="59"/>
      <c r="P1555" s="67"/>
      <c r="Q1555" s="47">
        <f t="shared" si="51"/>
        <v>0</v>
      </c>
      <c r="R1555" s="66"/>
      <c r="S1555" s="66"/>
      <c r="T1555" s="66"/>
    </row>
    <row r="1556" customHeight="1" spans="1:20">
      <c r="A1556" s="191">
        <v>6</v>
      </c>
      <c r="B1556" s="192" t="s">
        <v>2607</v>
      </c>
      <c r="C1556" s="192"/>
      <c r="D1556" s="68">
        <v>1</v>
      </c>
      <c r="E1556" s="30" t="s">
        <v>32</v>
      </c>
      <c r="F1556" s="69"/>
      <c r="G1556" s="70" t="s">
        <v>2608</v>
      </c>
      <c r="H1556" s="46" t="s">
        <v>18</v>
      </c>
      <c r="I1556" s="47"/>
      <c r="J1556" s="48"/>
      <c r="K1556" s="73"/>
      <c r="L1556" s="73"/>
      <c r="M1556" s="74"/>
      <c r="P1556" s="51"/>
      <c r="Q1556" s="47">
        <f t="shared" si="51"/>
        <v>0</v>
      </c>
      <c r="R1556" s="47"/>
      <c r="S1556" s="47"/>
      <c r="T1556" s="47"/>
    </row>
    <row r="1557" customHeight="1" spans="1:20">
      <c r="A1557" s="244" t="s">
        <v>1013</v>
      </c>
      <c r="B1557" s="71" t="s">
        <v>35</v>
      </c>
      <c r="C1557" s="71"/>
      <c r="D1557" s="41">
        <v>56</v>
      </c>
      <c r="E1557" s="71" t="s">
        <v>36</v>
      </c>
      <c r="F1557" s="44"/>
      <c r="G1557" s="72"/>
      <c r="H1557" s="46"/>
      <c r="I1557" s="47"/>
      <c r="J1557" s="48"/>
      <c r="K1557" s="73"/>
      <c r="L1557" s="73"/>
      <c r="M1557" s="74"/>
      <c r="P1557" s="51"/>
      <c r="Q1557" s="47">
        <f t="shared" si="51"/>
        <v>0</v>
      </c>
      <c r="R1557" s="47"/>
      <c r="S1557" s="47"/>
      <c r="T1557" s="47"/>
    </row>
    <row r="1558" customHeight="1" spans="1:20">
      <c r="A1558" s="244" t="s">
        <v>2609</v>
      </c>
      <c r="B1558" s="71" t="s">
        <v>2610</v>
      </c>
      <c r="C1558" s="71"/>
      <c r="D1558" s="41"/>
      <c r="E1558" s="71"/>
      <c r="F1558" s="44"/>
      <c r="G1558" s="178"/>
      <c r="H1558" s="46"/>
      <c r="I1558" s="47"/>
      <c r="J1558" s="48"/>
      <c r="K1558" s="73"/>
      <c r="L1558" s="73"/>
      <c r="M1558" s="74"/>
      <c r="P1558" s="51"/>
      <c r="Q1558" s="47">
        <f t="shared" si="51"/>
        <v>0</v>
      </c>
      <c r="R1558" s="47"/>
      <c r="S1558" s="47"/>
      <c r="T1558" s="47"/>
    </row>
    <row r="1559" customHeight="1" spans="1:20">
      <c r="A1559" s="244" t="s">
        <v>2611</v>
      </c>
      <c r="B1559" s="71" t="s">
        <v>2612</v>
      </c>
      <c r="C1559" s="71"/>
      <c r="D1559" s="41"/>
      <c r="E1559" s="71"/>
      <c r="F1559" s="44"/>
      <c r="G1559" s="178"/>
      <c r="H1559" s="46"/>
      <c r="I1559" s="47"/>
      <c r="J1559" s="48"/>
      <c r="K1559" s="73"/>
      <c r="L1559" s="73"/>
      <c r="M1559" s="74"/>
      <c r="P1559" s="51"/>
      <c r="Q1559" s="47">
        <f t="shared" si="51"/>
        <v>0</v>
      </c>
      <c r="R1559" s="47"/>
      <c r="S1559" s="47"/>
      <c r="T1559" s="47"/>
    </row>
    <row r="1560" customHeight="1" spans="1:20">
      <c r="A1560" s="193" t="s">
        <v>1014</v>
      </c>
      <c r="B1560" s="142" t="s">
        <v>38</v>
      </c>
      <c r="C1560" s="142"/>
      <c r="D1560" s="166"/>
      <c r="E1560" s="167"/>
      <c r="F1560" s="168"/>
      <c r="G1560" s="131"/>
      <c r="H1560" s="46"/>
      <c r="I1560" s="47"/>
      <c r="J1560" s="48"/>
      <c r="K1560" s="73"/>
      <c r="L1560" s="73"/>
      <c r="M1560" s="74"/>
      <c r="P1560" s="51"/>
      <c r="Q1560" s="47">
        <f t="shared" si="51"/>
        <v>0</v>
      </c>
      <c r="R1560" s="47"/>
      <c r="S1560" s="47"/>
      <c r="T1560" s="47">
        <v>2</v>
      </c>
    </row>
    <row r="1561" customHeight="1" spans="1:20">
      <c r="A1561" s="166" t="s">
        <v>49</v>
      </c>
      <c r="B1561" s="129" t="s">
        <v>50</v>
      </c>
      <c r="C1561" s="129"/>
      <c r="D1561" s="166">
        <v>4</v>
      </c>
      <c r="E1561" s="167" t="s">
        <v>32</v>
      </c>
      <c r="F1561" s="44">
        <f t="shared" ref="F1561:F1624" si="52">D1561*1</f>
        <v>4</v>
      </c>
      <c r="G1561" s="82" t="s">
        <v>51</v>
      </c>
      <c r="H1561" s="46" t="s">
        <v>18</v>
      </c>
      <c r="I1561" s="47"/>
      <c r="J1561" s="48" t="s">
        <v>42</v>
      </c>
      <c r="K1561" s="194" t="s">
        <v>49</v>
      </c>
      <c r="L1561" s="195" t="s">
        <v>25</v>
      </c>
      <c r="M1561" s="195" t="s">
        <v>26</v>
      </c>
      <c r="N1561" s="14" t="s">
        <v>27</v>
      </c>
      <c r="O1561" s="14" t="s">
        <v>28</v>
      </c>
      <c r="P1561" s="51">
        <v>6</v>
      </c>
      <c r="Q1561" s="47">
        <f t="shared" si="51"/>
        <v>24</v>
      </c>
      <c r="R1561" s="47"/>
      <c r="S1561" s="47"/>
      <c r="T1561" s="47">
        <v>2002</v>
      </c>
    </row>
    <row r="1562" customHeight="1" spans="1:20">
      <c r="A1562" s="43">
        <v>2020</v>
      </c>
      <c r="B1562" s="78" t="s">
        <v>77</v>
      </c>
      <c r="C1562" s="78"/>
      <c r="D1562" s="43">
        <v>1</v>
      </c>
      <c r="E1562" s="78" t="s">
        <v>78</v>
      </c>
      <c r="F1562" s="44">
        <f t="shared" si="52"/>
        <v>1</v>
      </c>
      <c r="G1562" s="85" t="s">
        <v>2108</v>
      </c>
      <c r="H1562" s="46" t="s">
        <v>18</v>
      </c>
      <c r="I1562" s="47"/>
      <c r="J1562" s="48" t="s">
        <v>42</v>
      </c>
      <c r="K1562" s="196">
        <v>2020</v>
      </c>
      <c r="L1562" s="78" t="s">
        <v>25</v>
      </c>
      <c r="M1562" s="78" t="s">
        <v>26</v>
      </c>
      <c r="N1562" s="14" t="s">
        <v>27</v>
      </c>
      <c r="O1562" s="14" t="s">
        <v>28</v>
      </c>
      <c r="P1562" s="51">
        <v>265</v>
      </c>
      <c r="Q1562" s="47">
        <f t="shared" si="51"/>
        <v>265</v>
      </c>
      <c r="R1562" s="47"/>
      <c r="S1562" s="47"/>
      <c r="T1562" s="47">
        <v>2020</v>
      </c>
    </row>
    <row r="1563" customHeight="1" spans="1:20">
      <c r="A1563" s="166" t="s">
        <v>1040</v>
      </c>
      <c r="B1563" s="129" t="s">
        <v>1041</v>
      </c>
      <c r="C1563" s="129"/>
      <c r="D1563" s="166">
        <f>D1557</f>
        <v>56</v>
      </c>
      <c r="E1563" s="167" t="s">
        <v>21</v>
      </c>
      <c r="F1563" s="44">
        <f t="shared" si="52"/>
        <v>56</v>
      </c>
      <c r="G1563" s="131" t="s">
        <v>2613</v>
      </c>
      <c r="H1563" s="46" t="s">
        <v>18</v>
      </c>
      <c r="I1563" s="47"/>
      <c r="J1563" s="48" t="s">
        <v>42</v>
      </c>
      <c r="K1563" s="154" t="s">
        <v>1040</v>
      </c>
      <c r="L1563" s="129" t="s">
        <v>25</v>
      </c>
      <c r="M1563" s="129" t="s">
        <v>26</v>
      </c>
      <c r="N1563" s="14" t="s">
        <v>27</v>
      </c>
      <c r="O1563" s="14" t="s">
        <v>28</v>
      </c>
      <c r="P1563" s="51">
        <v>2</v>
      </c>
      <c r="Q1563" s="47">
        <f t="shared" si="51"/>
        <v>112</v>
      </c>
      <c r="R1563" s="47"/>
      <c r="S1563" s="47"/>
      <c r="T1563" s="47"/>
    </row>
    <row r="1564" customHeight="1" spans="1:20">
      <c r="A1564" s="166" t="s">
        <v>83</v>
      </c>
      <c r="B1564" s="129" t="s">
        <v>84</v>
      </c>
      <c r="C1564" s="129"/>
      <c r="D1564" s="166">
        <v>8</v>
      </c>
      <c r="E1564" s="167" t="s">
        <v>21</v>
      </c>
      <c r="F1564" s="44">
        <f t="shared" si="52"/>
        <v>8</v>
      </c>
      <c r="G1564" s="85" t="s">
        <v>85</v>
      </c>
      <c r="H1564" s="46" t="s">
        <v>18</v>
      </c>
      <c r="I1564" s="47"/>
      <c r="J1564" s="48" t="s">
        <v>42</v>
      </c>
      <c r="K1564" s="196" t="s">
        <v>83</v>
      </c>
      <c r="L1564" s="78" t="s">
        <v>25</v>
      </c>
      <c r="M1564" s="78" t="s">
        <v>26</v>
      </c>
      <c r="N1564" s="14" t="s">
        <v>27</v>
      </c>
      <c r="O1564" s="14" t="s">
        <v>28</v>
      </c>
      <c r="P1564" s="51">
        <v>55</v>
      </c>
      <c r="Q1564" s="47">
        <f t="shared" si="51"/>
        <v>440</v>
      </c>
      <c r="R1564" s="47"/>
      <c r="S1564" s="47"/>
      <c r="T1564" s="47">
        <v>2060</v>
      </c>
    </row>
    <row r="1565" customHeight="1" spans="1:20">
      <c r="A1565" s="166" t="s">
        <v>1689</v>
      </c>
      <c r="B1565" s="129" t="s">
        <v>1687</v>
      </c>
      <c r="C1565" s="129"/>
      <c r="D1565" s="166">
        <v>1</v>
      </c>
      <c r="E1565" s="167" t="s">
        <v>54</v>
      </c>
      <c r="F1565" s="44">
        <f t="shared" si="52"/>
        <v>1</v>
      </c>
      <c r="G1565" s="85" t="s">
        <v>2109</v>
      </c>
      <c r="H1565" s="46" t="s">
        <v>18</v>
      </c>
      <c r="I1565" s="47"/>
      <c r="J1565" s="48" t="s">
        <v>42</v>
      </c>
      <c r="K1565" s="196" t="s">
        <v>1689</v>
      </c>
      <c r="L1565" s="78" t="s">
        <v>25</v>
      </c>
      <c r="M1565" s="78" t="s">
        <v>26</v>
      </c>
      <c r="N1565" s="14" t="s">
        <v>27</v>
      </c>
      <c r="O1565" s="14" t="s">
        <v>28</v>
      </c>
      <c r="P1565" s="51">
        <v>280</v>
      </c>
      <c r="Q1565" s="47">
        <f t="shared" si="51"/>
        <v>280</v>
      </c>
      <c r="R1565" s="47"/>
      <c r="S1565" s="47"/>
      <c r="T1565" s="47"/>
    </row>
    <row r="1566" customHeight="1" spans="1:20">
      <c r="A1566" s="166" t="s">
        <v>2110</v>
      </c>
      <c r="B1566" s="129" t="s">
        <v>1690</v>
      </c>
      <c r="C1566" s="129"/>
      <c r="D1566" s="166">
        <v>1</v>
      </c>
      <c r="E1566" s="167" t="s">
        <v>54</v>
      </c>
      <c r="F1566" s="44">
        <f t="shared" si="52"/>
        <v>1</v>
      </c>
      <c r="G1566" s="85" t="s">
        <v>2614</v>
      </c>
      <c r="H1566" s="46" t="s">
        <v>18</v>
      </c>
      <c r="I1566" s="47"/>
      <c r="J1566" s="48" t="s">
        <v>42</v>
      </c>
      <c r="K1566" s="196" t="s">
        <v>2110</v>
      </c>
      <c r="L1566" s="78" t="s">
        <v>25</v>
      </c>
      <c r="M1566" s="78" t="s">
        <v>26</v>
      </c>
      <c r="N1566" s="14" t="s">
        <v>27</v>
      </c>
      <c r="O1566" s="14" t="s">
        <v>28</v>
      </c>
      <c r="P1566" s="51">
        <v>48</v>
      </c>
      <c r="Q1566" s="47">
        <f t="shared" si="51"/>
        <v>48</v>
      </c>
      <c r="R1566" s="47"/>
      <c r="S1566" s="47"/>
      <c r="T1566" s="47"/>
    </row>
    <row r="1567" customHeight="1" spans="1:20">
      <c r="A1567" s="166" t="s">
        <v>1694</v>
      </c>
      <c r="B1567" s="129" t="s">
        <v>1692</v>
      </c>
      <c r="C1567" s="129"/>
      <c r="D1567" s="166">
        <v>1</v>
      </c>
      <c r="E1567" s="167" t="s">
        <v>54</v>
      </c>
      <c r="F1567" s="44">
        <f t="shared" si="52"/>
        <v>1</v>
      </c>
      <c r="G1567" s="79" t="s">
        <v>1693</v>
      </c>
      <c r="H1567" s="46" t="s">
        <v>18</v>
      </c>
      <c r="I1567" s="47"/>
      <c r="J1567" s="48" t="s">
        <v>42</v>
      </c>
      <c r="K1567" s="197" t="s">
        <v>1694</v>
      </c>
      <c r="L1567" s="126" t="s">
        <v>25</v>
      </c>
      <c r="M1567" s="126" t="s">
        <v>26</v>
      </c>
      <c r="N1567" s="14" t="s">
        <v>27</v>
      </c>
      <c r="O1567" s="14" t="s">
        <v>28</v>
      </c>
      <c r="P1567" s="51">
        <v>150</v>
      </c>
      <c r="Q1567" s="47">
        <f t="shared" si="51"/>
        <v>150</v>
      </c>
      <c r="R1567" s="47"/>
      <c r="S1567" s="47"/>
      <c r="T1567" s="47"/>
    </row>
    <row r="1568" customHeight="1" spans="1:20">
      <c r="A1568" s="166" t="s">
        <v>86</v>
      </c>
      <c r="B1568" s="129" t="s">
        <v>87</v>
      </c>
      <c r="C1568" s="129"/>
      <c r="D1568" s="166">
        <v>3</v>
      </c>
      <c r="E1568" s="167" t="s">
        <v>21</v>
      </c>
      <c r="F1568" s="44">
        <f t="shared" si="52"/>
        <v>3</v>
      </c>
      <c r="G1568" s="82" t="s">
        <v>88</v>
      </c>
      <c r="H1568" s="46" t="s">
        <v>18</v>
      </c>
      <c r="I1568" s="47"/>
      <c r="J1568" s="48" t="s">
        <v>42</v>
      </c>
      <c r="K1568" s="194" t="s">
        <v>86</v>
      </c>
      <c r="L1568" s="195" t="s">
        <v>89</v>
      </c>
      <c r="M1568" s="195" t="s">
        <v>90</v>
      </c>
      <c r="N1568" s="14" t="s">
        <v>27</v>
      </c>
      <c r="O1568" s="14" t="s">
        <v>28</v>
      </c>
      <c r="P1568" s="51">
        <v>48</v>
      </c>
      <c r="Q1568" s="47">
        <f t="shared" si="51"/>
        <v>144</v>
      </c>
      <c r="R1568" s="47"/>
      <c r="S1568" s="47"/>
      <c r="T1568" s="47">
        <v>2075</v>
      </c>
    </row>
    <row r="1569" customHeight="1" spans="1:20">
      <c r="A1569" s="166" t="s">
        <v>2615</v>
      </c>
      <c r="B1569" s="129" t="s">
        <v>2616</v>
      </c>
      <c r="C1569" s="129"/>
      <c r="D1569" s="166">
        <v>4</v>
      </c>
      <c r="E1569" s="167" t="s">
        <v>21</v>
      </c>
      <c r="F1569" s="44">
        <f t="shared" si="52"/>
        <v>4</v>
      </c>
      <c r="G1569" s="85" t="s">
        <v>2617</v>
      </c>
      <c r="H1569" s="46" t="s">
        <v>18</v>
      </c>
      <c r="I1569" s="47"/>
      <c r="J1569" s="48" t="s">
        <v>42</v>
      </c>
      <c r="K1569" s="196" t="s">
        <v>2615</v>
      </c>
      <c r="L1569" s="78" t="s">
        <v>25</v>
      </c>
      <c r="M1569" s="78" t="s">
        <v>26</v>
      </c>
      <c r="N1569" s="14" t="s">
        <v>27</v>
      </c>
      <c r="O1569" s="14" t="s">
        <v>28</v>
      </c>
      <c r="P1569" s="51">
        <v>65</v>
      </c>
      <c r="Q1569" s="47">
        <f t="shared" si="51"/>
        <v>260</v>
      </c>
      <c r="R1569" s="47"/>
      <c r="S1569" s="47"/>
      <c r="T1569" s="47"/>
    </row>
    <row r="1570" s="14" customFormat="1" customHeight="1" spans="1:20">
      <c r="A1570" s="166" t="s">
        <v>2413</v>
      </c>
      <c r="B1570" s="78" t="s">
        <v>2414</v>
      </c>
      <c r="C1570" s="78"/>
      <c r="D1570" s="166">
        <v>1</v>
      </c>
      <c r="E1570" s="167" t="s">
        <v>21</v>
      </c>
      <c r="F1570" s="44">
        <f t="shared" si="52"/>
        <v>1</v>
      </c>
      <c r="G1570" s="85" t="s">
        <v>2415</v>
      </c>
      <c r="H1570" s="46" t="s">
        <v>18</v>
      </c>
      <c r="I1570" s="47"/>
      <c r="J1570" s="48" t="s">
        <v>42</v>
      </c>
      <c r="K1570" s="196" t="s">
        <v>2413</v>
      </c>
      <c r="L1570" s="78" t="s">
        <v>2416</v>
      </c>
      <c r="M1570" s="78" t="s">
        <v>2417</v>
      </c>
      <c r="N1570" s="14" t="s">
        <v>27</v>
      </c>
      <c r="O1570" s="14" t="s">
        <v>28</v>
      </c>
      <c r="P1570" s="51">
        <v>260</v>
      </c>
      <c r="Q1570" s="47">
        <f t="shared" si="51"/>
        <v>260</v>
      </c>
      <c r="R1570" s="47"/>
      <c r="S1570" s="47"/>
      <c r="T1570" s="47"/>
    </row>
    <row r="1571" customHeight="1" spans="1:20">
      <c r="A1571" s="166" t="s">
        <v>2413</v>
      </c>
      <c r="B1571" s="129" t="s">
        <v>2418</v>
      </c>
      <c r="C1571" s="129"/>
      <c r="D1571" s="166">
        <v>1</v>
      </c>
      <c r="E1571" s="167" t="s">
        <v>21</v>
      </c>
      <c r="F1571" s="44">
        <f t="shared" si="52"/>
        <v>1</v>
      </c>
      <c r="G1571" s="85" t="s">
        <v>2419</v>
      </c>
      <c r="H1571" s="46" t="s">
        <v>18</v>
      </c>
      <c r="I1571" s="47"/>
      <c r="J1571" s="48" t="s">
        <v>42</v>
      </c>
      <c r="K1571" s="196" t="s">
        <v>2413</v>
      </c>
      <c r="L1571" s="78" t="s">
        <v>2416</v>
      </c>
      <c r="M1571" s="78" t="s">
        <v>2417</v>
      </c>
      <c r="N1571" s="14" t="s">
        <v>27</v>
      </c>
      <c r="O1571" s="14" t="s">
        <v>28</v>
      </c>
      <c r="P1571" s="51">
        <v>900</v>
      </c>
      <c r="Q1571" s="47">
        <f t="shared" si="51"/>
        <v>900</v>
      </c>
      <c r="R1571" s="47"/>
      <c r="S1571" s="47"/>
      <c r="T1571" s="47"/>
    </row>
    <row r="1572" customHeight="1" spans="1:20">
      <c r="A1572" s="170" t="s">
        <v>1702</v>
      </c>
      <c r="B1572" s="78" t="s">
        <v>1700</v>
      </c>
      <c r="C1572" s="78"/>
      <c r="D1572" s="170">
        <v>1</v>
      </c>
      <c r="E1572" s="171" t="s">
        <v>54</v>
      </c>
      <c r="F1572" s="44">
        <f t="shared" si="52"/>
        <v>1</v>
      </c>
      <c r="G1572" s="85" t="s">
        <v>2618</v>
      </c>
      <c r="H1572" s="46" t="s">
        <v>18</v>
      </c>
      <c r="I1572" s="47"/>
      <c r="J1572" s="48" t="s">
        <v>42</v>
      </c>
      <c r="K1572" s="196" t="s">
        <v>1702</v>
      </c>
      <c r="L1572" s="78" t="s">
        <v>25</v>
      </c>
      <c r="M1572" s="78" t="s">
        <v>26</v>
      </c>
      <c r="N1572" s="14" t="s">
        <v>27</v>
      </c>
      <c r="O1572" s="14" t="s">
        <v>28</v>
      </c>
      <c r="P1572" s="51">
        <v>350</v>
      </c>
      <c r="Q1572" s="47">
        <f t="shared" si="51"/>
        <v>350</v>
      </c>
      <c r="R1572" s="47"/>
      <c r="S1572" s="47"/>
      <c r="T1572" s="47"/>
    </row>
    <row r="1573" customHeight="1" spans="1:20">
      <c r="A1573" s="170" t="s">
        <v>2422</v>
      </c>
      <c r="B1573" s="78" t="s">
        <v>2619</v>
      </c>
      <c r="C1573" s="78"/>
      <c r="D1573" s="170">
        <v>1</v>
      </c>
      <c r="E1573" s="171" t="s">
        <v>54</v>
      </c>
      <c r="F1573" s="44">
        <f t="shared" si="52"/>
        <v>1</v>
      </c>
      <c r="G1573" s="85" t="s">
        <v>2620</v>
      </c>
      <c r="H1573" s="46" t="s">
        <v>18</v>
      </c>
      <c r="I1573" s="47"/>
      <c r="J1573" s="48" t="s">
        <v>42</v>
      </c>
      <c r="K1573" s="196" t="s">
        <v>2422</v>
      </c>
      <c r="L1573" s="78" t="s">
        <v>25</v>
      </c>
      <c r="M1573" s="78" t="s">
        <v>26</v>
      </c>
      <c r="N1573" s="14" t="s">
        <v>27</v>
      </c>
      <c r="O1573" s="14" t="s">
        <v>28</v>
      </c>
      <c r="P1573" s="51">
        <v>180</v>
      </c>
      <c r="Q1573" s="47">
        <f t="shared" si="51"/>
        <v>180</v>
      </c>
      <c r="R1573" s="47"/>
      <c r="S1573" s="47"/>
      <c r="T1573" s="47"/>
    </row>
    <row r="1574" customHeight="1" spans="1:20">
      <c r="A1574" s="170" t="s">
        <v>1709</v>
      </c>
      <c r="B1574" s="78" t="s">
        <v>1707</v>
      </c>
      <c r="C1574" s="78"/>
      <c r="D1574" s="170">
        <v>1</v>
      </c>
      <c r="E1574" s="171" t="s">
        <v>54</v>
      </c>
      <c r="F1574" s="44">
        <f t="shared" si="52"/>
        <v>1</v>
      </c>
      <c r="G1574" s="85" t="s">
        <v>1708</v>
      </c>
      <c r="H1574" s="46" t="s">
        <v>18</v>
      </c>
      <c r="I1574" s="47"/>
      <c r="J1574" s="48" t="s">
        <v>42</v>
      </c>
      <c r="K1574" s="196" t="s">
        <v>1709</v>
      </c>
      <c r="L1574" s="78" t="s">
        <v>25</v>
      </c>
      <c r="M1574" s="78" t="s">
        <v>26</v>
      </c>
      <c r="N1574" s="14" t="s">
        <v>27</v>
      </c>
      <c r="O1574" s="14" t="s">
        <v>28</v>
      </c>
      <c r="P1574" s="51">
        <v>750</v>
      </c>
      <c r="Q1574" s="47">
        <f t="shared" si="51"/>
        <v>750</v>
      </c>
      <c r="R1574" s="47"/>
      <c r="S1574" s="47"/>
      <c r="T1574" s="47"/>
    </row>
    <row r="1575" customHeight="1" spans="1:20">
      <c r="A1575" s="170" t="s">
        <v>2621</v>
      </c>
      <c r="B1575" s="78" t="s">
        <v>1710</v>
      </c>
      <c r="C1575" s="78"/>
      <c r="D1575" s="170">
        <v>1</v>
      </c>
      <c r="E1575" s="171" t="s">
        <v>54</v>
      </c>
      <c r="F1575" s="44">
        <f t="shared" si="52"/>
        <v>1</v>
      </c>
      <c r="G1575" s="85" t="s">
        <v>2622</v>
      </c>
      <c r="H1575" s="46" t="s">
        <v>18</v>
      </c>
      <c r="I1575" s="47"/>
      <c r="J1575" s="48" t="s">
        <v>42</v>
      </c>
      <c r="K1575" s="196" t="s">
        <v>2623</v>
      </c>
      <c r="L1575" s="78" t="s">
        <v>2624</v>
      </c>
      <c r="M1575" s="78" t="s">
        <v>2625</v>
      </c>
      <c r="N1575" s="14" t="s">
        <v>27</v>
      </c>
      <c r="O1575" s="14" t="s">
        <v>28</v>
      </c>
      <c r="P1575" s="51">
        <v>2000</v>
      </c>
      <c r="Q1575" s="47">
        <f t="shared" si="51"/>
        <v>2000</v>
      </c>
      <c r="R1575" s="47"/>
      <c r="S1575" s="47"/>
      <c r="T1575" s="47"/>
    </row>
    <row r="1576" customHeight="1" spans="1:20">
      <c r="A1576" s="43" t="s">
        <v>2426</v>
      </c>
      <c r="B1576" s="78" t="s">
        <v>2424</v>
      </c>
      <c r="C1576" s="78"/>
      <c r="D1576" s="43">
        <v>1</v>
      </c>
      <c r="E1576" s="78" t="s">
        <v>54</v>
      </c>
      <c r="F1576" s="44">
        <f t="shared" si="52"/>
        <v>1</v>
      </c>
      <c r="G1576" s="85" t="s">
        <v>2626</v>
      </c>
      <c r="H1576" s="46" t="s">
        <v>18</v>
      </c>
      <c r="I1576" s="47"/>
      <c r="J1576" s="48" t="s">
        <v>42</v>
      </c>
      <c r="K1576" s="196" t="s">
        <v>2426</v>
      </c>
      <c r="L1576" s="78" t="s">
        <v>25</v>
      </c>
      <c r="M1576" s="78" t="s">
        <v>26</v>
      </c>
      <c r="N1576" s="14" t="s">
        <v>27</v>
      </c>
      <c r="O1576" s="14" t="s">
        <v>28</v>
      </c>
      <c r="P1576" s="51">
        <v>750</v>
      </c>
      <c r="Q1576" s="47">
        <f t="shared" si="51"/>
        <v>750</v>
      </c>
      <c r="R1576" s="47"/>
      <c r="S1576" s="47"/>
      <c r="T1576" s="47"/>
    </row>
    <row r="1577" customHeight="1" spans="1:20">
      <c r="A1577" s="43" t="s">
        <v>2429</v>
      </c>
      <c r="B1577" s="78" t="s">
        <v>2427</v>
      </c>
      <c r="C1577" s="78"/>
      <c r="D1577" s="43">
        <v>1</v>
      </c>
      <c r="E1577" s="78" t="s">
        <v>54</v>
      </c>
      <c r="F1577" s="44">
        <f t="shared" si="52"/>
        <v>1</v>
      </c>
      <c r="G1577" s="85" t="s">
        <v>2428</v>
      </c>
      <c r="H1577" s="46" t="s">
        <v>18</v>
      </c>
      <c r="I1577" s="47"/>
      <c r="J1577" s="48" t="s">
        <v>42</v>
      </c>
      <c r="K1577" s="196" t="s">
        <v>2429</v>
      </c>
      <c r="L1577" s="78" t="s">
        <v>25</v>
      </c>
      <c r="M1577" s="78" t="s">
        <v>26</v>
      </c>
      <c r="N1577" s="14" t="s">
        <v>27</v>
      </c>
      <c r="O1577" s="14" t="s">
        <v>28</v>
      </c>
      <c r="P1577" s="51">
        <v>2400</v>
      </c>
      <c r="Q1577" s="47">
        <f t="shared" si="51"/>
        <v>2400</v>
      </c>
      <c r="R1577" s="47"/>
      <c r="S1577" s="47"/>
      <c r="T1577" s="47"/>
    </row>
    <row r="1578" customHeight="1" spans="1:20">
      <c r="A1578" s="43" t="s">
        <v>2433</v>
      </c>
      <c r="B1578" s="78" t="s">
        <v>2430</v>
      </c>
      <c r="C1578" s="78"/>
      <c r="D1578" s="43">
        <v>1</v>
      </c>
      <c r="E1578" s="78" t="s">
        <v>54</v>
      </c>
      <c r="F1578" s="44">
        <f t="shared" si="52"/>
        <v>1</v>
      </c>
      <c r="G1578" s="85" t="s">
        <v>2627</v>
      </c>
      <c r="H1578" s="46" t="s">
        <v>18</v>
      </c>
      <c r="I1578" s="47"/>
      <c r="J1578" s="48" t="s">
        <v>2432</v>
      </c>
      <c r="K1578" s="196" t="s">
        <v>2433</v>
      </c>
      <c r="L1578" s="78" t="s">
        <v>25</v>
      </c>
      <c r="M1578" s="78" t="s">
        <v>26</v>
      </c>
      <c r="N1578" s="14" t="s">
        <v>27</v>
      </c>
      <c r="O1578" s="14" t="s">
        <v>28</v>
      </c>
      <c r="P1578" s="51">
        <v>2200</v>
      </c>
      <c r="Q1578" s="47">
        <f t="shared" si="51"/>
        <v>2200</v>
      </c>
      <c r="R1578" s="47"/>
      <c r="S1578" s="47"/>
      <c r="T1578" s="47"/>
    </row>
    <row r="1579" customHeight="1" spans="1:20">
      <c r="A1579" s="170" t="s">
        <v>2628</v>
      </c>
      <c r="B1579" s="78" t="s">
        <v>2629</v>
      </c>
      <c r="C1579" s="78"/>
      <c r="D1579" s="166">
        <f>D1557/2</f>
        <v>28</v>
      </c>
      <c r="E1579" s="171" t="s">
        <v>221</v>
      </c>
      <c r="F1579" s="44">
        <f t="shared" si="52"/>
        <v>28</v>
      </c>
      <c r="G1579" s="85" t="s">
        <v>2630</v>
      </c>
      <c r="H1579" s="46" t="s">
        <v>18</v>
      </c>
      <c r="I1579" s="47"/>
      <c r="J1579" s="48" t="s">
        <v>42</v>
      </c>
      <c r="K1579" s="196" t="s">
        <v>2628</v>
      </c>
      <c r="L1579" s="78" t="s">
        <v>25</v>
      </c>
      <c r="M1579" s="78" t="s">
        <v>26</v>
      </c>
      <c r="N1579" s="14" t="s">
        <v>27</v>
      </c>
      <c r="O1579" s="14" t="s">
        <v>28</v>
      </c>
      <c r="P1579" s="51">
        <v>85</v>
      </c>
      <c r="Q1579" s="47">
        <f t="shared" si="51"/>
        <v>2380</v>
      </c>
      <c r="R1579" s="47"/>
      <c r="S1579" s="47"/>
      <c r="T1579" s="47"/>
    </row>
    <row r="1580" customHeight="1" spans="1:20">
      <c r="A1580" s="170" t="s">
        <v>1050</v>
      </c>
      <c r="B1580" s="78" t="s">
        <v>1051</v>
      </c>
      <c r="C1580" s="78"/>
      <c r="D1580" s="166">
        <v>13</v>
      </c>
      <c r="E1580" s="171" t="s">
        <v>21</v>
      </c>
      <c r="F1580" s="44">
        <f t="shared" si="52"/>
        <v>13</v>
      </c>
      <c r="G1580" s="85" t="s">
        <v>1052</v>
      </c>
      <c r="H1580" s="46" t="s">
        <v>18</v>
      </c>
      <c r="I1580" s="47"/>
      <c r="J1580" s="48" t="s">
        <v>42</v>
      </c>
      <c r="K1580" s="196" t="s">
        <v>1050</v>
      </c>
      <c r="L1580" s="78" t="s">
        <v>1053</v>
      </c>
      <c r="M1580" s="78" t="s">
        <v>1054</v>
      </c>
      <c r="N1580" s="14" t="s">
        <v>27</v>
      </c>
      <c r="O1580" s="14" t="s">
        <v>28</v>
      </c>
      <c r="P1580" s="51">
        <v>17</v>
      </c>
      <c r="Q1580" s="47">
        <f t="shared" si="51"/>
        <v>221</v>
      </c>
      <c r="R1580" s="47"/>
      <c r="S1580" s="47"/>
      <c r="T1580" s="47"/>
    </row>
    <row r="1581" customHeight="1" spans="1:20">
      <c r="A1581" s="166" t="s">
        <v>2438</v>
      </c>
      <c r="B1581" s="129" t="s">
        <v>2436</v>
      </c>
      <c r="C1581" s="129"/>
      <c r="D1581" s="166">
        <v>10</v>
      </c>
      <c r="E1581" s="167" t="s">
        <v>21</v>
      </c>
      <c r="F1581" s="44">
        <f t="shared" si="52"/>
        <v>10</v>
      </c>
      <c r="G1581" s="85" t="s">
        <v>2631</v>
      </c>
      <c r="H1581" s="46" t="s">
        <v>18</v>
      </c>
      <c r="I1581" s="47"/>
      <c r="J1581" s="48" t="s">
        <v>42</v>
      </c>
      <c r="K1581" s="196" t="s">
        <v>2438</v>
      </c>
      <c r="L1581" s="78" t="s">
        <v>25</v>
      </c>
      <c r="M1581" s="78" t="s">
        <v>26</v>
      </c>
      <c r="N1581" s="14" t="s">
        <v>27</v>
      </c>
      <c r="O1581" s="14" t="s">
        <v>28</v>
      </c>
      <c r="P1581" s="51">
        <v>45</v>
      </c>
      <c r="Q1581" s="47">
        <f t="shared" si="51"/>
        <v>450</v>
      </c>
      <c r="R1581" s="47"/>
      <c r="S1581" s="47"/>
      <c r="T1581" s="47"/>
    </row>
    <row r="1582" customHeight="1" spans="1:20">
      <c r="A1582" s="166" t="s">
        <v>2632</v>
      </c>
      <c r="B1582" s="129" t="s">
        <v>2633</v>
      </c>
      <c r="C1582" s="129"/>
      <c r="D1582" s="166">
        <v>5</v>
      </c>
      <c r="E1582" s="167" t="s">
        <v>21</v>
      </c>
      <c r="F1582" s="44">
        <f t="shared" si="52"/>
        <v>5</v>
      </c>
      <c r="G1582" s="85" t="s">
        <v>2634</v>
      </c>
      <c r="H1582" s="46" t="s">
        <v>18</v>
      </c>
      <c r="I1582" s="47"/>
      <c r="J1582" s="48" t="s">
        <v>42</v>
      </c>
      <c r="K1582" s="196" t="s">
        <v>2632</v>
      </c>
      <c r="L1582" s="78" t="s">
        <v>2635</v>
      </c>
      <c r="M1582" s="78" t="s">
        <v>2636</v>
      </c>
      <c r="N1582" s="14" t="s">
        <v>27</v>
      </c>
      <c r="O1582" s="14" t="s">
        <v>28</v>
      </c>
      <c r="P1582" s="51">
        <v>36</v>
      </c>
      <c r="Q1582" s="47">
        <f t="shared" si="51"/>
        <v>180</v>
      </c>
      <c r="R1582" s="47"/>
      <c r="S1582" s="47"/>
      <c r="T1582" s="47"/>
    </row>
    <row r="1583" customHeight="1" spans="1:20">
      <c r="A1583" s="166" t="s">
        <v>2637</v>
      </c>
      <c r="B1583" s="129" t="s">
        <v>2638</v>
      </c>
      <c r="C1583" s="129"/>
      <c r="D1583" s="166">
        <v>2</v>
      </c>
      <c r="E1583" s="167" t="s">
        <v>32</v>
      </c>
      <c r="F1583" s="44">
        <f t="shared" si="52"/>
        <v>2</v>
      </c>
      <c r="G1583" s="85" t="s">
        <v>2639</v>
      </c>
      <c r="H1583" s="46" t="s">
        <v>18</v>
      </c>
      <c r="I1583" s="47"/>
      <c r="J1583" s="48" t="s">
        <v>42</v>
      </c>
      <c r="K1583" s="196" t="s">
        <v>2637</v>
      </c>
      <c r="L1583" s="78" t="s">
        <v>2640</v>
      </c>
      <c r="M1583" s="78" t="s">
        <v>2641</v>
      </c>
      <c r="N1583" s="14" t="s">
        <v>27</v>
      </c>
      <c r="O1583" s="14" t="s">
        <v>28</v>
      </c>
      <c r="P1583" s="51">
        <v>260</v>
      </c>
      <c r="Q1583" s="47">
        <f t="shared" si="51"/>
        <v>520</v>
      </c>
      <c r="R1583" s="47"/>
      <c r="S1583" s="47"/>
      <c r="T1583" s="47"/>
    </row>
    <row r="1584" customHeight="1" spans="1:20">
      <c r="A1584" s="193" t="s">
        <v>1061</v>
      </c>
      <c r="B1584" s="142" t="s">
        <v>104</v>
      </c>
      <c r="C1584" s="142"/>
      <c r="D1584" s="166"/>
      <c r="E1584" s="167"/>
      <c r="F1584" s="44">
        <f t="shared" si="52"/>
        <v>0</v>
      </c>
      <c r="G1584" s="131"/>
      <c r="H1584" s="46"/>
      <c r="I1584" s="47"/>
      <c r="J1584" s="48"/>
      <c r="K1584" s="154"/>
      <c r="L1584" s="129"/>
      <c r="M1584" s="129"/>
      <c r="O1584" s="14" t="s">
        <v>28</v>
      </c>
      <c r="P1584" s="51"/>
      <c r="Q1584" s="47">
        <f t="shared" si="51"/>
        <v>0</v>
      </c>
      <c r="R1584" s="47"/>
      <c r="S1584" s="47"/>
      <c r="T1584" s="47">
        <v>3</v>
      </c>
    </row>
    <row r="1585" customHeight="1" spans="1:20">
      <c r="A1585" s="170" t="s">
        <v>108</v>
      </c>
      <c r="B1585" s="78" t="s">
        <v>109</v>
      </c>
      <c r="C1585" s="78"/>
      <c r="D1585" s="170">
        <v>15</v>
      </c>
      <c r="E1585" s="171" t="s">
        <v>32</v>
      </c>
      <c r="F1585" s="44">
        <f t="shared" si="52"/>
        <v>15</v>
      </c>
      <c r="G1585" s="85" t="s">
        <v>110</v>
      </c>
      <c r="H1585" s="46" t="s">
        <v>18</v>
      </c>
      <c r="I1585" s="47"/>
      <c r="J1585" s="48" t="s">
        <v>42</v>
      </c>
      <c r="K1585" s="196" t="s">
        <v>108</v>
      </c>
      <c r="L1585" s="78" t="s">
        <v>25</v>
      </c>
      <c r="M1585" s="78" t="s">
        <v>26</v>
      </c>
      <c r="N1585" s="14" t="s">
        <v>27</v>
      </c>
      <c r="O1585" s="14" t="s">
        <v>28</v>
      </c>
      <c r="P1585" s="51">
        <v>36</v>
      </c>
      <c r="Q1585" s="47">
        <f t="shared" si="51"/>
        <v>540</v>
      </c>
      <c r="R1585" s="47"/>
      <c r="S1585" s="47"/>
      <c r="T1585" s="47">
        <v>3002</v>
      </c>
    </row>
    <row r="1586" customHeight="1" spans="1:20">
      <c r="A1586" s="170" t="s">
        <v>117</v>
      </c>
      <c r="B1586" s="78" t="s">
        <v>118</v>
      </c>
      <c r="C1586" s="78"/>
      <c r="D1586" s="166">
        <f>D1557/2</f>
        <v>28</v>
      </c>
      <c r="E1586" s="171" t="s">
        <v>21</v>
      </c>
      <c r="F1586" s="44">
        <f t="shared" si="52"/>
        <v>28</v>
      </c>
      <c r="G1586" s="91" t="s">
        <v>1062</v>
      </c>
      <c r="H1586" s="46" t="s">
        <v>18</v>
      </c>
      <c r="I1586" s="47"/>
      <c r="J1586" s="48" t="s">
        <v>42</v>
      </c>
      <c r="K1586" s="198" t="s">
        <v>117</v>
      </c>
      <c r="L1586" s="135" t="s">
        <v>25</v>
      </c>
      <c r="M1586" s="135" t="s">
        <v>26</v>
      </c>
      <c r="N1586" s="14" t="s">
        <v>27</v>
      </c>
      <c r="O1586" s="14" t="s">
        <v>28</v>
      </c>
      <c r="P1586" s="51">
        <v>5</v>
      </c>
      <c r="Q1586" s="47">
        <f t="shared" si="51"/>
        <v>140</v>
      </c>
      <c r="R1586" s="47"/>
      <c r="S1586" s="47"/>
      <c r="T1586" s="47">
        <v>3006</v>
      </c>
    </row>
    <row r="1587" customHeight="1" spans="1:20">
      <c r="A1587" s="166" t="s">
        <v>1751</v>
      </c>
      <c r="B1587" s="129" t="s">
        <v>1749</v>
      </c>
      <c r="C1587" s="129"/>
      <c r="D1587" s="166">
        <f>D1557/2</f>
        <v>28</v>
      </c>
      <c r="E1587" s="167" t="s">
        <v>21</v>
      </c>
      <c r="F1587" s="44">
        <f t="shared" si="52"/>
        <v>28</v>
      </c>
      <c r="G1587" s="85" t="s">
        <v>2642</v>
      </c>
      <c r="H1587" s="46" t="s">
        <v>18</v>
      </c>
      <c r="I1587" s="47"/>
      <c r="J1587" s="48" t="s">
        <v>42</v>
      </c>
      <c r="K1587" s="196" t="s">
        <v>1751</v>
      </c>
      <c r="L1587" s="78" t="s">
        <v>25</v>
      </c>
      <c r="M1587" s="78" t="s">
        <v>26</v>
      </c>
      <c r="N1587" s="14" t="s">
        <v>27</v>
      </c>
      <c r="O1587" s="14" t="s">
        <v>28</v>
      </c>
      <c r="P1587" s="51">
        <v>40</v>
      </c>
      <c r="Q1587" s="47">
        <f t="shared" si="51"/>
        <v>1120</v>
      </c>
      <c r="R1587" s="47"/>
      <c r="S1587" s="47"/>
      <c r="T1587" s="47"/>
    </row>
    <row r="1588" customHeight="1" spans="1:20">
      <c r="A1588" s="75" t="s">
        <v>37</v>
      </c>
      <c r="B1588" s="142" t="s">
        <v>158</v>
      </c>
      <c r="C1588" s="142"/>
      <c r="D1588" s="166"/>
      <c r="E1588" s="167"/>
      <c r="F1588" s="44">
        <f t="shared" si="52"/>
        <v>0</v>
      </c>
      <c r="G1588" s="85"/>
      <c r="H1588" s="46"/>
      <c r="I1588" s="47"/>
      <c r="J1588" s="48"/>
      <c r="K1588" s="196"/>
      <c r="L1588" s="78"/>
      <c r="M1588" s="78"/>
      <c r="O1588" s="14" t="s">
        <v>28</v>
      </c>
      <c r="P1588" s="51"/>
      <c r="Q1588" s="47">
        <f t="shared" si="51"/>
        <v>0</v>
      </c>
      <c r="R1588" s="47"/>
      <c r="S1588" s="47"/>
      <c r="T1588" s="47">
        <v>1</v>
      </c>
    </row>
    <row r="1589" customHeight="1" spans="1:20">
      <c r="A1589" s="193">
        <v>10</v>
      </c>
      <c r="B1589" s="142" t="s">
        <v>159</v>
      </c>
      <c r="C1589" s="142"/>
      <c r="D1589" s="166"/>
      <c r="E1589" s="167"/>
      <c r="F1589" s="44">
        <f t="shared" si="52"/>
        <v>0</v>
      </c>
      <c r="G1589" s="131"/>
      <c r="H1589" s="46"/>
      <c r="I1589" s="47"/>
      <c r="J1589" s="48"/>
      <c r="K1589" s="154"/>
      <c r="L1589" s="129"/>
      <c r="M1589" s="129"/>
      <c r="O1589" s="14" t="s">
        <v>28</v>
      </c>
      <c r="P1589" s="51"/>
      <c r="Q1589" s="47">
        <f t="shared" si="51"/>
        <v>0</v>
      </c>
      <c r="R1589" s="47"/>
      <c r="S1589" s="47"/>
      <c r="T1589" s="47">
        <v>10</v>
      </c>
    </row>
    <row r="1590" customHeight="1" spans="1:20">
      <c r="A1590" s="166">
        <v>10006</v>
      </c>
      <c r="B1590" s="129" t="s">
        <v>2643</v>
      </c>
      <c r="C1590" s="129"/>
      <c r="D1590" s="166">
        <f>D1557/2</f>
        <v>28</v>
      </c>
      <c r="E1590" s="167" t="s">
        <v>172</v>
      </c>
      <c r="F1590" s="44">
        <f t="shared" si="52"/>
        <v>28</v>
      </c>
      <c r="G1590" s="85" t="s">
        <v>2644</v>
      </c>
      <c r="H1590" s="46" t="s">
        <v>18</v>
      </c>
      <c r="I1590" s="47"/>
      <c r="J1590" s="48" t="s">
        <v>42</v>
      </c>
      <c r="K1590" s="196">
        <v>10006</v>
      </c>
      <c r="L1590" s="78" t="s">
        <v>25</v>
      </c>
      <c r="M1590" s="78" t="s">
        <v>26</v>
      </c>
      <c r="N1590" s="14" t="s">
        <v>27</v>
      </c>
      <c r="O1590" s="14" t="s">
        <v>28</v>
      </c>
      <c r="P1590" s="51">
        <v>1.5</v>
      </c>
      <c r="Q1590" s="47">
        <f t="shared" si="51"/>
        <v>42</v>
      </c>
      <c r="R1590" s="47"/>
      <c r="S1590" s="47"/>
      <c r="T1590" s="47"/>
    </row>
    <row r="1591" customHeight="1" spans="1:20">
      <c r="A1591" s="166">
        <v>10015</v>
      </c>
      <c r="B1591" s="129" t="s">
        <v>2645</v>
      </c>
      <c r="C1591" s="129"/>
      <c r="D1591" s="166">
        <v>8</v>
      </c>
      <c r="E1591" s="167" t="s">
        <v>21</v>
      </c>
      <c r="F1591" s="44">
        <f t="shared" si="52"/>
        <v>8</v>
      </c>
      <c r="G1591" s="85" t="s">
        <v>2646</v>
      </c>
      <c r="H1591" s="46" t="s">
        <v>18</v>
      </c>
      <c r="I1591" s="47"/>
      <c r="J1591" s="48" t="s">
        <v>42</v>
      </c>
      <c r="K1591" s="196">
        <v>10015</v>
      </c>
      <c r="L1591" s="78" t="s">
        <v>25</v>
      </c>
      <c r="M1591" s="78" t="s">
        <v>26</v>
      </c>
      <c r="N1591" s="14" t="s">
        <v>27</v>
      </c>
      <c r="O1591" s="14" t="s">
        <v>28</v>
      </c>
      <c r="P1591" s="51">
        <v>20</v>
      </c>
      <c r="Q1591" s="47">
        <f t="shared" si="51"/>
        <v>160</v>
      </c>
      <c r="R1591" s="47"/>
      <c r="S1591" s="47"/>
      <c r="T1591" s="47"/>
    </row>
    <row r="1592" customHeight="1" spans="1:20">
      <c r="A1592" s="193">
        <v>11</v>
      </c>
      <c r="B1592" s="142" t="s">
        <v>181</v>
      </c>
      <c r="C1592" s="142"/>
      <c r="D1592" s="166"/>
      <c r="E1592" s="167"/>
      <c r="F1592" s="44">
        <f t="shared" si="52"/>
        <v>0</v>
      </c>
      <c r="G1592" s="131"/>
      <c r="H1592" s="46"/>
      <c r="I1592" s="47"/>
      <c r="J1592" s="48"/>
      <c r="K1592" s="154"/>
      <c r="L1592" s="129"/>
      <c r="M1592" s="129"/>
      <c r="O1592" s="14" t="s">
        <v>28</v>
      </c>
      <c r="P1592" s="51"/>
      <c r="Q1592" s="47">
        <f t="shared" si="51"/>
        <v>0</v>
      </c>
      <c r="R1592" s="47"/>
      <c r="S1592" s="47"/>
      <c r="T1592" s="47">
        <v>11</v>
      </c>
    </row>
    <row r="1593" customHeight="1" spans="1:20">
      <c r="A1593" s="166" t="s">
        <v>1102</v>
      </c>
      <c r="B1593" s="129" t="s">
        <v>186</v>
      </c>
      <c r="C1593" s="129"/>
      <c r="D1593" s="166">
        <v>8</v>
      </c>
      <c r="E1593" s="167" t="s">
        <v>54</v>
      </c>
      <c r="F1593" s="44">
        <f t="shared" si="52"/>
        <v>8</v>
      </c>
      <c r="G1593" s="91" t="s">
        <v>1101</v>
      </c>
      <c r="H1593" s="46" t="s">
        <v>18</v>
      </c>
      <c r="I1593" s="47"/>
      <c r="J1593" s="48" t="s">
        <v>42</v>
      </c>
      <c r="K1593" s="198" t="s">
        <v>1102</v>
      </c>
      <c r="L1593" s="135" t="s">
        <v>25</v>
      </c>
      <c r="M1593" s="135" t="s">
        <v>26</v>
      </c>
      <c r="N1593" s="14" t="s">
        <v>27</v>
      </c>
      <c r="O1593" s="14" t="s">
        <v>28</v>
      </c>
      <c r="P1593" s="51">
        <v>30</v>
      </c>
      <c r="Q1593" s="47">
        <f t="shared" si="51"/>
        <v>240</v>
      </c>
      <c r="R1593" s="47"/>
      <c r="S1593" s="47"/>
      <c r="T1593" s="47">
        <v>11003</v>
      </c>
    </row>
    <row r="1594" customHeight="1" spans="1:20">
      <c r="A1594" s="170">
        <v>11010</v>
      </c>
      <c r="B1594" s="78" t="s">
        <v>189</v>
      </c>
      <c r="C1594" s="78"/>
      <c r="D1594" s="170">
        <v>1</v>
      </c>
      <c r="E1594" s="171" t="s">
        <v>54</v>
      </c>
      <c r="F1594" s="44">
        <f t="shared" si="52"/>
        <v>1</v>
      </c>
      <c r="G1594" s="85" t="s">
        <v>2647</v>
      </c>
      <c r="H1594" s="46" t="s">
        <v>18</v>
      </c>
      <c r="I1594" s="47"/>
      <c r="J1594" s="48" t="s">
        <v>42</v>
      </c>
      <c r="K1594" s="196">
        <v>11010</v>
      </c>
      <c r="L1594" s="78" t="s">
        <v>191</v>
      </c>
      <c r="M1594" s="78" t="s">
        <v>192</v>
      </c>
      <c r="N1594" s="14" t="s">
        <v>27</v>
      </c>
      <c r="O1594" s="14" t="s">
        <v>28</v>
      </c>
      <c r="P1594" s="51">
        <v>285</v>
      </c>
      <c r="Q1594" s="47">
        <f t="shared" si="51"/>
        <v>285</v>
      </c>
      <c r="R1594" s="47"/>
      <c r="S1594" s="47"/>
      <c r="T1594" s="47">
        <v>11010</v>
      </c>
    </row>
    <row r="1595" customHeight="1" spans="1:20">
      <c r="A1595" s="193" t="s">
        <v>2648</v>
      </c>
      <c r="B1595" s="142" t="s">
        <v>202</v>
      </c>
      <c r="C1595" s="142"/>
      <c r="D1595" s="193"/>
      <c r="E1595" s="10"/>
      <c r="F1595" s="44">
        <f t="shared" si="52"/>
        <v>0</v>
      </c>
      <c r="G1595" s="199"/>
      <c r="H1595" s="46"/>
      <c r="I1595" s="47"/>
      <c r="J1595" s="48" t="s">
        <v>42</v>
      </c>
      <c r="K1595" s="200"/>
      <c r="L1595" s="142"/>
      <c r="M1595" s="142"/>
      <c r="O1595" s="14" t="s">
        <v>28</v>
      </c>
      <c r="P1595" s="51"/>
      <c r="Q1595" s="47">
        <f t="shared" si="51"/>
        <v>0</v>
      </c>
      <c r="R1595" s="47"/>
      <c r="S1595" s="47"/>
      <c r="T1595" s="47">
        <v>12</v>
      </c>
    </row>
    <row r="1596" customHeight="1" spans="1:20">
      <c r="A1596" s="166">
        <v>12003</v>
      </c>
      <c r="B1596" s="129" t="s">
        <v>207</v>
      </c>
      <c r="C1596" s="129"/>
      <c r="D1596" s="166">
        <f>D1557/2</f>
        <v>28</v>
      </c>
      <c r="E1596" s="78" t="s">
        <v>47</v>
      </c>
      <c r="F1596" s="44">
        <f t="shared" si="52"/>
        <v>28</v>
      </c>
      <c r="G1596" s="85" t="s">
        <v>2649</v>
      </c>
      <c r="H1596" s="46" t="s">
        <v>18</v>
      </c>
      <c r="I1596" s="47"/>
      <c r="J1596" s="48" t="s">
        <v>42</v>
      </c>
      <c r="K1596" s="196">
        <v>12003</v>
      </c>
      <c r="L1596" s="78" t="s">
        <v>25</v>
      </c>
      <c r="M1596" s="78" t="s">
        <v>26</v>
      </c>
      <c r="N1596" s="14" t="s">
        <v>27</v>
      </c>
      <c r="O1596" s="14" t="s">
        <v>28</v>
      </c>
      <c r="P1596" s="51">
        <v>14</v>
      </c>
      <c r="Q1596" s="47">
        <f t="shared" si="51"/>
        <v>392</v>
      </c>
      <c r="R1596" s="47"/>
      <c r="S1596" s="47"/>
      <c r="T1596" s="47">
        <v>12003</v>
      </c>
    </row>
    <row r="1597" customHeight="1" spans="1:20">
      <c r="A1597" s="193">
        <v>13</v>
      </c>
      <c r="B1597" s="142" t="s">
        <v>219</v>
      </c>
      <c r="C1597" s="142"/>
      <c r="D1597" s="166"/>
      <c r="E1597" s="167"/>
      <c r="F1597" s="44">
        <f t="shared" si="52"/>
        <v>0</v>
      </c>
      <c r="G1597" s="131"/>
      <c r="H1597" s="46"/>
      <c r="I1597" s="47"/>
      <c r="J1597" s="48" t="s">
        <v>42</v>
      </c>
      <c r="K1597" s="154"/>
      <c r="L1597" s="129"/>
      <c r="M1597" s="129"/>
      <c r="O1597" s="14" t="s">
        <v>28</v>
      </c>
      <c r="P1597" s="51"/>
      <c r="Q1597" s="47">
        <f t="shared" si="51"/>
        <v>0</v>
      </c>
      <c r="R1597" s="47"/>
      <c r="S1597" s="47"/>
      <c r="T1597" s="47">
        <v>13</v>
      </c>
    </row>
    <row r="1598" customHeight="1" spans="1:20">
      <c r="A1598" s="166" t="s">
        <v>1138</v>
      </c>
      <c r="B1598" s="129" t="s">
        <v>220</v>
      </c>
      <c r="C1598" s="129"/>
      <c r="D1598" s="166">
        <v>60</v>
      </c>
      <c r="E1598" s="167" t="s">
        <v>221</v>
      </c>
      <c r="F1598" s="44">
        <f t="shared" si="52"/>
        <v>60</v>
      </c>
      <c r="G1598" s="85" t="s">
        <v>2650</v>
      </c>
      <c r="H1598" s="46" t="s">
        <v>18</v>
      </c>
      <c r="I1598" s="47"/>
      <c r="J1598" s="48" t="s">
        <v>42</v>
      </c>
      <c r="K1598" s="196" t="s">
        <v>1138</v>
      </c>
      <c r="L1598" s="78" t="s">
        <v>25</v>
      </c>
      <c r="M1598" s="78" t="s">
        <v>26</v>
      </c>
      <c r="N1598" s="14" t="s">
        <v>27</v>
      </c>
      <c r="O1598" s="14" t="s">
        <v>28</v>
      </c>
      <c r="P1598" s="51">
        <v>2</v>
      </c>
      <c r="Q1598" s="47">
        <f t="shared" si="51"/>
        <v>120</v>
      </c>
      <c r="R1598" s="47"/>
      <c r="S1598" s="47"/>
      <c r="T1598" s="47">
        <v>13001</v>
      </c>
    </row>
    <row r="1599" customHeight="1" spans="1:20">
      <c r="A1599" s="166" t="s">
        <v>1140</v>
      </c>
      <c r="B1599" s="129" t="s">
        <v>220</v>
      </c>
      <c r="C1599" s="129"/>
      <c r="D1599" s="166">
        <v>5</v>
      </c>
      <c r="E1599" s="167" t="s">
        <v>221</v>
      </c>
      <c r="F1599" s="44">
        <f t="shared" si="52"/>
        <v>5</v>
      </c>
      <c r="G1599" s="85" t="s">
        <v>2651</v>
      </c>
      <c r="H1599" s="46" t="s">
        <v>18</v>
      </c>
      <c r="I1599" s="47"/>
      <c r="J1599" s="48" t="s">
        <v>42</v>
      </c>
      <c r="K1599" s="196" t="s">
        <v>1140</v>
      </c>
      <c r="L1599" s="78" t="s">
        <v>25</v>
      </c>
      <c r="M1599" s="78" t="s">
        <v>26</v>
      </c>
      <c r="N1599" s="14" t="s">
        <v>27</v>
      </c>
      <c r="O1599" s="14" t="s">
        <v>28</v>
      </c>
      <c r="P1599" s="51">
        <v>3</v>
      </c>
      <c r="Q1599" s="47">
        <f t="shared" si="51"/>
        <v>15</v>
      </c>
      <c r="R1599" s="47"/>
      <c r="S1599" s="47"/>
      <c r="T1599" s="47">
        <v>13001</v>
      </c>
    </row>
    <row r="1600" customHeight="1" spans="1:20">
      <c r="A1600" s="170">
        <v>13023</v>
      </c>
      <c r="B1600" s="78" t="s">
        <v>2652</v>
      </c>
      <c r="C1600" s="78"/>
      <c r="D1600" s="166">
        <f>D1557/2</f>
        <v>28</v>
      </c>
      <c r="E1600" s="171" t="s">
        <v>2601</v>
      </c>
      <c r="F1600" s="44">
        <f t="shared" si="52"/>
        <v>28</v>
      </c>
      <c r="G1600" s="147" t="s">
        <v>2653</v>
      </c>
      <c r="H1600" s="46" t="s">
        <v>18</v>
      </c>
      <c r="I1600" s="47"/>
      <c r="J1600" s="48" t="s">
        <v>42</v>
      </c>
      <c r="K1600" s="196">
        <v>13023</v>
      </c>
      <c r="L1600" s="78" t="s">
        <v>25</v>
      </c>
      <c r="M1600" s="78" t="s">
        <v>26</v>
      </c>
      <c r="N1600" s="14" t="s">
        <v>27</v>
      </c>
      <c r="O1600" s="14" t="s">
        <v>28</v>
      </c>
      <c r="P1600" s="51">
        <v>7</v>
      </c>
      <c r="Q1600" s="47">
        <f t="shared" si="51"/>
        <v>196</v>
      </c>
      <c r="R1600" s="47"/>
      <c r="S1600" s="47"/>
      <c r="T1600" s="47"/>
    </row>
    <row r="1601" customHeight="1" spans="1:20">
      <c r="A1601" s="193" t="s">
        <v>1226</v>
      </c>
      <c r="B1601" s="142" t="s">
        <v>297</v>
      </c>
      <c r="C1601" s="142"/>
      <c r="D1601" s="166"/>
      <c r="E1601" s="167"/>
      <c r="F1601" s="44">
        <f t="shared" si="52"/>
        <v>0</v>
      </c>
      <c r="G1601" s="131"/>
      <c r="H1601" s="46"/>
      <c r="I1601" s="47"/>
      <c r="J1601" s="48" t="s">
        <v>42</v>
      </c>
      <c r="K1601" s="154"/>
      <c r="L1601" s="129"/>
      <c r="M1601" s="129"/>
      <c r="O1601" s="14" t="s">
        <v>28</v>
      </c>
      <c r="P1601" s="51"/>
      <c r="Q1601" s="47">
        <f t="shared" si="51"/>
        <v>0</v>
      </c>
      <c r="R1601" s="47"/>
      <c r="S1601" s="47"/>
      <c r="T1601" s="47">
        <v>16</v>
      </c>
    </row>
    <row r="1602" customHeight="1" spans="1:20">
      <c r="A1602" s="166" t="s">
        <v>2654</v>
      </c>
      <c r="B1602" s="129" t="s">
        <v>2655</v>
      </c>
      <c r="C1602" s="129"/>
      <c r="D1602" s="166">
        <v>2</v>
      </c>
      <c r="E1602" s="167" t="s">
        <v>21</v>
      </c>
      <c r="F1602" s="44">
        <f t="shared" si="52"/>
        <v>2</v>
      </c>
      <c r="G1602" s="91" t="s">
        <v>2656</v>
      </c>
      <c r="H1602" s="46" t="s">
        <v>18</v>
      </c>
      <c r="I1602" s="47"/>
      <c r="J1602" s="48" t="s">
        <v>42</v>
      </c>
      <c r="K1602" s="198" t="s">
        <v>2654</v>
      </c>
      <c r="L1602" s="135" t="s">
        <v>2657</v>
      </c>
      <c r="M1602" s="135" t="s">
        <v>2658</v>
      </c>
      <c r="N1602" s="14" t="s">
        <v>27</v>
      </c>
      <c r="O1602" s="14" t="s">
        <v>28</v>
      </c>
      <c r="P1602" s="51">
        <v>110</v>
      </c>
      <c r="Q1602" s="47">
        <f t="shared" si="51"/>
        <v>220</v>
      </c>
      <c r="R1602" s="47"/>
      <c r="S1602" s="47"/>
      <c r="T1602" s="47"/>
    </row>
    <row r="1603" customHeight="1" spans="1:20">
      <c r="A1603" s="166" t="s">
        <v>2659</v>
      </c>
      <c r="B1603" s="129" t="s">
        <v>2660</v>
      </c>
      <c r="C1603" s="129"/>
      <c r="D1603" s="166">
        <v>1</v>
      </c>
      <c r="E1603" s="167" t="s">
        <v>54</v>
      </c>
      <c r="F1603" s="44">
        <f t="shared" si="52"/>
        <v>1</v>
      </c>
      <c r="G1603" s="85" t="s">
        <v>2661</v>
      </c>
      <c r="H1603" s="46" t="s">
        <v>18</v>
      </c>
      <c r="I1603" s="47"/>
      <c r="J1603" s="48" t="s">
        <v>42</v>
      </c>
      <c r="K1603" s="196" t="s">
        <v>2659</v>
      </c>
      <c r="L1603" s="78" t="s">
        <v>25</v>
      </c>
      <c r="M1603" s="78" t="s">
        <v>26</v>
      </c>
      <c r="N1603" s="14" t="s">
        <v>27</v>
      </c>
      <c r="O1603" s="14" t="s">
        <v>28</v>
      </c>
      <c r="P1603" s="51">
        <v>210</v>
      </c>
      <c r="Q1603" s="47">
        <f t="shared" si="51"/>
        <v>210</v>
      </c>
      <c r="R1603" s="47"/>
      <c r="S1603" s="47"/>
      <c r="T1603" s="47"/>
    </row>
    <row r="1604" customHeight="1" spans="1:20">
      <c r="A1604" s="166" t="s">
        <v>2662</v>
      </c>
      <c r="B1604" s="129" t="s">
        <v>2447</v>
      </c>
      <c r="C1604" s="129"/>
      <c r="D1604" s="166">
        <f>D1557/2</f>
        <v>28</v>
      </c>
      <c r="E1604" s="167" t="s">
        <v>21</v>
      </c>
      <c r="F1604" s="44">
        <f t="shared" si="52"/>
        <v>28</v>
      </c>
      <c r="G1604" s="85" t="s">
        <v>2448</v>
      </c>
      <c r="H1604" s="46" t="s">
        <v>18</v>
      </c>
      <c r="I1604" s="47"/>
      <c r="J1604" s="48" t="s">
        <v>42</v>
      </c>
      <c r="K1604" s="196" t="s">
        <v>2662</v>
      </c>
      <c r="L1604" s="78" t="s">
        <v>25</v>
      </c>
      <c r="M1604" s="78" t="s">
        <v>26</v>
      </c>
      <c r="N1604" s="14" t="s">
        <v>27</v>
      </c>
      <c r="O1604" s="14" t="s">
        <v>28</v>
      </c>
      <c r="P1604" s="51">
        <v>12</v>
      </c>
      <c r="Q1604" s="47">
        <f t="shared" ref="Q1604:Q1667" si="53">P1604*F1604</f>
        <v>336</v>
      </c>
      <c r="R1604" s="47"/>
      <c r="S1604" s="47"/>
      <c r="T1604" s="47"/>
    </row>
    <row r="1605" customHeight="1" spans="1:20">
      <c r="A1605" s="108" t="s">
        <v>306</v>
      </c>
      <c r="B1605" s="142" t="s">
        <v>307</v>
      </c>
      <c r="C1605" s="142"/>
      <c r="D1605" s="166"/>
      <c r="E1605" s="167"/>
      <c r="F1605" s="44">
        <f t="shared" si="52"/>
        <v>0</v>
      </c>
      <c r="G1605" s="131"/>
      <c r="H1605" s="46"/>
      <c r="I1605" s="47"/>
      <c r="J1605" s="48" t="s">
        <v>42</v>
      </c>
      <c r="K1605" s="154"/>
      <c r="L1605" s="129"/>
      <c r="M1605" s="129"/>
      <c r="O1605" s="14" t="s">
        <v>28</v>
      </c>
      <c r="P1605" s="51"/>
      <c r="Q1605" s="47">
        <f t="shared" si="53"/>
        <v>0</v>
      </c>
      <c r="R1605" s="47"/>
      <c r="S1605" s="47"/>
      <c r="T1605" s="47">
        <v>2</v>
      </c>
    </row>
    <row r="1606" customHeight="1" spans="1:20">
      <c r="A1606" s="193">
        <v>27</v>
      </c>
      <c r="B1606" s="142" t="s">
        <v>2449</v>
      </c>
      <c r="C1606" s="142"/>
      <c r="D1606" s="166"/>
      <c r="E1606" s="167"/>
      <c r="F1606" s="44">
        <f t="shared" si="52"/>
        <v>0</v>
      </c>
      <c r="G1606" s="131"/>
      <c r="H1606" s="46"/>
      <c r="I1606" s="47"/>
      <c r="J1606" s="48" t="s">
        <v>42</v>
      </c>
      <c r="K1606" s="154"/>
      <c r="L1606" s="129"/>
      <c r="M1606" s="129"/>
      <c r="O1606" s="14" t="s">
        <v>28</v>
      </c>
      <c r="P1606" s="51"/>
      <c r="Q1606" s="47">
        <f t="shared" si="53"/>
        <v>0</v>
      </c>
      <c r="R1606" s="47"/>
      <c r="S1606" s="47"/>
      <c r="T1606" s="47"/>
    </row>
    <row r="1607" customHeight="1" spans="1:20">
      <c r="A1607" s="166">
        <v>27001</v>
      </c>
      <c r="B1607" s="129" t="s">
        <v>2663</v>
      </c>
      <c r="C1607" s="129"/>
      <c r="D1607" s="166">
        <v>2</v>
      </c>
      <c r="E1607" s="167" t="s">
        <v>32</v>
      </c>
      <c r="F1607" s="44">
        <f t="shared" si="52"/>
        <v>2</v>
      </c>
      <c r="G1607" s="85" t="s">
        <v>2664</v>
      </c>
      <c r="H1607" s="46" t="s">
        <v>18</v>
      </c>
      <c r="I1607" s="47"/>
      <c r="J1607" s="48" t="s">
        <v>42</v>
      </c>
      <c r="K1607" s="196">
        <v>27001</v>
      </c>
      <c r="L1607" s="78" t="s">
        <v>25</v>
      </c>
      <c r="M1607" s="78" t="s">
        <v>26</v>
      </c>
      <c r="N1607" s="14" t="s">
        <v>27</v>
      </c>
      <c r="O1607" s="14" t="s">
        <v>28</v>
      </c>
      <c r="P1607" s="51">
        <v>22</v>
      </c>
      <c r="Q1607" s="47">
        <f t="shared" si="53"/>
        <v>44</v>
      </c>
      <c r="R1607" s="47"/>
      <c r="S1607" s="47"/>
      <c r="T1607" s="47"/>
    </row>
    <row r="1608" customHeight="1" spans="1:20">
      <c r="A1608" s="166">
        <v>27002</v>
      </c>
      <c r="B1608" s="129" t="s">
        <v>2663</v>
      </c>
      <c r="C1608" s="129"/>
      <c r="D1608" s="166">
        <f>D1557/2</f>
        <v>28</v>
      </c>
      <c r="E1608" s="167" t="s">
        <v>32</v>
      </c>
      <c r="F1608" s="44">
        <f t="shared" si="52"/>
        <v>28</v>
      </c>
      <c r="G1608" s="85" t="s">
        <v>2665</v>
      </c>
      <c r="H1608" s="46" t="s">
        <v>18</v>
      </c>
      <c r="I1608" s="47"/>
      <c r="J1608" s="48" t="s">
        <v>42</v>
      </c>
      <c r="K1608" s="196">
        <v>27002</v>
      </c>
      <c r="L1608" s="78" t="s">
        <v>25</v>
      </c>
      <c r="M1608" s="78" t="s">
        <v>26</v>
      </c>
      <c r="N1608" s="14" t="s">
        <v>27</v>
      </c>
      <c r="O1608" s="14" t="s">
        <v>28</v>
      </c>
      <c r="P1608" s="51">
        <v>14</v>
      </c>
      <c r="Q1608" s="47">
        <f t="shared" si="53"/>
        <v>392</v>
      </c>
      <c r="R1608" s="47"/>
      <c r="S1608" s="47"/>
      <c r="T1608" s="47"/>
    </row>
    <row r="1609" customHeight="1" spans="1:20">
      <c r="A1609" s="166">
        <v>27003</v>
      </c>
      <c r="B1609" s="129" t="s">
        <v>2450</v>
      </c>
      <c r="C1609" s="129"/>
      <c r="D1609" s="166">
        <f>D1557/2</f>
        <v>28</v>
      </c>
      <c r="E1609" s="167" t="s">
        <v>21</v>
      </c>
      <c r="F1609" s="44">
        <f t="shared" si="52"/>
        <v>28</v>
      </c>
      <c r="G1609" s="85" t="s">
        <v>2451</v>
      </c>
      <c r="H1609" s="46" t="s">
        <v>18</v>
      </c>
      <c r="I1609" s="47"/>
      <c r="J1609" s="48" t="s">
        <v>42</v>
      </c>
      <c r="K1609" s="196">
        <v>27003</v>
      </c>
      <c r="L1609" s="78" t="s">
        <v>25</v>
      </c>
      <c r="M1609" s="78" t="s">
        <v>26</v>
      </c>
      <c r="N1609" s="14" t="s">
        <v>27</v>
      </c>
      <c r="O1609" s="14" t="s">
        <v>28</v>
      </c>
      <c r="P1609" s="51">
        <v>12</v>
      </c>
      <c r="Q1609" s="47">
        <f t="shared" si="53"/>
        <v>336</v>
      </c>
      <c r="R1609" s="47"/>
      <c r="S1609" s="47"/>
      <c r="T1609" s="47"/>
    </row>
    <row r="1610" customHeight="1" spans="1:20">
      <c r="A1610" s="166">
        <v>27004</v>
      </c>
      <c r="B1610" s="129" t="s">
        <v>2666</v>
      </c>
      <c r="C1610" s="129"/>
      <c r="D1610" s="166">
        <v>1</v>
      </c>
      <c r="E1610" s="167" t="s">
        <v>172</v>
      </c>
      <c r="F1610" s="44">
        <f t="shared" si="52"/>
        <v>1</v>
      </c>
      <c r="G1610" s="85" t="s">
        <v>2667</v>
      </c>
      <c r="H1610" s="46" t="s">
        <v>18</v>
      </c>
      <c r="I1610" s="47"/>
      <c r="J1610" s="48" t="s">
        <v>42</v>
      </c>
      <c r="K1610" s="196">
        <v>27004</v>
      </c>
      <c r="L1610" s="78" t="s">
        <v>25</v>
      </c>
      <c r="M1610" s="78" t="s">
        <v>26</v>
      </c>
      <c r="N1610" s="14" t="s">
        <v>27</v>
      </c>
      <c r="O1610" s="14" t="s">
        <v>28</v>
      </c>
      <c r="P1610" s="51">
        <v>18</v>
      </c>
      <c r="Q1610" s="47">
        <f t="shared" si="53"/>
        <v>18</v>
      </c>
      <c r="R1610" s="47"/>
      <c r="S1610" s="47"/>
      <c r="T1610" s="47"/>
    </row>
    <row r="1611" customHeight="1" spans="1:20">
      <c r="A1611" s="166">
        <v>27005</v>
      </c>
      <c r="B1611" s="129" t="s">
        <v>2668</v>
      </c>
      <c r="C1611" s="129"/>
      <c r="D1611" s="166">
        <v>1</v>
      </c>
      <c r="E1611" s="167" t="s">
        <v>54</v>
      </c>
      <c r="F1611" s="44">
        <f t="shared" si="52"/>
        <v>1</v>
      </c>
      <c r="G1611" s="82" t="s">
        <v>2669</v>
      </c>
      <c r="H1611" s="46" t="s">
        <v>18</v>
      </c>
      <c r="I1611" s="47"/>
      <c r="J1611" s="48" t="s">
        <v>42</v>
      </c>
      <c r="K1611" s="194">
        <v>27005</v>
      </c>
      <c r="L1611" s="195" t="s">
        <v>25</v>
      </c>
      <c r="M1611" s="195" t="s">
        <v>26</v>
      </c>
      <c r="N1611" s="14" t="s">
        <v>27</v>
      </c>
      <c r="O1611" s="14" t="s">
        <v>28</v>
      </c>
      <c r="P1611" s="51">
        <v>220</v>
      </c>
      <c r="Q1611" s="47">
        <f t="shared" si="53"/>
        <v>220</v>
      </c>
      <c r="R1611" s="47"/>
      <c r="S1611" s="47"/>
      <c r="T1611" s="47"/>
    </row>
    <row r="1612" customHeight="1" spans="1:20">
      <c r="A1612" s="166">
        <v>27006</v>
      </c>
      <c r="B1612" s="129" t="s">
        <v>2452</v>
      </c>
      <c r="C1612" s="129"/>
      <c r="D1612" s="166">
        <f>D1557/2</f>
        <v>28</v>
      </c>
      <c r="E1612" s="167" t="s">
        <v>172</v>
      </c>
      <c r="F1612" s="44">
        <f t="shared" si="52"/>
        <v>28</v>
      </c>
      <c r="G1612" s="85" t="s">
        <v>2670</v>
      </c>
      <c r="H1612" s="46" t="s">
        <v>18</v>
      </c>
      <c r="I1612" s="47"/>
      <c r="J1612" s="48" t="s">
        <v>42</v>
      </c>
      <c r="K1612" s="196">
        <v>27006</v>
      </c>
      <c r="L1612" s="78" t="s">
        <v>25</v>
      </c>
      <c r="M1612" s="78" t="s">
        <v>26</v>
      </c>
      <c r="N1612" s="14" t="s">
        <v>27</v>
      </c>
      <c r="O1612" s="14" t="s">
        <v>28</v>
      </c>
      <c r="P1612" s="51">
        <v>8</v>
      </c>
      <c r="Q1612" s="47">
        <f t="shared" si="53"/>
        <v>224</v>
      </c>
      <c r="R1612" s="47"/>
      <c r="S1612" s="47"/>
      <c r="T1612" s="47"/>
    </row>
    <row r="1613" customHeight="1" spans="1:20">
      <c r="A1613" s="166">
        <v>27008</v>
      </c>
      <c r="B1613" s="129" t="s">
        <v>2671</v>
      </c>
      <c r="C1613" s="129"/>
      <c r="D1613" s="166">
        <v>13</v>
      </c>
      <c r="E1613" s="167" t="s">
        <v>32</v>
      </c>
      <c r="F1613" s="44">
        <f t="shared" si="52"/>
        <v>13</v>
      </c>
      <c r="G1613" s="82" t="s">
        <v>2672</v>
      </c>
      <c r="H1613" s="46" t="s">
        <v>18</v>
      </c>
      <c r="I1613" s="47"/>
      <c r="J1613" s="48" t="s">
        <v>42</v>
      </c>
      <c r="K1613" s="194">
        <v>27008</v>
      </c>
      <c r="L1613" s="195" t="s">
        <v>25</v>
      </c>
      <c r="M1613" s="195" t="s">
        <v>26</v>
      </c>
      <c r="N1613" s="14" t="s">
        <v>27</v>
      </c>
      <c r="O1613" s="14" t="s">
        <v>28</v>
      </c>
      <c r="P1613" s="51">
        <v>75</v>
      </c>
      <c r="Q1613" s="47">
        <f t="shared" si="53"/>
        <v>975</v>
      </c>
      <c r="R1613" s="47"/>
      <c r="S1613" s="47"/>
      <c r="T1613" s="47"/>
    </row>
    <row r="1614" customHeight="1" spans="1:20">
      <c r="A1614" s="166">
        <v>27009</v>
      </c>
      <c r="B1614" s="129" t="s">
        <v>2673</v>
      </c>
      <c r="C1614" s="129"/>
      <c r="D1614" s="166">
        <v>8</v>
      </c>
      <c r="E1614" s="167" t="s">
        <v>21</v>
      </c>
      <c r="F1614" s="44">
        <f t="shared" si="52"/>
        <v>8</v>
      </c>
      <c r="G1614" s="85" t="s">
        <v>2674</v>
      </c>
      <c r="H1614" s="46" t="s">
        <v>18</v>
      </c>
      <c r="I1614" s="47"/>
      <c r="J1614" s="48" t="s">
        <v>42</v>
      </c>
      <c r="K1614" s="196">
        <v>27009</v>
      </c>
      <c r="L1614" s="78" t="s">
        <v>25</v>
      </c>
      <c r="M1614" s="78" t="s">
        <v>26</v>
      </c>
      <c r="N1614" s="14" t="s">
        <v>27</v>
      </c>
      <c r="O1614" s="14" t="s">
        <v>28</v>
      </c>
      <c r="P1614" s="51">
        <v>45</v>
      </c>
      <c r="Q1614" s="47">
        <f t="shared" si="53"/>
        <v>360</v>
      </c>
      <c r="R1614" s="47"/>
      <c r="S1614" s="47"/>
      <c r="T1614" s="47"/>
    </row>
    <row r="1615" customHeight="1" spans="1:20">
      <c r="A1615" s="166" t="s">
        <v>2675</v>
      </c>
      <c r="B1615" s="129" t="s">
        <v>2676</v>
      </c>
      <c r="C1615" s="129"/>
      <c r="D1615" s="166">
        <v>2</v>
      </c>
      <c r="E1615" s="167" t="s">
        <v>21</v>
      </c>
      <c r="F1615" s="44">
        <f t="shared" si="52"/>
        <v>2</v>
      </c>
      <c r="G1615" s="91" t="s">
        <v>2677</v>
      </c>
      <c r="H1615" s="46" t="s">
        <v>18</v>
      </c>
      <c r="I1615" s="47"/>
      <c r="J1615" s="48" t="s">
        <v>42</v>
      </c>
      <c r="K1615" s="198" t="s">
        <v>2675</v>
      </c>
      <c r="L1615" s="135" t="s">
        <v>25</v>
      </c>
      <c r="M1615" s="135" t="s">
        <v>26</v>
      </c>
      <c r="N1615" s="14" t="s">
        <v>27</v>
      </c>
      <c r="O1615" s="14" t="s">
        <v>28</v>
      </c>
      <c r="P1615" s="51">
        <v>170</v>
      </c>
      <c r="Q1615" s="47">
        <f t="shared" si="53"/>
        <v>340</v>
      </c>
      <c r="R1615" s="47"/>
      <c r="S1615" s="47"/>
      <c r="T1615" s="47"/>
    </row>
    <row r="1616" customHeight="1" spans="1:20">
      <c r="A1616" s="166" t="s">
        <v>2678</v>
      </c>
      <c r="B1616" s="129" t="s">
        <v>2454</v>
      </c>
      <c r="C1616" s="129"/>
      <c r="D1616" s="166">
        <f>D1557/2</f>
        <v>28</v>
      </c>
      <c r="E1616" s="167" t="s">
        <v>21</v>
      </c>
      <c r="F1616" s="44">
        <f t="shared" si="52"/>
        <v>28</v>
      </c>
      <c r="G1616" s="120" t="s">
        <v>2455</v>
      </c>
      <c r="H1616" s="46" t="s">
        <v>18</v>
      </c>
      <c r="I1616" s="47"/>
      <c r="J1616" s="48" t="s">
        <v>42</v>
      </c>
      <c r="K1616" s="201" t="s">
        <v>2678</v>
      </c>
      <c r="L1616" s="202" t="s">
        <v>25</v>
      </c>
      <c r="M1616" s="202" t="s">
        <v>26</v>
      </c>
      <c r="N1616" s="14" t="s">
        <v>27</v>
      </c>
      <c r="O1616" s="14" t="s">
        <v>28</v>
      </c>
      <c r="P1616" s="51">
        <v>18</v>
      </c>
      <c r="Q1616" s="47">
        <f t="shared" si="53"/>
        <v>504</v>
      </c>
      <c r="R1616" s="47"/>
      <c r="S1616" s="47"/>
      <c r="T1616" s="47"/>
    </row>
    <row r="1617" customHeight="1" spans="1:20">
      <c r="A1617" s="166" t="s">
        <v>2679</v>
      </c>
      <c r="B1617" s="129" t="s">
        <v>2456</v>
      </c>
      <c r="C1617" s="129"/>
      <c r="D1617" s="166">
        <v>1</v>
      </c>
      <c r="E1617" s="167" t="s">
        <v>32</v>
      </c>
      <c r="F1617" s="44">
        <f t="shared" si="52"/>
        <v>1</v>
      </c>
      <c r="G1617" s="82" t="s">
        <v>2457</v>
      </c>
      <c r="H1617" s="46" t="s">
        <v>18</v>
      </c>
      <c r="I1617" s="47"/>
      <c r="J1617" s="48" t="s">
        <v>42</v>
      </c>
      <c r="K1617" s="194" t="s">
        <v>2679</v>
      </c>
      <c r="L1617" s="195" t="s">
        <v>25</v>
      </c>
      <c r="M1617" s="195" t="s">
        <v>26</v>
      </c>
      <c r="N1617" s="14" t="s">
        <v>27</v>
      </c>
      <c r="O1617" s="14" t="s">
        <v>28</v>
      </c>
      <c r="P1617" s="51">
        <v>800</v>
      </c>
      <c r="Q1617" s="47">
        <f t="shared" si="53"/>
        <v>800</v>
      </c>
      <c r="R1617" s="47"/>
      <c r="S1617" s="47"/>
      <c r="T1617" s="47"/>
    </row>
    <row r="1618" customHeight="1" spans="1:20">
      <c r="A1618" s="193" t="s">
        <v>2680</v>
      </c>
      <c r="B1618" s="142" t="s">
        <v>2681</v>
      </c>
      <c r="C1618" s="142"/>
      <c r="D1618" s="166"/>
      <c r="E1618" s="167"/>
      <c r="F1618" s="44">
        <f t="shared" si="52"/>
        <v>0</v>
      </c>
      <c r="G1618" s="131"/>
      <c r="H1618" s="46"/>
      <c r="I1618" s="47"/>
      <c r="J1618" s="48"/>
      <c r="K1618" s="154"/>
      <c r="L1618" s="129"/>
      <c r="M1618" s="129"/>
      <c r="O1618" s="14" t="s">
        <v>28</v>
      </c>
      <c r="P1618" s="51"/>
      <c r="Q1618" s="47">
        <f t="shared" si="53"/>
        <v>0</v>
      </c>
      <c r="R1618" s="47"/>
      <c r="S1618" s="47"/>
      <c r="T1618" s="47"/>
    </row>
    <row r="1619" customHeight="1" spans="1:20">
      <c r="A1619" s="170">
        <v>33001</v>
      </c>
      <c r="B1619" s="78" t="s">
        <v>2682</v>
      </c>
      <c r="C1619" s="78"/>
      <c r="D1619" s="170">
        <v>1</v>
      </c>
      <c r="E1619" s="171" t="s">
        <v>1002</v>
      </c>
      <c r="F1619" s="44">
        <f t="shared" si="52"/>
        <v>1</v>
      </c>
      <c r="G1619" s="91" t="s">
        <v>2683</v>
      </c>
      <c r="H1619" s="46" t="s">
        <v>18</v>
      </c>
      <c r="I1619" s="47"/>
      <c r="J1619" s="48" t="s">
        <v>42</v>
      </c>
      <c r="K1619" s="198">
        <v>33001</v>
      </c>
      <c r="L1619" s="135" t="s">
        <v>25</v>
      </c>
      <c r="M1619" s="135" t="s">
        <v>26</v>
      </c>
      <c r="N1619" s="14" t="s">
        <v>27</v>
      </c>
      <c r="O1619" s="14" t="s">
        <v>28</v>
      </c>
      <c r="P1619" s="51">
        <v>45</v>
      </c>
      <c r="Q1619" s="47">
        <f t="shared" si="53"/>
        <v>45</v>
      </c>
      <c r="R1619" s="47"/>
      <c r="S1619" s="47"/>
      <c r="T1619" s="47"/>
    </row>
    <row r="1620" customHeight="1" spans="1:20">
      <c r="A1620" s="166" t="s">
        <v>2684</v>
      </c>
      <c r="B1620" s="129" t="s">
        <v>2685</v>
      </c>
      <c r="C1620" s="129"/>
      <c r="D1620" s="166">
        <v>1</v>
      </c>
      <c r="E1620" s="167" t="s">
        <v>1002</v>
      </c>
      <c r="F1620" s="44">
        <f t="shared" si="52"/>
        <v>1</v>
      </c>
      <c r="G1620" s="91" t="s">
        <v>2686</v>
      </c>
      <c r="H1620" s="46" t="s">
        <v>18</v>
      </c>
      <c r="I1620" s="47"/>
      <c r="J1620" s="48" t="s">
        <v>42</v>
      </c>
      <c r="K1620" s="198" t="s">
        <v>2684</v>
      </c>
      <c r="L1620" s="135" t="s">
        <v>25</v>
      </c>
      <c r="M1620" s="135" t="s">
        <v>26</v>
      </c>
      <c r="N1620" s="14" t="s">
        <v>27</v>
      </c>
      <c r="O1620" s="14" t="s">
        <v>28</v>
      </c>
      <c r="P1620" s="51">
        <v>45</v>
      </c>
      <c r="Q1620" s="47">
        <f t="shared" si="53"/>
        <v>45</v>
      </c>
      <c r="R1620" s="47"/>
      <c r="S1620" s="47"/>
      <c r="T1620" s="47"/>
    </row>
    <row r="1621" customHeight="1" spans="1:20">
      <c r="A1621" s="166" t="s">
        <v>2687</v>
      </c>
      <c r="B1621" s="129" t="s">
        <v>2688</v>
      </c>
      <c r="C1621" s="129"/>
      <c r="D1621" s="166">
        <v>1</v>
      </c>
      <c r="E1621" s="167" t="s">
        <v>1002</v>
      </c>
      <c r="F1621" s="44">
        <f t="shared" si="52"/>
        <v>1</v>
      </c>
      <c r="G1621" s="91" t="s">
        <v>2689</v>
      </c>
      <c r="H1621" s="46" t="s">
        <v>18</v>
      </c>
      <c r="I1621" s="47"/>
      <c r="J1621" s="48" t="s">
        <v>42</v>
      </c>
      <c r="K1621" s="198" t="s">
        <v>2687</v>
      </c>
      <c r="L1621" s="135" t="s">
        <v>25</v>
      </c>
      <c r="M1621" s="135" t="s">
        <v>26</v>
      </c>
      <c r="N1621" s="14" t="s">
        <v>27</v>
      </c>
      <c r="O1621" s="14" t="s">
        <v>28</v>
      </c>
      <c r="P1621" s="51">
        <v>58</v>
      </c>
      <c r="Q1621" s="47">
        <f t="shared" si="53"/>
        <v>58</v>
      </c>
      <c r="R1621" s="47"/>
      <c r="S1621" s="47"/>
      <c r="T1621" s="47"/>
    </row>
    <row r="1622" customHeight="1" spans="1:20">
      <c r="A1622" s="166" t="s">
        <v>2690</v>
      </c>
      <c r="B1622" s="129" t="s">
        <v>2691</v>
      </c>
      <c r="C1622" s="129"/>
      <c r="D1622" s="166">
        <v>1</v>
      </c>
      <c r="E1622" s="167" t="s">
        <v>1002</v>
      </c>
      <c r="F1622" s="44">
        <f t="shared" si="52"/>
        <v>1</v>
      </c>
      <c r="G1622" s="91" t="s">
        <v>2692</v>
      </c>
      <c r="H1622" s="46" t="s">
        <v>18</v>
      </c>
      <c r="I1622" s="47"/>
      <c r="J1622" s="48" t="s">
        <v>42</v>
      </c>
      <c r="K1622" s="198" t="s">
        <v>2690</v>
      </c>
      <c r="L1622" s="135" t="s">
        <v>25</v>
      </c>
      <c r="M1622" s="135" t="s">
        <v>26</v>
      </c>
      <c r="N1622" s="14" t="s">
        <v>27</v>
      </c>
      <c r="O1622" s="14" t="s">
        <v>28</v>
      </c>
      <c r="P1622" s="51">
        <v>58</v>
      </c>
      <c r="Q1622" s="47">
        <f t="shared" si="53"/>
        <v>58</v>
      </c>
      <c r="R1622" s="47"/>
      <c r="S1622" s="47"/>
      <c r="T1622" s="47"/>
    </row>
    <row r="1623" customHeight="1" spans="1:20">
      <c r="A1623" s="166" t="s">
        <v>2693</v>
      </c>
      <c r="B1623" s="129" t="s">
        <v>2694</v>
      </c>
      <c r="C1623" s="129"/>
      <c r="D1623" s="166">
        <v>1</v>
      </c>
      <c r="E1623" s="167" t="s">
        <v>1002</v>
      </c>
      <c r="F1623" s="44">
        <f t="shared" si="52"/>
        <v>1</v>
      </c>
      <c r="G1623" s="91" t="s">
        <v>2695</v>
      </c>
      <c r="H1623" s="46" t="s">
        <v>18</v>
      </c>
      <c r="I1623" s="47"/>
      <c r="J1623" s="48" t="s">
        <v>42</v>
      </c>
      <c r="K1623" s="198" t="s">
        <v>2693</v>
      </c>
      <c r="L1623" s="135" t="s">
        <v>25</v>
      </c>
      <c r="M1623" s="135" t="s">
        <v>26</v>
      </c>
      <c r="N1623" s="14" t="s">
        <v>27</v>
      </c>
      <c r="O1623" s="14" t="s">
        <v>28</v>
      </c>
      <c r="P1623" s="51">
        <v>58</v>
      </c>
      <c r="Q1623" s="47">
        <f t="shared" si="53"/>
        <v>58</v>
      </c>
      <c r="R1623" s="47"/>
      <c r="S1623" s="47"/>
      <c r="T1623" s="47"/>
    </row>
    <row r="1624" customHeight="1" spans="1:20">
      <c r="A1624" s="166" t="s">
        <v>2696</v>
      </c>
      <c r="B1624" s="129" t="s">
        <v>2697</v>
      </c>
      <c r="C1624" s="129"/>
      <c r="D1624" s="166">
        <v>1</v>
      </c>
      <c r="E1624" s="167" t="s">
        <v>1002</v>
      </c>
      <c r="F1624" s="44">
        <f t="shared" si="52"/>
        <v>1</v>
      </c>
      <c r="G1624" s="91" t="s">
        <v>2698</v>
      </c>
      <c r="H1624" s="46" t="s">
        <v>18</v>
      </c>
      <c r="I1624" s="47"/>
      <c r="J1624" s="48" t="s">
        <v>42</v>
      </c>
      <c r="K1624" s="198" t="s">
        <v>2696</v>
      </c>
      <c r="L1624" s="135" t="s">
        <v>25</v>
      </c>
      <c r="M1624" s="135" t="s">
        <v>26</v>
      </c>
      <c r="N1624" s="14" t="s">
        <v>27</v>
      </c>
      <c r="O1624" s="14" t="s">
        <v>28</v>
      </c>
      <c r="P1624" s="51">
        <v>70</v>
      </c>
      <c r="Q1624" s="47">
        <f t="shared" si="53"/>
        <v>70</v>
      </c>
      <c r="R1624" s="47"/>
      <c r="S1624" s="47"/>
      <c r="T1624" s="47"/>
    </row>
    <row r="1625" customHeight="1" spans="1:20">
      <c r="A1625" s="166" t="s">
        <v>2699</v>
      </c>
      <c r="B1625" s="129" t="s">
        <v>2700</v>
      </c>
      <c r="C1625" s="129"/>
      <c r="D1625" s="166">
        <v>1</v>
      </c>
      <c r="E1625" s="167" t="s">
        <v>1002</v>
      </c>
      <c r="F1625" s="44">
        <f t="shared" ref="F1625:F1688" si="54">D1625*1</f>
        <v>1</v>
      </c>
      <c r="G1625" s="91" t="s">
        <v>2701</v>
      </c>
      <c r="H1625" s="46" t="s">
        <v>18</v>
      </c>
      <c r="I1625" s="47"/>
      <c r="J1625" s="48" t="s">
        <v>42</v>
      </c>
      <c r="K1625" s="198" t="s">
        <v>2699</v>
      </c>
      <c r="L1625" s="135" t="s">
        <v>25</v>
      </c>
      <c r="M1625" s="135" t="s">
        <v>26</v>
      </c>
      <c r="N1625" s="14" t="s">
        <v>27</v>
      </c>
      <c r="O1625" s="14" t="s">
        <v>28</v>
      </c>
      <c r="P1625" s="51">
        <v>35</v>
      </c>
      <c r="Q1625" s="47">
        <f t="shared" si="53"/>
        <v>35</v>
      </c>
      <c r="R1625" s="47"/>
      <c r="S1625" s="47"/>
      <c r="T1625" s="47"/>
    </row>
    <row r="1626" customHeight="1" spans="1:20">
      <c r="A1626" s="170">
        <v>33008</v>
      </c>
      <c r="B1626" s="78" t="s">
        <v>2702</v>
      </c>
      <c r="C1626" s="78"/>
      <c r="D1626" s="170">
        <v>1</v>
      </c>
      <c r="E1626" s="171" t="s">
        <v>1002</v>
      </c>
      <c r="F1626" s="44">
        <f t="shared" si="54"/>
        <v>1</v>
      </c>
      <c r="G1626" s="91" t="s">
        <v>2703</v>
      </c>
      <c r="H1626" s="46" t="s">
        <v>18</v>
      </c>
      <c r="I1626" s="47"/>
      <c r="J1626" s="48" t="s">
        <v>42</v>
      </c>
      <c r="K1626" s="198">
        <v>33008</v>
      </c>
      <c r="L1626" s="135" t="s">
        <v>25</v>
      </c>
      <c r="M1626" s="135" t="s">
        <v>26</v>
      </c>
      <c r="N1626" s="14" t="s">
        <v>27</v>
      </c>
      <c r="O1626" s="14" t="s">
        <v>28</v>
      </c>
      <c r="P1626" s="51">
        <v>48</v>
      </c>
      <c r="Q1626" s="47">
        <f t="shared" si="53"/>
        <v>48</v>
      </c>
      <c r="R1626" s="47"/>
      <c r="S1626" s="47"/>
      <c r="T1626" s="47"/>
    </row>
    <row r="1627" customHeight="1" spans="1:20">
      <c r="A1627" s="193" t="s">
        <v>2704</v>
      </c>
      <c r="B1627" s="142" t="s">
        <v>2705</v>
      </c>
      <c r="C1627" s="142"/>
      <c r="D1627" s="166"/>
      <c r="E1627" s="167"/>
      <c r="F1627" s="44">
        <f t="shared" si="54"/>
        <v>0</v>
      </c>
      <c r="G1627" s="131"/>
      <c r="H1627" s="46"/>
      <c r="I1627" s="47"/>
      <c r="J1627" s="48"/>
      <c r="K1627" s="154"/>
      <c r="L1627" s="129"/>
      <c r="M1627" s="129"/>
      <c r="O1627" s="14" t="s">
        <v>28</v>
      </c>
      <c r="P1627" s="51"/>
      <c r="Q1627" s="47">
        <f t="shared" si="53"/>
        <v>0</v>
      </c>
      <c r="R1627" s="47"/>
      <c r="S1627" s="47"/>
      <c r="T1627" s="47"/>
    </row>
    <row r="1628" customHeight="1" spans="1:20">
      <c r="A1628" s="166" t="s">
        <v>2706</v>
      </c>
      <c r="B1628" s="129" t="s">
        <v>2707</v>
      </c>
      <c r="C1628" s="129"/>
      <c r="D1628" s="166">
        <v>1</v>
      </c>
      <c r="E1628" s="167" t="s">
        <v>1002</v>
      </c>
      <c r="F1628" s="44">
        <f t="shared" si="54"/>
        <v>1</v>
      </c>
      <c r="G1628" s="85" t="s">
        <v>2708</v>
      </c>
      <c r="H1628" s="46" t="s">
        <v>18</v>
      </c>
      <c r="I1628" s="47"/>
      <c r="J1628" s="48" t="s">
        <v>42</v>
      </c>
      <c r="K1628" s="196" t="s">
        <v>2706</v>
      </c>
      <c r="L1628" s="78" t="s">
        <v>25</v>
      </c>
      <c r="M1628" s="78" t="s">
        <v>26</v>
      </c>
      <c r="N1628" s="14" t="s">
        <v>27</v>
      </c>
      <c r="O1628" s="14" t="s">
        <v>28</v>
      </c>
      <c r="P1628" s="51">
        <v>65</v>
      </c>
      <c r="Q1628" s="47">
        <f t="shared" si="53"/>
        <v>65</v>
      </c>
      <c r="R1628" s="47"/>
      <c r="S1628" s="47"/>
      <c r="T1628" s="47"/>
    </row>
    <row r="1629" customHeight="1" spans="1:20">
      <c r="A1629" s="166" t="s">
        <v>2709</v>
      </c>
      <c r="B1629" s="129" t="s">
        <v>2710</v>
      </c>
      <c r="C1629" s="129"/>
      <c r="D1629" s="166">
        <v>1</v>
      </c>
      <c r="E1629" s="167" t="s">
        <v>1002</v>
      </c>
      <c r="F1629" s="44">
        <f t="shared" si="54"/>
        <v>1</v>
      </c>
      <c r="G1629" s="137" t="s">
        <v>2711</v>
      </c>
      <c r="H1629" s="46" t="s">
        <v>18</v>
      </c>
      <c r="I1629" s="47"/>
      <c r="J1629" s="48" t="s">
        <v>42</v>
      </c>
      <c r="K1629" s="203" t="s">
        <v>2709</v>
      </c>
      <c r="L1629" s="204" t="s">
        <v>25</v>
      </c>
      <c r="M1629" s="204" t="s">
        <v>26</v>
      </c>
      <c r="N1629" s="14" t="s">
        <v>27</v>
      </c>
      <c r="O1629" s="14" t="s">
        <v>28</v>
      </c>
      <c r="P1629" s="51">
        <v>95</v>
      </c>
      <c r="Q1629" s="47">
        <f t="shared" si="53"/>
        <v>95</v>
      </c>
      <c r="R1629" s="47"/>
      <c r="S1629" s="47"/>
      <c r="T1629" s="47"/>
    </row>
    <row r="1630" customHeight="1" spans="1:20">
      <c r="A1630" s="170">
        <v>33103</v>
      </c>
      <c r="B1630" s="78" t="s">
        <v>2712</v>
      </c>
      <c r="C1630" s="78"/>
      <c r="D1630" s="170">
        <v>1</v>
      </c>
      <c r="E1630" s="171" t="s">
        <v>1002</v>
      </c>
      <c r="F1630" s="44">
        <f t="shared" si="54"/>
        <v>1</v>
      </c>
      <c r="G1630" s="91" t="s">
        <v>2713</v>
      </c>
      <c r="H1630" s="46" t="s">
        <v>18</v>
      </c>
      <c r="I1630" s="47"/>
      <c r="J1630" s="48" t="s">
        <v>42</v>
      </c>
      <c r="K1630" s="198">
        <v>33103</v>
      </c>
      <c r="L1630" s="135" t="s">
        <v>25</v>
      </c>
      <c r="M1630" s="135" t="s">
        <v>26</v>
      </c>
      <c r="N1630" s="14" t="s">
        <v>27</v>
      </c>
      <c r="O1630" s="14" t="s">
        <v>28</v>
      </c>
      <c r="P1630" s="51">
        <v>45</v>
      </c>
      <c r="Q1630" s="47">
        <f t="shared" si="53"/>
        <v>45</v>
      </c>
      <c r="R1630" s="47"/>
      <c r="S1630" s="47"/>
      <c r="T1630" s="47"/>
    </row>
    <row r="1631" customHeight="1" spans="1:20">
      <c r="A1631" s="170">
        <v>33104</v>
      </c>
      <c r="B1631" s="78" t="s">
        <v>2714</v>
      </c>
      <c r="C1631" s="78"/>
      <c r="D1631" s="170">
        <v>1</v>
      </c>
      <c r="E1631" s="171" t="s">
        <v>1002</v>
      </c>
      <c r="F1631" s="44">
        <f t="shared" si="54"/>
        <v>1</v>
      </c>
      <c r="G1631" s="85" t="s">
        <v>2715</v>
      </c>
      <c r="H1631" s="46" t="s">
        <v>18</v>
      </c>
      <c r="I1631" s="47"/>
      <c r="J1631" s="48" t="s">
        <v>42</v>
      </c>
      <c r="K1631" s="196">
        <v>33104</v>
      </c>
      <c r="L1631" s="78" t="s">
        <v>25</v>
      </c>
      <c r="M1631" s="78" t="s">
        <v>26</v>
      </c>
      <c r="N1631" s="14" t="s">
        <v>27</v>
      </c>
      <c r="O1631" s="14" t="s">
        <v>28</v>
      </c>
      <c r="P1631" s="51">
        <v>65</v>
      </c>
      <c r="Q1631" s="47">
        <f t="shared" si="53"/>
        <v>65</v>
      </c>
      <c r="R1631" s="47"/>
      <c r="S1631" s="47"/>
      <c r="T1631" s="47"/>
    </row>
    <row r="1632" customHeight="1" spans="1:20">
      <c r="A1632" s="170">
        <v>33105</v>
      </c>
      <c r="B1632" s="78" t="s">
        <v>2716</v>
      </c>
      <c r="C1632" s="78"/>
      <c r="D1632" s="170">
        <v>1</v>
      </c>
      <c r="E1632" s="171" t="s">
        <v>1002</v>
      </c>
      <c r="F1632" s="44">
        <f t="shared" si="54"/>
        <v>1</v>
      </c>
      <c r="G1632" s="91" t="s">
        <v>2717</v>
      </c>
      <c r="H1632" s="46" t="s">
        <v>18</v>
      </c>
      <c r="I1632" s="47"/>
      <c r="J1632" s="48" t="s">
        <v>42</v>
      </c>
      <c r="K1632" s="198">
        <v>33105</v>
      </c>
      <c r="L1632" s="135" t="s">
        <v>25</v>
      </c>
      <c r="M1632" s="135" t="s">
        <v>26</v>
      </c>
      <c r="N1632" s="14" t="s">
        <v>27</v>
      </c>
      <c r="O1632" s="14" t="s">
        <v>28</v>
      </c>
      <c r="P1632" s="51">
        <v>65</v>
      </c>
      <c r="Q1632" s="47">
        <f t="shared" si="53"/>
        <v>65</v>
      </c>
      <c r="R1632" s="47"/>
      <c r="S1632" s="47"/>
      <c r="T1632" s="47"/>
    </row>
    <row r="1633" customHeight="1" spans="1:20">
      <c r="A1633" s="193" t="s">
        <v>2718</v>
      </c>
      <c r="B1633" s="142" t="s">
        <v>2719</v>
      </c>
      <c r="C1633" s="142"/>
      <c r="D1633" s="166"/>
      <c r="E1633" s="167"/>
      <c r="F1633" s="44">
        <f t="shared" si="54"/>
        <v>0</v>
      </c>
      <c r="G1633" s="131"/>
      <c r="H1633" s="46"/>
      <c r="I1633" s="47"/>
      <c r="J1633" s="48"/>
      <c r="K1633" s="154"/>
      <c r="L1633" s="129"/>
      <c r="M1633" s="129"/>
      <c r="O1633" s="14" t="s">
        <v>28</v>
      </c>
      <c r="P1633" s="51"/>
      <c r="Q1633" s="47">
        <f t="shared" si="53"/>
        <v>0</v>
      </c>
      <c r="R1633" s="47"/>
      <c r="S1633" s="47"/>
      <c r="T1633" s="47"/>
    </row>
    <row r="1634" customHeight="1" spans="1:20">
      <c r="A1634" s="166" t="s">
        <v>2720</v>
      </c>
      <c r="B1634" s="129" t="s">
        <v>2721</v>
      </c>
      <c r="C1634" s="129"/>
      <c r="D1634" s="166">
        <v>1</v>
      </c>
      <c r="E1634" s="167" t="s">
        <v>1002</v>
      </c>
      <c r="F1634" s="44">
        <f t="shared" si="54"/>
        <v>1</v>
      </c>
      <c r="G1634" s="91" t="s">
        <v>2722</v>
      </c>
      <c r="H1634" s="46" t="s">
        <v>18</v>
      </c>
      <c r="I1634" s="47"/>
      <c r="J1634" s="48" t="s">
        <v>42</v>
      </c>
      <c r="K1634" s="198" t="s">
        <v>2720</v>
      </c>
      <c r="L1634" s="135" t="s">
        <v>25</v>
      </c>
      <c r="M1634" s="135" t="s">
        <v>26</v>
      </c>
      <c r="N1634" s="14" t="s">
        <v>27</v>
      </c>
      <c r="O1634" s="14" t="s">
        <v>28</v>
      </c>
      <c r="P1634" s="51">
        <v>330</v>
      </c>
      <c r="Q1634" s="47">
        <f t="shared" si="53"/>
        <v>330</v>
      </c>
      <c r="R1634" s="47"/>
      <c r="S1634" s="47"/>
      <c r="T1634" s="47"/>
    </row>
    <row r="1635" customHeight="1" spans="1:20">
      <c r="A1635" s="166" t="s">
        <v>2723</v>
      </c>
      <c r="B1635" s="129" t="s">
        <v>2724</v>
      </c>
      <c r="C1635" s="129"/>
      <c r="D1635" s="166">
        <v>1</v>
      </c>
      <c r="E1635" s="167" t="s">
        <v>1002</v>
      </c>
      <c r="F1635" s="44">
        <f t="shared" si="54"/>
        <v>1</v>
      </c>
      <c r="G1635" s="85" t="s">
        <v>2725</v>
      </c>
      <c r="H1635" s="46" t="s">
        <v>18</v>
      </c>
      <c r="I1635" s="47"/>
      <c r="J1635" s="48" t="s">
        <v>42</v>
      </c>
      <c r="K1635" s="196" t="s">
        <v>2723</v>
      </c>
      <c r="L1635" s="78" t="s">
        <v>25</v>
      </c>
      <c r="M1635" s="78" t="s">
        <v>26</v>
      </c>
      <c r="N1635" s="14" t="s">
        <v>27</v>
      </c>
      <c r="O1635" s="14" t="s">
        <v>28</v>
      </c>
      <c r="P1635" s="51">
        <v>170</v>
      </c>
      <c r="Q1635" s="47">
        <f t="shared" si="53"/>
        <v>170</v>
      </c>
      <c r="R1635" s="47"/>
      <c r="S1635" s="47"/>
      <c r="T1635" s="47"/>
    </row>
    <row r="1636" customHeight="1" spans="1:20">
      <c r="A1636" s="166" t="s">
        <v>2726</v>
      </c>
      <c r="B1636" s="129" t="s">
        <v>2727</v>
      </c>
      <c r="C1636" s="129"/>
      <c r="D1636" s="166">
        <v>13</v>
      </c>
      <c r="E1636" s="167" t="s">
        <v>1002</v>
      </c>
      <c r="F1636" s="44">
        <f t="shared" si="54"/>
        <v>13</v>
      </c>
      <c r="G1636" s="85" t="s">
        <v>2728</v>
      </c>
      <c r="H1636" s="46" t="s">
        <v>18</v>
      </c>
      <c r="I1636" s="47"/>
      <c r="J1636" s="48" t="s">
        <v>42</v>
      </c>
      <c r="K1636" s="196" t="s">
        <v>2726</v>
      </c>
      <c r="L1636" s="78" t="s">
        <v>25</v>
      </c>
      <c r="M1636" s="78" t="s">
        <v>26</v>
      </c>
      <c r="N1636" s="14" t="s">
        <v>27</v>
      </c>
      <c r="O1636" s="14" t="s">
        <v>28</v>
      </c>
      <c r="P1636" s="51">
        <v>55</v>
      </c>
      <c r="Q1636" s="47">
        <f t="shared" si="53"/>
        <v>715</v>
      </c>
      <c r="R1636" s="47"/>
      <c r="S1636" s="47"/>
      <c r="T1636" s="47"/>
    </row>
    <row r="1637" customHeight="1" spans="1:20">
      <c r="A1637" s="166" t="s">
        <v>2729</v>
      </c>
      <c r="B1637" s="129" t="s">
        <v>2730</v>
      </c>
      <c r="C1637" s="129"/>
      <c r="D1637" s="166">
        <v>1</v>
      </c>
      <c r="E1637" s="167" t="s">
        <v>1002</v>
      </c>
      <c r="F1637" s="44">
        <f t="shared" si="54"/>
        <v>1</v>
      </c>
      <c r="G1637" s="85" t="s">
        <v>2731</v>
      </c>
      <c r="H1637" s="46" t="s">
        <v>18</v>
      </c>
      <c r="I1637" s="47"/>
      <c r="J1637" s="48" t="s">
        <v>42</v>
      </c>
      <c r="K1637" s="196" t="s">
        <v>2729</v>
      </c>
      <c r="L1637" s="78" t="s">
        <v>25</v>
      </c>
      <c r="M1637" s="78" t="s">
        <v>26</v>
      </c>
      <c r="N1637" s="14" t="s">
        <v>27</v>
      </c>
      <c r="O1637" s="14" t="s">
        <v>28</v>
      </c>
      <c r="P1637" s="51">
        <v>110</v>
      </c>
      <c r="Q1637" s="47">
        <f t="shared" si="53"/>
        <v>110</v>
      </c>
      <c r="R1637" s="47"/>
      <c r="S1637" s="47"/>
      <c r="T1637" s="47"/>
    </row>
    <row r="1638" customHeight="1" spans="1:20">
      <c r="A1638" s="166" t="s">
        <v>2732</v>
      </c>
      <c r="B1638" s="129" t="s">
        <v>2733</v>
      </c>
      <c r="C1638" s="129"/>
      <c r="D1638" s="166">
        <v>1</v>
      </c>
      <c r="E1638" s="167" t="s">
        <v>1002</v>
      </c>
      <c r="F1638" s="44">
        <f t="shared" si="54"/>
        <v>1</v>
      </c>
      <c r="G1638" s="85" t="s">
        <v>2734</v>
      </c>
      <c r="H1638" s="46" t="s">
        <v>18</v>
      </c>
      <c r="I1638" s="47"/>
      <c r="J1638" s="48" t="s">
        <v>42</v>
      </c>
      <c r="K1638" s="196" t="s">
        <v>2732</v>
      </c>
      <c r="L1638" s="78" t="s">
        <v>25</v>
      </c>
      <c r="M1638" s="78" t="s">
        <v>26</v>
      </c>
      <c r="N1638" s="14" t="s">
        <v>27</v>
      </c>
      <c r="O1638" s="14" t="s">
        <v>28</v>
      </c>
      <c r="P1638" s="51">
        <v>50</v>
      </c>
      <c r="Q1638" s="47">
        <f t="shared" si="53"/>
        <v>50</v>
      </c>
      <c r="R1638" s="47"/>
      <c r="S1638" s="47"/>
      <c r="T1638" s="47"/>
    </row>
    <row r="1639" customHeight="1" spans="1:20">
      <c r="A1639" s="166" t="s">
        <v>2735</v>
      </c>
      <c r="B1639" s="129" t="s">
        <v>2733</v>
      </c>
      <c r="C1639" s="129"/>
      <c r="D1639" s="166">
        <v>13</v>
      </c>
      <c r="E1639" s="167" t="s">
        <v>1002</v>
      </c>
      <c r="F1639" s="44">
        <f t="shared" si="54"/>
        <v>13</v>
      </c>
      <c r="G1639" s="85" t="s">
        <v>2736</v>
      </c>
      <c r="H1639" s="46" t="s">
        <v>18</v>
      </c>
      <c r="I1639" s="47"/>
      <c r="J1639" s="48" t="s">
        <v>42</v>
      </c>
      <c r="K1639" s="196" t="s">
        <v>2735</v>
      </c>
      <c r="L1639" s="78" t="s">
        <v>25</v>
      </c>
      <c r="M1639" s="78" t="s">
        <v>26</v>
      </c>
      <c r="N1639" s="14" t="s">
        <v>27</v>
      </c>
      <c r="O1639" s="14" t="s">
        <v>28</v>
      </c>
      <c r="P1639" s="51">
        <v>50</v>
      </c>
      <c r="Q1639" s="47">
        <f t="shared" si="53"/>
        <v>650</v>
      </c>
      <c r="R1639" s="47"/>
      <c r="S1639" s="47"/>
      <c r="T1639" s="47"/>
    </row>
    <row r="1640" customHeight="1" spans="1:20">
      <c r="A1640" s="170">
        <v>33209</v>
      </c>
      <c r="B1640" s="78" t="s">
        <v>2737</v>
      </c>
      <c r="C1640" s="78"/>
      <c r="D1640" s="170">
        <v>1</v>
      </c>
      <c r="E1640" s="171" t="s">
        <v>1002</v>
      </c>
      <c r="F1640" s="44">
        <f t="shared" si="54"/>
        <v>1</v>
      </c>
      <c r="G1640" s="85" t="s">
        <v>2738</v>
      </c>
      <c r="H1640" s="46" t="s">
        <v>18</v>
      </c>
      <c r="I1640" s="47"/>
      <c r="J1640" s="48" t="s">
        <v>42</v>
      </c>
      <c r="K1640" s="196">
        <v>33209</v>
      </c>
      <c r="L1640" s="78" t="s">
        <v>25</v>
      </c>
      <c r="M1640" s="78" t="s">
        <v>26</v>
      </c>
      <c r="N1640" s="14" t="s">
        <v>27</v>
      </c>
      <c r="O1640" s="14" t="s">
        <v>28</v>
      </c>
      <c r="P1640" s="51">
        <v>45</v>
      </c>
      <c r="Q1640" s="47">
        <f t="shared" si="53"/>
        <v>45</v>
      </c>
      <c r="R1640" s="47"/>
      <c r="S1640" s="47"/>
      <c r="T1640" s="47"/>
    </row>
    <row r="1641" customHeight="1" spans="1:20">
      <c r="A1641" s="170">
        <v>33210</v>
      </c>
      <c r="B1641" s="78" t="s">
        <v>2739</v>
      </c>
      <c r="C1641" s="78"/>
      <c r="D1641" s="170">
        <v>1</v>
      </c>
      <c r="E1641" s="171" t="s">
        <v>1002</v>
      </c>
      <c r="F1641" s="44">
        <f t="shared" si="54"/>
        <v>1</v>
      </c>
      <c r="G1641" s="85" t="s">
        <v>2740</v>
      </c>
      <c r="H1641" s="46" t="s">
        <v>18</v>
      </c>
      <c r="I1641" s="47"/>
      <c r="J1641" s="48" t="s">
        <v>42</v>
      </c>
      <c r="K1641" s="196">
        <v>33210</v>
      </c>
      <c r="L1641" s="78" t="s">
        <v>25</v>
      </c>
      <c r="M1641" s="78" t="s">
        <v>26</v>
      </c>
      <c r="N1641" s="14" t="s">
        <v>27</v>
      </c>
      <c r="O1641" s="14" t="s">
        <v>28</v>
      </c>
      <c r="P1641" s="51">
        <v>50</v>
      </c>
      <c r="Q1641" s="47">
        <f t="shared" si="53"/>
        <v>50</v>
      </c>
      <c r="R1641" s="47"/>
      <c r="S1641" s="47"/>
      <c r="T1641" s="47"/>
    </row>
    <row r="1642" customHeight="1" spans="1:20">
      <c r="A1642" s="170">
        <v>33211</v>
      </c>
      <c r="B1642" s="78" t="s">
        <v>2741</v>
      </c>
      <c r="C1642" s="78"/>
      <c r="D1642" s="170">
        <v>1</v>
      </c>
      <c r="E1642" s="171" t="s">
        <v>1002</v>
      </c>
      <c r="F1642" s="44">
        <f t="shared" si="54"/>
        <v>1</v>
      </c>
      <c r="G1642" s="85" t="s">
        <v>2742</v>
      </c>
      <c r="H1642" s="46" t="s">
        <v>18</v>
      </c>
      <c r="I1642" s="47"/>
      <c r="J1642" s="48" t="s">
        <v>42</v>
      </c>
      <c r="K1642" s="196">
        <v>33211</v>
      </c>
      <c r="L1642" s="78" t="s">
        <v>25</v>
      </c>
      <c r="M1642" s="78" t="s">
        <v>26</v>
      </c>
      <c r="N1642" s="14" t="s">
        <v>27</v>
      </c>
      <c r="O1642" s="14" t="s">
        <v>28</v>
      </c>
      <c r="P1642" s="51">
        <v>50</v>
      </c>
      <c r="Q1642" s="47">
        <f t="shared" si="53"/>
        <v>50</v>
      </c>
      <c r="R1642" s="47"/>
      <c r="S1642" s="47"/>
      <c r="T1642" s="47"/>
    </row>
    <row r="1643" customHeight="1" spans="1:20">
      <c r="A1643" s="170">
        <v>33212</v>
      </c>
      <c r="B1643" s="78" t="s">
        <v>2743</v>
      </c>
      <c r="C1643" s="78"/>
      <c r="D1643" s="170">
        <v>1</v>
      </c>
      <c r="E1643" s="171" t="s">
        <v>1002</v>
      </c>
      <c r="F1643" s="44">
        <f t="shared" si="54"/>
        <v>1</v>
      </c>
      <c r="G1643" s="85" t="s">
        <v>2744</v>
      </c>
      <c r="H1643" s="46" t="s">
        <v>18</v>
      </c>
      <c r="I1643" s="47"/>
      <c r="J1643" s="48" t="s">
        <v>42</v>
      </c>
      <c r="K1643" s="196">
        <v>33212</v>
      </c>
      <c r="L1643" s="78" t="s">
        <v>25</v>
      </c>
      <c r="M1643" s="78" t="s">
        <v>26</v>
      </c>
      <c r="N1643" s="14" t="s">
        <v>27</v>
      </c>
      <c r="O1643" s="14" t="s">
        <v>28</v>
      </c>
      <c r="P1643" s="51">
        <v>80</v>
      </c>
      <c r="Q1643" s="47">
        <f t="shared" si="53"/>
        <v>80</v>
      </c>
      <c r="R1643" s="47"/>
      <c r="S1643" s="47"/>
      <c r="T1643" s="47"/>
    </row>
    <row r="1644" customHeight="1" spans="1:20">
      <c r="A1644" s="170">
        <v>33213</v>
      </c>
      <c r="B1644" s="78" t="s">
        <v>2745</v>
      </c>
      <c r="C1644" s="78"/>
      <c r="D1644" s="170">
        <v>1</v>
      </c>
      <c r="E1644" s="171" t="s">
        <v>1002</v>
      </c>
      <c r="F1644" s="44">
        <f t="shared" si="54"/>
        <v>1</v>
      </c>
      <c r="G1644" s="85" t="s">
        <v>2746</v>
      </c>
      <c r="H1644" s="46" t="s">
        <v>18</v>
      </c>
      <c r="I1644" s="47"/>
      <c r="J1644" s="48" t="s">
        <v>42</v>
      </c>
      <c r="K1644" s="196">
        <v>33213</v>
      </c>
      <c r="L1644" s="78" t="s">
        <v>25</v>
      </c>
      <c r="M1644" s="78" t="s">
        <v>26</v>
      </c>
      <c r="N1644" s="14" t="s">
        <v>27</v>
      </c>
      <c r="O1644" s="14" t="s">
        <v>28</v>
      </c>
      <c r="P1644" s="51">
        <v>55</v>
      </c>
      <c r="Q1644" s="47">
        <f t="shared" si="53"/>
        <v>55</v>
      </c>
      <c r="R1644" s="47"/>
      <c r="S1644" s="47"/>
      <c r="T1644" s="47"/>
    </row>
    <row r="1645" customHeight="1" spans="1:20">
      <c r="A1645" s="170">
        <v>33214</v>
      </c>
      <c r="B1645" s="78" t="s">
        <v>2747</v>
      </c>
      <c r="C1645" s="78"/>
      <c r="D1645" s="170">
        <v>1</v>
      </c>
      <c r="E1645" s="171" t="s">
        <v>1002</v>
      </c>
      <c r="F1645" s="44">
        <f t="shared" si="54"/>
        <v>1</v>
      </c>
      <c r="G1645" s="85" t="s">
        <v>2748</v>
      </c>
      <c r="H1645" s="46" t="s">
        <v>18</v>
      </c>
      <c r="I1645" s="47"/>
      <c r="J1645" s="48" t="s">
        <v>42</v>
      </c>
      <c r="K1645" s="196">
        <v>33214</v>
      </c>
      <c r="L1645" s="78" t="s">
        <v>25</v>
      </c>
      <c r="M1645" s="78" t="s">
        <v>26</v>
      </c>
      <c r="N1645" s="14" t="s">
        <v>27</v>
      </c>
      <c r="O1645" s="14" t="s">
        <v>28</v>
      </c>
      <c r="P1645" s="51">
        <v>55</v>
      </c>
      <c r="Q1645" s="47">
        <f t="shared" si="53"/>
        <v>55</v>
      </c>
      <c r="R1645" s="47"/>
      <c r="S1645" s="47"/>
      <c r="T1645" s="47"/>
    </row>
    <row r="1646" customHeight="1" spans="1:20">
      <c r="A1646" s="170">
        <v>33215</v>
      </c>
      <c r="B1646" s="78" t="s">
        <v>2749</v>
      </c>
      <c r="C1646" s="78"/>
      <c r="D1646" s="170">
        <v>1</v>
      </c>
      <c r="E1646" s="171" t="s">
        <v>1002</v>
      </c>
      <c r="F1646" s="44">
        <f t="shared" si="54"/>
        <v>1</v>
      </c>
      <c r="G1646" s="85" t="s">
        <v>2750</v>
      </c>
      <c r="H1646" s="46" t="s">
        <v>18</v>
      </c>
      <c r="I1646" s="47"/>
      <c r="J1646" s="48" t="s">
        <v>42</v>
      </c>
      <c r="K1646" s="196">
        <v>33215</v>
      </c>
      <c r="L1646" s="78" t="s">
        <v>25</v>
      </c>
      <c r="M1646" s="78" t="s">
        <v>26</v>
      </c>
      <c r="N1646" s="14" t="s">
        <v>27</v>
      </c>
      <c r="O1646" s="14" t="s">
        <v>28</v>
      </c>
      <c r="P1646" s="51">
        <v>50</v>
      </c>
      <c r="Q1646" s="47">
        <f t="shared" si="53"/>
        <v>50</v>
      </c>
      <c r="R1646" s="47"/>
      <c r="S1646" s="47"/>
      <c r="T1646" s="47"/>
    </row>
    <row r="1647" customHeight="1" spans="1:20">
      <c r="A1647" s="170">
        <v>33216</v>
      </c>
      <c r="B1647" s="78" t="s">
        <v>2751</v>
      </c>
      <c r="C1647" s="78"/>
      <c r="D1647" s="170">
        <v>1</v>
      </c>
      <c r="E1647" s="171" t="s">
        <v>1002</v>
      </c>
      <c r="F1647" s="44">
        <f t="shared" si="54"/>
        <v>1</v>
      </c>
      <c r="G1647" s="82" t="s">
        <v>2752</v>
      </c>
      <c r="H1647" s="46" t="s">
        <v>18</v>
      </c>
      <c r="I1647" s="47"/>
      <c r="J1647" s="48" t="s">
        <v>42</v>
      </c>
      <c r="K1647" s="194">
        <v>33216</v>
      </c>
      <c r="L1647" s="195" t="s">
        <v>25</v>
      </c>
      <c r="M1647" s="195" t="s">
        <v>26</v>
      </c>
      <c r="N1647" s="14" t="s">
        <v>27</v>
      </c>
      <c r="O1647" s="14" t="s">
        <v>28</v>
      </c>
      <c r="P1647" s="51">
        <v>50</v>
      </c>
      <c r="Q1647" s="47">
        <f t="shared" si="53"/>
        <v>50</v>
      </c>
      <c r="R1647" s="47"/>
      <c r="S1647" s="47"/>
      <c r="T1647" s="47"/>
    </row>
    <row r="1648" customHeight="1" spans="1:20">
      <c r="A1648" s="170">
        <v>33217</v>
      </c>
      <c r="B1648" s="78" t="s">
        <v>2753</v>
      </c>
      <c r="C1648" s="78"/>
      <c r="D1648" s="170">
        <v>1</v>
      </c>
      <c r="E1648" s="171" t="s">
        <v>1002</v>
      </c>
      <c r="F1648" s="44">
        <f t="shared" si="54"/>
        <v>1</v>
      </c>
      <c r="G1648" s="85" t="s">
        <v>2754</v>
      </c>
      <c r="H1648" s="46" t="s">
        <v>18</v>
      </c>
      <c r="I1648" s="47"/>
      <c r="J1648" s="48" t="s">
        <v>42</v>
      </c>
      <c r="K1648" s="196">
        <v>33217</v>
      </c>
      <c r="L1648" s="78" t="s">
        <v>25</v>
      </c>
      <c r="M1648" s="78" t="s">
        <v>26</v>
      </c>
      <c r="N1648" s="14" t="s">
        <v>27</v>
      </c>
      <c r="O1648" s="14" t="s">
        <v>28</v>
      </c>
      <c r="P1648" s="51">
        <v>50</v>
      </c>
      <c r="Q1648" s="47">
        <f t="shared" si="53"/>
        <v>50</v>
      </c>
      <c r="R1648" s="47"/>
      <c r="S1648" s="47"/>
      <c r="T1648" s="47"/>
    </row>
    <row r="1649" customHeight="1" spans="1:20">
      <c r="A1649" s="170">
        <v>33218</v>
      </c>
      <c r="B1649" s="78" t="s">
        <v>2755</v>
      </c>
      <c r="C1649" s="78"/>
      <c r="D1649" s="170">
        <v>1</v>
      </c>
      <c r="E1649" s="171" t="s">
        <v>1002</v>
      </c>
      <c r="F1649" s="44">
        <f t="shared" si="54"/>
        <v>1</v>
      </c>
      <c r="G1649" s="85" t="s">
        <v>2756</v>
      </c>
      <c r="H1649" s="46" t="s">
        <v>18</v>
      </c>
      <c r="I1649" s="47"/>
      <c r="J1649" s="48" t="s">
        <v>42</v>
      </c>
      <c r="K1649" s="196">
        <v>33218</v>
      </c>
      <c r="L1649" s="78" t="s">
        <v>25</v>
      </c>
      <c r="M1649" s="78" t="s">
        <v>26</v>
      </c>
      <c r="N1649" s="14" t="s">
        <v>27</v>
      </c>
      <c r="O1649" s="14" t="s">
        <v>28</v>
      </c>
      <c r="P1649" s="51">
        <v>350</v>
      </c>
      <c r="Q1649" s="47">
        <f t="shared" si="53"/>
        <v>350</v>
      </c>
      <c r="R1649" s="47"/>
      <c r="S1649" s="47"/>
      <c r="T1649" s="47"/>
    </row>
    <row r="1650" customHeight="1" spans="1:20">
      <c r="A1650" s="166" t="s">
        <v>2757</v>
      </c>
      <c r="B1650" s="129" t="s">
        <v>2758</v>
      </c>
      <c r="C1650" s="129"/>
      <c r="D1650" s="166">
        <v>1</v>
      </c>
      <c r="E1650" s="167" t="s">
        <v>1002</v>
      </c>
      <c r="F1650" s="44">
        <f t="shared" si="54"/>
        <v>1</v>
      </c>
      <c r="G1650" s="85" t="s">
        <v>2759</v>
      </c>
      <c r="H1650" s="46" t="s">
        <v>18</v>
      </c>
      <c r="I1650" s="47"/>
      <c r="J1650" s="48" t="s">
        <v>42</v>
      </c>
      <c r="K1650" s="196" t="s">
        <v>2757</v>
      </c>
      <c r="L1650" s="78" t="s">
        <v>25</v>
      </c>
      <c r="M1650" s="78" t="s">
        <v>26</v>
      </c>
      <c r="N1650" s="14" t="s">
        <v>27</v>
      </c>
      <c r="O1650" s="14" t="s">
        <v>28</v>
      </c>
      <c r="P1650" s="51">
        <v>160</v>
      </c>
      <c r="Q1650" s="47">
        <f t="shared" si="53"/>
        <v>160</v>
      </c>
      <c r="R1650" s="47"/>
      <c r="S1650" s="47"/>
      <c r="T1650" s="47"/>
    </row>
    <row r="1651" customHeight="1" spans="1:20">
      <c r="A1651" s="166" t="s">
        <v>2760</v>
      </c>
      <c r="B1651" s="129" t="s">
        <v>2761</v>
      </c>
      <c r="C1651" s="129"/>
      <c r="D1651" s="166">
        <v>1</v>
      </c>
      <c r="E1651" s="167" t="s">
        <v>1002</v>
      </c>
      <c r="F1651" s="44">
        <f t="shared" si="54"/>
        <v>1</v>
      </c>
      <c r="G1651" s="85" t="s">
        <v>2762</v>
      </c>
      <c r="H1651" s="46" t="s">
        <v>18</v>
      </c>
      <c r="I1651" s="47"/>
      <c r="J1651" s="48" t="s">
        <v>42</v>
      </c>
      <c r="K1651" s="196" t="s">
        <v>2760</v>
      </c>
      <c r="L1651" s="78" t="s">
        <v>25</v>
      </c>
      <c r="M1651" s="78" t="s">
        <v>26</v>
      </c>
      <c r="N1651" s="14" t="s">
        <v>27</v>
      </c>
      <c r="O1651" s="14" t="s">
        <v>28</v>
      </c>
      <c r="P1651" s="51">
        <v>75</v>
      </c>
      <c r="Q1651" s="47">
        <f t="shared" si="53"/>
        <v>75</v>
      </c>
      <c r="R1651" s="47"/>
      <c r="S1651" s="47"/>
      <c r="T1651" s="47"/>
    </row>
    <row r="1652" customHeight="1" spans="1:20">
      <c r="A1652" s="166" t="s">
        <v>2763</v>
      </c>
      <c r="B1652" s="129" t="s">
        <v>2764</v>
      </c>
      <c r="C1652" s="129"/>
      <c r="D1652" s="166">
        <v>1</v>
      </c>
      <c r="E1652" s="167" t="s">
        <v>1002</v>
      </c>
      <c r="F1652" s="44">
        <f t="shared" si="54"/>
        <v>1</v>
      </c>
      <c r="G1652" s="85" t="s">
        <v>2765</v>
      </c>
      <c r="H1652" s="46" t="s">
        <v>18</v>
      </c>
      <c r="I1652" s="47"/>
      <c r="J1652" s="48" t="s">
        <v>42</v>
      </c>
      <c r="K1652" s="196" t="s">
        <v>2763</v>
      </c>
      <c r="L1652" s="78" t="s">
        <v>25</v>
      </c>
      <c r="M1652" s="78" t="s">
        <v>26</v>
      </c>
      <c r="N1652" s="14" t="s">
        <v>27</v>
      </c>
      <c r="O1652" s="14" t="s">
        <v>28</v>
      </c>
      <c r="P1652" s="51">
        <v>70</v>
      </c>
      <c r="Q1652" s="47">
        <f t="shared" si="53"/>
        <v>70</v>
      </c>
      <c r="R1652" s="47"/>
      <c r="S1652" s="47"/>
      <c r="T1652" s="47"/>
    </row>
    <row r="1653" customHeight="1" spans="1:20">
      <c r="A1653" s="166" t="s">
        <v>2766</v>
      </c>
      <c r="B1653" s="129" t="s">
        <v>2767</v>
      </c>
      <c r="C1653" s="129"/>
      <c r="D1653" s="166">
        <v>1</v>
      </c>
      <c r="E1653" s="167" t="s">
        <v>1002</v>
      </c>
      <c r="F1653" s="44">
        <f t="shared" si="54"/>
        <v>1</v>
      </c>
      <c r="G1653" s="85" t="s">
        <v>2768</v>
      </c>
      <c r="H1653" s="46" t="s">
        <v>18</v>
      </c>
      <c r="I1653" s="47"/>
      <c r="J1653" s="48" t="s">
        <v>42</v>
      </c>
      <c r="K1653" s="196" t="s">
        <v>2766</v>
      </c>
      <c r="L1653" s="78" t="s">
        <v>25</v>
      </c>
      <c r="M1653" s="78" t="s">
        <v>26</v>
      </c>
      <c r="N1653" s="14" t="s">
        <v>27</v>
      </c>
      <c r="O1653" s="14" t="s">
        <v>28</v>
      </c>
      <c r="P1653" s="51">
        <v>55</v>
      </c>
      <c r="Q1653" s="47">
        <f t="shared" si="53"/>
        <v>55</v>
      </c>
      <c r="R1653" s="47"/>
      <c r="S1653" s="47"/>
      <c r="T1653" s="47"/>
    </row>
    <row r="1654" customHeight="1" spans="1:20">
      <c r="A1654" s="166" t="s">
        <v>2769</v>
      </c>
      <c r="B1654" s="129" t="s">
        <v>2770</v>
      </c>
      <c r="C1654" s="129"/>
      <c r="D1654" s="166">
        <v>1</v>
      </c>
      <c r="E1654" s="167" t="s">
        <v>1002</v>
      </c>
      <c r="F1654" s="44">
        <f t="shared" si="54"/>
        <v>1</v>
      </c>
      <c r="G1654" s="85" t="s">
        <v>2771</v>
      </c>
      <c r="H1654" s="46" t="s">
        <v>18</v>
      </c>
      <c r="I1654" s="47"/>
      <c r="J1654" s="48" t="s">
        <v>42</v>
      </c>
      <c r="K1654" s="196" t="s">
        <v>2769</v>
      </c>
      <c r="L1654" s="78" t="s">
        <v>25</v>
      </c>
      <c r="M1654" s="78" t="s">
        <v>26</v>
      </c>
      <c r="N1654" s="14" t="s">
        <v>27</v>
      </c>
      <c r="O1654" s="14" t="s">
        <v>28</v>
      </c>
      <c r="P1654" s="51">
        <v>340</v>
      </c>
      <c r="Q1654" s="47">
        <f t="shared" si="53"/>
        <v>340</v>
      </c>
      <c r="R1654" s="47"/>
      <c r="S1654" s="47"/>
      <c r="T1654" s="47"/>
    </row>
    <row r="1655" customHeight="1" spans="1:20">
      <c r="A1655" s="166" t="s">
        <v>2772</v>
      </c>
      <c r="B1655" s="129" t="s">
        <v>2773</v>
      </c>
      <c r="C1655" s="129"/>
      <c r="D1655" s="166">
        <v>1</v>
      </c>
      <c r="E1655" s="167" t="s">
        <v>1002</v>
      </c>
      <c r="F1655" s="44">
        <f t="shared" si="54"/>
        <v>1</v>
      </c>
      <c r="G1655" s="85" t="s">
        <v>2774</v>
      </c>
      <c r="H1655" s="46" t="s">
        <v>18</v>
      </c>
      <c r="I1655" s="47"/>
      <c r="J1655" s="48" t="s">
        <v>42</v>
      </c>
      <c r="K1655" s="196" t="s">
        <v>2772</v>
      </c>
      <c r="L1655" s="78" t="s">
        <v>25</v>
      </c>
      <c r="M1655" s="78" t="s">
        <v>26</v>
      </c>
      <c r="N1655" s="14" t="s">
        <v>27</v>
      </c>
      <c r="O1655" s="14" t="s">
        <v>28</v>
      </c>
      <c r="P1655" s="51">
        <v>340</v>
      </c>
      <c r="Q1655" s="47">
        <f t="shared" si="53"/>
        <v>340</v>
      </c>
      <c r="R1655" s="47"/>
      <c r="S1655" s="47"/>
      <c r="T1655" s="47"/>
    </row>
    <row r="1656" customHeight="1" spans="1:20">
      <c r="A1656" s="166" t="s">
        <v>2775</v>
      </c>
      <c r="B1656" s="129" t="s">
        <v>2776</v>
      </c>
      <c r="C1656" s="129"/>
      <c r="D1656" s="166">
        <v>1</v>
      </c>
      <c r="E1656" s="167" t="s">
        <v>1002</v>
      </c>
      <c r="F1656" s="44">
        <f t="shared" si="54"/>
        <v>1</v>
      </c>
      <c r="G1656" s="85" t="s">
        <v>2777</v>
      </c>
      <c r="H1656" s="46" t="s">
        <v>18</v>
      </c>
      <c r="I1656" s="47"/>
      <c r="J1656" s="48" t="s">
        <v>42</v>
      </c>
      <c r="K1656" s="196" t="s">
        <v>2775</v>
      </c>
      <c r="L1656" s="78" t="s">
        <v>25</v>
      </c>
      <c r="M1656" s="78" t="s">
        <v>26</v>
      </c>
      <c r="N1656" s="14" t="s">
        <v>27</v>
      </c>
      <c r="O1656" s="14" t="s">
        <v>28</v>
      </c>
      <c r="P1656" s="51">
        <v>340</v>
      </c>
      <c r="Q1656" s="47">
        <f t="shared" si="53"/>
        <v>340</v>
      </c>
      <c r="R1656" s="47"/>
      <c r="S1656" s="47"/>
      <c r="T1656" s="47"/>
    </row>
    <row r="1657" customHeight="1" spans="1:20">
      <c r="A1657" s="166" t="s">
        <v>2778</v>
      </c>
      <c r="B1657" s="129" t="s">
        <v>2779</v>
      </c>
      <c r="C1657" s="129"/>
      <c r="D1657" s="166">
        <v>1</v>
      </c>
      <c r="E1657" s="167" t="s">
        <v>1002</v>
      </c>
      <c r="F1657" s="44">
        <f t="shared" si="54"/>
        <v>1</v>
      </c>
      <c r="G1657" s="82" t="s">
        <v>2780</v>
      </c>
      <c r="H1657" s="46" t="s">
        <v>18</v>
      </c>
      <c r="I1657" s="47"/>
      <c r="J1657" s="48" t="s">
        <v>42</v>
      </c>
      <c r="K1657" s="194" t="s">
        <v>2778</v>
      </c>
      <c r="L1657" s="195" t="s">
        <v>2781</v>
      </c>
      <c r="M1657" s="195" t="s">
        <v>2782</v>
      </c>
      <c r="N1657" s="14" t="s">
        <v>27</v>
      </c>
      <c r="O1657" s="14" t="s">
        <v>28</v>
      </c>
      <c r="P1657" s="51">
        <v>750</v>
      </c>
      <c r="Q1657" s="47">
        <f t="shared" si="53"/>
        <v>750</v>
      </c>
      <c r="R1657" s="47"/>
      <c r="S1657" s="47"/>
      <c r="T1657" s="47"/>
    </row>
    <row r="1658" customHeight="1" spans="1:20">
      <c r="A1658" s="193" t="s">
        <v>2783</v>
      </c>
      <c r="B1658" s="142" t="s">
        <v>2784</v>
      </c>
      <c r="C1658" s="142"/>
      <c r="D1658" s="166"/>
      <c r="E1658" s="167"/>
      <c r="F1658" s="44">
        <f t="shared" si="54"/>
        <v>0</v>
      </c>
      <c r="G1658" s="131"/>
      <c r="H1658" s="46"/>
      <c r="I1658" s="47"/>
      <c r="J1658" s="48"/>
      <c r="K1658" s="154"/>
      <c r="L1658" s="129"/>
      <c r="M1658" s="129"/>
      <c r="O1658" s="14" t="s">
        <v>28</v>
      </c>
      <c r="P1658" s="51"/>
      <c r="Q1658" s="47">
        <f t="shared" si="53"/>
        <v>0</v>
      </c>
      <c r="R1658" s="47"/>
      <c r="S1658" s="47"/>
      <c r="T1658" s="47"/>
    </row>
    <row r="1659" customHeight="1" spans="1:20">
      <c r="A1659" s="166" t="s">
        <v>2785</v>
      </c>
      <c r="B1659" s="129" t="s">
        <v>2512</v>
      </c>
      <c r="C1659" s="129"/>
      <c r="D1659" s="166">
        <v>1</v>
      </c>
      <c r="E1659" s="167" t="s">
        <v>1002</v>
      </c>
      <c r="F1659" s="44">
        <f t="shared" si="54"/>
        <v>1</v>
      </c>
      <c r="G1659" s="85" t="s">
        <v>2786</v>
      </c>
      <c r="H1659" s="46" t="s">
        <v>18</v>
      </c>
      <c r="I1659" s="47"/>
      <c r="J1659" s="48" t="s">
        <v>42</v>
      </c>
      <c r="K1659" s="196" t="s">
        <v>2785</v>
      </c>
      <c r="L1659" s="78" t="s">
        <v>25</v>
      </c>
      <c r="M1659" s="78" t="s">
        <v>26</v>
      </c>
      <c r="N1659" s="14" t="s">
        <v>27</v>
      </c>
      <c r="O1659" s="14" t="s">
        <v>28</v>
      </c>
      <c r="P1659" s="51">
        <v>75</v>
      </c>
      <c r="Q1659" s="47">
        <f t="shared" si="53"/>
        <v>75</v>
      </c>
      <c r="R1659" s="47"/>
      <c r="S1659" s="47"/>
      <c r="T1659" s="47"/>
    </row>
    <row r="1660" customHeight="1" spans="1:20">
      <c r="A1660" s="193" t="s">
        <v>2787</v>
      </c>
      <c r="B1660" s="142" t="s">
        <v>2788</v>
      </c>
      <c r="C1660" s="142"/>
      <c r="D1660" s="166"/>
      <c r="E1660" s="167"/>
      <c r="F1660" s="44">
        <f t="shared" si="54"/>
        <v>0</v>
      </c>
      <c r="G1660" s="131"/>
      <c r="H1660" s="46"/>
      <c r="I1660" s="47"/>
      <c r="J1660" s="48"/>
      <c r="K1660" s="154"/>
      <c r="L1660" s="129"/>
      <c r="M1660" s="129"/>
      <c r="O1660" s="14" t="s">
        <v>28</v>
      </c>
      <c r="P1660" s="51"/>
      <c r="Q1660" s="47">
        <f t="shared" si="53"/>
        <v>0</v>
      </c>
      <c r="R1660" s="47"/>
      <c r="S1660" s="47"/>
      <c r="T1660" s="47"/>
    </row>
    <row r="1661" customHeight="1" spans="1:20">
      <c r="A1661" s="166" t="s">
        <v>2789</v>
      </c>
      <c r="B1661" s="129" t="s">
        <v>2790</v>
      </c>
      <c r="C1661" s="129"/>
      <c r="D1661" s="166">
        <v>1</v>
      </c>
      <c r="E1661" s="167" t="s">
        <v>845</v>
      </c>
      <c r="F1661" s="44">
        <f t="shared" si="54"/>
        <v>1</v>
      </c>
      <c r="G1661" s="85" t="s">
        <v>2791</v>
      </c>
      <c r="H1661" s="46" t="s">
        <v>18</v>
      </c>
      <c r="I1661" s="47"/>
      <c r="J1661" s="48" t="s">
        <v>42</v>
      </c>
      <c r="K1661" s="196" t="s">
        <v>2789</v>
      </c>
      <c r="L1661" s="78" t="s">
        <v>25</v>
      </c>
      <c r="M1661" s="78" t="s">
        <v>26</v>
      </c>
      <c r="N1661" s="14" t="s">
        <v>27</v>
      </c>
      <c r="O1661" s="14" t="s">
        <v>28</v>
      </c>
      <c r="P1661" s="51">
        <v>55</v>
      </c>
      <c r="Q1661" s="47">
        <f t="shared" si="53"/>
        <v>55</v>
      </c>
      <c r="R1661" s="47"/>
      <c r="S1661" s="47"/>
      <c r="T1661" s="47"/>
    </row>
    <row r="1662" customHeight="1" spans="1:20">
      <c r="A1662" s="166" t="s">
        <v>2792</v>
      </c>
      <c r="B1662" s="129" t="s">
        <v>2793</v>
      </c>
      <c r="C1662" s="129"/>
      <c r="D1662" s="166">
        <v>1</v>
      </c>
      <c r="E1662" s="167" t="s">
        <v>845</v>
      </c>
      <c r="F1662" s="44">
        <f t="shared" si="54"/>
        <v>1</v>
      </c>
      <c r="G1662" s="85" t="s">
        <v>2794</v>
      </c>
      <c r="H1662" s="46" t="s">
        <v>18</v>
      </c>
      <c r="I1662" s="47"/>
      <c r="J1662" s="48" t="s">
        <v>42</v>
      </c>
      <c r="K1662" s="196" t="s">
        <v>2792</v>
      </c>
      <c r="L1662" s="78" t="s">
        <v>25</v>
      </c>
      <c r="M1662" s="78" t="s">
        <v>26</v>
      </c>
      <c r="N1662" s="14" t="s">
        <v>27</v>
      </c>
      <c r="O1662" s="14" t="s">
        <v>28</v>
      </c>
      <c r="P1662" s="51">
        <v>50</v>
      </c>
      <c r="Q1662" s="47">
        <f t="shared" si="53"/>
        <v>50</v>
      </c>
      <c r="R1662" s="47"/>
      <c r="S1662" s="47"/>
      <c r="T1662" s="47"/>
    </row>
    <row r="1663" customHeight="1" spans="1:20">
      <c r="A1663" s="166" t="s">
        <v>2795</v>
      </c>
      <c r="B1663" s="129" t="s">
        <v>2796</v>
      </c>
      <c r="C1663" s="129"/>
      <c r="D1663" s="166">
        <v>1</v>
      </c>
      <c r="E1663" s="167" t="s">
        <v>845</v>
      </c>
      <c r="F1663" s="44">
        <f t="shared" si="54"/>
        <v>1</v>
      </c>
      <c r="G1663" s="85" t="s">
        <v>2797</v>
      </c>
      <c r="H1663" s="46" t="s">
        <v>18</v>
      </c>
      <c r="I1663" s="47"/>
      <c r="J1663" s="48" t="s">
        <v>42</v>
      </c>
      <c r="K1663" s="196" t="s">
        <v>2795</v>
      </c>
      <c r="L1663" s="78" t="s">
        <v>25</v>
      </c>
      <c r="M1663" s="78" t="s">
        <v>26</v>
      </c>
      <c r="N1663" s="14" t="s">
        <v>27</v>
      </c>
      <c r="O1663" s="14" t="s">
        <v>28</v>
      </c>
      <c r="P1663" s="51">
        <v>55</v>
      </c>
      <c r="Q1663" s="47">
        <f t="shared" si="53"/>
        <v>55</v>
      </c>
      <c r="R1663" s="47"/>
      <c r="S1663" s="47"/>
      <c r="T1663" s="47"/>
    </row>
    <row r="1664" customHeight="1" spans="1:20">
      <c r="A1664" s="166" t="s">
        <v>2798</v>
      </c>
      <c r="B1664" s="129" t="s">
        <v>2799</v>
      </c>
      <c r="C1664" s="129"/>
      <c r="D1664" s="166">
        <v>1</v>
      </c>
      <c r="E1664" s="167" t="s">
        <v>845</v>
      </c>
      <c r="F1664" s="44">
        <f t="shared" si="54"/>
        <v>1</v>
      </c>
      <c r="G1664" s="85" t="s">
        <v>2800</v>
      </c>
      <c r="H1664" s="46" t="s">
        <v>18</v>
      </c>
      <c r="I1664" s="47"/>
      <c r="J1664" s="48" t="s">
        <v>42</v>
      </c>
      <c r="K1664" s="196" t="s">
        <v>2798</v>
      </c>
      <c r="L1664" s="78" t="s">
        <v>25</v>
      </c>
      <c r="M1664" s="78" t="s">
        <v>26</v>
      </c>
      <c r="N1664" s="14" t="s">
        <v>27</v>
      </c>
      <c r="O1664" s="14" t="s">
        <v>28</v>
      </c>
      <c r="P1664" s="51">
        <v>75</v>
      </c>
      <c r="Q1664" s="47">
        <f t="shared" si="53"/>
        <v>75</v>
      </c>
      <c r="R1664" s="47"/>
      <c r="S1664" s="47"/>
      <c r="T1664" s="47"/>
    </row>
    <row r="1665" customHeight="1" spans="1:20">
      <c r="A1665" s="166" t="s">
        <v>2801</v>
      </c>
      <c r="B1665" s="129" t="s">
        <v>2802</v>
      </c>
      <c r="C1665" s="129"/>
      <c r="D1665" s="166">
        <v>1</v>
      </c>
      <c r="E1665" s="167" t="s">
        <v>845</v>
      </c>
      <c r="F1665" s="44">
        <f t="shared" si="54"/>
        <v>1</v>
      </c>
      <c r="G1665" s="85" t="s">
        <v>2803</v>
      </c>
      <c r="H1665" s="46" t="s">
        <v>18</v>
      </c>
      <c r="I1665" s="47"/>
      <c r="J1665" s="48" t="s">
        <v>42</v>
      </c>
      <c r="K1665" s="196" t="s">
        <v>2801</v>
      </c>
      <c r="L1665" s="78" t="s">
        <v>25</v>
      </c>
      <c r="M1665" s="78" t="s">
        <v>26</v>
      </c>
      <c r="N1665" s="14" t="s">
        <v>27</v>
      </c>
      <c r="O1665" s="14" t="s">
        <v>28</v>
      </c>
      <c r="P1665" s="51">
        <v>75</v>
      </c>
      <c r="Q1665" s="47">
        <f t="shared" si="53"/>
        <v>75</v>
      </c>
      <c r="R1665" s="47"/>
      <c r="S1665" s="47"/>
      <c r="T1665" s="47"/>
    </row>
    <row r="1666" customHeight="1" spans="1:20">
      <c r="A1666" s="166" t="s">
        <v>2804</v>
      </c>
      <c r="B1666" s="129" t="s">
        <v>2805</v>
      </c>
      <c r="C1666" s="129"/>
      <c r="D1666" s="166">
        <v>1</v>
      </c>
      <c r="E1666" s="167" t="s">
        <v>845</v>
      </c>
      <c r="F1666" s="44">
        <f t="shared" si="54"/>
        <v>1</v>
      </c>
      <c r="G1666" s="85" t="s">
        <v>2806</v>
      </c>
      <c r="H1666" s="46" t="s">
        <v>18</v>
      </c>
      <c r="I1666" s="47"/>
      <c r="J1666" s="48" t="s">
        <v>42</v>
      </c>
      <c r="K1666" s="196" t="s">
        <v>2804</v>
      </c>
      <c r="L1666" s="78" t="s">
        <v>25</v>
      </c>
      <c r="M1666" s="78" t="s">
        <v>26</v>
      </c>
      <c r="N1666" s="14" t="s">
        <v>27</v>
      </c>
      <c r="O1666" s="14" t="s">
        <v>28</v>
      </c>
      <c r="P1666" s="51">
        <v>35</v>
      </c>
      <c r="Q1666" s="47">
        <f t="shared" si="53"/>
        <v>35</v>
      </c>
      <c r="R1666" s="47"/>
      <c r="S1666" s="47"/>
      <c r="T1666" s="47"/>
    </row>
    <row r="1667" customHeight="1" spans="1:20">
      <c r="A1667" s="166" t="s">
        <v>2807</v>
      </c>
      <c r="B1667" s="129" t="s">
        <v>2808</v>
      </c>
      <c r="C1667" s="129"/>
      <c r="D1667" s="166">
        <v>1</v>
      </c>
      <c r="E1667" s="167" t="s">
        <v>845</v>
      </c>
      <c r="F1667" s="44">
        <f t="shared" si="54"/>
        <v>1</v>
      </c>
      <c r="G1667" s="85" t="s">
        <v>2809</v>
      </c>
      <c r="H1667" s="46" t="s">
        <v>18</v>
      </c>
      <c r="I1667" s="47"/>
      <c r="J1667" s="48" t="s">
        <v>42</v>
      </c>
      <c r="K1667" s="196" t="s">
        <v>2807</v>
      </c>
      <c r="L1667" s="78" t="s">
        <v>25</v>
      </c>
      <c r="M1667" s="78" t="s">
        <v>26</v>
      </c>
      <c r="N1667" s="14" t="s">
        <v>27</v>
      </c>
      <c r="O1667" s="14" t="s">
        <v>28</v>
      </c>
      <c r="P1667" s="51">
        <v>35</v>
      </c>
      <c r="Q1667" s="47">
        <f t="shared" si="53"/>
        <v>35</v>
      </c>
      <c r="R1667" s="47"/>
      <c r="S1667" s="47"/>
      <c r="T1667" s="47"/>
    </row>
    <row r="1668" customHeight="1" spans="1:20">
      <c r="A1668" s="166" t="s">
        <v>2810</v>
      </c>
      <c r="B1668" s="129" t="s">
        <v>2811</v>
      </c>
      <c r="C1668" s="129"/>
      <c r="D1668" s="166">
        <v>1</v>
      </c>
      <c r="E1668" s="167" t="s">
        <v>845</v>
      </c>
      <c r="F1668" s="44">
        <f t="shared" si="54"/>
        <v>1</v>
      </c>
      <c r="G1668" s="85" t="s">
        <v>2812</v>
      </c>
      <c r="H1668" s="46" t="s">
        <v>18</v>
      </c>
      <c r="I1668" s="47"/>
      <c r="J1668" s="48" t="s">
        <v>42</v>
      </c>
      <c r="K1668" s="196" t="s">
        <v>2810</v>
      </c>
      <c r="L1668" s="78" t="s">
        <v>25</v>
      </c>
      <c r="M1668" s="78" t="s">
        <v>26</v>
      </c>
      <c r="N1668" s="14" t="s">
        <v>27</v>
      </c>
      <c r="O1668" s="14" t="s">
        <v>28</v>
      </c>
      <c r="P1668" s="51">
        <v>130</v>
      </c>
      <c r="Q1668" s="47">
        <f t="shared" ref="Q1668:Q1731" si="55">P1668*F1668</f>
        <v>130</v>
      </c>
      <c r="R1668" s="47"/>
      <c r="S1668" s="47"/>
      <c r="T1668" s="47"/>
    </row>
    <row r="1669" customHeight="1" spans="1:20">
      <c r="A1669" s="166" t="s">
        <v>2813</v>
      </c>
      <c r="B1669" s="129" t="s">
        <v>2814</v>
      </c>
      <c r="C1669" s="129"/>
      <c r="D1669" s="166">
        <v>1</v>
      </c>
      <c r="E1669" s="167" t="s">
        <v>845</v>
      </c>
      <c r="F1669" s="44">
        <f t="shared" si="54"/>
        <v>1</v>
      </c>
      <c r="G1669" s="85" t="s">
        <v>2815</v>
      </c>
      <c r="H1669" s="46" t="s">
        <v>18</v>
      </c>
      <c r="I1669" s="47"/>
      <c r="J1669" s="48" t="s">
        <v>42</v>
      </c>
      <c r="K1669" s="196" t="s">
        <v>2813</v>
      </c>
      <c r="L1669" s="78" t="s">
        <v>25</v>
      </c>
      <c r="M1669" s="78" t="s">
        <v>26</v>
      </c>
      <c r="N1669" s="14" t="s">
        <v>27</v>
      </c>
      <c r="O1669" s="14" t="s">
        <v>28</v>
      </c>
      <c r="P1669" s="51">
        <v>130</v>
      </c>
      <c r="Q1669" s="47">
        <f t="shared" si="55"/>
        <v>130</v>
      </c>
      <c r="R1669" s="47"/>
      <c r="S1669" s="47"/>
      <c r="T1669" s="47"/>
    </row>
    <row r="1670" customHeight="1" spans="1:20">
      <c r="A1670" s="166" t="s">
        <v>2816</v>
      </c>
      <c r="B1670" s="129" t="s">
        <v>2817</v>
      </c>
      <c r="C1670" s="129"/>
      <c r="D1670" s="166">
        <v>1</v>
      </c>
      <c r="E1670" s="167" t="s">
        <v>845</v>
      </c>
      <c r="F1670" s="44">
        <f t="shared" si="54"/>
        <v>1</v>
      </c>
      <c r="G1670" s="85" t="s">
        <v>2818</v>
      </c>
      <c r="H1670" s="46" t="s">
        <v>18</v>
      </c>
      <c r="I1670" s="47"/>
      <c r="J1670" s="48" t="s">
        <v>42</v>
      </c>
      <c r="K1670" s="196" t="s">
        <v>2816</v>
      </c>
      <c r="L1670" s="78" t="s">
        <v>25</v>
      </c>
      <c r="M1670" s="78" t="s">
        <v>26</v>
      </c>
      <c r="N1670" s="14" t="s">
        <v>27</v>
      </c>
      <c r="O1670" s="14" t="s">
        <v>28</v>
      </c>
      <c r="P1670" s="51">
        <v>120</v>
      </c>
      <c r="Q1670" s="47">
        <f t="shared" si="55"/>
        <v>120</v>
      </c>
      <c r="R1670" s="47"/>
      <c r="S1670" s="47"/>
      <c r="T1670" s="47"/>
    </row>
    <row r="1671" customHeight="1" spans="1:20">
      <c r="A1671" s="166" t="s">
        <v>2819</v>
      </c>
      <c r="B1671" s="129" t="s">
        <v>2820</v>
      </c>
      <c r="C1671" s="129"/>
      <c r="D1671" s="166">
        <v>1</v>
      </c>
      <c r="E1671" s="167" t="s">
        <v>845</v>
      </c>
      <c r="F1671" s="44">
        <f t="shared" si="54"/>
        <v>1</v>
      </c>
      <c r="G1671" s="85" t="s">
        <v>2821</v>
      </c>
      <c r="H1671" s="46" t="s">
        <v>18</v>
      </c>
      <c r="I1671" s="47"/>
      <c r="J1671" s="48" t="s">
        <v>42</v>
      </c>
      <c r="K1671" s="196" t="s">
        <v>2819</v>
      </c>
      <c r="L1671" s="78" t="s">
        <v>25</v>
      </c>
      <c r="M1671" s="78" t="s">
        <v>26</v>
      </c>
      <c r="N1671" s="14" t="s">
        <v>27</v>
      </c>
      <c r="O1671" s="14" t="s">
        <v>28</v>
      </c>
      <c r="P1671" s="51">
        <v>120</v>
      </c>
      <c r="Q1671" s="47">
        <f t="shared" si="55"/>
        <v>120</v>
      </c>
      <c r="R1671" s="47"/>
      <c r="S1671" s="47"/>
      <c r="T1671" s="47"/>
    </row>
    <row r="1672" customHeight="1" spans="1:20">
      <c r="A1672" s="166" t="s">
        <v>2822</v>
      </c>
      <c r="B1672" s="129" t="s">
        <v>2823</v>
      </c>
      <c r="C1672" s="129"/>
      <c r="D1672" s="166">
        <v>1</v>
      </c>
      <c r="E1672" s="167" t="s">
        <v>845</v>
      </c>
      <c r="F1672" s="44">
        <f t="shared" si="54"/>
        <v>1</v>
      </c>
      <c r="G1672" s="85" t="s">
        <v>2824</v>
      </c>
      <c r="H1672" s="46" t="s">
        <v>18</v>
      </c>
      <c r="I1672" s="47"/>
      <c r="J1672" s="48" t="s">
        <v>42</v>
      </c>
      <c r="K1672" s="196" t="s">
        <v>2822</v>
      </c>
      <c r="L1672" s="78" t="s">
        <v>25</v>
      </c>
      <c r="M1672" s="78" t="s">
        <v>26</v>
      </c>
      <c r="N1672" s="14" t="s">
        <v>27</v>
      </c>
      <c r="O1672" s="14" t="s">
        <v>28</v>
      </c>
      <c r="P1672" s="51">
        <v>35</v>
      </c>
      <c r="Q1672" s="47">
        <f t="shared" si="55"/>
        <v>35</v>
      </c>
      <c r="R1672" s="47"/>
      <c r="S1672" s="47"/>
      <c r="T1672" s="47"/>
    </row>
    <row r="1673" customHeight="1" spans="1:20">
      <c r="A1673" s="166" t="s">
        <v>2825</v>
      </c>
      <c r="B1673" s="129" t="s">
        <v>2826</v>
      </c>
      <c r="C1673" s="129"/>
      <c r="D1673" s="166">
        <v>1</v>
      </c>
      <c r="E1673" s="167" t="s">
        <v>845</v>
      </c>
      <c r="F1673" s="44">
        <f t="shared" si="54"/>
        <v>1</v>
      </c>
      <c r="G1673" s="85" t="s">
        <v>2827</v>
      </c>
      <c r="H1673" s="46" t="s">
        <v>18</v>
      </c>
      <c r="I1673" s="47"/>
      <c r="J1673" s="48" t="s">
        <v>42</v>
      </c>
      <c r="K1673" s="196" t="s">
        <v>2825</v>
      </c>
      <c r="L1673" s="78" t="s">
        <v>25</v>
      </c>
      <c r="M1673" s="78" t="s">
        <v>26</v>
      </c>
      <c r="N1673" s="14" t="s">
        <v>27</v>
      </c>
      <c r="O1673" s="14" t="s">
        <v>28</v>
      </c>
      <c r="P1673" s="51">
        <v>35</v>
      </c>
      <c r="Q1673" s="47">
        <f t="shared" si="55"/>
        <v>35</v>
      </c>
      <c r="R1673" s="47"/>
      <c r="S1673" s="47"/>
      <c r="T1673" s="47"/>
    </row>
    <row r="1674" customHeight="1" spans="1:20">
      <c r="A1674" s="166" t="s">
        <v>2828</v>
      </c>
      <c r="B1674" s="129" t="s">
        <v>2829</v>
      </c>
      <c r="C1674" s="129"/>
      <c r="D1674" s="166">
        <v>1</v>
      </c>
      <c r="E1674" s="167" t="s">
        <v>845</v>
      </c>
      <c r="F1674" s="44">
        <f t="shared" si="54"/>
        <v>1</v>
      </c>
      <c r="G1674" s="85" t="s">
        <v>2830</v>
      </c>
      <c r="H1674" s="46" t="s">
        <v>18</v>
      </c>
      <c r="I1674" s="47"/>
      <c r="J1674" s="48" t="s">
        <v>42</v>
      </c>
      <c r="K1674" s="196" t="s">
        <v>2828</v>
      </c>
      <c r="L1674" s="78" t="s">
        <v>25</v>
      </c>
      <c r="M1674" s="78" t="s">
        <v>26</v>
      </c>
      <c r="N1674" s="14" t="s">
        <v>27</v>
      </c>
      <c r="O1674" s="14" t="s">
        <v>28</v>
      </c>
      <c r="P1674" s="51">
        <v>35</v>
      </c>
      <c r="Q1674" s="47">
        <f t="shared" si="55"/>
        <v>35</v>
      </c>
      <c r="R1674" s="47"/>
      <c r="S1674" s="47"/>
      <c r="T1674" s="47"/>
    </row>
    <row r="1675" customHeight="1" spans="1:20">
      <c r="A1675" s="166" t="s">
        <v>2831</v>
      </c>
      <c r="B1675" s="129" t="s">
        <v>2832</v>
      </c>
      <c r="C1675" s="129"/>
      <c r="D1675" s="166">
        <v>1</v>
      </c>
      <c r="E1675" s="167" t="s">
        <v>845</v>
      </c>
      <c r="F1675" s="44">
        <f t="shared" si="54"/>
        <v>1</v>
      </c>
      <c r="G1675" s="85" t="s">
        <v>2833</v>
      </c>
      <c r="H1675" s="46" t="s">
        <v>18</v>
      </c>
      <c r="I1675" s="47"/>
      <c r="J1675" s="48" t="s">
        <v>42</v>
      </c>
      <c r="K1675" s="196" t="s">
        <v>2831</v>
      </c>
      <c r="L1675" s="78" t="s">
        <v>25</v>
      </c>
      <c r="M1675" s="78" t="s">
        <v>26</v>
      </c>
      <c r="N1675" s="14" t="s">
        <v>27</v>
      </c>
      <c r="O1675" s="14" t="s">
        <v>28</v>
      </c>
      <c r="P1675" s="51">
        <v>35</v>
      </c>
      <c r="Q1675" s="47">
        <f t="shared" si="55"/>
        <v>35</v>
      </c>
      <c r="R1675" s="47"/>
      <c r="S1675" s="47"/>
      <c r="T1675" s="47"/>
    </row>
    <row r="1676" customHeight="1" spans="1:20">
      <c r="A1676" s="166" t="s">
        <v>2834</v>
      </c>
      <c r="B1676" s="129" t="s">
        <v>2835</v>
      </c>
      <c r="C1676" s="129"/>
      <c r="D1676" s="166">
        <v>1</v>
      </c>
      <c r="E1676" s="167" t="s">
        <v>845</v>
      </c>
      <c r="F1676" s="44">
        <f t="shared" si="54"/>
        <v>1</v>
      </c>
      <c r="G1676" s="85" t="s">
        <v>2836</v>
      </c>
      <c r="H1676" s="46" t="s">
        <v>18</v>
      </c>
      <c r="I1676" s="47"/>
      <c r="J1676" s="48" t="s">
        <v>42</v>
      </c>
      <c r="K1676" s="196" t="s">
        <v>2834</v>
      </c>
      <c r="L1676" s="78" t="s">
        <v>25</v>
      </c>
      <c r="M1676" s="78" t="s">
        <v>26</v>
      </c>
      <c r="N1676" s="14" t="s">
        <v>27</v>
      </c>
      <c r="O1676" s="14" t="s">
        <v>28</v>
      </c>
      <c r="P1676" s="51">
        <v>35</v>
      </c>
      <c r="Q1676" s="47">
        <f t="shared" si="55"/>
        <v>35</v>
      </c>
      <c r="R1676" s="47"/>
      <c r="S1676" s="47"/>
      <c r="T1676" s="47"/>
    </row>
    <row r="1677" customHeight="1" spans="1:20">
      <c r="A1677" s="166" t="s">
        <v>2837</v>
      </c>
      <c r="B1677" s="129" t="s">
        <v>2838</v>
      </c>
      <c r="C1677" s="129"/>
      <c r="D1677" s="166">
        <v>1</v>
      </c>
      <c r="E1677" s="167" t="s">
        <v>845</v>
      </c>
      <c r="F1677" s="44">
        <f t="shared" si="54"/>
        <v>1</v>
      </c>
      <c r="G1677" s="85" t="s">
        <v>2839</v>
      </c>
      <c r="H1677" s="46" t="s">
        <v>18</v>
      </c>
      <c r="I1677" s="47"/>
      <c r="J1677" s="48" t="s">
        <v>42</v>
      </c>
      <c r="K1677" s="196" t="s">
        <v>2837</v>
      </c>
      <c r="L1677" s="78" t="s">
        <v>25</v>
      </c>
      <c r="M1677" s="78" t="s">
        <v>26</v>
      </c>
      <c r="N1677" s="14" t="s">
        <v>27</v>
      </c>
      <c r="O1677" s="14" t="s">
        <v>28</v>
      </c>
      <c r="P1677" s="51">
        <v>120</v>
      </c>
      <c r="Q1677" s="47">
        <f t="shared" si="55"/>
        <v>120</v>
      </c>
      <c r="R1677" s="47"/>
      <c r="S1677" s="47"/>
      <c r="T1677" s="47"/>
    </row>
    <row r="1678" customHeight="1" spans="1:20">
      <c r="A1678" s="166" t="s">
        <v>2840</v>
      </c>
      <c r="B1678" s="129" t="s">
        <v>2841</v>
      </c>
      <c r="C1678" s="129"/>
      <c r="D1678" s="166">
        <v>1</v>
      </c>
      <c r="E1678" s="167" t="s">
        <v>845</v>
      </c>
      <c r="F1678" s="44">
        <f t="shared" si="54"/>
        <v>1</v>
      </c>
      <c r="G1678" s="85" t="s">
        <v>2842</v>
      </c>
      <c r="H1678" s="46" t="s">
        <v>18</v>
      </c>
      <c r="I1678" s="47"/>
      <c r="J1678" s="48" t="s">
        <v>42</v>
      </c>
      <c r="K1678" s="196" t="s">
        <v>2840</v>
      </c>
      <c r="L1678" s="78" t="s">
        <v>25</v>
      </c>
      <c r="M1678" s="78" t="s">
        <v>26</v>
      </c>
      <c r="N1678" s="14" t="s">
        <v>27</v>
      </c>
      <c r="O1678" s="14" t="s">
        <v>28</v>
      </c>
      <c r="P1678" s="51">
        <v>35</v>
      </c>
      <c r="Q1678" s="47">
        <f t="shared" si="55"/>
        <v>35</v>
      </c>
      <c r="R1678" s="47"/>
      <c r="S1678" s="47"/>
      <c r="T1678" s="47"/>
    </row>
    <row r="1679" customHeight="1" spans="1:20">
      <c r="A1679" s="166" t="s">
        <v>2843</v>
      </c>
      <c r="B1679" s="129" t="s">
        <v>2844</v>
      </c>
      <c r="C1679" s="129"/>
      <c r="D1679" s="166">
        <v>1</v>
      </c>
      <c r="E1679" s="167" t="s">
        <v>845</v>
      </c>
      <c r="F1679" s="44">
        <f t="shared" si="54"/>
        <v>1</v>
      </c>
      <c r="G1679" s="85" t="s">
        <v>2845</v>
      </c>
      <c r="H1679" s="46" t="s">
        <v>18</v>
      </c>
      <c r="I1679" s="47"/>
      <c r="J1679" s="48" t="s">
        <v>42</v>
      </c>
      <c r="K1679" s="196" t="s">
        <v>2843</v>
      </c>
      <c r="L1679" s="78" t="s">
        <v>25</v>
      </c>
      <c r="M1679" s="78" t="s">
        <v>26</v>
      </c>
      <c r="N1679" s="14" t="s">
        <v>27</v>
      </c>
      <c r="O1679" s="14" t="s">
        <v>28</v>
      </c>
      <c r="P1679" s="51">
        <v>35</v>
      </c>
      <c r="Q1679" s="47">
        <f t="shared" si="55"/>
        <v>35</v>
      </c>
      <c r="R1679" s="47"/>
      <c r="S1679" s="47"/>
      <c r="T1679" s="47"/>
    </row>
    <row r="1680" customHeight="1" spans="1:20">
      <c r="A1680" s="193" t="s">
        <v>2846</v>
      </c>
      <c r="B1680" s="142" t="s">
        <v>2847</v>
      </c>
      <c r="C1680" s="142"/>
      <c r="D1680" s="166"/>
      <c r="E1680" s="167"/>
      <c r="F1680" s="44">
        <f t="shared" si="54"/>
        <v>0</v>
      </c>
      <c r="G1680" s="131"/>
      <c r="H1680" s="46"/>
      <c r="I1680" s="47"/>
      <c r="J1680" s="48"/>
      <c r="K1680" s="154"/>
      <c r="L1680" s="129"/>
      <c r="M1680" s="129"/>
      <c r="O1680" s="14" t="s">
        <v>28</v>
      </c>
      <c r="P1680" s="51"/>
      <c r="Q1680" s="47">
        <f t="shared" si="55"/>
        <v>0</v>
      </c>
      <c r="R1680" s="47"/>
      <c r="S1680" s="47"/>
      <c r="T1680" s="47"/>
    </row>
    <row r="1681" customHeight="1" spans="1:20">
      <c r="A1681" s="166" t="s">
        <v>2848</v>
      </c>
      <c r="B1681" s="129" t="s">
        <v>2849</v>
      </c>
      <c r="C1681" s="129"/>
      <c r="D1681" s="166">
        <v>1</v>
      </c>
      <c r="E1681" s="167" t="s">
        <v>169</v>
      </c>
      <c r="F1681" s="44">
        <f t="shared" si="54"/>
        <v>1</v>
      </c>
      <c r="G1681" s="85" t="s">
        <v>2850</v>
      </c>
      <c r="H1681" s="46" t="s">
        <v>18</v>
      </c>
      <c r="I1681" s="47"/>
      <c r="J1681" s="48" t="s">
        <v>42</v>
      </c>
      <c r="K1681" s="196" t="s">
        <v>2848</v>
      </c>
      <c r="L1681" s="78" t="s">
        <v>25</v>
      </c>
      <c r="M1681" s="78" t="s">
        <v>26</v>
      </c>
      <c r="N1681" s="14" t="s">
        <v>27</v>
      </c>
      <c r="O1681" s="14" t="s">
        <v>28</v>
      </c>
      <c r="P1681" s="51">
        <v>35</v>
      </c>
      <c r="Q1681" s="47">
        <f t="shared" si="55"/>
        <v>35</v>
      </c>
      <c r="R1681" s="47"/>
      <c r="S1681" s="47"/>
      <c r="T1681" s="47"/>
    </row>
    <row r="1682" customHeight="1" spans="1:20">
      <c r="A1682" s="166" t="s">
        <v>2851</v>
      </c>
      <c r="B1682" s="129" t="s">
        <v>2852</v>
      </c>
      <c r="C1682" s="129"/>
      <c r="D1682" s="166">
        <v>1</v>
      </c>
      <c r="E1682" s="167" t="s">
        <v>169</v>
      </c>
      <c r="F1682" s="44">
        <f t="shared" si="54"/>
        <v>1</v>
      </c>
      <c r="G1682" s="85" t="s">
        <v>2853</v>
      </c>
      <c r="H1682" s="46" t="s">
        <v>18</v>
      </c>
      <c r="I1682" s="47"/>
      <c r="J1682" s="48" t="s">
        <v>42</v>
      </c>
      <c r="K1682" s="196" t="s">
        <v>2851</v>
      </c>
      <c r="L1682" s="78" t="s">
        <v>25</v>
      </c>
      <c r="M1682" s="78" t="s">
        <v>26</v>
      </c>
      <c r="N1682" s="14" t="s">
        <v>27</v>
      </c>
      <c r="O1682" s="14" t="s">
        <v>28</v>
      </c>
      <c r="P1682" s="51">
        <v>35</v>
      </c>
      <c r="Q1682" s="47">
        <f t="shared" si="55"/>
        <v>35</v>
      </c>
      <c r="R1682" s="47"/>
      <c r="S1682" s="47"/>
      <c r="T1682" s="47"/>
    </row>
    <row r="1683" customHeight="1" spans="1:20">
      <c r="A1683" s="170">
        <v>43103</v>
      </c>
      <c r="B1683" s="78" t="s">
        <v>2854</v>
      </c>
      <c r="C1683" s="78"/>
      <c r="D1683" s="170">
        <v>1</v>
      </c>
      <c r="E1683" s="171" t="s">
        <v>169</v>
      </c>
      <c r="F1683" s="44">
        <f t="shared" si="54"/>
        <v>1</v>
      </c>
      <c r="G1683" s="85" t="s">
        <v>2855</v>
      </c>
      <c r="H1683" s="46" t="s">
        <v>18</v>
      </c>
      <c r="I1683" s="47"/>
      <c r="J1683" s="48" t="s">
        <v>42</v>
      </c>
      <c r="K1683" s="196">
        <v>43103</v>
      </c>
      <c r="L1683" s="78" t="s">
        <v>25</v>
      </c>
      <c r="M1683" s="78" t="s">
        <v>26</v>
      </c>
      <c r="N1683" s="14" t="s">
        <v>27</v>
      </c>
      <c r="O1683" s="14" t="s">
        <v>28</v>
      </c>
      <c r="P1683" s="51">
        <v>35</v>
      </c>
      <c r="Q1683" s="47">
        <f t="shared" si="55"/>
        <v>35</v>
      </c>
      <c r="R1683" s="47"/>
      <c r="S1683" s="47"/>
      <c r="T1683" s="47"/>
    </row>
    <row r="1684" customHeight="1" spans="1:20">
      <c r="A1684" s="166" t="s">
        <v>2856</v>
      </c>
      <c r="B1684" s="129" t="s">
        <v>2857</v>
      </c>
      <c r="C1684" s="129"/>
      <c r="D1684" s="166">
        <v>1</v>
      </c>
      <c r="E1684" s="167" t="s">
        <v>169</v>
      </c>
      <c r="F1684" s="44">
        <f t="shared" si="54"/>
        <v>1</v>
      </c>
      <c r="G1684" s="85" t="s">
        <v>2858</v>
      </c>
      <c r="H1684" s="46" t="s">
        <v>18</v>
      </c>
      <c r="I1684" s="47"/>
      <c r="J1684" s="48" t="s">
        <v>42</v>
      </c>
      <c r="K1684" s="196" t="s">
        <v>2856</v>
      </c>
      <c r="L1684" s="78" t="s">
        <v>25</v>
      </c>
      <c r="M1684" s="78" t="s">
        <v>26</v>
      </c>
      <c r="N1684" s="14" t="s">
        <v>27</v>
      </c>
      <c r="O1684" s="14" t="s">
        <v>28</v>
      </c>
      <c r="P1684" s="51">
        <v>35</v>
      </c>
      <c r="Q1684" s="47">
        <f t="shared" si="55"/>
        <v>35</v>
      </c>
      <c r="R1684" s="47"/>
      <c r="S1684" s="47"/>
      <c r="T1684" s="47"/>
    </row>
    <row r="1685" customHeight="1" spans="1:20">
      <c r="A1685" s="166" t="s">
        <v>2859</v>
      </c>
      <c r="B1685" s="129" t="s">
        <v>2860</v>
      </c>
      <c r="C1685" s="129"/>
      <c r="D1685" s="166">
        <v>1</v>
      </c>
      <c r="E1685" s="167" t="s">
        <v>169</v>
      </c>
      <c r="F1685" s="44">
        <f t="shared" si="54"/>
        <v>1</v>
      </c>
      <c r="G1685" s="85" t="s">
        <v>2861</v>
      </c>
      <c r="H1685" s="46" t="s">
        <v>18</v>
      </c>
      <c r="I1685" s="47"/>
      <c r="J1685" s="48" t="s">
        <v>42</v>
      </c>
      <c r="K1685" s="196" t="s">
        <v>2859</v>
      </c>
      <c r="L1685" s="78" t="s">
        <v>25</v>
      </c>
      <c r="M1685" s="78" t="s">
        <v>26</v>
      </c>
      <c r="N1685" s="14" t="s">
        <v>27</v>
      </c>
      <c r="O1685" s="14" t="s">
        <v>28</v>
      </c>
      <c r="P1685" s="51">
        <v>35</v>
      </c>
      <c r="Q1685" s="47">
        <f t="shared" si="55"/>
        <v>35</v>
      </c>
      <c r="R1685" s="47"/>
      <c r="S1685" s="47"/>
      <c r="T1685" s="47"/>
    </row>
    <row r="1686" customHeight="1" spans="1:20">
      <c r="A1686" s="166" t="s">
        <v>2862</v>
      </c>
      <c r="B1686" s="129" t="s">
        <v>2863</v>
      </c>
      <c r="C1686" s="129"/>
      <c r="D1686" s="166">
        <v>1</v>
      </c>
      <c r="E1686" s="167" t="s">
        <v>169</v>
      </c>
      <c r="F1686" s="44">
        <f t="shared" si="54"/>
        <v>1</v>
      </c>
      <c r="G1686" s="85" t="s">
        <v>2864</v>
      </c>
      <c r="H1686" s="46" t="s">
        <v>18</v>
      </c>
      <c r="I1686" s="47"/>
      <c r="J1686" s="48" t="s">
        <v>42</v>
      </c>
      <c r="K1686" s="196" t="s">
        <v>2862</v>
      </c>
      <c r="L1686" s="78" t="s">
        <v>25</v>
      </c>
      <c r="M1686" s="78" t="s">
        <v>26</v>
      </c>
      <c r="N1686" s="14" t="s">
        <v>27</v>
      </c>
      <c r="O1686" s="14" t="s">
        <v>28</v>
      </c>
      <c r="P1686" s="51">
        <v>120</v>
      </c>
      <c r="Q1686" s="47">
        <f t="shared" si="55"/>
        <v>120</v>
      </c>
      <c r="R1686" s="47"/>
      <c r="S1686" s="47"/>
      <c r="T1686" s="47"/>
    </row>
    <row r="1687" customHeight="1" spans="1:20">
      <c r="A1687" s="166" t="s">
        <v>2865</v>
      </c>
      <c r="B1687" s="129" t="s">
        <v>2866</v>
      </c>
      <c r="C1687" s="129"/>
      <c r="D1687" s="166">
        <v>1</v>
      </c>
      <c r="E1687" s="167" t="s">
        <v>169</v>
      </c>
      <c r="F1687" s="44">
        <f t="shared" si="54"/>
        <v>1</v>
      </c>
      <c r="G1687" s="85" t="s">
        <v>2867</v>
      </c>
      <c r="H1687" s="46" t="s">
        <v>18</v>
      </c>
      <c r="I1687" s="47"/>
      <c r="J1687" s="48" t="s">
        <v>42</v>
      </c>
      <c r="K1687" s="196" t="s">
        <v>2865</v>
      </c>
      <c r="L1687" s="78" t="s">
        <v>25</v>
      </c>
      <c r="M1687" s="78" t="s">
        <v>26</v>
      </c>
      <c r="N1687" s="14" t="s">
        <v>27</v>
      </c>
      <c r="O1687" s="14" t="s">
        <v>28</v>
      </c>
      <c r="P1687" s="51">
        <v>60</v>
      </c>
      <c r="Q1687" s="47">
        <f t="shared" si="55"/>
        <v>60</v>
      </c>
      <c r="R1687" s="47"/>
      <c r="S1687" s="47"/>
      <c r="T1687" s="47"/>
    </row>
    <row r="1688" customHeight="1" spans="1:20">
      <c r="A1688" s="166" t="s">
        <v>2868</v>
      </c>
      <c r="B1688" s="129" t="s">
        <v>2869</v>
      </c>
      <c r="C1688" s="129"/>
      <c r="D1688" s="166">
        <v>1</v>
      </c>
      <c r="E1688" s="167" t="s">
        <v>169</v>
      </c>
      <c r="F1688" s="44">
        <f t="shared" si="54"/>
        <v>1</v>
      </c>
      <c r="G1688" s="85" t="s">
        <v>2870</v>
      </c>
      <c r="H1688" s="46" t="s">
        <v>18</v>
      </c>
      <c r="I1688" s="47"/>
      <c r="J1688" s="48" t="s">
        <v>42</v>
      </c>
      <c r="K1688" s="196" t="s">
        <v>2868</v>
      </c>
      <c r="L1688" s="78" t="s">
        <v>25</v>
      </c>
      <c r="M1688" s="78" t="s">
        <v>26</v>
      </c>
      <c r="N1688" s="14" t="s">
        <v>27</v>
      </c>
      <c r="O1688" s="14" t="s">
        <v>28</v>
      </c>
      <c r="P1688" s="51">
        <v>55</v>
      </c>
      <c r="Q1688" s="47">
        <f t="shared" si="55"/>
        <v>55</v>
      </c>
      <c r="R1688" s="47"/>
      <c r="S1688" s="47"/>
      <c r="T1688" s="47"/>
    </row>
    <row r="1689" customHeight="1" spans="1:20">
      <c r="A1689" s="166" t="s">
        <v>2871</v>
      </c>
      <c r="B1689" s="129" t="s">
        <v>2872</v>
      </c>
      <c r="C1689" s="129"/>
      <c r="D1689" s="166">
        <v>1</v>
      </c>
      <c r="E1689" s="167" t="s">
        <v>169</v>
      </c>
      <c r="F1689" s="44">
        <f t="shared" ref="F1689:F1752" si="56">D1689*1</f>
        <v>1</v>
      </c>
      <c r="G1689" s="85" t="s">
        <v>2873</v>
      </c>
      <c r="H1689" s="46" t="s">
        <v>18</v>
      </c>
      <c r="I1689" s="47"/>
      <c r="J1689" s="48" t="s">
        <v>42</v>
      </c>
      <c r="K1689" s="196" t="s">
        <v>2871</v>
      </c>
      <c r="L1689" s="78" t="s">
        <v>25</v>
      </c>
      <c r="M1689" s="78" t="s">
        <v>26</v>
      </c>
      <c r="N1689" s="14" t="s">
        <v>27</v>
      </c>
      <c r="O1689" s="14" t="s">
        <v>28</v>
      </c>
      <c r="P1689" s="51">
        <v>120</v>
      </c>
      <c r="Q1689" s="47">
        <f t="shared" si="55"/>
        <v>120</v>
      </c>
      <c r="R1689" s="47"/>
      <c r="S1689" s="47"/>
      <c r="T1689" s="47"/>
    </row>
    <row r="1690" customHeight="1" spans="1:20">
      <c r="A1690" s="170">
        <v>43110</v>
      </c>
      <c r="B1690" s="78" t="s">
        <v>2526</v>
      </c>
      <c r="C1690" s="78"/>
      <c r="D1690" s="166">
        <v>13</v>
      </c>
      <c r="E1690" s="171" t="s">
        <v>32</v>
      </c>
      <c r="F1690" s="44">
        <f t="shared" si="56"/>
        <v>13</v>
      </c>
      <c r="G1690" s="85" t="s">
        <v>2874</v>
      </c>
      <c r="H1690" s="46" t="s">
        <v>18</v>
      </c>
      <c r="I1690" s="47"/>
      <c r="J1690" s="48" t="s">
        <v>42</v>
      </c>
      <c r="K1690" s="196">
        <v>43110</v>
      </c>
      <c r="L1690" s="78" t="s">
        <v>25</v>
      </c>
      <c r="M1690" s="78" t="s">
        <v>26</v>
      </c>
      <c r="N1690" s="14" t="s">
        <v>27</v>
      </c>
      <c r="O1690" s="14" t="s">
        <v>28</v>
      </c>
      <c r="P1690" s="51">
        <v>35</v>
      </c>
      <c r="Q1690" s="47">
        <f t="shared" si="55"/>
        <v>455</v>
      </c>
      <c r="R1690" s="47"/>
      <c r="S1690" s="47"/>
      <c r="T1690" s="47"/>
    </row>
    <row r="1691" customHeight="1" spans="1:20">
      <c r="A1691" s="166" t="s">
        <v>2875</v>
      </c>
      <c r="B1691" s="129" t="s">
        <v>2876</v>
      </c>
      <c r="C1691" s="129"/>
      <c r="D1691" s="166">
        <v>1</v>
      </c>
      <c r="E1691" s="167" t="s">
        <v>32</v>
      </c>
      <c r="F1691" s="44">
        <f t="shared" si="56"/>
        <v>1</v>
      </c>
      <c r="G1691" s="85" t="s">
        <v>2877</v>
      </c>
      <c r="H1691" s="46" t="s">
        <v>18</v>
      </c>
      <c r="I1691" s="47"/>
      <c r="J1691" s="48" t="s">
        <v>42</v>
      </c>
      <c r="K1691" s="196" t="s">
        <v>2875</v>
      </c>
      <c r="L1691" s="78" t="s">
        <v>25</v>
      </c>
      <c r="M1691" s="78" t="s">
        <v>26</v>
      </c>
      <c r="N1691" s="14" t="s">
        <v>27</v>
      </c>
      <c r="O1691" s="14" t="s">
        <v>28</v>
      </c>
      <c r="P1691" s="51">
        <v>35</v>
      </c>
      <c r="Q1691" s="47">
        <f t="shared" si="55"/>
        <v>35</v>
      </c>
      <c r="R1691" s="47"/>
      <c r="S1691" s="47"/>
      <c r="T1691" s="47"/>
    </row>
    <row r="1692" customHeight="1" spans="1:20">
      <c r="A1692" s="166" t="s">
        <v>2878</v>
      </c>
      <c r="B1692" s="129" t="s">
        <v>2879</v>
      </c>
      <c r="C1692" s="129"/>
      <c r="D1692" s="166">
        <v>1</v>
      </c>
      <c r="E1692" s="167" t="s">
        <v>32</v>
      </c>
      <c r="F1692" s="44">
        <f t="shared" si="56"/>
        <v>1</v>
      </c>
      <c r="G1692" s="85" t="s">
        <v>2880</v>
      </c>
      <c r="H1692" s="46" t="s">
        <v>18</v>
      </c>
      <c r="I1692" s="47"/>
      <c r="J1692" s="48" t="s">
        <v>42</v>
      </c>
      <c r="K1692" s="196" t="s">
        <v>2878</v>
      </c>
      <c r="L1692" s="78" t="s">
        <v>25</v>
      </c>
      <c r="M1692" s="78" t="s">
        <v>26</v>
      </c>
      <c r="N1692" s="14" t="s">
        <v>27</v>
      </c>
      <c r="O1692" s="14" t="s">
        <v>28</v>
      </c>
      <c r="P1692" s="51">
        <v>35</v>
      </c>
      <c r="Q1692" s="47">
        <f t="shared" si="55"/>
        <v>35</v>
      </c>
      <c r="R1692" s="47"/>
      <c r="S1692" s="47"/>
      <c r="T1692" s="47"/>
    </row>
    <row r="1693" customHeight="1" spans="1:20">
      <c r="A1693" s="170">
        <v>43115</v>
      </c>
      <c r="B1693" s="78" t="s">
        <v>2881</v>
      </c>
      <c r="C1693" s="78"/>
      <c r="D1693" s="170">
        <v>1</v>
      </c>
      <c r="E1693" s="171" t="s">
        <v>169</v>
      </c>
      <c r="F1693" s="44">
        <f t="shared" si="56"/>
        <v>1</v>
      </c>
      <c r="G1693" s="85" t="s">
        <v>2882</v>
      </c>
      <c r="H1693" s="46" t="s">
        <v>18</v>
      </c>
      <c r="I1693" s="47"/>
      <c r="J1693" s="48" t="s">
        <v>42</v>
      </c>
      <c r="K1693" s="196">
        <v>43115</v>
      </c>
      <c r="L1693" s="78" t="s">
        <v>25</v>
      </c>
      <c r="M1693" s="78" t="s">
        <v>26</v>
      </c>
      <c r="N1693" s="14" t="s">
        <v>27</v>
      </c>
      <c r="O1693" s="14" t="s">
        <v>28</v>
      </c>
      <c r="P1693" s="51">
        <v>35</v>
      </c>
      <c r="Q1693" s="47">
        <f t="shared" si="55"/>
        <v>35</v>
      </c>
      <c r="R1693" s="47"/>
      <c r="S1693" s="47"/>
      <c r="T1693" s="47"/>
    </row>
    <row r="1694" customHeight="1" spans="1:20">
      <c r="A1694" s="170">
        <v>43116</v>
      </c>
      <c r="B1694" s="78" t="s">
        <v>2883</v>
      </c>
      <c r="C1694" s="78"/>
      <c r="D1694" s="170">
        <v>1</v>
      </c>
      <c r="E1694" s="171" t="s">
        <v>169</v>
      </c>
      <c r="F1694" s="44">
        <f t="shared" si="56"/>
        <v>1</v>
      </c>
      <c r="G1694" s="85" t="s">
        <v>2884</v>
      </c>
      <c r="H1694" s="46" t="s">
        <v>18</v>
      </c>
      <c r="I1694" s="47"/>
      <c r="J1694" s="48" t="s">
        <v>42</v>
      </c>
      <c r="K1694" s="196">
        <v>43116</v>
      </c>
      <c r="L1694" s="78" t="s">
        <v>25</v>
      </c>
      <c r="M1694" s="78" t="s">
        <v>26</v>
      </c>
      <c r="N1694" s="14" t="s">
        <v>27</v>
      </c>
      <c r="O1694" s="14" t="s">
        <v>28</v>
      </c>
      <c r="P1694" s="51">
        <v>30</v>
      </c>
      <c r="Q1694" s="47">
        <f t="shared" si="55"/>
        <v>30</v>
      </c>
      <c r="R1694" s="47"/>
      <c r="S1694" s="47"/>
      <c r="T1694" s="47"/>
    </row>
    <row r="1695" customHeight="1" spans="1:20">
      <c r="A1695" s="166" t="s">
        <v>2885</v>
      </c>
      <c r="B1695" s="129" t="s">
        <v>2886</v>
      </c>
      <c r="C1695" s="129"/>
      <c r="D1695" s="166">
        <v>1</v>
      </c>
      <c r="E1695" s="167" t="s">
        <v>169</v>
      </c>
      <c r="F1695" s="44">
        <f t="shared" si="56"/>
        <v>1</v>
      </c>
      <c r="G1695" s="85" t="s">
        <v>2887</v>
      </c>
      <c r="H1695" s="46" t="s">
        <v>18</v>
      </c>
      <c r="I1695" s="47"/>
      <c r="J1695" s="48" t="s">
        <v>42</v>
      </c>
      <c r="K1695" s="196" t="s">
        <v>2885</v>
      </c>
      <c r="L1695" s="78" t="s">
        <v>25</v>
      </c>
      <c r="M1695" s="78" t="s">
        <v>26</v>
      </c>
      <c r="N1695" s="14" t="s">
        <v>27</v>
      </c>
      <c r="O1695" s="14" t="s">
        <v>28</v>
      </c>
      <c r="P1695" s="51">
        <v>30</v>
      </c>
      <c r="Q1695" s="47">
        <f t="shared" si="55"/>
        <v>30</v>
      </c>
      <c r="R1695" s="47"/>
      <c r="S1695" s="47"/>
      <c r="T1695" s="47"/>
    </row>
    <row r="1696" customHeight="1" spans="1:20">
      <c r="A1696" s="166" t="s">
        <v>2888</v>
      </c>
      <c r="B1696" s="129" t="s">
        <v>2889</v>
      </c>
      <c r="C1696" s="129"/>
      <c r="D1696" s="166">
        <v>1</v>
      </c>
      <c r="E1696" s="167" t="s">
        <v>169</v>
      </c>
      <c r="F1696" s="44">
        <f t="shared" si="56"/>
        <v>1</v>
      </c>
      <c r="G1696" s="85" t="s">
        <v>2890</v>
      </c>
      <c r="H1696" s="46" t="s">
        <v>18</v>
      </c>
      <c r="I1696" s="47"/>
      <c r="J1696" s="48" t="s">
        <v>42</v>
      </c>
      <c r="K1696" s="196" t="s">
        <v>2888</v>
      </c>
      <c r="L1696" s="78" t="s">
        <v>25</v>
      </c>
      <c r="M1696" s="78" t="s">
        <v>26</v>
      </c>
      <c r="N1696" s="14" t="s">
        <v>27</v>
      </c>
      <c r="O1696" s="14" t="s">
        <v>28</v>
      </c>
      <c r="P1696" s="51">
        <v>30</v>
      </c>
      <c r="Q1696" s="47">
        <f t="shared" si="55"/>
        <v>30</v>
      </c>
      <c r="R1696" s="47"/>
      <c r="S1696" s="47"/>
      <c r="T1696" s="47"/>
    </row>
    <row r="1697" customHeight="1" spans="1:20">
      <c r="A1697" s="205">
        <v>431</v>
      </c>
      <c r="B1697" s="206" t="s">
        <v>2847</v>
      </c>
      <c r="C1697" s="206"/>
      <c r="D1697" s="134"/>
      <c r="E1697" s="135"/>
      <c r="F1697" s="44">
        <f t="shared" si="56"/>
        <v>0</v>
      </c>
      <c r="G1697" s="91"/>
      <c r="H1697" s="46"/>
      <c r="I1697" s="47"/>
      <c r="J1697" s="48"/>
      <c r="K1697" s="198"/>
      <c r="L1697" s="135"/>
      <c r="M1697" s="135"/>
      <c r="O1697" s="14" t="s">
        <v>28</v>
      </c>
      <c r="P1697" s="51"/>
      <c r="Q1697" s="47">
        <f t="shared" si="55"/>
        <v>0</v>
      </c>
      <c r="R1697" s="47"/>
      <c r="S1697" s="47"/>
      <c r="T1697" s="47"/>
    </row>
    <row r="1698" customHeight="1" spans="1:20">
      <c r="A1698" s="134">
        <v>43101</v>
      </c>
      <c r="B1698" s="136" t="s">
        <v>2849</v>
      </c>
      <c r="C1698" s="136"/>
      <c r="D1698" s="134">
        <v>1</v>
      </c>
      <c r="E1698" s="135" t="s">
        <v>169</v>
      </c>
      <c r="F1698" s="44">
        <f t="shared" si="56"/>
        <v>1</v>
      </c>
      <c r="G1698" s="91" t="s">
        <v>2891</v>
      </c>
      <c r="H1698" s="46" t="s">
        <v>18</v>
      </c>
      <c r="I1698" s="47"/>
      <c r="J1698" s="48" t="s">
        <v>42</v>
      </c>
      <c r="K1698" s="198">
        <v>43101</v>
      </c>
      <c r="L1698" s="135" t="s">
        <v>25</v>
      </c>
      <c r="M1698" s="135" t="s">
        <v>26</v>
      </c>
      <c r="N1698" s="14" t="s">
        <v>27</v>
      </c>
      <c r="O1698" s="14" t="s">
        <v>28</v>
      </c>
      <c r="P1698" s="51">
        <v>35</v>
      </c>
      <c r="Q1698" s="47">
        <f t="shared" si="55"/>
        <v>35</v>
      </c>
      <c r="R1698" s="47"/>
      <c r="S1698" s="47"/>
      <c r="T1698" s="47"/>
    </row>
    <row r="1699" customHeight="1" spans="1:20">
      <c r="A1699" s="134">
        <v>43102</v>
      </c>
      <c r="B1699" s="136" t="s">
        <v>2852</v>
      </c>
      <c r="C1699" s="136"/>
      <c r="D1699" s="134">
        <v>1</v>
      </c>
      <c r="E1699" s="135" t="s">
        <v>169</v>
      </c>
      <c r="F1699" s="44">
        <f t="shared" si="56"/>
        <v>1</v>
      </c>
      <c r="G1699" s="91" t="s">
        <v>2892</v>
      </c>
      <c r="H1699" s="46" t="s">
        <v>18</v>
      </c>
      <c r="I1699" s="47"/>
      <c r="J1699" s="48" t="s">
        <v>42</v>
      </c>
      <c r="K1699" s="198">
        <v>43102</v>
      </c>
      <c r="L1699" s="135" t="s">
        <v>25</v>
      </c>
      <c r="M1699" s="135" t="s">
        <v>26</v>
      </c>
      <c r="N1699" s="14" t="s">
        <v>27</v>
      </c>
      <c r="O1699" s="14" t="s">
        <v>28</v>
      </c>
      <c r="P1699" s="51">
        <v>35</v>
      </c>
      <c r="Q1699" s="47">
        <f t="shared" si="55"/>
        <v>35</v>
      </c>
      <c r="R1699" s="47"/>
      <c r="S1699" s="47"/>
      <c r="T1699" s="47"/>
    </row>
    <row r="1700" customHeight="1" spans="1:20">
      <c r="A1700" s="134">
        <v>43103</v>
      </c>
      <c r="B1700" s="136" t="s">
        <v>2854</v>
      </c>
      <c r="C1700" s="136"/>
      <c r="D1700" s="134">
        <v>1</v>
      </c>
      <c r="E1700" s="135" t="s">
        <v>169</v>
      </c>
      <c r="F1700" s="44">
        <f t="shared" si="56"/>
        <v>1</v>
      </c>
      <c r="G1700" s="82" t="s">
        <v>2855</v>
      </c>
      <c r="H1700" s="46" t="s">
        <v>18</v>
      </c>
      <c r="I1700" s="47"/>
      <c r="J1700" s="48" t="s">
        <v>42</v>
      </c>
      <c r="K1700" s="194">
        <v>43103</v>
      </c>
      <c r="L1700" s="195" t="s">
        <v>25</v>
      </c>
      <c r="M1700" s="195" t="s">
        <v>26</v>
      </c>
      <c r="N1700" s="14" t="s">
        <v>27</v>
      </c>
      <c r="O1700" s="14" t="s">
        <v>28</v>
      </c>
      <c r="P1700" s="51">
        <v>35</v>
      </c>
      <c r="Q1700" s="47">
        <f t="shared" si="55"/>
        <v>35</v>
      </c>
      <c r="R1700" s="47"/>
      <c r="S1700" s="47"/>
      <c r="T1700" s="47"/>
    </row>
    <row r="1701" customHeight="1" spans="1:20">
      <c r="A1701" s="134">
        <v>43104</v>
      </c>
      <c r="B1701" s="136" t="s">
        <v>2857</v>
      </c>
      <c r="C1701" s="136"/>
      <c r="D1701" s="134">
        <v>1</v>
      </c>
      <c r="E1701" s="135" t="s">
        <v>169</v>
      </c>
      <c r="F1701" s="44">
        <f t="shared" si="56"/>
        <v>1</v>
      </c>
      <c r="G1701" s="91" t="s">
        <v>2892</v>
      </c>
      <c r="H1701" s="46" t="s">
        <v>18</v>
      </c>
      <c r="I1701" s="47"/>
      <c r="J1701" s="48" t="s">
        <v>42</v>
      </c>
      <c r="K1701" s="198">
        <v>43104</v>
      </c>
      <c r="L1701" s="135" t="s">
        <v>25</v>
      </c>
      <c r="M1701" s="135" t="s">
        <v>26</v>
      </c>
      <c r="N1701" s="14" t="s">
        <v>27</v>
      </c>
      <c r="O1701" s="14" t="s">
        <v>28</v>
      </c>
      <c r="P1701" s="51">
        <v>35</v>
      </c>
      <c r="Q1701" s="47">
        <f t="shared" si="55"/>
        <v>35</v>
      </c>
      <c r="R1701" s="47"/>
      <c r="S1701" s="47"/>
      <c r="T1701" s="47"/>
    </row>
    <row r="1702" customHeight="1" spans="1:20">
      <c r="A1702" s="134">
        <v>43105</v>
      </c>
      <c r="B1702" s="136" t="s">
        <v>2860</v>
      </c>
      <c r="C1702" s="136"/>
      <c r="D1702" s="134">
        <v>1</v>
      </c>
      <c r="E1702" s="135" t="s">
        <v>169</v>
      </c>
      <c r="F1702" s="44">
        <f t="shared" si="56"/>
        <v>1</v>
      </c>
      <c r="G1702" s="91" t="s">
        <v>2892</v>
      </c>
      <c r="H1702" s="46" t="s">
        <v>18</v>
      </c>
      <c r="I1702" s="47"/>
      <c r="J1702" s="48" t="s">
        <v>42</v>
      </c>
      <c r="K1702" s="198">
        <v>43105</v>
      </c>
      <c r="L1702" s="135" t="s">
        <v>25</v>
      </c>
      <c r="M1702" s="135" t="s">
        <v>26</v>
      </c>
      <c r="N1702" s="14" t="s">
        <v>27</v>
      </c>
      <c r="O1702" s="14" t="s">
        <v>28</v>
      </c>
      <c r="P1702" s="51">
        <v>35</v>
      </c>
      <c r="Q1702" s="47">
        <f t="shared" si="55"/>
        <v>35</v>
      </c>
      <c r="R1702" s="47"/>
      <c r="S1702" s="47"/>
      <c r="T1702" s="47"/>
    </row>
    <row r="1703" customHeight="1" spans="1:20">
      <c r="A1703" s="134">
        <v>43106</v>
      </c>
      <c r="B1703" s="136" t="s">
        <v>2863</v>
      </c>
      <c r="C1703" s="136"/>
      <c r="D1703" s="134">
        <v>1</v>
      </c>
      <c r="E1703" s="135" t="s">
        <v>169</v>
      </c>
      <c r="F1703" s="44">
        <f t="shared" si="56"/>
        <v>1</v>
      </c>
      <c r="G1703" s="91" t="s">
        <v>2893</v>
      </c>
      <c r="H1703" s="46" t="s">
        <v>18</v>
      </c>
      <c r="I1703" s="47"/>
      <c r="J1703" s="48" t="s">
        <v>42</v>
      </c>
      <c r="K1703" s="198">
        <v>43106</v>
      </c>
      <c r="L1703" s="135" t="s">
        <v>25</v>
      </c>
      <c r="M1703" s="135" t="s">
        <v>26</v>
      </c>
      <c r="N1703" s="14" t="s">
        <v>27</v>
      </c>
      <c r="O1703" s="14" t="s">
        <v>28</v>
      </c>
      <c r="P1703" s="51">
        <v>120</v>
      </c>
      <c r="Q1703" s="47">
        <f t="shared" si="55"/>
        <v>120</v>
      </c>
      <c r="R1703" s="47"/>
      <c r="S1703" s="47"/>
      <c r="T1703" s="47"/>
    </row>
    <row r="1704" customHeight="1" spans="1:20">
      <c r="A1704" s="134">
        <v>43107</v>
      </c>
      <c r="B1704" s="136" t="s">
        <v>2866</v>
      </c>
      <c r="C1704" s="136"/>
      <c r="D1704" s="134">
        <v>1</v>
      </c>
      <c r="E1704" s="135" t="s">
        <v>169</v>
      </c>
      <c r="F1704" s="44">
        <f t="shared" si="56"/>
        <v>1</v>
      </c>
      <c r="G1704" s="91" t="s">
        <v>2893</v>
      </c>
      <c r="H1704" s="46" t="s">
        <v>18</v>
      </c>
      <c r="I1704" s="47"/>
      <c r="J1704" s="48" t="s">
        <v>42</v>
      </c>
      <c r="K1704" s="198">
        <v>43107</v>
      </c>
      <c r="L1704" s="135" t="s">
        <v>25</v>
      </c>
      <c r="M1704" s="135" t="s">
        <v>26</v>
      </c>
      <c r="N1704" s="14" t="s">
        <v>27</v>
      </c>
      <c r="O1704" s="14" t="s">
        <v>28</v>
      </c>
      <c r="P1704" s="51">
        <v>60</v>
      </c>
      <c r="Q1704" s="47">
        <f t="shared" si="55"/>
        <v>60</v>
      </c>
      <c r="R1704" s="47"/>
      <c r="S1704" s="47"/>
      <c r="T1704" s="47"/>
    </row>
    <row r="1705" customHeight="1" spans="1:20">
      <c r="A1705" s="134">
        <v>43108</v>
      </c>
      <c r="B1705" s="136" t="s">
        <v>2869</v>
      </c>
      <c r="C1705" s="136"/>
      <c r="D1705" s="134">
        <v>1</v>
      </c>
      <c r="E1705" s="135" t="s">
        <v>169</v>
      </c>
      <c r="F1705" s="44">
        <f t="shared" si="56"/>
        <v>1</v>
      </c>
      <c r="G1705" s="91" t="s">
        <v>2894</v>
      </c>
      <c r="H1705" s="46" t="s">
        <v>18</v>
      </c>
      <c r="I1705" s="47"/>
      <c r="J1705" s="48" t="s">
        <v>42</v>
      </c>
      <c r="K1705" s="198">
        <v>43108</v>
      </c>
      <c r="L1705" s="135" t="s">
        <v>25</v>
      </c>
      <c r="M1705" s="135" t="s">
        <v>26</v>
      </c>
      <c r="N1705" s="14" t="s">
        <v>27</v>
      </c>
      <c r="O1705" s="14" t="s">
        <v>28</v>
      </c>
      <c r="P1705" s="51">
        <v>55</v>
      </c>
      <c r="Q1705" s="47">
        <f t="shared" si="55"/>
        <v>55</v>
      </c>
      <c r="R1705" s="47"/>
      <c r="S1705" s="47"/>
      <c r="T1705" s="47"/>
    </row>
    <row r="1706" customHeight="1" spans="1:20">
      <c r="A1706" s="134">
        <v>43109</v>
      </c>
      <c r="B1706" s="136" t="s">
        <v>2872</v>
      </c>
      <c r="C1706" s="136"/>
      <c r="D1706" s="134">
        <v>1</v>
      </c>
      <c r="E1706" s="135" t="s">
        <v>169</v>
      </c>
      <c r="F1706" s="44">
        <f t="shared" si="56"/>
        <v>1</v>
      </c>
      <c r="G1706" s="91" t="s">
        <v>2895</v>
      </c>
      <c r="H1706" s="46" t="s">
        <v>18</v>
      </c>
      <c r="I1706" s="47"/>
      <c r="J1706" s="48" t="s">
        <v>42</v>
      </c>
      <c r="K1706" s="198">
        <v>43109</v>
      </c>
      <c r="L1706" s="135" t="s">
        <v>25</v>
      </c>
      <c r="M1706" s="135" t="s">
        <v>26</v>
      </c>
      <c r="N1706" s="14" t="s">
        <v>27</v>
      </c>
      <c r="O1706" s="14" t="s">
        <v>28</v>
      </c>
      <c r="P1706" s="51">
        <v>120</v>
      </c>
      <c r="Q1706" s="47">
        <f t="shared" si="55"/>
        <v>120</v>
      </c>
      <c r="R1706" s="47"/>
      <c r="S1706" s="47"/>
      <c r="T1706" s="47"/>
    </row>
    <row r="1707" customHeight="1" spans="1:20">
      <c r="A1707" s="134">
        <v>43110</v>
      </c>
      <c r="B1707" s="136" t="s">
        <v>2526</v>
      </c>
      <c r="C1707" s="136"/>
      <c r="D1707" s="134">
        <v>1</v>
      </c>
      <c r="E1707" s="135" t="s">
        <v>32</v>
      </c>
      <c r="F1707" s="44">
        <f t="shared" si="56"/>
        <v>1</v>
      </c>
      <c r="G1707" s="91" t="s">
        <v>2874</v>
      </c>
      <c r="H1707" s="46" t="s">
        <v>18</v>
      </c>
      <c r="I1707" s="47"/>
      <c r="J1707" s="48" t="s">
        <v>42</v>
      </c>
      <c r="K1707" s="198">
        <v>43110</v>
      </c>
      <c r="L1707" s="135" t="s">
        <v>25</v>
      </c>
      <c r="M1707" s="135" t="s">
        <v>26</v>
      </c>
      <c r="N1707" s="14" t="s">
        <v>27</v>
      </c>
      <c r="O1707" s="14" t="s">
        <v>28</v>
      </c>
      <c r="P1707" s="51">
        <v>35</v>
      </c>
      <c r="Q1707" s="47">
        <f t="shared" si="55"/>
        <v>35</v>
      </c>
      <c r="R1707" s="47"/>
      <c r="S1707" s="47"/>
      <c r="T1707" s="47"/>
    </row>
    <row r="1708" customHeight="1" spans="1:20">
      <c r="A1708" s="134">
        <v>43113</v>
      </c>
      <c r="B1708" s="136" t="s">
        <v>2876</v>
      </c>
      <c r="C1708" s="136"/>
      <c r="D1708" s="134">
        <v>1</v>
      </c>
      <c r="E1708" s="135" t="s">
        <v>32</v>
      </c>
      <c r="F1708" s="44">
        <f t="shared" si="56"/>
        <v>1</v>
      </c>
      <c r="G1708" s="91" t="s">
        <v>2896</v>
      </c>
      <c r="H1708" s="46" t="s">
        <v>18</v>
      </c>
      <c r="I1708" s="47"/>
      <c r="J1708" s="48" t="s">
        <v>42</v>
      </c>
      <c r="K1708" s="198">
        <v>43113</v>
      </c>
      <c r="L1708" s="135" t="s">
        <v>25</v>
      </c>
      <c r="M1708" s="135" t="s">
        <v>26</v>
      </c>
      <c r="N1708" s="14" t="s">
        <v>27</v>
      </c>
      <c r="O1708" s="14" t="s">
        <v>28</v>
      </c>
      <c r="P1708" s="51">
        <v>35</v>
      </c>
      <c r="Q1708" s="47">
        <f t="shared" si="55"/>
        <v>35</v>
      </c>
      <c r="R1708" s="47"/>
      <c r="S1708" s="47"/>
      <c r="T1708" s="47"/>
    </row>
    <row r="1709" customHeight="1" spans="1:20">
      <c r="A1709" s="134">
        <v>43114</v>
      </c>
      <c r="B1709" s="136" t="s">
        <v>2879</v>
      </c>
      <c r="C1709" s="136"/>
      <c r="D1709" s="134">
        <v>1</v>
      </c>
      <c r="E1709" s="135" t="s">
        <v>32</v>
      </c>
      <c r="F1709" s="44">
        <f t="shared" si="56"/>
        <v>1</v>
      </c>
      <c r="G1709" s="91" t="s">
        <v>2897</v>
      </c>
      <c r="H1709" s="46" t="s">
        <v>18</v>
      </c>
      <c r="I1709" s="47"/>
      <c r="J1709" s="48" t="s">
        <v>42</v>
      </c>
      <c r="K1709" s="198">
        <v>43114</v>
      </c>
      <c r="L1709" s="135" t="s">
        <v>25</v>
      </c>
      <c r="M1709" s="135" t="s">
        <v>26</v>
      </c>
      <c r="N1709" s="14" t="s">
        <v>27</v>
      </c>
      <c r="O1709" s="14" t="s">
        <v>28</v>
      </c>
      <c r="P1709" s="51">
        <v>35</v>
      </c>
      <c r="Q1709" s="47">
        <f t="shared" si="55"/>
        <v>35</v>
      </c>
      <c r="R1709" s="47"/>
      <c r="S1709" s="47"/>
      <c r="T1709" s="47"/>
    </row>
    <row r="1710" customHeight="1" spans="1:20">
      <c r="A1710" s="134">
        <v>43115</v>
      </c>
      <c r="B1710" s="136" t="s">
        <v>2881</v>
      </c>
      <c r="C1710" s="136"/>
      <c r="D1710" s="134">
        <v>1</v>
      </c>
      <c r="E1710" s="135" t="s">
        <v>169</v>
      </c>
      <c r="F1710" s="44">
        <f t="shared" si="56"/>
        <v>1</v>
      </c>
      <c r="G1710" s="91" t="s">
        <v>2898</v>
      </c>
      <c r="H1710" s="46" t="s">
        <v>18</v>
      </c>
      <c r="I1710" s="47"/>
      <c r="J1710" s="48" t="s">
        <v>42</v>
      </c>
      <c r="K1710" s="198">
        <v>43115</v>
      </c>
      <c r="L1710" s="135" t="s">
        <v>25</v>
      </c>
      <c r="M1710" s="135" t="s">
        <v>26</v>
      </c>
      <c r="N1710" s="14" t="s">
        <v>27</v>
      </c>
      <c r="O1710" s="14" t="s">
        <v>28</v>
      </c>
      <c r="P1710" s="51">
        <v>35</v>
      </c>
      <c r="Q1710" s="47">
        <f t="shared" si="55"/>
        <v>35</v>
      </c>
      <c r="R1710" s="47"/>
      <c r="S1710" s="47"/>
      <c r="T1710" s="47"/>
    </row>
    <row r="1711" customHeight="1" spans="1:20">
      <c r="A1711" s="134">
        <v>43116</v>
      </c>
      <c r="B1711" s="136" t="s">
        <v>2883</v>
      </c>
      <c r="C1711" s="136"/>
      <c r="D1711" s="134">
        <v>1</v>
      </c>
      <c r="E1711" s="135" t="s">
        <v>169</v>
      </c>
      <c r="F1711" s="44">
        <f t="shared" si="56"/>
        <v>1</v>
      </c>
      <c r="G1711" s="91" t="s">
        <v>2899</v>
      </c>
      <c r="H1711" s="46" t="s">
        <v>18</v>
      </c>
      <c r="I1711" s="47"/>
      <c r="J1711" s="48" t="s">
        <v>42</v>
      </c>
      <c r="K1711" s="198">
        <v>43116</v>
      </c>
      <c r="L1711" s="135" t="s">
        <v>25</v>
      </c>
      <c r="M1711" s="135" t="s">
        <v>26</v>
      </c>
      <c r="N1711" s="14" t="s">
        <v>27</v>
      </c>
      <c r="O1711" s="14" t="s">
        <v>28</v>
      </c>
      <c r="P1711" s="51">
        <v>30</v>
      </c>
      <c r="Q1711" s="47">
        <f t="shared" si="55"/>
        <v>30</v>
      </c>
      <c r="R1711" s="47"/>
      <c r="S1711" s="47"/>
      <c r="T1711" s="47"/>
    </row>
    <row r="1712" customHeight="1" spans="1:20">
      <c r="A1712" s="134" t="s">
        <v>2900</v>
      </c>
      <c r="B1712" s="136" t="s">
        <v>2901</v>
      </c>
      <c r="C1712" s="136"/>
      <c r="D1712" s="134">
        <v>1</v>
      </c>
      <c r="E1712" s="135" t="s">
        <v>169</v>
      </c>
      <c r="F1712" s="44">
        <f t="shared" si="56"/>
        <v>1</v>
      </c>
      <c r="G1712" s="91" t="s">
        <v>2902</v>
      </c>
      <c r="H1712" s="46" t="s">
        <v>18</v>
      </c>
      <c r="I1712" s="47"/>
      <c r="J1712" s="48" t="s">
        <v>42</v>
      </c>
      <c r="K1712" s="198" t="s">
        <v>2900</v>
      </c>
      <c r="L1712" s="135" t="s">
        <v>25</v>
      </c>
      <c r="M1712" s="135" t="s">
        <v>26</v>
      </c>
      <c r="N1712" s="14" t="s">
        <v>27</v>
      </c>
      <c r="O1712" s="14" t="s">
        <v>28</v>
      </c>
      <c r="P1712" s="51">
        <v>50</v>
      </c>
      <c r="Q1712" s="47">
        <f t="shared" si="55"/>
        <v>50</v>
      </c>
      <c r="R1712" s="47"/>
      <c r="S1712" s="47"/>
      <c r="T1712" s="47"/>
    </row>
    <row r="1713" customHeight="1" spans="1:20">
      <c r="A1713" s="134" t="s">
        <v>2885</v>
      </c>
      <c r="B1713" s="136" t="s">
        <v>2886</v>
      </c>
      <c r="C1713" s="136"/>
      <c r="D1713" s="134">
        <v>1</v>
      </c>
      <c r="E1713" s="135" t="s">
        <v>169</v>
      </c>
      <c r="F1713" s="44">
        <f t="shared" si="56"/>
        <v>1</v>
      </c>
      <c r="G1713" s="91" t="s">
        <v>2891</v>
      </c>
      <c r="H1713" s="46" t="s">
        <v>18</v>
      </c>
      <c r="I1713" s="47"/>
      <c r="J1713" s="48" t="s">
        <v>42</v>
      </c>
      <c r="K1713" s="198" t="s">
        <v>2885</v>
      </c>
      <c r="L1713" s="135" t="s">
        <v>25</v>
      </c>
      <c r="M1713" s="135" t="s">
        <v>26</v>
      </c>
      <c r="N1713" s="14" t="s">
        <v>27</v>
      </c>
      <c r="O1713" s="14" t="s">
        <v>28</v>
      </c>
      <c r="P1713" s="51">
        <v>30</v>
      </c>
      <c r="Q1713" s="47">
        <f t="shared" si="55"/>
        <v>30</v>
      </c>
      <c r="R1713" s="47"/>
      <c r="S1713" s="47"/>
      <c r="T1713" s="47"/>
    </row>
    <row r="1714" customHeight="1" spans="1:20">
      <c r="A1714" s="134" t="s">
        <v>2888</v>
      </c>
      <c r="B1714" s="136" t="s">
        <v>2889</v>
      </c>
      <c r="C1714" s="136"/>
      <c r="D1714" s="134">
        <v>1</v>
      </c>
      <c r="E1714" s="135" t="s">
        <v>169</v>
      </c>
      <c r="F1714" s="44">
        <f t="shared" si="56"/>
        <v>1</v>
      </c>
      <c r="G1714" s="91" t="s">
        <v>2891</v>
      </c>
      <c r="H1714" s="46" t="s">
        <v>18</v>
      </c>
      <c r="I1714" s="47"/>
      <c r="J1714" s="48" t="s">
        <v>42</v>
      </c>
      <c r="K1714" s="198" t="s">
        <v>2888</v>
      </c>
      <c r="L1714" s="135" t="s">
        <v>25</v>
      </c>
      <c r="M1714" s="135" t="s">
        <v>26</v>
      </c>
      <c r="N1714" s="14" t="s">
        <v>27</v>
      </c>
      <c r="O1714" s="14" t="s">
        <v>28</v>
      </c>
      <c r="P1714" s="51">
        <v>30</v>
      </c>
      <c r="Q1714" s="47">
        <f t="shared" si="55"/>
        <v>30</v>
      </c>
      <c r="R1714" s="47"/>
      <c r="S1714" s="47"/>
      <c r="T1714" s="47"/>
    </row>
    <row r="1715" customHeight="1" spans="1:20">
      <c r="A1715" s="134" t="s">
        <v>2903</v>
      </c>
      <c r="B1715" s="136" t="s">
        <v>2904</v>
      </c>
      <c r="C1715" s="136"/>
      <c r="D1715" s="134">
        <v>1</v>
      </c>
      <c r="E1715" s="135" t="s">
        <v>169</v>
      </c>
      <c r="F1715" s="44">
        <f t="shared" si="56"/>
        <v>1</v>
      </c>
      <c r="G1715" s="91" t="s">
        <v>2905</v>
      </c>
      <c r="H1715" s="46" t="s">
        <v>18</v>
      </c>
      <c r="I1715" s="47"/>
      <c r="J1715" s="48" t="s">
        <v>42</v>
      </c>
      <c r="K1715" s="198" t="s">
        <v>2903</v>
      </c>
      <c r="L1715" s="135" t="s">
        <v>25</v>
      </c>
      <c r="M1715" s="135" t="s">
        <v>26</v>
      </c>
      <c r="N1715" s="14" t="s">
        <v>27</v>
      </c>
      <c r="O1715" s="14" t="s">
        <v>28</v>
      </c>
      <c r="P1715" s="51">
        <v>50</v>
      </c>
      <c r="Q1715" s="47">
        <f t="shared" si="55"/>
        <v>50</v>
      </c>
      <c r="R1715" s="47"/>
      <c r="S1715" s="47"/>
      <c r="T1715" s="47"/>
    </row>
    <row r="1716" customHeight="1" spans="1:20">
      <c r="A1716" s="134" t="s">
        <v>2906</v>
      </c>
      <c r="B1716" s="136" t="s">
        <v>2907</v>
      </c>
      <c r="C1716" s="136"/>
      <c r="D1716" s="134">
        <v>1</v>
      </c>
      <c r="E1716" s="135" t="s">
        <v>169</v>
      </c>
      <c r="F1716" s="44">
        <f t="shared" si="56"/>
        <v>1</v>
      </c>
      <c r="G1716" s="91"/>
      <c r="H1716" s="46"/>
      <c r="I1716" s="47"/>
      <c r="J1716" s="48" t="s">
        <v>42</v>
      </c>
      <c r="K1716" s="198" t="s">
        <v>2906</v>
      </c>
      <c r="L1716" s="135" t="s">
        <v>25</v>
      </c>
      <c r="M1716" s="135" t="s">
        <v>26</v>
      </c>
      <c r="N1716" s="14" t="s">
        <v>27</v>
      </c>
      <c r="O1716" s="14" t="s">
        <v>28</v>
      </c>
      <c r="P1716" s="51">
        <v>35</v>
      </c>
      <c r="Q1716" s="47">
        <f t="shared" si="55"/>
        <v>35</v>
      </c>
      <c r="R1716" s="47"/>
      <c r="S1716" s="47"/>
      <c r="T1716" s="47"/>
    </row>
    <row r="1717" customHeight="1" spans="1:20">
      <c r="A1717" s="134" t="s">
        <v>2908</v>
      </c>
      <c r="B1717" s="136" t="s">
        <v>2909</v>
      </c>
      <c r="C1717" s="136"/>
      <c r="D1717" s="134">
        <v>1</v>
      </c>
      <c r="E1717" s="135" t="s">
        <v>169</v>
      </c>
      <c r="F1717" s="44">
        <f t="shared" si="56"/>
        <v>1</v>
      </c>
      <c r="G1717" s="91" t="s">
        <v>2891</v>
      </c>
      <c r="H1717" s="46" t="s">
        <v>18</v>
      </c>
      <c r="I1717" s="47"/>
      <c r="J1717" s="48" t="s">
        <v>42</v>
      </c>
      <c r="K1717" s="198" t="s">
        <v>2908</v>
      </c>
      <c r="L1717" s="135" t="s">
        <v>25</v>
      </c>
      <c r="M1717" s="135" t="s">
        <v>26</v>
      </c>
      <c r="N1717" s="14" t="s">
        <v>27</v>
      </c>
      <c r="O1717" s="14" t="s">
        <v>28</v>
      </c>
      <c r="P1717" s="51">
        <v>35</v>
      </c>
      <c r="Q1717" s="47">
        <f t="shared" si="55"/>
        <v>35</v>
      </c>
      <c r="R1717" s="47"/>
      <c r="S1717" s="47"/>
      <c r="T1717" s="47"/>
    </row>
    <row r="1718" customHeight="1" spans="1:20">
      <c r="A1718" s="134" t="s">
        <v>2910</v>
      </c>
      <c r="B1718" s="136" t="s">
        <v>2911</v>
      </c>
      <c r="C1718" s="136"/>
      <c r="D1718" s="134">
        <v>1</v>
      </c>
      <c r="E1718" s="135" t="s">
        <v>169</v>
      </c>
      <c r="F1718" s="44">
        <f t="shared" si="56"/>
        <v>1</v>
      </c>
      <c r="G1718" s="91" t="s">
        <v>2891</v>
      </c>
      <c r="H1718" s="46" t="s">
        <v>18</v>
      </c>
      <c r="I1718" s="47"/>
      <c r="J1718" s="48" t="s">
        <v>42</v>
      </c>
      <c r="K1718" s="198" t="s">
        <v>2910</v>
      </c>
      <c r="L1718" s="135" t="s">
        <v>25</v>
      </c>
      <c r="M1718" s="135" t="s">
        <v>26</v>
      </c>
      <c r="N1718" s="14" t="s">
        <v>27</v>
      </c>
      <c r="O1718" s="14" t="s">
        <v>28</v>
      </c>
      <c r="P1718" s="51">
        <v>35</v>
      </c>
      <c r="Q1718" s="47">
        <f t="shared" si="55"/>
        <v>35</v>
      </c>
      <c r="R1718" s="47"/>
      <c r="S1718" s="47"/>
      <c r="T1718" s="47"/>
    </row>
    <row r="1719" customHeight="1" spans="1:20">
      <c r="A1719" s="134" t="s">
        <v>2912</v>
      </c>
      <c r="B1719" s="136" t="s">
        <v>2913</v>
      </c>
      <c r="C1719" s="136"/>
      <c r="D1719" s="134">
        <v>1</v>
      </c>
      <c r="E1719" s="135" t="s">
        <v>169</v>
      </c>
      <c r="F1719" s="44">
        <f t="shared" si="56"/>
        <v>1</v>
      </c>
      <c r="G1719" s="91" t="s">
        <v>2891</v>
      </c>
      <c r="H1719" s="46" t="s">
        <v>18</v>
      </c>
      <c r="I1719" s="47"/>
      <c r="J1719" s="48" t="s">
        <v>42</v>
      </c>
      <c r="K1719" s="198" t="s">
        <v>2912</v>
      </c>
      <c r="L1719" s="135" t="s">
        <v>25</v>
      </c>
      <c r="M1719" s="135" t="s">
        <v>26</v>
      </c>
      <c r="N1719" s="14" t="s">
        <v>27</v>
      </c>
      <c r="O1719" s="14" t="s">
        <v>28</v>
      </c>
      <c r="P1719" s="51">
        <v>35</v>
      </c>
      <c r="Q1719" s="47">
        <f t="shared" si="55"/>
        <v>35</v>
      </c>
      <c r="R1719" s="47"/>
      <c r="S1719" s="47"/>
      <c r="T1719" s="47"/>
    </row>
    <row r="1720" customHeight="1" spans="1:20">
      <c r="A1720" s="193" t="s">
        <v>899</v>
      </c>
      <c r="B1720" s="142" t="s">
        <v>2530</v>
      </c>
      <c r="C1720" s="142"/>
      <c r="D1720" s="166"/>
      <c r="E1720" s="167"/>
      <c r="F1720" s="44">
        <f t="shared" si="56"/>
        <v>0</v>
      </c>
      <c r="G1720" s="131"/>
      <c r="H1720" s="46"/>
      <c r="I1720" s="47"/>
      <c r="J1720" s="48" t="s">
        <v>42</v>
      </c>
      <c r="K1720" s="154"/>
      <c r="L1720" s="129"/>
      <c r="M1720" s="129"/>
      <c r="O1720" s="14" t="s">
        <v>28</v>
      </c>
      <c r="P1720" s="51"/>
      <c r="Q1720" s="47">
        <f t="shared" si="55"/>
        <v>0</v>
      </c>
      <c r="R1720" s="47"/>
      <c r="S1720" s="47"/>
      <c r="T1720" s="47"/>
    </row>
    <row r="1721" customHeight="1" spans="1:20">
      <c r="A1721" s="193" t="s">
        <v>2914</v>
      </c>
      <c r="B1721" s="142" t="s">
        <v>2531</v>
      </c>
      <c r="C1721" s="142"/>
      <c r="D1721" s="166"/>
      <c r="E1721" s="167"/>
      <c r="F1721" s="44">
        <f t="shared" si="56"/>
        <v>0</v>
      </c>
      <c r="G1721" s="131"/>
      <c r="H1721" s="46"/>
      <c r="I1721" s="47"/>
      <c r="J1721" s="48" t="s">
        <v>42</v>
      </c>
      <c r="K1721" s="154"/>
      <c r="L1721" s="129"/>
      <c r="M1721" s="129"/>
      <c r="O1721" s="14" t="s">
        <v>28</v>
      </c>
      <c r="P1721" s="51"/>
      <c r="Q1721" s="47">
        <f t="shared" si="55"/>
        <v>0</v>
      </c>
      <c r="R1721" s="47"/>
      <c r="S1721" s="47"/>
      <c r="T1721" s="47"/>
    </row>
    <row r="1722" customHeight="1" spans="1:20">
      <c r="A1722" s="166" t="s">
        <v>2915</v>
      </c>
      <c r="B1722" s="129" t="s">
        <v>2916</v>
      </c>
      <c r="C1722" s="129"/>
      <c r="D1722" s="166">
        <v>60</v>
      </c>
      <c r="E1722" s="167" t="s">
        <v>2445</v>
      </c>
      <c r="F1722" s="44">
        <f t="shared" si="56"/>
        <v>60</v>
      </c>
      <c r="G1722" s="85" t="s">
        <v>2917</v>
      </c>
      <c r="H1722" s="46" t="s">
        <v>18</v>
      </c>
      <c r="I1722" s="47"/>
      <c r="J1722" s="48" t="s">
        <v>42</v>
      </c>
      <c r="K1722" s="196" t="s">
        <v>2915</v>
      </c>
      <c r="L1722" s="78" t="s">
        <v>2534</v>
      </c>
      <c r="M1722" s="78" t="s">
        <v>2535</v>
      </c>
      <c r="N1722" s="14" t="s">
        <v>27</v>
      </c>
      <c r="O1722" s="14" t="s">
        <v>28</v>
      </c>
      <c r="P1722" s="51">
        <v>2.4</v>
      </c>
      <c r="Q1722" s="47">
        <f t="shared" si="55"/>
        <v>144</v>
      </c>
      <c r="R1722" s="47"/>
      <c r="S1722" s="47"/>
      <c r="T1722" s="47"/>
    </row>
    <row r="1723" customHeight="1" spans="1:20">
      <c r="A1723" s="166" t="s">
        <v>2918</v>
      </c>
      <c r="B1723" s="129" t="s">
        <v>2919</v>
      </c>
      <c r="C1723" s="129"/>
      <c r="D1723" s="166">
        <v>60</v>
      </c>
      <c r="E1723" s="167" t="s">
        <v>2445</v>
      </c>
      <c r="F1723" s="44">
        <f t="shared" si="56"/>
        <v>60</v>
      </c>
      <c r="G1723" s="85" t="s">
        <v>2920</v>
      </c>
      <c r="H1723" s="46" t="s">
        <v>18</v>
      </c>
      <c r="I1723" s="47"/>
      <c r="J1723" s="48" t="s">
        <v>42</v>
      </c>
      <c r="K1723" s="196" t="s">
        <v>2918</v>
      </c>
      <c r="L1723" s="78" t="s">
        <v>2534</v>
      </c>
      <c r="M1723" s="78" t="s">
        <v>2535</v>
      </c>
      <c r="N1723" s="14" t="s">
        <v>27</v>
      </c>
      <c r="O1723" s="14" t="s">
        <v>28</v>
      </c>
      <c r="P1723" s="51">
        <v>2.4</v>
      </c>
      <c r="Q1723" s="47">
        <f t="shared" si="55"/>
        <v>144</v>
      </c>
      <c r="R1723" s="47"/>
      <c r="S1723" s="47"/>
      <c r="T1723" s="47"/>
    </row>
    <row r="1724" customHeight="1" spans="1:20">
      <c r="A1724" s="166" t="s">
        <v>2921</v>
      </c>
      <c r="B1724" s="129" t="s">
        <v>2922</v>
      </c>
      <c r="C1724" s="129"/>
      <c r="D1724" s="166">
        <v>60</v>
      </c>
      <c r="E1724" s="167" t="s">
        <v>2445</v>
      </c>
      <c r="F1724" s="44">
        <f t="shared" si="56"/>
        <v>60</v>
      </c>
      <c r="G1724" s="85" t="s">
        <v>2923</v>
      </c>
      <c r="H1724" s="46" t="s">
        <v>18</v>
      </c>
      <c r="I1724" s="47"/>
      <c r="J1724" s="48" t="s">
        <v>42</v>
      </c>
      <c r="K1724" s="196" t="s">
        <v>2921</v>
      </c>
      <c r="L1724" s="78" t="s">
        <v>2534</v>
      </c>
      <c r="M1724" s="78" t="s">
        <v>2535</v>
      </c>
      <c r="N1724" s="14" t="s">
        <v>27</v>
      </c>
      <c r="O1724" s="14" t="s">
        <v>28</v>
      </c>
      <c r="P1724" s="51">
        <v>2.4</v>
      </c>
      <c r="Q1724" s="47">
        <f t="shared" si="55"/>
        <v>144</v>
      </c>
      <c r="R1724" s="47"/>
      <c r="S1724" s="47"/>
      <c r="T1724" s="47"/>
    </row>
    <row r="1725" customHeight="1" spans="1:20">
      <c r="A1725" s="170">
        <v>43204</v>
      </c>
      <c r="B1725" s="78" t="s">
        <v>2924</v>
      </c>
      <c r="C1725" s="78"/>
      <c r="D1725" s="166">
        <v>5</v>
      </c>
      <c r="E1725" s="171" t="s">
        <v>2445</v>
      </c>
      <c r="F1725" s="44">
        <f t="shared" si="56"/>
        <v>5</v>
      </c>
      <c r="G1725" s="85" t="s">
        <v>2925</v>
      </c>
      <c r="H1725" s="46" t="s">
        <v>18</v>
      </c>
      <c r="I1725" s="47"/>
      <c r="J1725" s="48" t="s">
        <v>42</v>
      </c>
      <c r="K1725" s="196">
        <v>43204</v>
      </c>
      <c r="L1725" s="78" t="s">
        <v>2534</v>
      </c>
      <c r="M1725" s="78" t="s">
        <v>2535</v>
      </c>
      <c r="N1725" s="14" t="s">
        <v>27</v>
      </c>
      <c r="O1725" s="14" t="s">
        <v>28</v>
      </c>
      <c r="P1725" s="51">
        <v>2.4</v>
      </c>
      <c r="Q1725" s="47">
        <f t="shared" si="55"/>
        <v>12</v>
      </c>
      <c r="R1725" s="47"/>
      <c r="S1725" s="47"/>
      <c r="T1725" s="47"/>
    </row>
    <row r="1726" customHeight="1" spans="1:20">
      <c r="A1726" s="170">
        <v>43205</v>
      </c>
      <c r="B1726" s="78" t="s">
        <v>2926</v>
      </c>
      <c r="C1726" s="78"/>
      <c r="D1726" s="166">
        <v>5</v>
      </c>
      <c r="E1726" s="171" t="s">
        <v>2445</v>
      </c>
      <c r="F1726" s="44">
        <f t="shared" si="56"/>
        <v>5</v>
      </c>
      <c r="G1726" s="85" t="s">
        <v>2927</v>
      </c>
      <c r="H1726" s="46" t="s">
        <v>18</v>
      </c>
      <c r="I1726" s="47"/>
      <c r="J1726" s="48" t="s">
        <v>42</v>
      </c>
      <c r="K1726" s="196">
        <v>43205</v>
      </c>
      <c r="L1726" s="78" t="s">
        <v>2534</v>
      </c>
      <c r="M1726" s="78" t="s">
        <v>2535</v>
      </c>
      <c r="N1726" s="14" t="s">
        <v>27</v>
      </c>
      <c r="O1726" s="14" t="s">
        <v>28</v>
      </c>
      <c r="P1726" s="51">
        <v>2.4</v>
      </c>
      <c r="Q1726" s="47">
        <f t="shared" si="55"/>
        <v>12</v>
      </c>
      <c r="R1726" s="47"/>
      <c r="S1726" s="47"/>
      <c r="T1726" s="47"/>
    </row>
    <row r="1727" customHeight="1" spans="1:20">
      <c r="A1727" s="166" t="s">
        <v>2928</v>
      </c>
      <c r="B1727" s="129" t="s">
        <v>2929</v>
      </c>
      <c r="C1727" s="129"/>
      <c r="D1727" s="166">
        <v>60</v>
      </c>
      <c r="E1727" s="167" t="s">
        <v>2445</v>
      </c>
      <c r="F1727" s="44">
        <f t="shared" si="56"/>
        <v>60</v>
      </c>
      <c r="G1727" s="85" t="s">
        <v>2930</v>
      </c>
      <c r="H1727" s="46" t="s">
        <v>18</v>
      </c>
      <c r="I1727" s="47"/>
      <c r="J1727" s="48" t="s">
        <v>42</v>
      </c>
      <c r="K1727" s="196" t="s">
        <v>2928</v>
      </c>
      <c r="L1727" s="78" t="s">
        <v>2534</v>
      </c>
      <c r="M1727" s="78" t="s">
        <v>2535</v>
      </c>
      <c r="N1727" s="14" t="s">
        <v>27</v>
      </c>
      <c r="O1727" s="14" t="s">
        <v>28</v>
      </c>
      <c r="P1727" s="51">
        <v>2.4</v>
      </c>
      <c r="Q1727" s="47">
        <f t="shared" si="55"/>
        <v>144</v>
      </c>
      <c r="R1727" s="47"/>
      <c r="S1727" s="47"/>
      <c r="T1727" s="47"/>
    </row>
    <row r="1728" customHeight="1" spans="1:20">
      <c r="A1728" s="166" t="s">
        <v>2931</v>
      </c>
      <c r="B1728" s="129" t="s">
        <v>2532</v>
      </c>
      <c r="C1728" s="129"/>
      <c r="D1728" s="166">
        <v>5</v>
      </c>
      <c r="E1728" s="167" t="s">
        <v>2445</v>
      </c>
      <c r="F1728" s="44">
        <f t="shared" si="56"/>
        <v>5</v>
      </c>
      <c r="G1728" s="85" t="s">
        <v>2932</v>
      </c>
      <c r="H1728" s="46" t="s">
        <v>18</v>
      </c>
      <c r="I1728" s="47"/>
      <c r="J1728" s="48" t="s">
        <v>42</v>
      </c>
      <c r="K1728" s="196" t="s">
        <v>2931</v>
      </c>
      <c r="L1728" s="78" t="s">
        <v>2534</v>
      </c>
      <c r="M1728" s="78" t="s">
        <v>2535</v>
      </c>
      <c r="N1728" s="14" t="s">
        <v>27</v>
      </c>
      <c r="O1728" s="14" t="s">
        <v>28</v>
      </c>
      <c r="P1728" s="51">
        <v>2.4</v>
      </c>
      <c r="Q1728" s="47">
        <f t="shared" si="55"/>
        <v>12</v>
      </c>
      <c r="R1728" s="47"/>
      <c r="S1728" s="47"/>
      <c r="T1728" s="47"/>
    </row>
    <row r="1729" customHeight="1" spans="1:20">
      <c r="A1729" s="170">
        <v>43209</v>
      </c>
      <c r="B1729" s="78" t="s">
        <v>2536</v>
      </c>
      <c r="C1729" s="78"/>
      <c r="D1729" s="166">
        <v>60</v>
      </c>
      <c r="E1729" s="171" t="s">
        <v>2445</v>
      </c>
      <c r="F1729" s="44">
        <f t="shared" si="56"/>
        <v>60</v>
      </c>
      <c r="G1729" s="85" t="s">
        <v>2933</v>
      </c>
      <c r="H1729" s="46" t="s">
        <v>18</v>
      </c>
      <c r="I1729" s="47"/>
      <c r="J1729" s="48" t="s">
        <v>42</v>
      </c>
      <c r="K1729" s="196">
        <v>43209</v>
      </c>
      <c r="L1729" s="78" t="s">
        <v>2534</v>
      </c>
      <c r="M1729" s="78" t="s">
        <v>2535</v>
      </c>
      <c r="N1729" s="14" t="s">
        <v>27</v>
      </c>
      <c r="O1729" s="14" t="s">
        <v>28</v>
      </c>
      <c r="P1729" s="51">
        <v>2.4</v>
      </c>
      <c r="Q1729" s="47">
        <f t="shared" si="55"/>
        <v>144</v>
      </c>
      <c r="R1729" s="47"/>
      <c r="S1729" s="47"/>
      <c r="T1729" s="47"/>
    </row>
    <row r="1730" customHeight="1" spans="1:20">
      <c r="A1730" s="170">
        <v>43210</v>
      </c>
      <c r="B1730" s="78" t="s">
        <v>2934</v>
      </c>
      <c r="C1730" s="78"/>
      <c r="D1730" s="170">
        <v>5</v>
      </c>
      <c r="E1730" s="171" t="s">
        <v>2445</v>
      </c>
      <c r="F1730" s="44">
        <f t="shared" si="56"/>
        <v>5</v>
      </c>
      <c r="G1730" s="85" t="s">
        <v>2935</v>
      </c>
      <c r="H1730" s="46" t="s">
        <v>18</v>
      </c>
      <c r="I1730" s="47"/>
      <c r="J1730" s="48" t="s">
        <v>42</v>
      </c>
      <c r="K1730" s="196">
        <v>43210</v>
      </c>
      <c r="L1730" s="78" t="s">
        <v>2534</v>
      </c>
      <c r="M1730" s="78" t="s">
        <v>2535</v>
      </c>
      <c r="N1730" s="14" t="s">
        <v>27</v>
      </c>
      <c r="O1730" s="14" t="s">
        <v>28</v>
      </c>
      <c r="P1730" s="51">
        <v>2.4</v>
      </c>
      <c r="Q1730" s="47">
        <f t="shared" si="55"/>
        <v>12</v>
      </c>
      <c r="R1730" s="47"/>
      <c r="S1730" s="47"/>
      <c r="T1730" s="47"/>
    </row>
    <row r="1731" customHeight="1" spans="1:20">
      <c r="A1731" s="170">
        <v>43211</v>
      </c>
      <c r="B1731" s="78" t="s">
        <v>2537</v>
      </c>
      <c r="C1731" s="78"/>
      <c r="D1731" s="170">
        <v>5</v>
      </c>
      <c r="E1731" s="171" t="s">
        <v>2445</v>
      </c>
      <c r="F1731" s="44">
        <f t="shared" si="56"/>
        <v>5</v>
      </c>
      <c r="G1731" s="85" t="s">
        <v>2936</v>
      </c>
      <c r="H1731" s="46" t="s">
        <v>18</v>
      </c>
      <c r="I1731" s="47"/>
      <c r="J1731" s="48" t="s">
        <v>42</v>
      </c>
      <c r="K1731" s="196">
        <v>43211</v>
      </c>
      <c r="L1731" s="78" t="s">
        <v>2534</v>
      </c>
      <c r="M1731" s="78" t="s">
        <v>2535</v>
      </c>
      <c r="N1731" s="14" t="s">
        <v>27</v>
      </c>
      <c r="O1731" s="14" t="s">
        <v>28</v>
      </c>
      <c r="P1731" s="51">
        <v>2.4</v>
      </c>
      <c r="Q1731" s="47">
        <f t="shared" si="55"/>
        <v>12</v>
      </c>
      <c r="R1731" s="47"/>
      <c r="S1731" s="47"/>
      <c r="T1731" s="47"/>
    </row>
    <row r="1732" customHeight="1" spans="1:20">
      <c r="A1732" s="170">
        <v>43212</v>
      </c>
      <c r="B1732" s="78" t="s">
        <v>2937</v>
      </c>
      <c r="C1732" s="78"/>
      <c r="D1732" s="170">
        <v>5</v>
      </c>
      <c r="E1732" s="171" t="s">
        <v>2445</v>
      </c>
      <c r="F1732" s="44">
        <f t="shared" si="56"/>
        <v>5</v>
      </c>
      <c r="G1732" s="85" t="s">
        <v>2938</v>
      </c>
      <c r="H1732" s="46" t="s">
        <v>18</v>
      </c>
      <c r="I1732" s="47"/>
      <c r="J1732" s="48" t="s">
        <v>42</v>
      </c>
      <c r="K1732" s="196">
        <v>43212</v>
      </c>
      <c r="L1732" s="78" t="s">
        <v>2534</v>
      </c>
      <c r="M1732" s="78" t="s">
        <v>2535</v>
      </c>
      <c r="N1732" s="14" t="s">
        <v>27</v>
      </c>
      <c r="O1732" s="14" t="s">
        <v>28</v>
      </c>
      <c r="P1732" s="51">
        <v>2.4</v>
      </c>
      <c r="Q1732" s="47">
        <f t="shared" ref="Q1732:Q1795" si="57">P1732*F1732</f>
        <v>12</v>
      </c>
      <c r="R1732" s="47"/>
      <c r="S1732" s="47"/>
      <c r="T1732" s="47"/>
    </row>
    <row r="1733" customHeight="1" spans="1:20">
      <c r="A1733" s="170">
        <v>43213</v>
      </c>
      <c r="B1733" s="78" t="s">
        <v>2939</v>
      </c>
      <c r="C1733" s="78"/>
      <c r="D1733" s="170">
        <v>5</v>
      </c>
      <c r="E1733" s="171" t="s">
        <v>2445</v>
      </c>
      <c r="F1733" s="44">
        <f t="shared" si="56"/>
        <v>5</v>
      </c>
      <c r="G1733" s="85" t="s">
        <v>2940</v>
      </c>
      <c r="H1733" s="46" t="s">
        <v>18</v>
      </c>
      <c r="I1733" s="47"/>
      <c r="J1733" s="48" t="s">
        <v>42</v>
      </c>
      <c r="K1733" s="196">
        <v>43213</v>
      </c>
      <c r="L1733" s="78" t="s">
        <v>2534</v>
      </c>
      <c r="M1733" s="78" t="s">
        <v>2535</v>
      </c>
      <c r="N1733" s="14" t="s">
        <v>27</v>
      </c>
      <c r="O1733" s="14" t="s">
        <v>28</v>
      </c>
      <c r="P1733" s="51">
        <v>2.4</v>
      </c>
      <c r="Q1733" s="47">
        <f t="shared" si="57"/>
        <v>12</v>
      </c>
      <c r="R1733" s="47"/>
      <c r="S1733" s="47"/>
      <c r="T1733" s="47"/>
    </row>
    <row r="1734" customHeight="1" spans="1:20">
      <c r="A1734" s="170">
        <v>43214</v>
      </c>
      <c r="B1734" s="78" t="s">
        <v>2941</v>
      </c>
      <c r="C1734" s="78"/>
      <c r="D1734" s="170">
        <v>5</v>
      </c>
      <c r="E1734" s="171" t="s">
        <v>2445</v>
      </c>
      <c r="F1734" s="44">
        <f t="shared" si="56"/>
        <v>5</v>
      </c>
      <c r="G1734" s="85" t="s">
        <v>2942</v>
      </c>
      <c r="H1734" s="46" t="s">
        <v>18</v>
      </c>
      <c r="I1734" s="47"/>
      <c r="J1734" s="48" t="s">
        <v>42</v>
      </c>
      <c r="K1734" s="196">
        <v>43214</v>
      </c>
      <c r="L1734" s="78" t="s">
        <v>2534</v>
      </c>
      <c r="M1734" s="78" t="s">
        <v>2535</v>
      </c>
      <c r="N1734" s="14" t="s">
        <v>27</v>
      </c>
      <c r="O1734" s="14" t="s">
        <v>28</v>
      </c>
      <c r="P1734" s="51">
        <v>2.4</v>
      </c>
      <c r="Q1734" s="47">
        <f t="shared" si="57"/>
        <v>12</v>
      </c>
      <c r="R1734" s="47"/>
      <c r="S1734" s="47"/>
      <c r="T1734" s="47"/>
    </row>
    <row r="1735" customHeight="1" spans="1:20">
      <c r="A1735" s="170">
        <v>43215</v>
      </c>
      <c r="B1735" s="78" t="s">
        <v>2943</v>
      </c>
      <c r="C1735" s="78"/>
      <c r="D1735" s="170">
        <v>5</v>
      </c>
      <c r="E1735" s="171" t="s">
        <v>2445</v>
      </c>
      <c r="F1735" s="44">
        <f t="shared" si="56"/>
        <v>5</v>
      </c>
      <c r="G1735" s="85" t="s">
        <v>2944</v>
      </c>
      <c r="H1735" s="46" t="s">
        <v>18</v>
      </c>
      <c r="I1735" s="47"/>
      <c r="J1735" s="48" t="s">
        <v>42</v>
      </c>
      <c r="K1735" s="196">
        <v>43215</v>
      </c>
      <c r="L1735" s="78" t="s">
        <v>2534</v>
      </c>
      <c r="M1735" s="78" t="s">
        <v>2535</v>
      </c>
      <c r="N1735" s="14" t="s">
        <v>27</v>
      </c>
      <c r="O1735" s="14" t="s">
        <v>28</v>
      </c>
      <c r="P1735" s="51">
        <v>2.4</v>
      </c>
      <c r="Q1735" s="47">
        <f t="shared" si="57"/>
        <v>12</v>
      </c>
      <c r="R1735" s="47"/>
      <c r="S1735" s="47"/>
      <c r="T1735" s="47"/>
    </row>
    <row r="1736" customHeight="1" spans="1:20">
      <c r="A1736" s="170">
        <v>43216</v>
      </c>
      <c r="B1736" s="78" t="s">
        <v>2945</v>
      </c>
      <c r="C1736" s="78"/>
      <c r="D1736" s="170">
        <v>5</v>
      </c>
      <c r="E1736" s="171" t="s">
        <v>2445</v>
      </c>
      <c r="F1736" s="44">
        <f t="shared" si="56"/>
        <v>5</v>
      </c>
      <c r="G1736" s="85" t="s">
        <v>2946</v>
      </c>
      <c r="H1736" s="46" t="s">
        <v>18</v>
      </c>
      <c r="I1736" s="47"/>
      <c r="J1736" s="48" t="s">
        <v>42</v>
      </c>
      <c r="K1736" s="196">
        <v>43216</v>
      </c>
      <c r="L1736" s="78" t="s">
        <v>2534</v>
      </c>
      <c r="M1736" s="78" t="s">
        <v>2535</v>
      </c>
      <c r="N1736" s="14" t="s">
        <v>27</v>
      </c>
      <c r="O1736" s="14" t="s">
        <v>28</v>
      </c>
      <c r="P1736" s="51">
        <v>2.4</v>
      </c>
      <c r="Q1736" s="47">
        <f t="shared" si="57"/>
        <v>12</v>
      </c>
      <c r="R1736" s="47"/>
      <c r="S1736" s="47"/>
      <c r="T1736" s="47"/>
    </row>
    <row r="1737" customHeight="1" spans="1:20">
      <c r="A1737" s="170">
        <v>43217</v>
      </c>
      <c r="B1737" s="78" t="s">
        <v>2947</v>
      </c>
      <c r="C1737" s="78"/>
      <c r="D1737" s="170">
        <v>5</v>
      </c>
      <c r="E1737" s="171" t="s">
        <v>2445</v>
      </c>
      <c r="F1737" s="44">
        <f t="shared" si="56"/>
        <v>5</v>
      </c>
      <c r="G1737" s="85" t="s">
        <v>2948</v>
      </c>
      <c r="H1737" s="46" t="s">
        <v>18</v>
      </c>
      <c r="I1737" s="47"/>
      <c r="J1737" s="48" t="s">
        <v>42</v>
      </c>
      <c r="K1737" s="196">
        <v>43217</v>
      </c>
      <c r="L1737" s="78" t="s">
        <v>2534</v>
      </c>
      <c r="M1737" s="78" t="s">
        <v>2535</v>
      </c>
      <c r="N1737" s="14" t="s">
        <v>27</v>
      </c>
      <c r="O1737" s="14" t="s">
        <v>28</v>
      </c>
      <c r="P1737" s="51">
        <v>2.4</v>
      </c>
      <c r="Q1737" s="47">
        <f t="shared" si="57"/>
        <v>12</v>
      </c>
      <c r="R1737" s="47"/>
      <c r="S1737" s="47"/>
      <c r="T1737" s="47"/>
    </row>
    <row r="1738" customHeight="1" spans="1:20">
      <c r="A1738" s="170">
        <v>43218</v>
      </c>
      <c r="B1738" s="78" t="s">
        <v>2949</v>
      </c>
      <c r="C1738" s="78"/>
      <c r="D1738" s="170">
        <v>5</v>
      </c>
      <c r="E1738" s="171" t="s">
        <v>2445</v>
      </c>
      <c r="F1738" s="44">
        <f t="shared" si="56"/>
        <v>5</v>
      </c>
      <c r="G1738" s="85" t="s">
        <v>2950</v>
      </c>
      <c r="H1738" s="46" t="s">
        <v>18</v>
      </c>
      <c r="I1738" s="47"/>
      <c r="J1738" s="48" t="s">
        <v>42</v>
      </c>
      <c r="K1738" s="196">
        <v>43218</v>
      </c>
      <c r="L1738" s="78" t="s">
        <v>2534</v>
      </c>
      <c r="M1738" s="78" t="s">
        <v>2535</v>
      </c>
      <c r="N1738" s="14" t="s">
        <v>27</v>
      </c>
      <c r="O1738" s="14" t="s">
        <v>28</v>
      </c>
      <c r="P1738" s="51">
        <v>2.4</v>
      </c>
      <c r="Q1738" s="47">
        <f t="shared" si="57"/>
        <v>12</v>
      </c>
      <c r="R1738" s="47"/>
      <c r="S1738" s="47"/>
      <c r="T1738" s="47"/>
    </row>
    <row r="1739" customHeight="1" spans="1:20">
      <c r="A1739" s="170">
        <v>43219</v>
      </c>
      <c r="B1739" s="78" t="s">
        <v>2951</v>
      </c>
      <c r="C1739" s="78"/>
      <c r="D1739" s="170">
        <v>5</v>
      </c>
      <c r="E1739" s="171" t="s">
        <v>2445</v>
      </c>
      <c r="F1739" s="44">
        <f t="shared" si="56"/>
        <v>5</v>
      </c>
      <c r="G1739" s="85" t="s">
        <v>2952</v>
      </c>
      <c r="H1739" s="46" t="s">
        <v>18</v>
      </c>
      <c r="I1739" s="47"/>
      <c r="J1739" s="48" t="s">
        <v>42</v>
      </c>
      <c r="K1739" s="196">
        <v>43219</v>
      </c>
      <c r="L1739" s="78" t="s">
        <v>2534</v>
      </c>
      <c r="M1739" s="78" t="s">
        <v>2535</v>
      </c>
      <c r="N1739" s="14" t="s">
        <v>27</v>
      </c>
      <c r="O1739" s="14" t="s">
        <v>28</v>
      </c>
      <c r="P1739" s="51">
        <v>2.4</v>
      </c>
      <c r="Q1739" s="47">
        <f t="shared" si="57"/>
        <v>12</v>
      </c>
      <c r="R1739" s="47"/>
      <c r="S1739" s="47"/>
      <c r="T1739" s="47"/>
    </row>
    <row r="1740" customHeight="1" spans="1:20">
      <c r="A1740" s="170">
        <v>43220</v>
      </c>
      <c r="B1740" s="78" t="s">
        <v>2953</v>
      </c>
      <c r="C1740" s="78"/>
      <c r="D1740" s="170">
        <v>5</v>
      </c>
      <c r="E1740" s="171" t="s">
        <v>2445</v>
      </c>
      <c r="F1740" s="44">
        <f t="shared" si="56"/>
        <v>5</v>
      </c>
      <c r="G1740" s="85" t="s">
        <v>2954</v>
      </c>
      <c r="H1740" s="46" t="s">
        <v>18</v>
      </c>
      <c r="I1740" s="47"/>
      <c r="J1740" s="48" t="s">
        <v>42</v>
      </c>
      <c r="K1740" s="196">
        <v>43220</v>
      </c>
      <c r="L1740" s="78" t="s">
        <v>2534</v>
      </c>
      <c r="M1740" s="78" t="s">
        <v>2535</v>
      </c>
      <c r="N1740" s="14" t="s">
        <v>27</v>
      </c>
      <c r="O1740" s="14" t="s">
        <v>28</v>
      </c>
      <c r="P1740" s="51">
        <v>2.4</v>
      </c>
      <c r="Q1740" s="47">
        <f t="shared" si="57"/>
        <v>12</v>
      </c>
      <c r="R1740" s="47"/>
      <c r="S1740" s="47"/>
      <c r="T1740" s="47"/>
    </row>
    <row r="1741" customHeight="1" spans="1:20">
      <c r="A1741" s="166" t="s">
        <v>2955</v>
      </c>
      <c r="B1741" s="129" t="s">
        <v>2956</v>
      </c>
      <c r="C1741" s="129"/>
      <c r="D1741" s="166">
        <v>60</v>
      </c>
      <c r="E1741" s="167" t="s">
        <v>2445</v>
      </c>
      <c r="F1741" s="44">
        <f t="shared" si="56"/>
        <v>60</v>
      </c>
      <c r="G1741" s="85" t="s">
        <v>2957</v>
      </c>
      <c r="H1741" s="46" t="s">
        <v>18</v>
      </c>
      <c r="I1741" s="47"/>
      <c r="J1741" s="48" t="s">
        <v>42</v>
      </c>
      <c r="K1741" s="196" t="s">
        <v>2955</v>
      </c>
      <c r="L1741" s="78" t="s">
        <v>2534</v>
      </c>
      <c r="M1741" s="78" t="s">
        <v>2535</v>
      </c>
      <c r="N1741" s="14" t="s">
        <v>27</v>
      </c>
      <c r="O1741" s="14" t="s">
        <v>28</v>
      </c>
      <c r="P1741" s="51">
        <v>2.4</v>
      </c>
      <c r="Q1741" s="47">
        <f t="shared" si="57"/>
        <v>144</v>
      </c>
      <c r="R1741" s="47"/>
      <c r="S1741" s="47"/>
      <c r="T1741" s="47"/>
    </row>
    <row r="1742" customHeight="1" spans="1:20">
      <c r="A1742" s="170">
        <v>43222</v>
      </c>
      <c r="B1742" s="78" t="s">
        <v>2958</v>
      </c>
      <c r="C1742" s="78"/>
      <c r="D1742" s="170">
        <v>5</v>
      </c>
      <c r="E1742" s="171" t="s">
        <v>2445</v>
      </c>
      <c r="F1742" s="44">
        <f t="shared" si="56"/>
        <v>5</v>
      </c>
      <c r="G1742" s="85" t="s">
        <v>2959</v>
      </c>
      <c r="H1742" s="46" t="s">
        <v>18</v>
      </c>
      <c r="I1742" s="47"/>
      <c r="J1742" s="48" t="s">
        <v>42</v>
      </c>
      <c r="K1742" s="196">
        <v>43222</v>
      </c>
      <c r="L1742" s="78" t="s">
        <v>2534</v>
      </c>
      <c r="M1742" s="78" t="s">
        <v>2535</v>
      </c>
      <c r="N1742" s="14" t="s">
        <v>27</v>
      </c>
      <c r="O1742" s="14" t="s">
        <v>28</v>
      </c>
      <c r="P1742" s="51">
        <v>2.4</v>
      </c>
      <c r="Q1742" s="47">
        <f t="shared" si="57"/>
        <v>12</v>
      </c>
      <c r="R1742" s="47"/>
      <c r="S1742" s="47"/>
      <c r="T1742" s="47"/>
    </row>
    <row r="1743" customHeight="1" spans="1:20">
      <c r="A1743" s="166" t="s">
        <v>2960</v>
      </c>
      <c r="B1743" s="129" t="s">
        <v>2961</v>
      </c>
      <c r="C1743" s="129"/>
      <c r="D1743" s="166">
        <v>5</v>
      </c>
      <c r="E1743" s="167" t="s">
        <v>2445</v>
      </c>
      <c r="F1743" s="44">
        <f t="shared" si="56"/>
        <v>5</v>
      </c>
      <c r="G1743" s="85" t="s">
        <v>2962</v>
      </c>
      <c r="H1743" s="46" t="s">
        <v>18</v>
      </c>
      <c r="I1743" s="47"/>
      <c r="J1743" s="48" t="s">
        <v>42</v>
      </c>
      <c r="K1743" s="196" t="s">
        <v>2960</v>
      </c>
      <c r="L1743" s="78" t="s">
        <v>2534</v>
      </c>
      <c r="M1743" s="78" t="s">
        <v>2535</v>
      </c>
      <c r="N1743" s="14" t="s">
        <v>27</v>
      </c>
      <c r="O1743" s="14" t="s">
        <v>28</v>
      </c>
      <c r="P1743" s="51">
        <v>2.4</v>
      </c>
      <c r="Q1743" s="47">
        <f t="shared" si="57"/>
        <v>12</v>
      </c>
      <c r="R1743" s="47"/>
      <c r="S1743" s="47"/>
      <c r="T1743" s="47"/>
    </row>
    <row r="1744" customHeight="1" spans="1:20">
      <c r="A1744" s="193" t="s">
        <v>2963</v>
      </c>
      <c r="B1744" s="142" t="s">
        <v>2539</v>
      </c>
      <c r="C1744" s="142"/>
      <c r="D1744" s="166"/>
      <c r="E1744" s="167"/>
      <c r="F1744" s="44">
        <f t="shared" si="56"/>
        <v>0</v>
      </c>
      <c r="G1744" s="131"/>
      <c r="H1744" s="46"/>
      <c r="I1744" s="47"/>
      <c r="J1744" s="48" t="s">
        <v>42</v>
      </c>
      <c r="K1744" s="154"/>
      <c r="L1744" s="129"/>
      <c r="M1744" s="129"/>
      <c r="O1744" s="14" t="s">
        <v>28</v>
      </c>
      <c r="P1744" s="51"/>
      <c r="Q1744" s="47">
        <f t="shared" si="57"/>
        <v>0</v>
      </c>
      <c r="R1744" s="47"/>
      <c r="S1744" s="47"/>
      <c r="T1744" s="47"/>
    </row>
    <row r="1745" customHeight="1" spans="1:20">
      <c r="A1745" s="166" t="s">
        <v>2964</v>
      </c>
      <c r="B1745" s="129" t="s">
        <v>2965</v>
      </c>
      <c r="C1745" s="129"/>
      <c r="D1745" s="166">
        <v>60</v>
      </c>
      <c r="E1745" s="167" t="s">
        <v>2445</v>
      </c>
      <c r="F1745" s="44">
        <f t="shared" si="56"/>
        <v>60</v>
      </c>
      <c r="G1745" s="85" t="s">
        <v>2966</v>
      </c>
      <c r="H1745" s="46" t="s">
        <v>18</v>
      </c>
      <c r="I1745" s="47"/>
      <c r="J1745" s="48" t="s">
        <v>42</v>
      </c>
      <c r="K1745" s="196" t="s">
        <v>2964</v>
      </c>
      <c r="L1745" s="78" t="s">
        <v>2534</v>
      </c>
      <c r="M1745" s="78" t="s">
        <v>2535</v>
      </c>
      <c r="N1745" s="14" t="s">
        <v>27</v>
      </c>
      <c r="O1745" s="14" t="s">
        <v>28</v>
      </c>
      <c r="P1745" s="51">
        <v>2.4</v>
      </c>
      <c r="Q1745" s="47">
        <f t="shared" si="57"/>
        <v>144</v>
      </c>
      <c r="R1745" s="47"/>
      <c r="S1745" s="47"/>
      <c r="T1745" s="47"/>
    </row>
    <row r="1746" customHeight="1" spans="1:20">
      <c r="A1746" s="170">
        <v>43303</v>
      </c>
      <c r="B1746" s="78" t="s">
        <v>2967</v>
      </c>
      <c r="C1746" s="78"/>
      <c r="D1746" s="170">
        <v>5</v>
      </c>
      <c r="E1746" s="171" t="s">
        <v>2445</v>
      </c>
      <c r="F1746" s="44">
        <f t="shared" si="56"/>
        <v>5</v>
      </c>
      <c r="G1746" s="85" t="s">
        <v>2968</v>
      </c>
      <c r="H1746" s="46" t="s">
        <v>18</v>
      </c>
      <c r="I1746" s="47"/>
      <c r="J1746" s="48" t="s">
        <v>42</v>
      </c>
      <c r="K1746" s="196">
        <v>43303</v>
      </c>
      <c r="L1746" s="78" t="s">
        <v>2534</v>
      </c>
      <c r="M1746" s="78" t="s">
        <v>2535</v>
      </c>
      <c r="N1746" s="14" t="s">
        <v>27</v>
      </c>
      <c r="O1746" s="14" t="s">
        <v>28</v>
      </c>
      <c r="P1746" s="51">
        <v>2.4</v>
      </c>
      <c r="Q1746" s="47">
        <f t="shared" si="57"/>
        <v>12</v>
      </c>
      <c r="R1746" s="47"/>
      <c r="S1746" s="47"/>
      <c r="T1746" s="47"/>
    </row>
    <row r="1747" customHeight="1" spans="1:20">
      <c r="A1747" s="166" t="s">
        <v>2969</v>
      </c>
      <c r="B1747" s="129" t="s">
        <v>2970</v>
      </c>
      <c r="C1747" s="129"/>
      <c r="D1747" s="166">
        <v>60</v>
      </c>
      <c r="E1747" s="167" t="s">
        <v>2445</v>
      </c>
      <c r="F1747" s="44">
        <f t="shared" si="56"/>
        <v>60</v>
      </c>
      <c r="G1747" s="85" t="s">
        <v>2971</v>
      </c>
      <c r="H1747" s="46" t="s">
        <v>18</v>
      </c>
      <c r="I1747" s="47"/>
      <c r="J1747" s="48" t="s">
        <v>42</v>
      </c>
      <c r="K1747" s="196" t="s">
        <v>2969</v>
      </c>
      <c r="L1747" s="78" t="s">
        <v>2534</v>
      </c>
      <c r="M1747" s="78" t="s">
        <v>2535</v>
      </c>
      <c r="N1747" s="14" t="s">
        <v>27</v>
      </c>
      <c r="O1747" s="14" t="s">
        <v>28</v>
      </c>
      <c r="P1747" s="51">
        <v>2.4</v>
      </c>
      <c r="Q1747" s="47">
        <f t="shared" si="57"/>
        <v>144</v>
      </c>
      <c r="R1747" s="47"/>
      <c r="S1747" s="47"/>
      <c r="T1747" s="47"/>
    </row>
    <row r="1748" customHeight="1" spans="1:20">
      <c r="A1748" s="170">
        <v>43305</v>
      </c>
      <c r="B1748" s="78" t="s">
        <v>2540</v>
      </c>
      <c r="C1748" s="78"/>
      <c r="D1748" s="170">
        <v>5</v>
      </c>
      <c r="E1748" s="171" t="s">
        <v>2445</v>
      </c>
      <c r="F1748" s="44">
        <f t="shared" si="56"/>
        <v>5</v>
      </c>
      <c r="G1748" s="85" t="s">
        <v>2972</v>
      </c>
      <c r="H1748" s="46" t="s">
        <v>18</v>
      </c>
      <c r="I1748" s="47"/>
      <c r="J1748" s="48" t="s">
        <v>42</v>
      </c>
      <c r="K1748" s="196">
        <v>43305</v>
      </c>
      <c r="L1748" s="78" t="s">
        <v>2534</v>
      </c>
      <c r="M1748" s="78" t="s">
        <v>2535</v>
      </c>
      <c r="N1748" s="14" t="s">
        <v>27</v>
      </c>
      <c r="O1748" s="14" t="s">
        <v>28</v>
      </c>
      <c r="P1748" s="51">
        <v>2.4</v>
      </c>
      <c r="Q1748" s="47">
        <f t="shared" si="57"/>
        <v>12</v>
      </c>
      <c r="R1748" s="47"/>
      <c r="S1748" s="47"/>
      <c r="T1748" s="47"/>
    </row>
    <row r="1749" customHeight="1" spans="1:20">
      <c r="A1749" s="170">
        <v>43306</v>
      </c>
      <c r="B1749" s="78" t="s">
        <v>2973</v>
      </c>
      <c r="C1749" s="78"/>
      <c r="D1749" s="170">
        <v>5</v>
      </c>
      <c r="E1749" s="171" t="s">
        <v>2445</v>
      </c>
      <c r="F1749" s="44">
        <f t="shared" si="56"/>
        <v>5</v>
      </c>
      <c r="G1749" s="85" t="s">
        <v>2974</v>
      </c>
      <c r="H1749" s="46" t="s">
        <v>18</v>
      </c>
      <c r="I1749" s="47"/>
      <c r="J1749" s="48" t="s">
        <v>42</v>
      </c>
      <c r="K1749" s="196">
        <v>43306</v>
      </c>
      <c r="L1749" s="78" t="s">
        <v>2534</v>
      </c>
      <c r="M1749" s="78" t="s">
        <v>2535</v>
      </c>
      <c r="N1749" s="14" t="s">
        <v>27</v>
      </c>
      <c r="O1749" s="14" t="s">
        <v>28</v>
      </c>
      <c r="P1749" s="51">
        <v>5</v>
      </c>
      <c r="Q1749" s="47">
        <f t="shared" si="57"/>
        <v>25</v>
      </c>
      <c r="R1749" s="47"/>
      <c r="S1749" s="47"/>
      <c r="T1749" s="47"/>
    </row>
    <row r="1750" customHeight="1" spans="1:20">
      <c r="A1750" s="170">
        <v>43307</v>
      </c>
      <c r="B1750" s="78" t="s">
        <v>2541</v>
      </c>
      <c r="C1750" s="78"/>
      <c r="D1750" s="170">
        <v>5</v>
      </c>
      <c r="E1750" s="171" t="s">
        <v>2445</v>
      </c>
      <c r="F1750" s="44">
        <f t="shared" si="56"/>
        <v>5</v>
      </c>
      <c r="G1750" s="85" t="s">
        <v>2975</v>
      </c>
      <c r="H1750" s="46" t="s">
        <v>18</v>
      </c>
      <c r="I1750" s="47"/>
      <c r="J1750" s="48" t="s">
        <v>42</v>
      </c>
      <c r="K1750" s="196">
        <v>43307</v>
      </c>
      <c r="L1750" s="78" t="s">
        <v>2534</v>
      </c>
      <c r="M1750" s="78" t="s">
        <v>2535</v>
      </c>
      <c r="N1750" s="14" t="s">
        <v>27</v>
      </c>
      <c r="O1750" s="14" t="s">
        <v>28</v>
      </c>
      <c r="P1750" s="51">
        <v>2.4</v>
      </c>
      <c r="Q1750" s="47">
        <f t="shared" si="57"/>
        <v>12</v>
      </c>
      <c r="R1750" s="47"/>
      <c r="S1750" s="47"/>
      <c r="T1750" s="47"/>
    </row>
    <row r="1751" customHeight="1" spans="1:20">
      <c r="A1751" s="170">
        <v>43308</v>
      </c>
      <c r="B1751" s="78" t="s">
        <v>2976</v>
      </c>
      <c r="C1751" s="78"/>
      <c r="D1751" s="170">
        <v>5</v>
      </c>
      <c r="E1751" s="171" t="s">
        <v>2445</v>
      </c>
      <c r="F1751" s="44">
        <f t="shared" si="56"/>
        <v>5</v>
      </c>
      <c r="G1751" s="85" t="s">
        <v>2977</v>
      </c>
      <c r="H1751" s="46" t="s">
        <v>18</v>
      </c>
      <c r="I1751" s="47"/>
      <c r="J1751" s="48" t="s">
        <v>42</v>
      </c>
      <c r="K1751" s="196">
        <v>43308</v>
      </c>
      <c r="L1751" s="78" t="s">
        <v>2534</v>
      </c>
      <c r="M1751" s="78" t="s">
        <v>2535</v>
      </c>
      <c r="N1751" s="14" t="s">
        <v>27</v>
      </c>
      <c r="O1751" s="14" t="s">
        <v>28</v>
      </c>
      <c r="P1751" s="51">
        <v>2.4</v>
      </c>
      <c r="Q1751" s="47">
        <f t="shared" si="57"/>
        <v>12</v>
      </c>
      <c r="R1751" s="47"/>
      <c r="S1751" s="47"/>
      <c r="T1751" s="47"/>
    </row>
    <row r="1752" customHeight="1" spans="1:20">
      <c r="A1752" s="170">
        <v>43309</v>
      </c>
      <c r="B1752" s="78" t="s">
        <v>2978</v>
      </c>
      <c r="C1752" s="78"/>
      <c r="D1752" s="166">
        <v>60</v>
      </c>
      <c r="E1752" s="171" t="s">
        <v>2445</v>
      </c>
      <c r="F1752" s="44">
        <f t="shared" si="56"/>
        <v>60</v>
      </c>
      <c r="G1752" s="85" t="s">
        <v>2979</v>
      </c>
      <c r="H1752" s="46" t="s">
        <v>18</v>
      </c>
      <c r="I1752" s="47"/>
      <c r="J1752" s="48" t="s">
        <v>42</v>
      </c>
      <c r="K1752" s="196">
        <v>43309</v>
      </c>
      <c r="L1752" s="78" t="s">
        <v>2534</v>
      </c>
      <c r="M1752" s="78" t="s">
        <v>2535</v>
      </c>
      <c r="N1752" s="14" t="s">
        <v>27</v>
      </c>
      <c r="O1752" s="14" t="s">
        <v>28</v>
      </c>
      <c r="P1752" s="51">
        <v>2.4</v>
      </c>
      <c r="Q1752" s="47">
        <f t="shared" si="57"/>
        <v>144</v>
      </c>
      <c r="R1752" s="47"/>
      <c r="S1752" s="47"/>
      <c r="T1752" s="47"/>
    </row>
    <row r="1753" customHeight="1" spans="1:20">
      <c r="A1753" s="170">
        <v>43310</v>
      </c>
      <c r="B1753" s="78" t="s">
        <v>2980</v>
      </c>
      <c r="C1753" s="78"/>
      <c r="D1753" s="170">
        <v>5</v>
      </c>
      <c r="E1753" s="171" t="s">
        <v>2445</v>
      </c>
      <c r="F1753" s="44">
        <f t="shared" ref="F1753:F1816" si="58">D1753*1</f>
        <v>5</v>
      </c>
      <c r="G1753" s="85" t="s">
        <v>2981</v>
      </c>
      <c r="H1753" s="46" t="s">
        <v>18</v>
      </c>
      <c r="I1753" s="47"/>
      <c r="J1753" s="48" t="s">
        <v>42</v>
      </c>
      <c r="K1753" s="196">
        <v>43310</v>
      </c>
      <c r="L1753" s="78" t="s">
        <v>2534</v>
      </c>
      <c r="M1753" s="78" t="s">
        <v>2535</v>
      </c>
      <c r="N1753" s="14" t="s">
        <v>27</v>
      </c>
      <c r="O1753" s="14" t="s">
        <v>28</v>
      </c>
      <c r="P1753" s="51">
        <v>2.4</v>
      </c>
      <c r="Q1753" s="47">
        <f t="shared" si="57"/>
        <v>12</v>
      </c>
      <c r="R1753" s="47"/>
      <c r="S1753" s="47"/>
      <c r="T1753" s="47"/>
    </row>
    <row r="1754" customHeight="1" spans="1:20">
      <c r="A1754" s="170">
        <v>43311</v>
      </c>
      <c r="B1754" s="78" t="s">
        <v>2982</v>
      </c>
      <c r="C1754" s="78"/>
      <c r="D1754" s="170">
        <v>5</v>
      </c>
      <c r="E1754" s="171" t="s">
        <v>2445</v>
      </c>
      <c r="F1754" s="44">
        <f t="shared" si="58"/>
        <v>5</v>
      </c>
      <c r="G1754" s="85" t="s">
        <v>2983</v>
      </c>
      <c r="H1754" s="46" t="s">
        <v>18</v>
      </c>
      <c r="I1754" s="47"/>
      <c r="J1754" s="48" t="s">
        <v>42</v>
      </c>
      <c r="K1754" s="196">
        <v>43311</v>
      </c>
      <c r="L1754" s="78" t="s">
        <v>2534</v>
      </c>
      <c r="M1754" s="78" t="s">
        <v>2535</v>
      </c>
      <c r="N1754" s="14" t="s">
        <v>27</v>
      </c>
      <c r="O1754" s="14" t="s">
        <v>28</v>
      </c>
      <c r="P1754" s="51">
        <v>2.4</v>
      </c>
      <c r="Q1754" s="47">
        <f t="shared" si="57"/>
        <v>12</v>
      </c>
      <c r="R1754" s="47"/>
      <c r="S1754" s="47"/>
      <c r="T1754" s="47"/>
    </row>
    <row r="1755" customHeight="1" spans="1:20">
      <c r="A1755" s="1">
        <v>434</v>
      </c>
      <c r="B1755" s="2" t="s">
        <v>2544</v>
      </c>
      <c r="C1755" s="2"/>
      <c r="D1755" s="1"/>
      <c r="E1755" s="8"/>
      <c r="F1755" s="44">
        <f t="shared" si="58"/>
        <v>0</v>
      </c>
      <c r="G1755" s="77"/>
      <c r="H1755" s="46"/>
      <c r="I1755" s="47"/>
      <c r="J1755" s="48" t="s">
        <v>42</v>
      </c>
      <c r="K1755" s="207"/>
      <c r="L1755" s="2"/>
      <c r="M1755" s="2"/>
      <c r="O1755" s="14" t="s">
        <v>28</v>
      </c>
      <c r="P1755" s="51"/>
      <c r="Q1755" s="47">
        <f t="shared" si="57"/>
        <v>0</v>
      </c>
      <c r="R1755" s="47"/>
      <c r="S1755" s="47"/>
      <c r="T1755" s="47"/>
    </row>
    <row r="1756" customHeight="1" spans="1:20">
      <c r="A1756" s="170">
        <v>43401</v>
      </c>
      <c r="B1756" s="78" t="s">
        <v>2984</v>
      </c>
      <c r="C1756" s="78"/>
      <c r="D1756" s="170">
        <v>5</v>
      </c>
      <c r="E1756" s="171" t="s">
        <v>2445</v>
      </c>
      <c r="F1756" s="44">
        <f t="shared" si="58"/>
        <v>5</v>
      </c>
      <c r="G1756" s="85" t="s">
        <v>2985</v>
      </c>
      <c r="H1756" s="46" t="s">
        <v>18</v>
      </c>
      <c r="I1756" s="47"/>
      <c r="J1756" s="48" t="s">
        <v>42</v>
      </c>
      <c r="K1756" s="196">
        <v>43401</v>
      </c>
      <c r="L1756" s="78" t="s">
        <v>2534</v>
      </c>
      <c r="M1756" s="78" t="s">
        <v>2535</v>
      </c>
      <c r="N1756" s="14" t="s">
        <v>27</v>
      </c>
      <c r="O1756" s="14" t="s">
        <v>28</v>
      </c>
      <c r="P1756" s="51">
        <v>2.4</v>
      </c>
      <c r="Q1756" s="47">
        <f t="shared" si="57"/>
        <v>12</v>
      </c>
      <c r="R1756" s="47"/>
      <c r="S1756" s="47"/>
      <c r="T1756" s="47"/>
    </row>
    <row r="1757" customHeight="1" spans="1:20">
      <c r="A1757" s="170">
        <v>43402</v>
      </c>
      <c r="B1757" s="78" t="s">
        <v>2986</v>
      </c>
      <c r="C1757" s="78"/>
      <c r="D1757" s="170">
        <v>5</v>
      </c>
      <c r="E1757" s="171" t="s">
        <v>2445</v>
      </c>
      <c r="F1757" s="44">
        <f t="shared" si="58"/>
        <v>5</v>
      </c>
      <c r="G1757" s="85" t="s">
        <v>2987</v>
      </c>
      <c r="H1757" s="46" t="s">
        <v>18</v>
      </c>
      <c r="I1757" s="47"/>
      <c r="J1757" s="48" t="s">
        <v>42</v>
      </c>
      <c r="K1757" s="196">
        <v>43402</v>
      </c>
      <c r="L1757" s="78" t="s">
        <v>2534</v>
      </c>
      <c r="M1757" s="78" t="s">
        <v>2535</v>
      </c>
      <c r="N1757" s="14" t="s">
        <v>27</v>
      </c>
      <c r="O1757" s="14" t="s">
        <v>28</v>
      </c>
      <c r="P1757" s="51">
        <v>2.4</v>
      </c>
      <c r="Q1757" s="47">
        <f t="shared" si="57"/>
        <v>12</v>
      </c>
      <c r="R1757" s="47"/>
      <c r="S1757" s="47"/>
      <c r="T1757" s="47"/>
    </row>
    <row r="1758" customHeight="1" spans="1:20">
      <c r="A1758" s="166" t="s">
        <v>2988</v>
      </c>
      <c r="B1758" s="129" t="s">
        <v>2545</v>
      </c>
      <c r="C1758" s="129"/>
      <c r="D1758" s="166">
        <v>60</v>
      </c>
      <c r="E1758" s="167" t="s">
        <v>2445</v>
      </c>
      <c r="F1758" s="44">
        <f t="shared" si="58"/>
        <v>60</v>
      </c>
      <c r="G1758" s="85" t="s">
        <v>2989</v>
      </c>
      <c r="H1758" s="46" t="s">
        <v>18</v>
      </c>
      <c r="I1758" s="47"/>
      <c r="J1758" s="48" t="s">
        <v>42</v>
      </c>
      <c r="K1758" s="196" t="s">
        <v>2988</v>
      </c>
      <c r="L1758" s="78" t="s">
        <v>2534</v>
      </c>
      <c r="M1758" s="78" t="s">
        <v>2535</v>
      </c>
      <c r="N1758" s="14" t="s">
        <v>27</v>
      </c>
      <c r="O1758" s="14" t="s">
        <v>28</v>
      </c>
      <c r="P1758" s="51">
        <v>8</v>
      </c>
      <c r="Q1758" s="47">
        <f t="shared" si="57"/>
        <v>480</v>
      </c>
      <c r="R1758" s="47"/>
      <c r="S1758" s="47"/>
      <c r="T1758" s="47"/>
    </row>
    <row r="1759" customHeight="1" spans="1:20">
      <c r="A1759" s="170">
        <v>43404</v>
      </c>
      <c r="B1759" s="78" t="s">
        <v>2990</v>
      </c>
      <c r="C1759" s="78"/>
      <c r="D1759" s="170">
        <v>5</v>
      </c>
      <c r="E1759" s="171" t="s">
        <v>2445</v>
      </c>
      <c r="F1759" s="44">
        <f t="shared" si="58"/>
        <v>5</v>
      </c>
      <c r="G1759" s="85" t="s">
        <v>2991</v>
      </c>
      <c r="H1759" s="46" t="s">
        <v>18</v>
      </c>
      <c r="I1759" s="47"/>
      <c r="J1759" s="48" t="s">
        <v>42</v>
      </c>
      <c r="K1759" s="196">
        <v>43404</v>
      </c>
      <c r="L1759" s="78" t="s">
        <v>2534</v>
      </c>
      <c r="M1759" s="78" t="s">
        <v>2535</v>
      </c>
      <c r="N1759" s="14" t="s">
        <v>27</v>
      </c>
      <c r="O1759" s="14" t="s">
        <v>28</v>
      </c>
      <c r="P1759" s="51">
        <v>6</v>
      </c>
      <c r="Q1759" s="47">
        <f t="shared" si="57"/>
        <v>30</v>
      </c>
      <c r="R1759" s="47"/>
      <c r="S1759" s="47"/>
      <c r="T1759" s="47"/>
    </row>
    <row r="1760" customHeight="1" spans="1:20">
      <c r="A1760" s="170">
        <v>43405</v>
      </c>
      <c r="B1760" s="78" t="s">
        <v>2546</v>
      </c>
      <c r="C1760" s="78"/>
      <c r="D1760" s="170">
        <v>5</v>
      </c>
      <c r="E1760" s="171" t="s">
        <v>2445</v>
      </c>
      <c r="F1760" s="44">
        <f t="shared" si="58"/>
        <v>5</v>
      </c>
      <c r="G1760" s="85" t="s">
        <v>2992</v>
      </c>
      <c r="H1760" s="46" t="s">
        <v>18</v>
      </c>
      <c r="I1760" s="47"/>
      <c r="J1760" s="48" t="s">
        <v>42</v>
      </c>
      <c r="K1760" s="196">
        <v>43405</v>
      </c>
      <c r="L1760" s="78" t="s">
        <v>2534</v>
      </c>
      <c r="M1760" s="78" t="s">
        <v>2535</v>
      </c>
      <c r="N1760" s="14" t="s">
        <v>27</v>
      </c>
      <c r="O1760" s="14" t="s">
        <v>28</v>
      </c>
      <c r="P1760" s="51">
        <v>6</v>
      </c>
      <c r="Q1760" s="47">
        <f t="shared" si="57"/>
        <v>30</v>
      </c>
      <c r="R1760" s="47"/>
      <c r="S1760" s="47"/>
      <c r="T1760" s="47"/>
    </row>
    <row r="1761" customHeight="1" spans="1:20">
      <c r="A1761" s="170">
        <v>43406</v>
      </c>
      <c r="B1761" s="78" t="s">
        <v>2993</v>
      </c>
      <c r="C1761" s="78"/>
      <c r="D1761" s="170">
        <v>5</v>
      </c>
      <c r="E1761" s="171" t="s">
        <v>2445</v>
      </c>
      <c r="F1761" s="44">
        <f t="shared" si="58"/>
        <v>5</v>
      </c>
      <c r="G1761" s="85" t="s">
        <v>2994</v>
      </c>
      <c r="H1761" s="46" t="s">
        <v>18</v>
      </c>
      <c r="I1761" s="47"/>
      <c r="J1761" s="48" t="s">
        <v>42</v>
      </c>
      <c r="K1761" s="196">
        <v>43406</v>
      </c>
      <c r="L1761" s="78" t="s">
        <v>2534</v>
      </c>
      <c r="M1761" s="78" t="s">
        <v>2535</v>
      </c>
      <c r="N1761" s="14" t="s">
        <v>27</v>
      </c>
      <c r="O1761" s="14" t="s">
        <v>28</v>
      </c>
      <c r="P1761" s="51">
        <v>2.4</v>
      </c>
      <c r="Q1761" s="47">
        <f t="shared" si="57"/>
        <v>12</v>
      </c>
      <c r="R1761" s="47"/>
      <c r="S1761" s="47"/>
      <c r="T1761" s="47"/>
    </row>
    <row r="1762" customHeight="1" spans="1:20">
      <c r="A1762" s="170">
        <v>43407</v>
      </c>
      <c r="B1762" s="78" t="s">
        <v>2995</v>
      </c>
      <c r="C1762" s="78"/>
      <c r="D1762" s="170">
        <v>5</v>
      </c>
      <c r="E1762" s="171" t="s">
        <v>2445</v>
      </c>
      <c r="F1762" s="44">
        <f t="shared" si="58"/>
        <v>5</v>
      </c>
      <c r="G1762" s="85" t="s">
        <v>2996</v>
      </c>
      <c r="H1762" s="46" t="s">
        <v>18</v>
      </c>
      <c r="I1762" s="47"/>
      <c r="J1762" s="48" t="s">
        <v>42</v>
      </c>
      <c r="K1762" s="196">
        <v>43407</v>
      </c>
      <c r="L1762" s="78" t="s">
        <v>2534</v>
      </c>
      <c r="M1762" s="78" t="s">
        <v>2535</v>
      </c>
      <c r="N1762" s="14" t="s">
        <v>27</v>
      </c>
      <c r="O1762" s="14" t="s">
        <v>28</v>
      </c>
      <c r="P1762" s="51">
        <v>8</v>
      </c>
      <c r="Q1762" s="47">
        <f t="shared" si="57"/>
        <v>40</v>
      </c>
      <c r="R1762" s="47"/>
      <c r="S1762" s="47"/>
      <c r="T1762" s="47"/>
    </row>
    <row r="1763" customHeight="1" spans="1:20">
      <c r="A1763" s="170">
        <v>43408</v>
      </c>
      <c r="B1763" s="78" t="s">
        <v>2997</v>
      </c>
      <c r="C1763" s="78"/>
      <c r="D1763" s="170">
        <v>5</v>
      </c>
      <c r="E1763" s="171" t="s">
        <v>2445</v>
      </c>
      <c r="F1763" s="44">
        <f t="shared" si="58"/>
        <v>5</v>
      </c>
      <c r="G1763" s="85" t="s">
        <v>2998</v>
      </c>
      <c r="H1763" s="46" t="s">
        <v>18</v>
      </c>
      <c r="I1763" s="47"/>
      <c r="J1763" s="48" t="s">
        <v>42</v>
      </c>
      <c r="K1763" s="196">
        <v>43408</v>
      </c>
      <c r="L1763" s="78" t="s">
        <v>2534</v>
      </c>
      <c r="M1763" s="78" t="s">
        <v>2535</v>
      </c>
      <c r="N1763" s="14" t="s">
        <v>27</v>
      </c>
      <c r="O1763" s="14" t="s">
        <v>28</v>
      </c>
      <c r="P1763" s="51">
        <v>6</v>
      </c>
      <c r="Q1763" s="47">
        <f t="shared" si="57"/>
        <v>30</v>
      </c>
      <c r="R1763" s="47"/>
      <c r="S1763" s="47"/>
      <c r="T1763" s="47"/>
    </row>
    <row r="1764" customHeight="1" spans="1:20">
      <c r="A1764" s="170">
        <v>43409</v>
      </c>
      <c r="B1764" s="78" t="s">
        <v>2999</v>
      </c>
      <c r="C1764" s="78"/>
      <c r="D1764" s="170">
        <v>5</v>
      </c>
      <c r="E1764" s="171" t="s">
        <v>2445</v>
      </c>
      <c r="F1764" s="44">
        <f t="shared" si="58"/>
        <v>5</v>
      </c>
      <c r="G1764" s="85" t="s">
        <v>3000</v>
      </c>
      <c r="H1764" s="46" t="s">
        <v>18</v>
      </c>
      <c r="I1764" s="47"/>
      <c r="J1764" s="48" t="s">
        <v>42</v>
      </c>
      <c r="K1764" s="196">
        <v>43409</v>
      </c>
      <c r="L1764" s="78" t="s">
        <v>2534</v>
      </c>
      <c r="M1764" s="78" t="s">
        <v>2535</v>
      </c>
      <c r="N1764" s="14" t="s">
        <v>27</v>
      </c>
      <c r="O1764" s="14" t="s">
        <v>28</v>
      </c>
      <c r="P1764" s="51">
        <v>6</v>
      </c>
      <c r="Q1764" s="47">
        <f t="shared" si="57"/>
        <v>30</v>
      </c>
      <c r="R1764" s="47"/>
      <c r="S1764" s="47"/>
      <c r="T1764" s="47"/>
    </row>
    <row r="1765" customHeight="1" spans="1:20">
      <c r="A1765" s="170">
        <v>43410</v>
      </c>
      <c r="B1765" s="78" t="s">
        <v>3001</v>
      </c>
      <c r="C1765" s="78"/>
      <c r="D1765" s="170">
        <v>5</v>
      </c>
      <c r="E1765" s="171" t="s">
        <v>2445</v>
      </c>
      <c r="F1765" s="44">
        <f t="shared" si="58"/>
        <v>5</v>
      </c>
      <c r="G1765" s="85" t="s">
        <v>3002</v>
      </c>
      <c r="H1765" s="46" t="s">
        <v>18</v>
      </c>
      <c r="I1765" s="47"/>
      <c r="J1765" s="48" t="s">
        <v>42</v>
      </c>
      <c r="K1765" s="196">
        <v>43410</v>
      </c>
      <c r="L1765" s="78" t="s">
        <v>2534</v>
      </c>
      <c r="M1765" s="78" t="s">
        <v>2535</v>
      </c>
      <c r="N1765" s="14" t="s">
        <v>27</v>
      </c>
      <c r="O1765" s="14" t="s">
        <v>28</v>
      </c>
      <c r="P1765" s="51">
        <v>6</v>
      </c>
      <c r="Q1765" s="47">
        <f t="shared" si="57"/>
        <v>30</v>
      </c>
      <c r="R1765" s="47"/>
      <c r="S1765" s="47"/>
      <c r="T1765" s="47"/>
    </row>
    <row r="1766" customHeight="1" spans="1:20">
      <c r="A1766" s="166" t="s">
        <v>3003</v>
      </c>
      <c r="B1766" s="129" t="s">
        <v>3004</v>
      </c>
      <c r="C1766" s="129"/>
      <c r="D1766" s="166">
        <v>60</v>
      </c>
      <c r="E1766" s="167" t="s">
        <v>2445</v>
      </c>
      <c r="F1766" s="44">
        <f t="shared" si="58"/>
        <v>60</v>
      </c>
      <c r="G1766" s="85" t="s">
        <v>3005</v>
      </c>
      <c r="H1766" s="46" t="s">
        <v>18</v>
      </c>
      <c r="I1766" s="47"/>
      <c r="J1766" s="48" t="s">
        <v>42</v>
      </c>
      <c r="K1766" s="196" t="s">
        <v>3003</v>
      </c>
      <c r="L1766" s="78" t="s">
        <v>2534</v>
      </c>
      <c r="M1766" s="78" t="s">
        <v>2535</v>
      </c>
      <c r="N1766" s="14" t="s">
        <v>27</v>
      </c>
      <c r="O1766" s="14" t="s">
        <v>28</v>
      </c>
      <c r="P1766" s="51">
        <v>2.4</v>
      </c>
      <c r="Q1766" s="47">
        <f t="shared" si="57"/>
        <v>144</v>
      </c>
      <c r="R1766" s="47"/>
      <c r="S1766" s="47"/>
      <c r="T1766" s="47"/>
    </row>
    <row r="1767" customHeight="1" spans="1:20">
      <c r="A1767" s="170">
        <v>43412</v>
      </c>
      <c r="B1767" s="78" t="s">
        <v>3006</v>
      </c>
      <c r="C1767" s="78"/>
      <c r="D1767" s="170">
        <v>5</v>
      </c>
      <c r="E1767" s="171" t="s">
        <v>2445</v>
      </c>
      <c r="F1767" s="44">
        <f t="shared" si="58"/>
        <v>5</v>
      </c>
      <c r="G1767" s="85" t="s">
        <v>3007</v>
      </c>
      <c r="H1767" s="46" t="s">
        <v>18</v>
      </c>
      <c r="I1767" s="47"/>
      <c r="J1767" s="48" t="s">
        <v>42</v>
      </c>
      <c r="K1767" s="196">
        <v>43412</v>
      </c>
      <c r="L1767" s="78" t="s">
        <v>2534</v>
      </c>
      <c r="M1767" s="78" t="s">
        <v>2535</v>
      </c>
      <c r="N1767" s="14" t="s">
        <v>27</v>
      </c>
      <c r="O1767" s="14" t="s">
        <v>28</v>
      </c>
      <c r="P1767" s="51">
        <v>2.4</v>
      </c>
      <c r="Q1767" s="47">
        <f t="shared" si="57"/>
        <v>12</v>
      </c>
      <c r="R1767" s="47"/>
      <c r="S1767" s="47"/>
      <c r="T1767" s="47"/>
    </row>
    <row r="1768" customHeight="1" spans="1:20">
      <c r="A1768" s="170">
        <v>43413</v>
      </c>
      <c r="B1768" s="78" t="s">
        <v>3008</v>
      </c>
      <c r="C1768" s="78"/>
      <c r="D1768" s="170">
        <v>5</v>
      </c>
      <c r="E1768" s="171" t="s">
        <v>2445</v>
      </c>
      <c r="F1768" s="44">
        <f t="shared" si="58"/>
        <v>5</v>
      </c>
      <c r="G1768" s="85" t="s">
        <v>3009</v>
      </c>
      <c r="H1768" s="46" t="s">
        <v>18</v>
      </c>
      <c r="I1768" s="47"/>
      <c r="J1768" s="48" t="s">
        <v>42</v>
      </c>
      <c r="K1768" s="196">
        <v>43413</v>
      </c>
      <c r="L1768" s="78" t="s">
        <v>2534</v>
      </c>
      <c r="M1768" s="78" t="s">
        <v>2535</v>
      </c>
      <c r="N1768" s="14" t="s">
        <v>27</v>
      </c>
      <c r="O1768" s="14" t="s">
        <v>28</v>
      </c>
      <c r="P1768" s="51">
        <v>2.4</v>
      </c>
      <c r="Q1768" s="47">
        <f t="shared" si="57"/>
        <v>12</v>
      </c>
      <c r="R1768" s="47"/>
      <c r="S1768" s="47"/>
      <c r="T1768" s="47"/>
    </row>
    <row r="1769" customHeight="1" spans="1:20">
      <c r="A1769" s="193" t="s">
        <v>3010</v>
      </c>
      <c r="B1769" s="142" t="s">
        <v>2550</v>
      </c>
      <c r="C1769" s="142"/>
      <c r="D1769" s="166"/>
      <c r="E1769" s="167"/>
      <c r="F1769" s="44">
        <f t="shared" si="58"/>
        <v>0</v>
      </c>
      <c r="G1769" s="131"/>
      <c r="H1769" s="46"/>
      <c r="I1769" s="47"/>
      <c r="J1769" s="48" t="s">
        <v>42</v>
      </c>
      <c r="K1769" s="154"/>
      <c r="L1769" s="129"/>
      <c r="M1769" s="129"/>
      <c r="O1769" s="14" t="s">
        <v>28</v>
      </c>
      <c r="P1769" s="51"/>
      <c r="Q1769" s="47">
        <f t="shared" si="57"/>
        <v>0</v>
      </c>
      <c r="R1769" s="47"/>
      <c r="S1769" s="47"/>
      <c r="T1769" s="47"/>
    </row>
    <row r="1770" customHeight="1" spans="1:20">
      <c r="A1770" s="166" t="s">
        <v>3011</v>
      </c>
      <c r="B1770" s="129" t="s">
        <v>3012</v>
      </c>
      <c r="C1770" s="129"/>
      <c r="D1770" s="166">
        <v>60</v>
      </c>
      <c r="E1770" s="167" t="s">
        <v>2445</v>
      </c>
      <c r="F1770" s="44">
        <f t="shared" si="58"/>
        <v>60</v>
      </c>
      <c r="G1770" s="85" t="s">
        <v>3013</v>
      </c>
      <c r="H1770" s="46" t="s">
        <v>18</v>
      </c>
      <c r="I1770" s="47"/>
      <c r="J1770" s="48" t="s">
        <v>42</v>
      </c>
      <c r="K1770" s="196" t="s">
        <v>3011</v>
      </c>
      <c r="L1770" s="78" t="s">
        <v>2534</v>
      </c>
      <c r="M1770" s="78" t="s">
        <v>2535</v>
      </c>
      <c r="N1770" s="14" t="s">
        <v>27</v>
      </c>
      <c r="O1770" s="14" t="s">
        <v>28</v>
      </c>
      <c r="P1770" s="51">
        <v>2.4</v>
      </c>
      <c r="Q1770" s="47">
        <f t="shared" si="57"/>
        <v>144</v>
      </c>
      <c r="R1770" s="47"/>
      <c r="S1770" s="47"/>
      <c r="T1770" s="47"/>
    </row>
    <row r="1771" customHeight="1" spans="1:20">
      <c r="A1771" s="170">
        <v>43502</v>
      </c>
      <c r="B1771" s="78" t="s">
        <v>3014</v>
      </c>
      <c r="C1771" s="78"/>
      <c r="D1771" s="170">
        <v>5</v>
      </c>
      <c r="E1771" s="171" t="s">
        <v>2445</v>
      </c>
      <c r="F1771" s="44">
        <f t="shared" si="58"/>
        <v>5</v>
      </c>
      <c r="G1771" s="85" t="s">
        <v>3015</v>
      </c>
      <c r="H1771" s="46" t="s">
        <v>18</v>
      </c>
      <c r="I1771" s="47"/>
      <c r="J1771" s="48" t="s">
        <v>42</v>
      </c>
      <c r="K1771" s="196">
        <v>43502</v>
      </c>
      <c r="L1771" s="78" t="s">
        <v>2534</v>
      </c>
      <c r="M1771" s="78" t="s">
        <v>2535</v>
      </c>
      <c r="N1771" s="14" t="s">
        <v>27</v>
      </c>
      <c r="O1771" s="14" t="s">
        <v>28</v>
      </c>
      <c r="P1771" s="51">
        <v>2.4</v>
      </c>
      <c r="Q1771" s="47">
        <f t="shared" si="57"/>
        <v>12</v>
      </c>
      <c r="R1771" s="47"/>
      <c r="S1771" s="47"/>
      <c r="T1771" s="47"/>
    </row>
    <row r="1772" customHeight="1" spans="1:20">
      <c r="A1772" s="170">
        <v>43503</v>
      </c>
      <c r="B1772" s="78" t="s">
        <v>3016</v>
      </c>
      <c r="C1772" s="78"/>
      <c r="D1772" s="170">
        <v>5</v>
      </c>
      <c r="E1772" s="171" t="s">
        <v>2445</v>
      </c>
      <c r="F1772" s="44">
        <f t="shared" si="58"/>
        <v>5</v>
      </c>
      <c r="G1772" s="85" t="s">
        <v>3017</v>
      </c>
      <c r="H1772" s="46" t="s">
        <v>18</v>
      </c>
      <c r="I1772" s="47"/>
      <c r="J1772" s="48" t="s">
        <v>42</v>
      </c>
      <c r="K1772" s="196">
        <v>43503</v>
      </c>
      <c r="L1772" s="78" t="s">
        <v>2534</v>
      </c>
      <c r="M1772" s="78" t="s">
        <v>2535</v>
      </c>
      <c r="N1772" s="14" t="s">
        <v>27</v>
      </c>
      <c r="O1772" s="14" t="s">
        <v>28</v>
      </c>
      <c r="P1772" s="51">
        <v>2.4</v>
      </c>
      <c r="Q1772" s="47">
        <f t="shared" si="57"/>
        <v>12</v>
      </c>
      <c r="R1772" s="47"/>
      <c r="S1772" s="47"/>
      <c r="T1772" s="47"/>
    </row>
    <row r="1773" customHeight="1" spans="1:20">
      <c r="A1773" s="170">
        <v>43504</v>
      </c>
      <c r="B1773" s="78" t="s">
        <v>3018</v>
      </c>
      <c r="C1773" s="78"/>
      <c r="D1773" s="170">
        <v>5</v>
      </c>
      <c r="E1773" s="171" t="s">
        <v>2445</v>
      </c>
      <c r="F1773" s="44">
        <f t="shared" si="58"/>
        <v>5</v>
      </c>
      <c r="G1773" s="85" t="s">
        <v>3019</v>
      </c>
      <c r="H1773" s="46" t="s">
        <v>18</v>
      </c>
      <c r="I1773" s="47"/>
      <c r="J1773" s="48" t="s">
        <v>42</v>
      </c>
      <c r="K1773" s="196">
        <v>43504</v>
      </c>
      <c r="L1773" s="78" t="s">
        <v>2534</v>
      </c>
      <c r="M1773" s="78" t="s">
        <v>2535</v>
      </c>
      <c r="N1773" s="14" t="s">
        <v>27</v>
      </c>
      <c r="O1773" s="14" t="s">
        <v>28</v>
      </c>
      <c r="P1773" s="51">
        <v>2.4</v>
      </c>
      <c r="Q1773" s="47">
        <f t="shared" si="57"/>
        <v>12</v>
      </c>
      <c r="R1773" s="47"/>
      <c r="S1773" s="47"/>
      <c r="T1773" s="47"/>
    </row>
    <row r="1774" customHeight="1" spans="1:20">
      <c r="A1774" s="166" t="s">
        <v>3020</v>
      </c>
      <c r="B1774" s="129" t="s">
        <v>3021</v>
      </c>
      <c r="C1774" s="129"/>
      <c r="D1774" s="166">
        <v>60</v>
      </c>
      <c r="E1774" s="167" t="s">
        <v>2445</v>
      </c>
      <c r="F1774" s="44">
        <f t="shared" si="58"/>
        <v>60</v>
      </c>
      <c r="G1774" s="85" t="s">
        <v>3022</v>
      </c>
      <c r="H1774" s="46" t="s">
        <v>18</v>
      </c>
      <c r="I1774" s="47"/>
      <c r="J1774" s="48" t="s">
        <v>42</v>
      </c>
      <c r="K1774" s="196" t="s">
        <v>3020</v>
      </c>
      <c r="L1774" s="78" t="s">
        <v>2534</v>
      </c>
      <c r="M1774" s="78" t="s">
        <v>2535</v>
      </c>
      <c r="N1774" s="14" t="s">
        <v>27</v>
      </c>
      <c r="O1774" s="14" t="s">
        <v>28</v>
      </c>
      <c r="P1774" s="51">
        <v>2.4</v>
      </c>
      <c r="Q1774" s="47">
        <f t="shared" si="57"/>
        <v>144</v>
      </c>
      <c r="R1774" s="47"/>
      <c r="S1774" s="47"/>
      <c r="T1774" s="47"/>
    </row>
    <row r="1775" customHeight="1" spans="1:20">
      <c r="A1775" s="166" t="s">
        <v>3023</v>
      </c>
      <c r="B1775" s="129" t="s">
        <v>3024</v>
      </c>
      <c r="C1775" s="129"/>
      <c r="D1775" s="166">
        <v>60</v>
      </c>
      <c r="E1775" s="167" t="s">
        <v>2445</v>
      </c>
      <c r="F1775" s="44">
        <f t="shared" si="58"/>
        <v>60</v>
      </c>
      <c r="G1775" s="85" t="s">
        <v>3025</v>
      </c>
      <c r="H1775" s="46" t="s">
        <v>18</v>
      </c>
      <c r="I1775" s="47"/>
      <c r="J1775" s="48" t="s">
        <v>42</v>
      </c>
      <c r="K1775" s="196" t="s">
        <v>3023</v>
      </c>
      <c r="L1775" s="78" t="s">
        <v>2534</v>
      </c>
      <c r="M1775" s="78" t="s">
        <v>2535</v>
      </c>
      <c r="N1775" s="14" t="s">
        <v>27</v>
      </c>
      <c r="O1775" s="14" t="s">
        <v>28</v>
      </c>
      <c r="P1775" s="51">
        <v>2.4</v>
      </c>
      <c r="Q1775" s="47">
        <f t="shared" si="57"/>
        <v>144</v>
      </c>
      <c r="R1775" s="47"/>
      <c r="S1775" s="47"/>
      <c r="T1775" s="47"/>
    </row>
    <row r="1776" customHeight="1" spans="1:20">
      <c r="A1776" s="166" t="s">
        <v>3026</v>
      </c>
      <c r="B1776" s="129" t="s">
        <v>3027</v>
      </c>
      <c r="C1776" s="129"/>
      <c r="D1776" s="166">
        <v>60</v>
      </c>
      <c r="E1776" s="167" t="s">
        <v>2445</v>
      </c>
      <c r="F1776" s="44">
        <f t="shared" si="58"/>
        <v>60</v>
      </c>
      <c r="G1776" s="85" t="s">
        <v>3028</v>
      </c>
      <c r="H1776" s="46" t="s">
        <v>18</v>
      </c>
      <c r="I1776" s="47"/>
      <c r="J1776" s="48" t="s">
        <v>42</v>
      </c>
      <c r="K1776" s="196" t="s">
        <v>3026</v>
      </c>
      <c r="L1776" s="78" t="s">
        <v>2534</v>
      </c>
      <c r="M1776" s="78" t="s">
        <v>2535</v>
      </c>
      <c r="N1776" s="14" t="s">
        <v>27</v>
      </c>
      <c r="O1776" s="14" t="s">
        <v>28</v>
      </c>
      <c r="P1776" s="51">
        <v>2.4</v>
      </c>
      <c r="Q1776" s="47">
        <f t="shared" si="57"/>
        <v>144</v>
      </c>
      <c r="R1776" s="47"/>
      <c r="S1776" s="47"/>
      <c r="T1776" s="47"/>
    </row>
    <row r="1777" customHeight="1" spans="1:20">
      <c r="A1777" s="166" t="s">
        <v>3029</v>
      </c>
      <c r="B1777" s="129" t="s">
        <v>2551</v>
      </c>
      <c r="C1777" s="129"/>
      <c r="D1777" s="166">
        <v>60</v>
      </c>
      <c r="E1777" s="167" t="s">
        <v>2445</v>
      </c>
      <c r="F1777" s="44">
        <f t="shared" si="58"/>
        <v>60</v>
      </c>
      <c r="G1777" s="85" t="s">
        <v>3030</v>
      </c>
      <c r="H1777" s="46" t="s">
        <v>18</v>
      </c>
      <c r="I1777" s="47"/>
      <c r="J1777" s="48" t="s">
        <v>42</v>
      </c>
      <c r="K1777" s="196" t="s">
        <v>3029</v>
      </c>
      <c r="L1777" s="78" t="s">
        <v>2534</v>
      </c>
      <c r="M1777" s="78" t="s">
        <v>2535</v>
      </c>
      <c r="N1777" s="14" t="s">
        <v>27</v>
      </c>
      <c r="O1777" s="14" t="s">
        <v>28</v>
      </c>
      <c r="P1777" s="51">
        <v>2.4</v>
      </c>
      <c r="Q1777" s="47">
        <f t="shared" si="57"/>
        <v>144</v>
      </c>
      <c r="R1777" s="47"/>
      <c r="S1777" s="47"/>
      <c r="T1777" s="47"/>
    </row>
    <row r="1778" customHeight="1" spans="1:20">
      <c r="A1778" s="166" t="s">
        <v>3031</v>
      </c>
      <c r="B1778" s="129" t="s">
        <v>2553</v>
      </c>
      <c r="C1778" s="129"/>
      <c r="D1778" s="166">
        <v>60</v>
      </c>
      <c r="E1778" s="167" t="s">
        <v>2445</v>
      </c>
      <c r="F1778" s="44">
        <f t="shared" si="58"/>
        <v>60</v>
      </c>
      <c r="G1778" s="85" t="s">
        <v>3032</v>
      </c>
      <c r="H1778" s="46" t="s">
        <v>18</v>
      </c>
      <c r="I1778" s="47"/>
      <c r="J1778" s="48" t="s">
        <v>42</v>
      </c>
      <c r="K1778" s="196" t="s">
        <v>3031</v>
      </c>
      <c r="L1778" s="78" t="s">
        <v>2534</v>
      </c>
      <c r="M1778" s="78" t="s">
        <v>2535</v>
      </c>
      <c r="N1778" s="14" t="s">
        <v>27</v>
      </c>
      <c r="O1778" s="14" t="s">
        <v>28</v>
      </c>
      <c r="P1778" s="51">
        <v>2.4</v>
      </c>
      <c r="Q1778" s="47">
        <f t="shared" si="57"/>
        <v>144</v>
      </c>
      <c r="R1778" s="47"/>
      <c r="S1778" s="47"/>
      <c r="T1778" s="47"/>
    </row>
    <row r="1779" customHeight="1" spans="1:20">
      <c r="A1779" s="166" t="s">
        <v>3033</v>
      </c>
      <c r="B1779" s="129" t="s">
        <v>2555</v>
      </c>
      <c r="C1779" s="129"/>
      <c r="D1779" s="166">
        <v>60</v>
      </c>
      <c r="E1779" s="167" t="s">
        <v>2445</v>
      </c>
      <c r="F1779" s="44">
        <f t="shared" si="58"/>
        <v>60</v>
      </c>
      <c r="G1779" s="85" t="s">
        <v>3034</v>
      </c>
      <c r="H1779" s="46" t="s">
        <v>18</v>
      </c>
      <c r="I1779" s="47"/>
      <c r="J1779" s="48" t="s">
        <v>42</v>
      </c>
      <c r="K1779" s="196" t="s">
        <v>3033</v>
      </c>
      <c r="L1779" s="78" t="s">
        <v>2534</v>
      </c>
      <c r="M1779" s="78" t="s">
        <v>2535</v>
      </c>
      <c r="N1779" s="14" t="s">
        <v>27</v>
      </c>
      <c r="O1779" s="14" t="s">
        <v>28</v>
      </c>
      <c r="P1779" s="51">
        <v>2.4</v>
      </c>
      <c r="Q1779" s="47">
        <f t="shared" si="57"/>
        <v>144</v>
      </c>
      <c r="R1779" s="47"/>
      <c r="S1779" s="47"/>
      <c r="T1779" s="47"/>
    </row>
    <row r="1780" customHeight="1" spans="1:20">
      <c r="A1780" s="170">
        <v>43511</v>
      </c>
      <c r="B1780" s="78" t="s">
        <v>2557</v>
      </c>
      <c r="C1780" s="78"/>
      <c r="D1780" s="166">
        <v>60</v>
      </c>
      <c r="E1780" s="171" t="s">
        <v>2445</v>
      </c>
      <c r="F1780" s="44">
        <f t="shared" si="58"/>
        <v>60</v>
      </c>
      <c r="G1780" s="85" t="s">
        <v>3035</v>
      </c>
      <c r="H1780" s="46" t="s">
        <v>18</v>
      </c>
      <c r="I1780" s="47"/>
      <c r="J1780" s="48" t="s">
        <v>42</v>
      </c>
      <c r="K1780" s="196">
        <v>43511</v>
      </c>
      <c r="L1780" s="78" t="s">
        <v>2534</v>
      </c>
      <c r="M1780" s="78" t="s">
        <v>2535</v>
      </c>
      <c r="N1780" s="14" t="s">
        <v>27</v>
      </c>
      <c r="O1780" s="14" t="s">
        <v>28</v>
      </c>
      <c r="P1780" s="51">
        <v>2.4</v>
      </c>
      <c r="Q1780" s="47">
        <f t="shared" si="57"/>
        <v>144</v>
      </c>
      <c r="R1780" s="47"/>
      <c r="S1780" s="47"/>
      <c r="T1780" s="47"/>
    </row>
    <row r="1781" customHeight="1" spans="1:20">
      <c r="A1781" s="170">
        <v>43512</v>
      </c>
      <c r="B1781" s="78" t="s">
        <v>3036</v>
      </c>
      <c r="C1781" s="78"/>
      <c r="D1781" s="170">
        <v>5</v>
      </c>
      <c r="E1781" s="171" t="s">
        <v>2445</v>
      </c>
      <c r="F1781" s="44">
        <f t="shared" si="58"/>
        <v>5</v>
      </c>
      <c r="G1781" s="85" t="s">
        <v>3037</v>
      </c>
      <c r="H1781" s="46" t="s">
        <v>18</v>
      </c>
      <c r="I1781" s="47"/>
      <c r="J1781" s="48" t="s">
        <v>42</v>
      </c>
      <c r="K1781" s="196">
        <v>43512</v>
      </c>
      <c r="L1781" s="78" t="s">
        <v>2534</v>
      </c>
      <c r="M1781" s="78" t="s">
        <v>2535</v>
      </c>
      <c r="N1781" s="14" t="s">
        <v>27</v>
      </c>
      <c r="O1781" s="14" t="s">
        <v>28</v>
      </c>
      <c r="P1781" s="51">
        <v>2.4</v>
      </c>
      <c r="Q1781" s="47">
        <f t="shared" si="57"/>
        <v>12</v>
      </c>
      <c r="R1781" s="47"/>
      <c r="S1781" s="47"/>
      <c r="T1781" s="47"/>
    </row>
    <row r="1782" customHeight="1" spans="1:20">
      <c r="A1782" s="170">
        <v>43513</v>
      </c>
      <c r="B1782" s="78" t="s">
        <v>2557</v>
      </c>
      <c r="C1782" s="78"/>
      <c r="D1782" s="170">
        <v>5</v>
      </c>
      <c r="E1782" s="171" t="s">
        <v>2445</v>
      </c>
      <c r="F1782" s="44">
        <f t="shared" si="58"/>
        <v>5</v>
      </c>
      <c r="G1782" s="85" t="s">
        <v>3035</v>
      </c>
      <c r="H1782" s="46" t="s">
        <v>18</v>
      </c>
      <c r="I1782" s="47"/>
      <c r="J1782" s="48" t="s">
        <v>42</v>
      </c>
      <c r="K1782" s="196">
        <v>43511</v>
      </c>
      <c r="L1782" s="78" t="s">
        <v>2534</v>
      </c>
      <c r="M1782" s="78" t="s">
        <v>2535</v>
      </c>
      <c r="N1782" s="14" t="s">
        <v>27</v>
      </c>
      <c r="O1782" s="14" t="s">
        <v>28</v>
      </c>
      <c r="P1782" s="51">
        <v>2.4</v>
      </c>
      <c r="Q1782" s="47">
        <f t="shared" si="57"/>
        <v>12</v>
      </c>
      <c r="R1782" s="47"/>
      <c r="S1782" s="47"/>
      <c r="T1782" s="47"/>
    </row>
    <row r="1783" customHeight="1" spans="1:20">
      <c r="A1783" s="170">
        <v>43514</v>
      </c>
      <c r="B1783" s="78" t="s">
        <v>3038</v>
      </c>
      <c r="C1783" s="78"/>
      <c r="D1783" s="170">
        <v>5</v>
      </c>
      <c r="E1783" s="171" t="s">
        <v>2445</v>
      </c>
      <c r="F1783" s="44">
        <f t="shared" si="58"/>
        <v>5</v>
      </c>
      <c r="G1783" s="85" t="s">
        <v>3039</v>
      </c>
      <c r="H1783" s="46" t="s">
        <v>18</v>
      </c>
      <c r="I1783" s="47"/>
      <c r="J1783" s="48" t="s">
        <v>42</v>
      </c>
      <c r="K1783" s="196">
        <v>43514</v>
      </c>
      <c r="L1783" s="78" t="s">
        <v>2534</v>
      </c>
      <c r="M1783" s="78" t="s">
        <v>2535</v>
      </c>
      <c r="N1783" s="14" t="s">
        <v>27</v>
      </c>
      <c r="O1783" s="14" t="s">
        <v>28</v>
      </c>
      <c r="P1783" s="51">
        <v>2.4</v>
      </c>
      <c r="Q1783" s="47">
        <f t="shared" si="57"/>
        <v>12</v>
      </c>
      <c r="R1783" s="47"/>
      <c r="S1783" s="47"/>
      <c r="T1783" s="47"/>
    </row>
    <row r="1784" customHeight="1" spans="1:20">
      <c r="A1784" s="170">
        <v>43515</v>
      </c>
      <c r="B1784" s="78" t="s">
        <v>3040</v>
      </c>
      <c r="C1784" s="78"/>
      <c r="D1784" s="170">
        <v>5</v>
      </c>
      <c r="E1784" s="171" t="s">
        <v>2445</v>
      </c>
      <c r="F1784" s="44">
        <f t="shared" si="58"/>
        <v>5</v>
      </c>
      <c r="G1784" s="85" t="s">
        <v>3041</v>
      </c>
      <c r="H1784" s="46" t="s">
        <v>18</v>
      </c>
      <c r="I1784" s="47"/>
      <c r="J1784" s="48" t="s">
        <v>42</v>
      </c>
      <c r="K1784" s="196">
        <v>43515</v>
      </c>
      <c r="L1784" s="78" t="s">
        <v>2534</v>
      </c>
      <c r="M1784" s="78" t="s">
        <v>2535</v>
      </c>
      <c r="N1784" s="14" t="s">
        <v>27</v>
      </c>
      <c r="O1784" s="14" t="s">
        <v>28</v>
      </c>
      <c r="P1784" s="51">
        <v>2.4</v>
      </c>
      <c r="Q1784" s="47">
        <f t="shared" si="57"/>
        <v>12</v>
      </c>
      <c r="R1784" s="47"/>
      <c r="S1784" s="47"/>
      <c r="T1784" s="47"/>
    </row>
    <row r="1785" customHeight="1" spans="1:20">
      <c r="A1785" s="170">
        <v>43516</v>
      </c>
      <c r="B1785" s="78" t="s">
        <v>3042</v>
      </c>
      <c r="C1785" s="78"/>
      <c r="D1785" s="166">
        <v>60</v>
      </c>
      <c r="E1785" s="171" t="s">
        <v>2445</v>
      </c>
      <c r="F1785" s="44">
        <f t="shared" si="58"/>
        <v>60</v>
      </c>
      <c r="G1785" s="85" t="s">
        <v>3043</v>
      </c>
      <c r="H1785" s="46" t="s">
        <v>18</v>
      </c>
      <c r="I1785" s="47"/>
      <c r="J1785" s="48" t="s">
        <v>42</v>
      </c>
      <c r="K1785" s="196">
        <v>43516</v>
      </c>
      <c r="L1785" s="78" t="s">
        <v>2534</v>
      </c>
      <c r="M1785" s="78" t="s">
        <v>2535</v>
      </c>
      <c r="N1785" s="14" t="s">
        <v>27</v>
      </c>
      <c r="O1785" s="14" t="s">
        <v>28</v>
      </c>
      <c r="P1785" s="51">
        <v>2.4</v>
      </c>
      <c r="Q1785" s="47">
        <f t="shared" si="57"/>
        <v>144</v>
      </c>
      <c r="R1785" s="47"/>
      <c r="S1785" s="47"/>
      <c r="T1785" s="47"/>
    </row>
    <row r="1786" customHeight="1" spans="1:20">
      <c r="A1786" s="170">
        <v>43517</v>
      </c>
      <c r="B1786" s="78" t="s">
        <v>3044</v>
      </c>
      <c r="C1786" s="78"/>
      <c r="D1786" s="166">
        <v>60</v>
      </c>
      <c r="E1786" s="171" t="s">
        <v>2445</v>
      </c>
      <c r="F1786" s="44">
        <f t="shared" si="58"/>
        <v>60</v>
      </c>
      <c r="G1786" s="85" t="s">
        <v>3045</v>
      </c>
      <c r="H1786" s="46" t="s">
        <v>18</v>
      </c>
      <c r="I1786" s="47"/>
      <c r="J1786" s="48" t="s">
        <v>42</v>
      </c>
      <c r="K1786" s="196">
        <v>43517</v>
      </c>
      <c r="L1786" s="78" t="s">
        <v>2534</v>
      </c>
      <c r="M1786" s="78" t="s">
        <v>2535</v>
      </c>
      <c r="N1786" s="14" t="s">
        <v>27</v>
      </c>
      <c r="O1786" s="14" t="s">
        <v>28</v>
      </c>
      <c r="P1786" s="51">
        <v>2.4</v>
      </c>
      <c r="Q1786" s="47">
        <f t="shared" si="57"/>
        <v>144</v>
      </c>
      <c r="R1786" s="47"/>
      <c r="S1786" s="47"/>
      <c r="T1786" s="47"/>
    </row>
    <row r="1787" customHeight="1" spans="1:20">
      <c r="A1787" s="170">
        <v>43518</v>
      </c>
      <c r="B1787" s="78" t="s">
        <v>3046</v>
      </c>
      <c r="C1787" s="78"/>
      <c r="D1787" s="170">
        <v>5</v>
      </c>
      <c r="E1787" s="171" t="s">
        <v>2445</v>
      </c>
      <c r="F1787" s="44">
        <f t="shared" si="58"/>
        <v>5</v>
      </c>
      <c r="G1787" s="85" t="s">
        <v>3047</v>
      </c>
      <c r="H1787" s="46" t="s">
        <v>18</v>
      </c>
      <c r="I1787" s="47"/>
      <c r="J1787" s="48" t="s">
        <v>42</v>
      </c>
      <c r="K1787" s="196">
        <v>43518</v>
      </c>
      <c r="L1787" s="78" t="s">
        <v>2534</v>
      </c>
      <c r="M1787" s="78" t="s">
        <v>2535</v>
      </c>
      <c r="N1787" s="14" t="s">
        <v>27</v>
      </c>
      <c r="O1787" s="14" t="s">
        <v>28</v>
      </c>
      <c r="P1787" s="51">
        <v>2.4</v>
      </c>
      <c r="Q1787" s="47">
        <f t="shared" si="57"/>
        <v>12</v>
      </c>
      <c r="R1787" s="47"/>
      <c r="S1787" s="47"/>
      <c r="T1787" s="47"/>
    </row>
    <row r="1788" customHeight="1" spans="1:20">
      <c r="A1788" s="170">
        <v>43519</v>
      </c>
      <c r="B1788" s="78" t="s">
        <v>3048</v>
      </c>
      <c r="C1788" s="78"/>
      <c r="D1788" s="170">
        <v>5</v>
      </c>
      <c r="E1788" s="171" t="s">
        <v>2445</v>
      </c>
      <c r="F1788" s="44">
        <f t="shared" si="58"/>
        <v>5</v>
      </c>
      <c r="G1788" s="85" t="s">
        <v>3049</v>
      </c>
      <c r="H1788" s="46" t="s">
        <v>18</v>
      </c>
      <c r="I1788" s="47"/>
      <c r="J1788" s="48" t="s">
        <v>42</v>
      </c>
      <c r="K1788" s="196">
        <v>43519</v>
      </c>
      <c r="L1788" s="78" t="s">
        <v>2534</v>
      </c>
      <c r="M1788" s="78" t="s">
        <v>2535</v>
      </c>
      <c r="N1788" s="14" t="s">
        <v>27</v>
      </c>
      <c r="O1788" s="14" t="s">
        <v>28</v>
      </c>
      <c r="P1788" s="51">
        <v>2.4</v>
      </c>
      <c r="Q1788" s="47">
        <f t="shared" si="57"/>
        <v>12</v>
      </c>
      <c r="R1788" s="47"/>
      <c r="S1788" s="47"/>
      <c r="T1788" s="47"/>
    </row>
    <row r="1789" customHeight="1" spans="1:20">
      <c r="A1789" s="170">
        <v>43520</v>
      </c>
      <c r="B1789" s="78" t="s">
        <v>3050</v>
      </c>
      <c r="C1789" s="78"/>
      <c r="D1789" s="170">
        <v>5</v>
      </c>
      <c r="E1789" s="171" t="s">
        <v>2445</v>
      </c>
      <c r="F1789" s="44">
        <f t="shared" si="58"/>
        <v>5</v>
      </c>
      <c r="G1789" s="85" t="s">
        <v>3051</v>
      </c>
      <c r="H1789" s="46" t="s">
        <v>18</v>
      </c>
      <c r="I1789" s="47"/>
      <c r="J1789" s="48" t="s">
        <v>42</v>
      </c>
      <c r="K1789" s="196">
        <v>43520</v>
      </c>
      <c r="L1789" s="78" t="s">
        <v>2534</v>
      </c>
      <c r="M1789" s="78" t="s">
        <v>2535</v>
      </c>
      <c r="N1789" s="14" t="s">
        <v>27</v>
      </c>
      <c r="O1789" s="14" t="s">
        <v>28</v>
      </c>
      <c r="P1789" s="51">
        <v>2.4</v>
      </c>
      <c r="Q1789" s="47">
        <f t="shared" si="57"/>
        <v>12</v>
      </c>
      <c r="R1789" s="47"/>
      <c r="S1789" s="47"/>
      <c r="T1789" s="47"/>
    </row>
    <row r="1790" customHeight="1" spans="1:20">
      <c r="A1790" s="170">
        <v>43521</v>
      </c>
      <c r="B1790" s="78" t="s">
        <v>3052</v>
      </c>
      <c r="C1790" s="78"/>
      <c r="D1790" s="170">
        <v>5</v>
      </c>
      <c r="E1790" s="171" t="s">
        <v>2445</v>
      </c>
      <c r="F1790" s="44">
        <f t="shared" si="58"/>
        <v>5</v>
      </c>
      <c r="G1790" s="85" t="s">
        <v>3053</v>
      </c>
      <c r="H1790" s="46" t="s">
        <v>18</v>
      </c>
      <c r="I1790" s="47"/>
      <c r="J1790" s="48" t="s">
        <v>42</v>
      </c>
      <c r="K1790" s="196">
        <v>43521</v>
      </c>
      <c r="L1790" s="78" t="s">
        <v>2534</v>
      </c>
      <c r="M1790" s="78" t="s">
        <v>2535</v>
      </c>
      <c r="N1790" s="14" t="s">
        <v>27</v>
      </c>
      <c r="O1790" s="14" t="s">
        <v>28</v>
      </c>
      <c r="P1790" s="51">
        <v>2.4</v>
      </c>
      <c r="Q1790" s="47">
        <f t="shared" si="57"/>
        <v>12</v>
      </c>
      <c r="R1790" s="47"/>
      <c r="S1790" s="47"/>
      <c r="T1790" s="47"/>
    </row>
    <row r="1791" customHeight="1" spans="1:20">
      <c r="A1791" s="170">
        <v>43522</v>
      </c>
      <c r="B1791" s="78" t="s">
        <v>3054</v>
      </c>
      <c r="C1791" s="78"/>
      <c r="D1791" s="170">
        <v>5</v>
      </c>
      <c r="E1791" s="171" t="s">
        <v>2445</v>
      </c>
      <c r="F1791" s="44">
        <f t="shared" si="58"/>
        <v>5</v>
      </c>
      <c r="G1791" s="85" t="s">
        <v>3055</v>
      </c>
      <c r="H1791" s="46" t="s">
        <v>18</v>
      </c>
      <c r="I1791" s="47"/>
      <c r="J1791" s="48" t="s">
        <v>42</v>
      </c>
      <c r="K1791" s="196">
        <v>43522</v>
      </c>
      <c r="L1791" s="78" t="s">
        <v>2534</v>
      </c>
      <c r="M1791" s="78" t="s">
        <v>2535</v>
      </c>
      <c r="N1791" s="14" t="s">
        <v>27</v>
      </c>
      <c r="O1791" s="14" t="s">
        <v>28</v>
      </c>
      <c r="P1791" s="51">
        <v>2.4</v>
      </c>
      <c r="Q1791" s="47">
        <f t="shared" si="57"/>
        <v>12</v>
      </c>
      <c r="R1791" s="47"/>
      <c r="S1791" s="47"/>
      <c r="T1791" s="47"/>
    </row>
    <row r="1792" customHeight="1" spans="1:20">
      <c r="A1792" s="170">
        <v>43523</v>
      </c>
      <c r="B1792" s="78" t="s">
        <v>3056</v>
      </c>
      <c r="C1792" s="78"/>
      <c r="D1792" s="170">
        <v>5</v>
      </c>
      <c r="E1792" s="171" t="s">
        <v>2445</v>
      </c>
      <c r="F1792" s="44">
        <f t="shared" si="58"/>
        <v>5</v>
      </c>
      <c r="G1792" s="85" t="s">
        <v>3057</v>
      </c>
      <c r="H1792" s="46" t="s">
        <v>18</v>
      </c>
      <c r="I1792" s="47"/>
      <c r="J1792" s="48" t="s">
        <v>42</v>
      </c>
      <c r="K1792" s="196">
        <v>43523</v>
      </c>
      <c r="L1792" s="78" t="s">
        <v>2534</v>
      </c>
      <c r="M1792" s="78" t="s">
        <v>2535</v>
      </c>
      <c r="N1792" s="14" t="s">
        <v>27</v>
      </c>
      <c r="O1792" s="14" t="s">
        <v>28</v>
      </c>
      <c r="P1792" s="51">
        <v>2.4</v>
      </c>
      <c r="Q1792" s="47">
        <f t="shared" si="57"/>
        <v>12</v>
      </c>
      <c r="R1792" s="47"/>
      <c r="S1792" s="47"/>
      <c r="T1792" s="47"/>
    </row>
    <row r="1793" customHeight="1" spans="1:20">
      <c r="A1793" s="170">
        <v>43524</v>
      </c>
      <c r="B1793" s="78" t="s">
        <v>3058</v>
      </c>
      <c r="C1793" s="78"/>
      <c r="D1793" s="170">
        <v>5</v>
      </c>
      <c r="E1793" s="171" t="s">
        <v>2445</v>
      </c>
      <c r="F1793" s="44">
        <f t="shared" si="58"/>
        <v>5</v>
      </c>
      <c r="G1793" s="85" t="s">
        <v>3059</v>
      </c>
      <c r="H1793" s="46" t="s">
        <v>18</v>
      </c>
      <c r="I1793" s="47"/>
      <c r="J1793" s="48" t="s">
        <v>42</v>
      </c>
      <c r="K1793" s="196">
        <v>43524</v>
      </c>
      <c r="L1793" s="78" t="s">
        <v>2534</v>
      </c>
      <c r="M1793" s="78" t="s">
        <v>2535</v>
      </c>
      <c r="N1793" s="14" t="s">
        <v>27</v>
      </c>
      <c r="O1793" s="14" t="s">
        <v>28</v>
      </c>
      <c r="P1793" s="51">
        <v>2.4</v>
      </c>
      <c r="Q1793" s="47">
        <f t="shared" si="57"/>
        <v>12</v>
      </c>
      <c r="R1793" s="47"/>
      <c r="S1793" s="47"/>
      <c r="T1793" s="47"/>
    </row>
    <row r="1794" customHeight="1" spans="1:20">
      <c r="A1794" s="193" t="s">
        <v>3060</v>
      </c>
      <c r="B1794" s="142" t="s">
        <v>2560</v>
      </c>
      <c r="C1794" s="142"/>
      <c r="D1794" s="166"/>
      <c r="E1794" s="167"/>
      <c r="F1794" s="44">
        <f t="shared" si="58"/>
        <v>0</v>
      </c>
      <c r="G1794" s="131"/>
      <c r="H1794" s="46"/>
      <c r="I1794" s="47"/>
      <c r="J1794" s="48" t="s">
        <v>42</v>
      </c>
      <c r="K1794" s="154"/>
      <c r="L1794" s="129"/>
      <c r="M1794" s="129"/>
      <c r="O1794" s="14" t="s">
        <v>28</v>
      </c>
      <c r="P1794" s="51"/>
      <c r="Q1794" s="47">
        <f t="shared" si="57"/>
        <v>0</v>
      </c>
      <c r="R1794" s="47"/>
      <c r="S1794" s="47"/>
      <c r="T1794" s="47"/>
    </row>
    <row r="1795" customHeight="1" spans="1:20">
      <c r="A1795" s="166" t="s">
        <v>3061</v>
      </c>
      <c r="B1795" s="129" t="s">
        <v>3062</v>
      </c>
      <c r="C1795" s="129"/>
      <c r="D1795" s="166">
        <v>60</v>
      </c>
      <c r="E1795" s="167" t="s">
        <v>2445</v>
      </c>
      <c r="F1795" s="44">
        <f t="shared" si="58"/>
        <v>60</v>
      </c>
      <c r="G1795" s="85" t="s">
        <v>3063</v>
      </c>
      <c r="H1795" s="46" t="s">
        <v>18</v>
      </c>
      <c r="I1795" s="47"/>
      <c r="J1795" s="48" t="s">
        <v>42</v>
      </c>
      <c r="K1795" s="196" t="s">
        <v>3061</v>
      </c>
      <c r="L1795" s="78" t="s">
        <v>2534</v>
      </c>
      <c r="M1795" s="78" t="s">
        <v>2535</v>
      </c>
      <c r="N1795" s="14" t="s">
        <v>27</v>
      </c>
      <c r="O1795" s="14" t="s">
        <v>28</v>
      </c>
      <c r="P1795" s="51">
        <v>2.4</v>
      </c>
      <c r="Q1795" s="47">
        <f t="shared" si="57"/>
        <v>144</v>
      </c>
      <c r="R1795" s="47"/>
      <c r="S1795" s="47"/>
      <c r="T1795" s="47"/>
    </row>
    <row r="1796" customHeight="1" spans="1:20">
      <c r="A1796" s="166" t="s">
        <v>3064</v>
      </c>
      <c r="B1796" s="129" t="s">
        <v>2561</v>
      </c>
      <c r="C1796" s="129"/>
      <c r="D1796" s="166">
        <v>60</v>
      </c>
      <c r="E1796" s="167" t="s">
        <v>2445</v>
      </c>
      <c r="F1796" s="44">
        <f t="shared" si="58"/>
        <v>60</v>
      </c>
      <c r="G1796" s="85" t="s">
        <v>3065</v>
      </c>
      <c r="H1796" s="46" t="s">
        <v>18</v>
      </c>
      <c r="I1796" s="47"/>
      <c r="J1796" s="48" t="s">
        <v>42</v>
      </c>
      <c r="K1796" s="196" t="s">
        <v>3064</v>
      </c>
      <c r="L1796" s="78" t="s">
        <v>2534</v>
      </c>
      <c r="M1796" s="78" t="s">
        <v>2535</v>
      </c>
      <c r="N1796" s="14" t="s">
        <v>27</v>
      </c>
      <c r="O1796" s="14" t="s">
        <v>28</v>
      </c>
      <c r="P1796" s="51">
        <v>8</v>
      </c>
      <c r="Q1796" s="47">
        <f t="shared" ref="Q1796:Q1859" si="59">P1796*F1796</f>
        <v>480</v>
      </c>
      <c r="R1796" s="47"/>
      <c r="S1796" s="47"/>
      <c r="T1796" s="47"/>
    </row>
    <row r="1797" customHeight="1" spans="1:20">
      <c r="A1797" s="75" t="s">
        <v>775</v>
      </c>
      <c r="B1797" s="142" t="s">
        <v>776</v>
      </c>
      <c r="C1797" s="142"/>
      <c r="D1797" s="166"/>
      <c r="E1797" s="167"/>
      <c r="F1797" s="44">
        <f t="shared" si="58"/>
        <v>0</v>
      </c>
      <c r="G1797" s="131"/>
      <c r="H1797" s="46"/>
      <c r="I1797" s="47"/>
      <c r="J1797" s="48" t="s">
        <v>42</v>
      </c>
      <c r="K1797" s="154"/>
      <c r="L1797" s="129"/>
      <c r="M1797" s="129"/>
      <c r="O1797" s="14" t="s">
        <v>28</v>
      </c>
      <c r="P1797" s="51"/>
      <c r="Q1797" s="47">
        <f t="shared" si="59"/>
        <v>0</v>
      </c>
      <c r="R1797" s="47"/>
      <c r="S1797" s="47"/>
      <c r="T1797" s="47"/>
    </row>
    <row r="1798" customHeight="1" spans="1:20">
      <c r="A1798" s="193" t="s">
        <v>3066</v>
      </c>
      <c r="B1798" s="142" t="s">
        <v>777</v>
      </c>
      <c r="C1798" s="142"/>
      <c r="D1798" s="166"/>
      <c r="E1798" s="167"/>
      <c r="F1798" s="44">
        <f t="shared" si="58"/>
        <v>0</v>
      </c>
      <c r="G1798" s="131"/>
      <c r="H1798" s="46"/>
      <c r="I1798" s="47"/>
      <c r="J1798" s="48" t="s">
        <v>42</v>
      </c>
      <c r="K1798" s="154"/>
      <c r="L1798" s="129"/>
      <c r="M1798" s="129"/>
      <c r="O1798" s="14" t="s">
        <v>28</v>
      </c>
      <c r="P1798" s="51"/>
      <c r="Q1798" s="47">
        <f t="shared" si="59"/>
        <v>0</v>
      </c>
      <c r="R1798" s="47"/>
      <c r="S1798" s="47"/>
      <c r="T1798" s="47"/>
    </row>
    <row r="1799" customHeight="1" spans="1:20">
      <c r="A1799" s="166">
        <v>60001</v>
      </c>
      <c r="B1799" s="129" t="s">
        <v>778</v>
      </c>
      <c r="C1799" s="129"/>
      <c r="D1799" s="166">
        <v>30</v>
      </c>
      <c r="E1799" s="167" t="s">
        <v>21</v>
      </c>
      <c r="F1799" s="44">
        <f t="shared" si="58"/>
        <v>30</v>
      </c>
      <c r="G1799" s="91" t="s">
        <v>3067</v>
      </c>
      <c r="H1799" s="46" t="s">
        <v>18</v>
      </c>
      <c r="I1799" s="47"/>
      <c r="J1799" s="48" t="s">
        <v>42</v>
      </c>
      <c r="K1799" s="198">
        <v>60001</v>
      </c>
      <c r="L1799" s="135" t="s">
        <v>780</v>
      </c>
      <c r="M1799" s="135" t="s">
        <v>781</v>
      </c>
      <c r="N1799" s="14" t="s">
        <v>27</v>
      </c>
      <c r="O1799" s="14" t="s">
        <v>28</v>
      </c>
      <c r="P1799" s="51">
        <v>3.5</v>
      </c>
      <c r="Q1799" s="47">
        <f t="shared" si="59"/>
        <v>105</v>
      </c>
      <c r="R1799" s="47"/>
      <c r="S1799" s="47"/>
      <c r="T1799" s="47"/>
    </row>
    <row r="1800" customHeight="1" spans="1:20">
      <c r="A1800" s="166" t="s">
        <v>3068</v>
      </c>
      <c r="B1800" s="129" t="s">
        <v>778</v>
      </c>
      <c r="C1800" s="129"/>
      <c r="D1800" s="166">
        <v>30</v>
      </c>
      <c r="E1800" s="167" t="s">
        <v>21</v>
      </c>
      <c r="F1800" s="44">
        <f t="shared" si="58"/>
        <v>30</v>
      </c>
      <c r="G1800" s="91" t="s">
        <v>1527</v>
      </c>
      <c r="H1800" s="46" t="s">
        <v>18</v>
      </c>
      <c r="I1800" s="47"/>
      <c r="J1800" s="48" t="s">
        <v>42</v>
      </c>
      <c r="K1800" s="198" t="s">
        <v>3068</v>
      </c>
      <c r="L1800" s="135" t="s">
        <v>780</v>
      </c>
      <c r="M1800" s="135" t="s">
        <v>781</v>
      </c>
      <c r="N1800" s="14" t="s">
        <v>27</v>
      </c>
      <c r="O1800" s="14" t="s">
        <v>28</v>
      </c>
      <c r="P1800" s="51">
        <v>7</v>
      </c>
      <c r="Q1800" s="47">
        <f t="shared" si="59"/>
        <v>210</v>
      </c>
      <c r="R1800" s="47"/>
      <c r="S1800" s="47"/>
      <c r="T1800" s="47"/>
    </row>
    <row r="1801" customHeight="1" spans="1:20">
      <c r="A1801" s="166" t="s">
        <v>3069</v>
      </c>
      <c r="B1801" s="129" t="s">
        <v>778</v>
      </c>
      <c r="C1801" s="129"/>
      <c r="D1801" s="166">
        <v>30</v>
      </c>
      <c r="E1801" s="167" t="s">
        <v>21</v>
      </c>
      <c r="F1801" s="44">
        <f t="shared" si="58"/>
        <v>30</v>
      </c>
      <c r="G1801" s="91" t="s">
        <v>2185</v>
      </c>
      <c r="H1801" s="46" t="s">
        <v>18</v>
      </c>
      <c r="I1801" s="47"/>
      <c r="J1801" s="48" t="s">
        <v>42</v>
      </c>
      <c r="K1801" s="198" t="s">
        <v>3069</v>
      </c>
      <c r="L1801" s="135" t="s">
        <v>780</v>
      </c>
      <c r="M1801" s="135" t="s">
        <v>781</v>
      </c>
      <c r="N1801" s="14" t="s">
        <v>27</v>
      </c>
      <c r="O1801" s="14" t="s">
        <v>28</v>
      </c>
      <c r="P1801" s="51">
        <v>12</v>
      </c>
      <c r="Q1801" s="47">
        <f t="shared" si="59"/>
        <v>360</v>
      </c>
      <c r="R1801" s="47"/>
      <c r="S1801" s="47"/>
      <c r="T1801" s="47"/>
    </row>
    <row r="1802" customHeight="1" spans="1:20">
      <c r="A1802" s="193" t="s">
        <v>3070</v>
      </c>
      <c r="B1802" s="142" t="s">
        <v>786</v>
      </c>
      <c r="C1802" s="142"/>
      <c r="D1802" s="166"/>
      <c r="E1802" s="167"/>
      <c r="F1802" s="44">
        <f t="shared" si="58"/>
        <v>0</v>
      </c>
      <c r="G1802" s="131"/>
      <c r="H1802" s="46"/>
      <c r="I1802" s="47"/>
      <c r="J1802" s="48" t="s">
        <v>42</v>
      </c>
      <c r="K1802" s="154"/>
      <c r="L1802" s="129"/>
      <c r="M1802" s="129"/>
      <c r="O1802" s="14" t="s">
        <v>28</v>
      </c>
      <c r="P1802" s="51"/>
      <c r="Q1802" s="47">
        <f t="shared" si="59"/>
        <v>0</v>
      </c>
      <c r="R1802" s="47"/>
      <c r="S1802" s="47"/>
      <c r="T1802" s="47"/>
    </row>
    <row r="1803" customHeight="1" spans="1:20">
      <c r="A1803" s="170" t="s">
        <v>3071</v>
      </c>
      <c r="B1803" s="78" t="s">
        <v>787</v>
      </c>
      <c r="C1803" s="78"/>
      <c r="D1803" s="166">
        <v>60</v>
      </c>
      <c r="E1803" s="171" t="s">
        <v>21</v>
      </c>
      <c r="F1803" s="44">
        <f t="shared" si="58"/>
        <v>60</v>
      </c>
      <c r="G1803" s="91" t="s">
        <v>2195</v>
      </c>
      <c r="H1803" s="46" t="s">
        <v>18</v>
      </c>
      <c r="I1803" s="47"/>
      <c r="J1803" s="48" t="s">
        <v>42</v>
      </c>
      <c r="K1803" s="198" t="s">
        <v>3071</v>
      </c>
      <c r="L1803" s="135" t="s">
        <v>780</v>
      </c>
      <c r="M1803" s="135" t="s">
        <v>781</v>
      </c>
      <c r="N1803" s="14" t="s">
        <v>27</v>
      </c>
      <c r="O1803" s="14" t="s">
        <v>28</v>
      </c>
      <c r="P1803" s="161">
        <v>0.5</v>
      </c>
      <c r="Q1803" s="47">
        <f t="shared" si="59"/>
        <v>30</v>
      </c>
      <c r="R1803" s="47"/>
      <c r="S1803" s="47"/>
      <c r="T1803" s="47"/>
    </row>
    <row r="1804" customHeight="1" spans="1:20">
      <c r="A1804" s="166" t="s">
        <v>1530</v>
      </c>
      <c r="B1804" s="129" t="s">
        <v>787</v>
      </c>
      <c r="C1804" s="129"/>
      <c r="D1804" s="166">
        <v>120</v>
      </c>
      <c r="E1804" s="167" t="s">
        <v>221</v>
      </c>
      <c r="F1804" s="44">
        <f t="shared" si="58"/>
        <v>120</v>
      </c>
      <c r="G1804" s="91" t="s">
        <v>1531</v>
      </c>
      <c r="H1804" s="46" t="s">
        <v>18</v>
      </c>
      <c r="I1804" s="47"/>
      <c r="J1804" s="48" t="s">
        <v>42</v>
      </c>
      <c r="K1804" s="198" t="s">
        <v>1530</v>
      </c>
      <c r="L1804" s="135" t="s">
        <v>780</v>
      </c>
      <c r="M1804" s="135" t="s">
        <v>781</v>
      </c>
      <c r="N1804" s="14" t="s">
        <v>27</v>
      </c>
      <c r="O1804" s="14" t="s">
        <v>28</v>
      </c>
      <c r="P1804" s="161">
        <v>0.7</v>
      </c>
      <c r="Q1804" s="47">
        <f t="shared" si="59"/>
        <v>84</v>
      </c>
      <c r="R1804" s="47"/>
      <c r="S1804" s="47"/>
      <c r="T1804" s="47"/>
    </row>
    <row r="1805" customHeight="1" spans="1:20">
      <c r="A1805" s="166" t="s">
        <v>2206</v>
      </c>
      <c r="B1805" s="129" t="s">
        <v>790</v>
      </c>
      <c r="C1805" s="129"/>
      <c r="D1805" s="166">
        <v>60</v>
      </c>
      <c r="E1805" s="167" t="s">
        <v>21</v>
      </c>
      <c r="F1805" s="44">
        <f t="shared" si="58"/>
        <v>60</v>
      </c>
      <c r="G1805" s="91" t="s">
        <v>2207</v>
      </c>
      <c r="H1805" s="46" t="s">
        <v>18</v>
      </c>
      <c r="I1805" s="47"/>
      <c r="J1805" s="48" t="s">
        <v>42</v>
      </c>
      <c r="K1805" s="198">
        <v>61021</v>
      </c>
      <c r="L1805" s="135" t="s">
        <v>780</v>
      </c>
      <c r="M1805" s="135" t="s">
        <v>781</v>
      </c>
      <c r="N1805" s="14" t="s">
        <v>27</v>
      </c>
      <c r="O1805" s="14" t="s">
        <v>28</v>
      </c>
      <c r="P1805" s="161">
        <v>3</v>
      </c>
      <c r="Q1805" s="47">
        <f t="shared" si="59"/>
        <v>180</v>
      </c>
      <c r="R1805" s="47"/>
      <c r="S1805" s="47"/>
      <c r="T1805" s="47"/>
    </row>
    <row r="1806" customHeight="1" spans="1:20">
      <c r="A1806" s="166" t="s">
        <v>2208</v>
      </c>
      <c r="B1806" s="129" t="s">
        <v>790</v>
      </c>
      <c r="C1806" s="129"/>
      <c r="D1806" s="166">
        <v>60</v>
      </c>
      <c r="E1806" s="167" t="s">
        <v>21</v>
      </c>
      <c r="F1806" s="44">
        <f t="shared" si="58"/>
        <v>60</v>
      </c>
      <c r="G1806" s="91" t="s">
        <v>2209</v>
      </c>
      <c r="H1806" s="46" t="s">
        <v>18</v>
      </c>
      <c r="I1806" s="47"/>
      <c r="J1806" s="48" t="s">
        <v>42</v>
      </c>
      <c r="K1806" s="198">
        <v>61022</v>
      </c>
      <c r="L1806" s="135" t="s">
        <v>780</v>
      </c>
      <c r="M1806" s="135" t="s">
        <v>781</v>
      </c>
      <c r="N1806" s="14" t="s">
        <v>27</v>
      </c>
      <c r="O1806" s="14" t="s">
        <v>28</v>
      </c>
      <c r="P1806" s="161">
        <v>3.5</v>
      </c>
      <c r="Q1806" s="47">
        <f t="shared" si="59"/>
        <v>210</v>
      </c>
      <c r="R1806" s="47"/>
      <c r="S1806" s="47"/>
      <c r="T1806" s="47"/>
    </row>
    <row r="1807" customHeight="1" spans="1:20">
      <c r="A1807" s="166" t="s">
        <v>1534</v>
      </c>
      <c r="B1807" s="129" t="s">
        <v>790</v>
      </c>
      <c r="C1807" s="129"/>
      <c r="D1807" s="166">
        <v>60</v>
      </c>
      <c r="E1807" s="167" t="s">
        <v>21</v>
      </c>
      <c r="F1807" s="44">
        <f t="shared" si="58"/>
        <v>60</v>
      </c>
      <c r="G1807" s="91" t="s">
        <v>1535</v>
      </c>
      <c r="H1807" s="46" t="s">
        <v>18</v>
      </c>
      <c r="I1807" s="47"/>
      <c r="J1807" s="48" t="s">
        <v>42</v>
      </c>
      <c r="K1807" s="198">
        <v>61023</v>
      </c>
      <c r="L1807" s="135" t="s">
        <v>780</v>
      </c>
      <c r="M1807" s="135" t="s">
        <v>781</v>
      </c>
      <c r="N1807" s="14" t="s">
        <v>27</v>
      </c>
      <c r="O1807" s="14" t="s">
        <v>28</v>
      </c>
      <c r="P1807" s="161">
        <v>5</v>
      </c>
      <c r="Q1807" s="47">
        <f t="shared" si="59"/>
        <v>300</v>
      </c>
      <c r="R1807" s="47"/>
      <c r="S1807" s="47"/>
      <c r="T1807" s="47"/>
    </row>
    <row r="1808" customHeight="1" spans="1:20">
      <c r="A1808" s="166" t="s">
        <v>1536</v>
      </c>
      <c r="B1808" s="129" t="s">
        <v>790</v>
      </c>
      <c r="C1808" s="129"/>
      <c r="D1808" s="166">
        <v>60</v>
      </c>
      <c r="E1808" s="167" t="s">
        <v>21</v>
      </c>
      <c r="F1808" s="44">
        <f t="shared" si="58"/>
        <v>60</v>
      </c>
      <c r="G1808" s="91" t="s">
        <v>1537</v>
      </c>
      <c r="H1808" s="46" t="s">
        <v>18</v>
      </c>
      <c r="I1808" s="47"/>
      <c r="J1808" s="48" t="s">
        <v>42</v>
      </c>
      <c r="K1808" s="198">
        <v>61024</v>
      </c>
      <c r="L1808" s="135" t="s">
        <v>780</v>
      </c>
      <c r="M1808" s="135" t="s">
        <v>781</v>
      </c>
      <c r="N1808" s="14" t="s">
        <v>27</v>
      </c>
      <c r="O1808" s="14" t="s">
        <v>28</v>
      </c>
      <c r="P1808" s="161">
        <v>8</v>
      </c>
      <c r="Q1808" s="47">
        <f t="shared" si="59"/>
        <v>480</v>
      </c>
      <c r="R1808" s="47"/>
      <c r="S1808" s="47"/>
      <c r="T1808" s="47"/>
    </row>
    <row r="1809" customHeight="1" spans="1:20">
      <c r="A1809" s="166" t="s">
        <v>2215</v>
      </c>
      <c r="B1809" s="129" t="s">
        <v>1925</v>
      </c>
      <c r="C1809" s="129"/>
      <c r="D1809" s="166">
        <v>60</v>
      </c>
      <c r="E1809" s="167" t="s">
        <v>21</v>
      </c>
      <c r="F1809" s="44">
        <f t="shared" si="58"/>
        <v>60</v>
      </c>
      <c r="G1809" s="91" t="s">
        <v>3072</v>
      </c>
      <c r="H1809" s="46" t="s">
        <v>18</v>
      </c>
      <c r="I1809" s="47"/>
      <c r="J1809" s="48" t="s">
        <v>42</v>
      </c>
      <c r="K1809" s="198" t="s">
        <v>2215</v>
      </c>
      <c r="L1809" s="135" t="s">
        <v>780</v>
      </c>
      <c r="M1809" s="135" t="s">
        <v>781</v>
      </c>
      <c r="N1809" s="14" t="s">
        <v>27</v>
      </c>
      <c r="O1809" s="14" t="s">
        <v>28</v>
      </c>
      <c r="P1809" s="161">
        <v>6</v>
      </c>
      <c r="Q1809" s="47">
        <f t="shared" si="59"/>
        <v>360</v>
      </c>
      <c r="R1809" s="47"/>
      <c r="S1809" s="47"/>
      <c r="T1809" s="47"/>
    </row>
    <row r="1810" customHeight="1" spans="1:20">
      <c r="A1810" s="166" t="s">
        <v>2217</v>
      </c>
      <c r="B1810" s="129" t="s">
        <v>1925</v>
      </c>
      <c r="C1810" s="129"/>
      <c r="D1810" s="166">
        <v>60</v>
      </c>
      <c r="E1810" s="167" t="s">
        <v>21</v>
      </c>
      <c r="F1810" s="44">
        <f t="shared" si="58"/>
        <v>60</v>
      </c>
      <c r="G1810" s="91" t="s">
        <v>3073</v>
      </c>
      <c r="H1810" s="46" t="s">
        <v>18</v>
      </c>
      <c r="I1810" s="47"/>
      <c r="J1810" s="48" t="s">
        <v>42</v>
      </c>
      <c r="K1810" s="198" t="s">
        <v>2217</v>
      </c>
      <c r="L1810" s="135" t="s">
        <v>780</v>
      </c>
      <c r="M1810" s="135" t="s">
        <v>781</v>
      </c>
      <c r="N1810" s="14" t="s">
        <v>27</v>
      </c>
      <c r="O1810" s="14" t="s">
        <v>28</v>
      </c>
      <c r="P1810" s="161">
        <v>8</v>
      </c>
      <c r="Q1810" s="47">
        <f t="shared" si="59"/>
        <v>480</v>
      </c>
      <c r="R1810" s="47"/>
      <c r="S1810" s="47"/>
      <c r="T1810" s="47"/>
    </row>
    <row r="1811" customHeight="1" spans="1:20">
      <c r="A1811" s="193" t="s">
        <v>3074</v>
      </c>
      <c r="B1811" s="142" t="s">
        <v>38</v>
      </c>
      <c r="C1811" s="142"/>
      <c r="D1811" s="166"/>
      <c r="E1811" s="167"/>
      <c r="F1811" s="44">
        <f t="shared" si="58"/>
        <v>0</v>
      </c>
      <c r="G1811" s="131"/>
      <c r="H1811" s="46"/>
      <c r="I1811" s="47"/>
      <c r="J1811" s="48"/>
      <c r="K1811" s="154"/>
      <c r="L1811" s="129"/>
      <c r="M1811" s="129"/>
      <c r="O1811" s="14" t="s">
        <v>28</v>
      </c>
      <c r="P1811" s="51"/>
      <c r="Q1811" s="47">
        <f t="shared" si="59"/>
        <v>0</v>
      </c>
      <c r="R1811" s="47"/>
      <c r="S1811" s="47"/>
      <c r="T1811" s="47">
        <v>2</v>
      </c>
    </row>
    <row r="1812" customHeight="1" spans="1:20">
      <c r="A1812" s="166">
        <v>62001</v>
      </c>
      <c r="B1812" s="129" t="s">
        <v>798</v>
      </c>
      <c r="C1812" s="129"/>
      <c r="D1812" s="166">
        <v>30</v>
      </c>
      <c r="E1812" s="167" t="s">
        <v>21</v>
      </c>
      <c r="F1812" s="44">
        <f t="shared" si="58"/>
        <v>30</v>
      </c>
      <c r="G1812" s="91" t="s">
        <v>1540</v>
      </c>
      <c r="H1812" s="46" t="s">
        <v>18</v>
      </c>
      <c r="I1812" s="47"/>
      <c r="J1812" s="48" t="s">
        <v>42</v>
      </c>
      <c r="K1812" s="198">
        <v>62001</v>
      </c>
      <c r="L1812" s="135" t="s">
        <v>780</v>
      </c>
      <c r="M1812" s="135" t="s">
        <v>781</v>
      </c>
      <c r="N1812" s="14" t="s">
        <v>27</v>
      </c>
      <c r="O1812" s="14" t="s">
        <v>28</v>
      </c>
      <c r="P1812" s="51">
        <v>2.5</v>
      </c>
      <c r="Q1812" s="47">
        <f t="shared" si="59"/>
        <v>75</v>
      </c>
      <c r="R1812" s="47"/>
      <c r="S1812" s="47"/>
      <c r="T1812" s="47"/>
    </row>
    <row r="1813" customHeight="1" spans="1:20">
      <c r="A1813" s="166" t="s">
        <v>2224</v>
      </c>
      <c r="B1813" s="129" t="s">
        <v>1941</v>
      </c>
      <c r="C1813" s="129"/>
      <c r="D1813" s="166">
        <v>1</v>
      </c>
      <c r="E1813" s="167" t="s">
        <v>21</v>
      </c>
      <c r="F1813" s="44">
        <f t="shared" si="58"/>
        <v>1</v>
      </c>
      <c r="G1813" s="91" t="s">
        <v>2225</v>
      </c>
      <c r="H1813" s="46" t="s">
        <v>18</v>
      </c>
      <c r="I1813" s="47"/>
      <c r="J1813" s="48" t="s">
        <v>42</v>
      </c>
      <c r="K1813" s="198" t="s">
        <v>2224</v>
      </c>
      <c r="L1813" s="135" t="s">
        <v>780</v>
      </c>
      <c r="M1813" s="135" t="s">
        <v>781</v>
      </c>
      <c r="N1813" s="14" t="s">
        <v>27</v>
      </c>
      <c r="O1813" s="14" t="s">
        <v>28</v>
      </c>
      <c r="P1813" s="51">
        <v>25</v>
      </c>
      <c r="Q1813" s="47">
        <f t="shared" si="59"/>
        <v>25</v>
      </c>
      <c r="R1813" s="47"/>
      <c r="S1813" s="47"/>
      <c r="T1813" s="47"/>
    </row>
    <row r="1814" customHeight="1" spans="1:20">
      <c r="A1814" s="166" t="s">
        <v>2232</v>
      </c>
      <c r="B1814" s="129" t="s">
        <v>800</v>
      </c>
      <c r="C1814" s="129"/>
      <c r="D1814" s="166">
        <v>30</v>
      </c>
      <c r="E1814" s="167" t="s">
        <v>21</v>
      </c>
      <c r="F1814" s="44">
        <f t="shared" si="58"/>
        <v>30</v>
      </c>
      <c r="G1814" s="91" t="s">
        <v>3075</v>
      </c>
      <c r="H1814" s="46" t="s">
        <v>18</v>
      </c>
      <c r="I1814" s="47"/>
      <c r="J1814" s="48" t="s">
        <v>42</v>
      </c>
      <c r="K1814" s="198" t="s">
        <v>2232</v>
      </c>
      <c r="L1814" s="135" t="s">
        <v>780</v>
      </c>
      <c r="M1814" s="135" t="s">
        <v>781</v>
      </c>
      <c r="N1814" s="14" t="s">
        <v>27</v>
      </c>
      <c r="O1814" s="14" t="s">
        <v>28</v>
      </c>
      <c r="P1814" s="51">
        <v>4</v>
      </c>
      <c r="Q1814" s="47">
        <f t="shared" si="59"/>
        <v>120</v>
      </c>
      <c r="R1814" s="47"/>
      <c r="S1814" s="47"/>
      <c r="T1814" s="47"/>
    </row>
    <row r="1815" customHeight="1" spans="1:20">
      <c r="A1815" s="170">
        <v>62072</v>
      </c>
      <c r="B1815" s="78" t="s">
        <v>1958</v>
      </c>
      <c r="C1815" s="78"/>
      <c r="D1815" s="166">
        <v>30</v>
      </c>
      <c r="E1815" s="171" t="s">
        <v>21</v>
      </c>
      <c r="F1815" s="44">
        <f t="shared" si="58"/>
        <v>30</v>
      </c>
      <c r="G1815" s="85" t="s">
        <v>3076</v>
      </c>
      <c r="H1815" s="46" t="s">
        <v>18</v>
      </c>
      <c r="I1815" s="47"/>
      <c r="J1815" s="48" t="s">
        <v>42</v>
      </c>
      <c r="K1815" s="196">
        <v>62072</v>
      </c>
      <c r="L1815" s="78" t="s">
        <v>780</v>
      </c>
      <c r="M1815" s="78" t="s">
        <v>781</v>
      </c>
      <c r="N1815" s="14" t="s">
        <v>27</v>
      </c>
      <c r="O1815" s="14" t="s">
        <v>28</v>
      </c>
      <c r="P1815" s="51">
        <v>2</v>
      </c>
      <c r="Q1815" s="47">
        <f t="shared" si="59"/>
        <v>60</v>
      </c>
      <c r="R1815" s="47"/>
      <c r="S1815" s="47"/>
      <c r="T1815" s="47"/>
    </row>
    <row r="1816" customHeight="1" spans="1:20">
      <c r="A1816" s="166" t="s">
        <v>2247</v>
      </c>
      <c r="B1816" s="129" t="s">
        <v>2248</v>
      </c>
      <c r="C1816" s="129"/>
      <c r="D1816" s="166">
        <v>300</v>
      </c>
      <c r="E1816" s="167" t="s">
        <v>221</v>
      </c>
      <c r="F1816" s="44">
        <f t="shared" si="58"/>
        <v>300</v>
      </c>
      <c r="G1816" s="85" t="s">
        <v>3077</v>
      </c>
      <c r="H1816" s="46" t="s">
        <v>18</v>
      </c>
      <c r="I1816" s="47"/>
      <c r="J1816" s="48" t="s">
        <v>42</v>
      </c>
      <c r="K1816" s="196" t="s">
        <v>2247</v>
      </c>
      <c r="L1816" s="78" t="s">
        <v>780</v>
      </c>
      <c r="M1816" s="78" t="s">
        <v>781</v>
      </c>
      <c r="N1816" s="14" t="s">
        <v>27</v>
      </c>
      <c r="O1816" s="14" t="s">
        <v>28</v>
      </c>
      <c r="P1816" s="51">
        <v>1</v>
      </c>
      <c r="Q1816" s="47">
        <f t="shared" si="59"/>
        <v>300</v>
      </c>
      <c r="R1816" s="47"/>
      <c r="S1816" s="47"/>
      <c r="T1816" s="47"/>
    </row>
    <row r="1817" customHeight="1" spans="1:20">
      <c r="A1817" s="166" t="s">
        <v>2250</v>
      </c>
      <c r="B1817" s="129" t="s">
        <v>1959</v>
      </c>
      <c r="C1817" s="129"/>
      <c r="D1817" s="166">
        <v>30</v>
      </c>
      <c r="E1817" s="167" t="s">
        <v>221</v>
      </c>
      <c r="F1817" s="44">
        <f t="shared" ref="F1817:F1880" si="60">D1817*1</f>
        <v>30</v>
      </c>
      <c r="G1817" s="99" t="s">
        <v>2251</v>
      </c>
      <c r="H1817" s="46" t="s">
        <v>18</v>
      </c>
      <c r="I1817" s="47"/>
      <c r="J1817" s="48" t="s">
        <v>42</v>
      </c>
      <c r="K1817" s="208" t="s">
        <v>2250</v>
      </c>
      <c r="L1817" s="209" t="s">
        <v>780</v>
      </c>
      <c r="M1817" s="209" t="s">
        <v>781</v>
      </c>
      <c r="N1817" s="14" t="s">
        <v>27</v>
      </c>
      <c r="O1817" s="14" t="s">
        <v>28</v>
      </c>
      <c r="P1817" s="51">
        <v>1.5</v>
      </c>
      <c r="Q1817" s="47">
        <f t="shared" si="59"/>
        <v>45</v>
      </c>
      <c r="R1817" s="47"/>
      <c r="S1817" s="47"/>
      <c r="T1817" s="47"/>
    </row>
    <row r="1818" customHeight="1" spans="1:20">
      <c r="A1818" s="166" t="s">
        <v>2262</v>
      </c>
      <c r="B1818" s="129" t="s">
        <v>1972</v>
      </c>
      <c r="C1818" s="129"/>
      <c r="D1818" s="166">
        <v>2</v>
      </c>
      <c r="E1818" s="167" t="s">
        <v>21</v>
      </c>
      <c r="F1818" s="44">
        <f t="shared" si="60"/>
        <v>2</v>
      </c>
      <c r="G1818" s="91" t="s">
        <v>2263</v>
      </c>
      <c r="H1818" s="46" t="s">
        <v>18</v>
      </c>
      <c r="I1818" s="47"/>
      <c r="J1818" s="48" t="s">
        <v>42</v>
      </c>
      <c r="K1818" s="198" t="s">
        <v>2262</v>
      </c>
      <c r="L1818" s="135" t="s">
        <v>780</v>
      </c>
      <c r="M1818" s="135" t="s">
        <v>781</v>
      </c>
      <c r="N1818" s="14" t="s">
        <v>27</v>
      </c>
      <c r="O1818" s="14" t="s">
        <v>28</v>
      </c>
      <c r="P1818" s="51">
        <v>32</v>
      </c>
      <c r="Q1818" s="47">
        <f t="shared" si="59"/>
        <v>64</v>
      </c>
      <c r="R1818" s="47"/>
      <c r="S1818" s="47"/>
      <c r="T1818" s="47"/>
    </row>
    <row r="1819" customHeight="1" spans="1:20">
      <c r="A1819" s="170">
        <v>62097</v>
      </c>
      <c r="B1819" s="78" t="s">
        <v>3078</v>
      </c>
      <c r="C1819" s="78"/>
      <c r="D1819" s="166">
        <v>3</v>
      </c>
      <c r="E1819" s="171" t="s">
        <v>816</v>
      </c>
      <c r="F1819" s="44">
        <f t="shared" si="60"/>
        <v>3</v>
      </c>
      <c r="G1819" s="91" t="s">
        <v>3079</v>
      </c>
      <c r="H1819" s="46" t="s">
        <v>18</v>
      </c>
      <c r="I1819" s="47"/>
      <c r="J1819" s="48" t="s">
        <v>42</v>
      </c>
      <c r="K1819" s="198">
        <v>62097</v>
      </c>
      <c r="L1819" s="135" t="s">
        <v>780</v>
      </c>
      <c r="M1819" s="135" t="s">
        <v>781</v>
      </c>
      <c r="N1819" s="14" t="s">
        <v>27</v>
      </c>
      <c r="O1819" s="14" t="s">
        <v>28</v>
      </c>
      <c r="P1819" s="51">
        <v>18</v>
      </c>
      <c r="Q1819" s="47">
        <f t="shared" si="59"/>
        <v>54</v>
      </c>
      <c r="R1819" s="47"/>
      <c r="S1819" s="47"/>
      <c r="T1819" s="47"/>
    </row>
    <row r="1820" customHeight="1" spans="1:20">
      <c r="A1820" s="166" t="s">
        <v>3080</v>
      </c>
      <c r="B1820" s="129" t="s">
        <v>3081</v>
      </c>
      <c r="C1820" s="129"/>
      <c r="D1820" s="166">
        <v>30</v>
      </c>
      <c r="E1820" s="167" t="s">
        <v>21</v>
      </c>
      <c r="F1820" s="44">
        <f t="shared" si="60"/>
        <v>30</v>
      </c>
      <c r="G1820" s="91" t="s">
        <v>3082</v>
      </c>
      <c r="H1820" s="46" t="s">
        <v>18</v>
      </c>
      <c r="I1820" s="47"/>
      <c r="J1820" s="48" t="s">
        <v>42</v>
      </c>
      <c r="K1820" s="198" t="s">
        <v>3080</v>
      </c>
      <c r="L1820" s="135" t="s">
        <v>780</v>
      </c>
      <c r="M1820" s="135" t="s">
        <v>781</v>
      </c>
      <c r="N1820" s="14" t="s">
        <v>27</v>
      </c>
      <c r="O1820" s="14" t="s">
        <v>28</v>
      </c>
      <c r="P1820" s="51">
        <v>2</v>
      </c>
      <c r="Q1820" s="47">
        <f t="shared" si="59"/>
        <v>60</v>
      </c>
      <c r="R1820" s="47"/>
      <c r="S1820" s="47"/>
      <c r="T1820" s="47"/>
    </row>
    <row r="1821" customHeight="1" spans="1:20">
      <c r="A1821" s="193">
        <v>63</v>
      </c>
      <c r="B1821" s="142" t="s">
        <v>1976</v>
      </c>
      <c r="C1821" s="142"/>
      <c r="D1821" s="193"/>
      <c r="E1821" s="10"/>
      <c r="F1821" s="44">
        <f t="shared" si="60"/>
        <v>0</v>
      </c>
      <c r="G1821" s="199"/>
      <c r="H1821" s="46"/>
      <c r="I1821" s="47"/>
      <c r="J1821" s="48" t="s">
        <v>42</v>
      </c>
      <c r="K1821" s="200"/>
      <c r="L1821" s="142"/>
      <c r="M1821" s="142"/>
      <c r="O1821" s="14" t="s">
        <v>28</v>
      </c>
      <c r="P1821" s="51"/>
      <c r="Q1821" s="47">
        <f t="shared" si="59"/>
        <v>0</v>
      </c>
      <c r="R1821" s="47"/>
      <c r="S1821" s="47"/>
      <c r="T1821" s="47"/>
    </row>
    <row r="1822" customHeight="1" spans="1:20">
      <c r="A1822" s="170">
        <v>63012</v>
      </c>
      <c r="B1822" s="78" t="s">
        <v>1982</v>
      </c>
      <c r="C1822" s="78"/>
      <c r="D1822" s="166">
        <v>120</v>
      </c>
      <c r="E1822" s="171" t="s">
        <v>21</v>
      </c>
      <c r="F1822" s="44">
        <f t="shared" si="60"/>
        <v>120</v>
      </c>
      <c r="G1822" s="91" t="s">
        <v>2272</v>
      </c>
      <c r="H1822" s="46" t="s">
        <v>18</v>
      </c>
      <c r="I1822" s="47"/>
      <c r="J1822" s="48" t="s">
        <v>42</v>
      </c>
      <c r="K1822" s="198">
        <v>63012</v>
      </c>
      <c r="L1822" s="135" t="s">
        <v>780</v>
      </c>
      <c r="M1822" s="135" t="s">
        <v>781</v>
      </c>
      <c r="N1822" s="14" t="s">
        <v>27</v>
      </c>
      <c r="O1822" s="14" t="s">
        <v>28</v>
      </c>
      <c r="P1822" s="51">
        <v>3.5</v>
      </c>
      <c r="Q1822" s="47">
        <f t="shared" si="59"/>
        <v>420</v>
      </c>
      <c r="R1822" s="47"/>
      <c r="S1822" s="47"/>
      <c r="T1822" s="47"/>
    </row>
    <row r="1823" customHeight="1" spans="1:20">
      <c r="A1823" s="166" t="s">
        <v>2275</v>
      </c>
      <c r="B1823" s="129" t="s">
        <v>1982</v>
      </c>
      <c r="C1823" s="129"/>
      <c r="D1823" s="166">
        <v>120</v>
      </c>
      <c r="E1823" s="167" t="s">
        <v>21</v>
      </c>
      <c r="F1823" s="44">
        <f t="shared" si="60"/>
        <v>120</v>
      </c>
      <c r="G1823" s="91" t="s">
        <v>2276</v>
      </c>
      <c r="H1823" s="46" t="s">
        <v>18</v>
      </c>
      <c r="I1823" s="47"/>
      <c r="J1823" s="48" t="s">
        <v>42</v>
      </c>
      <c r="K1823" s="198" t="s">
        <v>2275</v>
      </c>
      <c r="L1823" s="135" t="s">
        <v>780</v>
      </c>
      <c r="M1823" s="135" t="s">
        <v>781</v>
      </c>
      <c r="N1823" s="14" t="s">
        <v>27</v>
      </c>
      <c r="O1823" s="14" t="s">
        <v>28</v>
      </c>
      <c r="P1823" s="51">
        <v>6</v>
      </c>
      <c r="Q1823" s="47">
        <f t="shared" si="59"/>
        <v>720</v>
      </c>
      <c r="R1823" s="47"/>
      <c r="S1823" s="47"/>
      <c r="T1823" s="47"/>
    </row>
    <row r="1824" customHeight="1" spans="1:20">
      <c r="A1824" s="166" t="s">
        <v>1995</v>
      </c>
      <c r="B1824" s="129" t="s">
        <v>1990</v>
      </c>
      <c r="C1824" s="129"/>
      <c r="D1824" s="166">
        <v>10</v>
      </c>
      <c r="E1824" s="167" t="s">
        <v>21</v>
      </c>
      <c r="F1824" s="44">
        <f t="shared" si="60"/>
        <v>10</v>
      </c>
      <c r="G1824" s="91" t="s">
        <v>2285</v>
      </c>
      <c r="H1824" s="46" t="s">
        <v>18</v>
      </c>
      <c r="I1824" s="47"/>
      <c r="J1824" s="48" t="s">
        <v>42</v>
      </c>
      <c r="K1824" s="198" t="s">
        <v>1995</v>
      </c>
      <c r="L1824" s="135" t="s">
        <v>780</v>
      </c>
      <c r="M1824" s="135" t="s">
        <v>781</v>
      </c>
      <c r="N1824" s="14" t="s">
        <v>27</v>
      </c>
      <c r="O1824" s="14" t="s">
        <v>28</v>
      </c>
      <c r="P1824" s="51">
        <v>4.5</v>
      </c>
      <c r="Q1824" s="47">
        <f t="shared" si="59"/>
        <v>45</v>
      </c>
      <c r="R1824" s="47"/>
      <c r="S1824" s="47"/>
      <c r="T1824" s="47"/>
    </row>
    <row r="1825" customHeight="1" spans="1:20">
      <c r="A1825" s="166" t="s">
        <v>1996</v>
      </c>
      <c r="B1825" s="129" t="s">
        <v>1990</v>
      </c>
      <c r="C1825" s="129"/>
      <c r="D1825" s="166">
        <v>10</v>
      </c>
      <c r="E1825" s="167" t="s">
        <v>21</v>
      </c>
      <c r="F1825" s="44">
        <f t="shared" si="60"/>
        <v>10</v>
      </c>
      <c r="G1825" s="91" t="s">
        <v>2286</v>
      </c>
      <c r="H1825" s="46" t="s">
        <v>18</v>
      </c>
      <c r="I1825" s="47"/>
      <c r="J1825" s="48" t="s">
        <v>42</v>
      </c>
      <c r="K1825" s="198" t="s">
        <v>1996</v>
      </c>
      <c r="L1825" s="135" t="s">
        <v>780</v>
      </c>
      <c r="M1825" s="135" t="s">
        <v>781</v>
      </c>
      <c r="N1825" s="14" t="s">
        <v>27</v>
      </c>
      <c r="O1825" s="14" t="s">
        <v>28</v>
      </c>
      <c r="P1825" s="51">
        <v>6</v>
      </c>
      <c r="Q1825" s="47">
        <f t="shared" si="59"/>
        <v>60</v>
      </c>
      <c r="R1825" s="47"/>
      <c r="S1825" s="47"/>
      <c r="T1825" s="47"/>
    </row>
    <row r="1826" customHeight="1" spans="1:20">
      <c r="A1826" s="166" t="s">
        <v>3083</v>
      </c>
      <c r="B1826" s="129" t="s">
        <v>2011</v>
      </c>
      <c r="C1826" s="129"/>
      <c r="D1826" s="166">
        <v>156</v>
      </c>
      <c r="E1826" s="167" t="s">
        <v>21</v>
      </c>
      <c r="F1826" s="44">
        <f t="shared" si="60"/>
        <v>156</v>
      </c>
      <c r="G1826" s="91" t="s">
        <v>2295</v>
      </c>
      <c r="H1826" s="46" t="s">
        <v>18</v>
      </c>
      <c r="I1826" s="47"/>
      <c r="J1826" s="48" t="s">
        <v>42</v>
      </c>
      <c r="K1826" s="198" t="s">
        <v>3083</v>
      </c>
      <c r="L1826" s="135" t="s">
        <v>780</v>
      </c>
      <c r="M1826" s="135" t="s">
        <v>781</v>
      </c>
      <c r="N1826" s="14" t="s">
        <v>27</v>
      </c>
      <c r="O1826" s="14" t="s">
        <v>28</v>
      </c>
      <c r="P1826" s="51">
        <v>3</v>
      </c>
      <c r="Q1826" s="47">
        <f t="shared" si="59"/>
        <v>468</v>
      </c>
      <c r="R1826" s="47"/>
      <c r="S1826" s="47"/>
      <c r="T1826" s="47"/>
    </row>
    <row r="1827" customHeight="1" spans="1:20">
      <c r="A1827" s="170">
        <v>63043</v>
      </c>
      <c r="B1827" s="78" t="s">
        <v>2011</v>
      </c>
      <c r="C1827" s="78"/>
      <c r="D1827" s="166">
        <v>156</v>
      </c>
      <c r="E1827" s="171" t="s">
        <v>21</v>
      </c>
      <c r="F1827" s="44">
        <f t="shared" si="60"/>
        <v>156</v>
      </c>
      <c r="G1827" s="91" t="s">
        <v>2299</v>
      </c>
      <c r="H1827" s="46" t="s">
        <v>18</v>
      </c>
      <c r="I1827" s="47"/>
      <c r="J1827" s="48" t="s">
        <v>42</v>
      </c>
      <c r="K1827" s="198">
        <v>63043</v>
      </c>
      <c r="L1827" s="135" t="s">
        <v>780</v>
      </c>
      <c r="M1827" s="135" t="s">
        <v>781</v>
      </c>
      <c r="N1827" s="14" t="s">
        <v>27</v>
      </c>
      <c r="O1827" s="14" t="s">
        <v>28</v>
      </c>
      <c r="P1827" s="51">
        <v>3</v>
      </c>
      <c r="Q1827" s="47">
        <f t="shared" si="59"/>
        <v>468</v>
      </c>
      <c r="R1827" s="47"/>
      <c r="S1827" s="47"/>
      <c r="T1827" s="47"/>
    </row>
    <row r="1828" customHeight="1" spans="1:20">
      <c r="A1828" s="166" t="s">
        <v>2300</v>
      </c>
      <c r="B1828" s="129" t="s">
        <v>2011</v>
      </c>
      <c r="C1828" s="129"/>
      <c r="D1828" s="166">
        <v>156</v>
      </c>
      <c r="E1828" s="167" t="s">
        <v>21</v>
      </c>
      <c r="F1828" s="44">
        <f t="shared" si="60"/>
        <v>156</v>
      </c>
      <c r="G1828" s="91" t="s">
        <v>2301</v>
      </c>
      <c r="H1828" s="46" t="s">
        <v>18</v>
      </c>
      <c r="I1828" s="47"/>
      <c r="J1828" s="48" t="s">
        <v>42</v>
      </c>
      <c r="K1828" s="198" t="s">
        <v>2300</v>
      </c>
      <c r="L1828" s="135" t="s">
        <v>780</v>
      </c>
      <c r="M1828" s="135" t="s">
        <v>781</v>
      </c>
      <c r="N1828" s="14" t="s">
        <v>27</v>
      </c>
      <c r="O1828" s="14" t="s">
        <v>28</v>
      </c>
      <c r="P1828" s="51">
        <v>3.8</v>
      </c>
      <c r="Q1828" s="47">
        <f t="shared" si="59"/>
        <v>592.8</v>
      </c>
      <c r="R1828" s="47"/>
      <c r="S1828" s="47"/>
      <c r="T1828" s="47"/>
    </row>
    <row r="1829" customHeight="1" spans="1:20">
      <c r="A1829" s="193" t="s">
        <v>1549</v>
      </c>
      <c r="B1829" s="142" t="s">
        <v>810</v>
      </c>
      <c r="C1829" s="142"/>
      <c r="D1829" s="166"/>
      <c r="E1829" s="167"/>
      <c r="F1829" s="44">
        <f t="shared" si="60"/>
        <v>0</v>
      </c>
      <c r="G1829" s="131"/>
      <c r="H1829" s="46"/>
      <c r="I1829" s="47"/>
      <c r="J1829" s="48" t="s">
        <v>42</v>
      </c>
      <c r="K1829" s="154"/>
      <c r="L1829" s="129"/>
      <c r="M1829" s="129"/>
      <c r="O1829" s="14" t="s">
        <v>28</v>
      </c>
      <c r="P1829" s="51"/>
      <c r="Q1829" s="47">
        <f t="shared" si="59"/>
        <v>0</v>
      </c>
      <c r="R1829" s="47"/>
      <c r="S1829" s="47"/>
      <c r="T1829" s="47"/>
    </row>
    <row r="1830" customHeight="1" spans="1:20">
      <c r="A1830" s="166" t="s">
        <v>2308</v>
      </c>
      <c r="B1830" s="129" t="s">
        <v>2025</v>
      </c>
      <c r="C1830" s="129"/>
      <c r="D1830" s="166">
        <f>D1557/2</f>
        <v>28</v>
      </c>
      <c r="E1830" s="167" t="s">
        <v>172</v>
      </c>
      <c r="F1830" s="44">
        <f t="shared" si="60"/>
        <v>28</v>
      </c>
      <c r="G1830" s="85" t="s">
        <v>3084</v>
      </c>
      <c r="H1830" s="46" t="s">
        <v>18</v>
      </c>
      <c r="I1830" s="47"/>
      <c r="J1830" s="48" t="s">
        <v>42</v>
      </c>
      <c r="K1830" s="196" t="s">
        <v>2308</v>
      </c>
      <c r="L1830" s="78" t="s">
        <v>780</v>
      </c>
      <c r="M1830" s="78" t="s">
        <v>781</v>
      </c>
      <c r="N1830" s="14" t="s">
        <v>27</v>
      </c>
      <c r="O1830" s="14" t="s">
        <v>28</v>
      </c>
      <c r="P1830" s="51">
        <v>1.1</v>
      </c>
      <c r="Q1830" s="47">
        <f t="shared" si="59"/>
        <v>30.8</v>
      </c>
      <c r="R1830" s="47"/>
      <c r="S1830" s="47"/>
      <c r="T1830" s="47"/>
    </row>
    <row r="1831" customHeight="1" spans="1:20">
      <c r="A1831" s="166" t="s">
        <v>2310</v>
      </c>
      <c r="B1831" s="129" t="s">
        <v>2311</v>
      </c>
      <c r="C1831" s="129"/>
      <c r="D1831" s="166">
        <f>D1557/2</f>
        <v>28</v>
      </c>
      <c r="E1831" s="167" t="s">
        <v>21</v>
      </c>
      <c r="F1831" s="44">
        <f t="shared" si="60"/>
        <v>28</v>
      </c>
      <c r="G1831" s="85" t="s">
        <v>3085</v>
      </c>
      <c r="H1831" s="46" t="s">
        <v>18</v>
      </c>
      <c r="I1831" s="47"/>
      <c r="J1831" s="48" t="s">
        <v>42</v>
      </c>
      <c r="K1831" s="196" t="s">
        <v>2310</v>
      </c>
      <c r="L1831" s="78" t="s">
        <v>780</v>
      </c>
      <c r="M1831" s="78" t="s">
        <v>781</v>
      </c>
      <c r="N1831" s="14" t="s">
        <v>27</v>
      </c>
      <c r="O1831" s="14" t="s">
        <v>28</v>
      </c>
      <c r="P1831" s="51">
        <v>1.1</v>
      </c>
      <c r="Q1831" s="47">
        <f t="shared" si="59"/>
        <v>30.8</v>
      </c>
      <c r="R1831" s="47"/>
      <c r="S1831" s="47"/>
      <c r="T1831" s="47"/>
    </row>
    <row r="1832" customHeight="1" spans="1:20">
      <c r="A1832" s="43"/>
      <c r="B1832" s="78" t="s">
        <v>813</v>
      </c>
      <c r="C1832" s="78"/>
      <c r="D1832" s="43">
        <v>28</v>
      </c>
      <c r="E1832" s="78" t="s">
        <v>21</v>
      </c>
      <c r="F1832" s="44">
        <f t="shared" si="60"/>
        <v>28</v>
      </c>
      <c r="G1832" s="163" t="s">
        <v>814</v>
      </c>
      <c r="H1832" s="46" t="s">
        <v>18</v>
      </c>
      <c r="I1832" s="47"/>
      <c r="J1832" s="48" t="s">
        <v>42</v>
      </c>
      <c r="K1832" s="210">
        <v>82014</v>
      </c>
      <c r="L1832" s="211" t="s">
        <v>780</v>
      </c>
      <c r="M1832" s="177" t="s">
        <v>781</v>
      </c>
      <c r="N1832" s="14" t="s">
        <v>27</v>
      </c>
      <c r="O1832" s="14" t="s">
        <v>28</v>
      </c>
      <c r="P1832" s="51">
        <v>1.4</v>
      </c>
      <c r="Q1832" s="47">
        <f t="shared" si="59"/>
        <v>39.2</v>
      </c>
      <c r="R1832" s="47"/>
      <c r="S1832" s="47"/>
      <c r="T1832" s="47"/>
    </row>
    <row r="1833" customHeight="1" spans="1:20">
      <c r="A1833" s="166" t="s">
        <v>2318</v>
      </c>
      <c r="B1833" s="129" t="s">
        <v>815</v>
      </c>
      <c r="C1833" s="129"/>
      <c r="D1833" s="166">
        <v>1</v>
      </c>
      <c r="E1833" s="167" t="s">
        <v>816</v>
      </c>
      <c r="F1833" s="44">
        <f t="shared" si="60"/>
        <v>1</v>
      </c>
      <c r="G1833" s="91" t="s">
        <v>2319</v>
      </c>
      <c r="H1833" s="46" t="s">
        <v>18</v>
      </c>
      <c r="I1833" s="47"/>
      <c r="J1833" s="48" t="s">
        <v>42</v>
      </c>
      <c r="K1833" s="198" t="s">
        <v>2318</v>
      </c>
      <c r="L1833" s="135" t="s">
        <v>780</v>
      </c>
      <c r="M1833" s="135" t="s">
        <v>781</v>
      </c>
      <c r="N1833" s="14" t="s">
        <v>27</v>
      </c>
      <c r="O1833" s="14" t="s">
        <v>28</v>
      </c>
      <c r="P1833" s="51">
        <v>12</v>
      </c>
      <c r="Q1833" s="47">
        <f t="shared" si="59"/>
        <v>12</v>
      </c>
      <c r="R1833" s="47"/>
      <c r="S1833" s="47"/>
      <c r="T1833" s="47"/>
    </row>
    <row r="1834" customHeight="1" spans="1:20">
      <c r="A1834" s="166" t="s">
        <v>2320</v>
      </c>
      <c r="B1834" s="129" t="s">
        <v>2041</v>
      </c>
      <c r="C1834" s="129"/>
      <c r="D1834" s="166">
        <v>1</v>
      </c>
      <c r="E1834" s="167" t="s">
        <v>816</v>
      </c>
      <c r="F1834" s="44">
        <f t="shared" si="60"/>
        <v>1</v>
      </c>
      <c r="G1834" s="91" t="s">
        <v>2321</v>
      </c>
      <c r="H1834" s="46" t="s">
        <v>18</v>
      </c>
      <c r="I1834" s="47"/>
      <c r="J1834" s="48" t="s">
        <v>42</v>
      </c>
      <c r="K1834" s="198" t="s">
        <v>2320</v>
      </c>
      <c r="L1834" s="135" t="s">
        <v>780</v>
      </c>
      <c r="M1834" s="135" t="s">
        <v>781</v>
      </c>
      <c r="N1834" s="14" t="s">
        <v>27</v>
      </c>
      <c r="O1834" s="14" t="s">
        <v>28</v>
      </c>
      <c r="P1834" s="51">
        <v>12</v>
      </c>
      <c r="Q1834" s="47">
        <f t="shared" si="59"/>
        <v>12</v>
      </c>
      <c r="R1834" s="47"/>
      <c r="S1834" s="47"/>
      <c r="T1834" s="47"/>
    </row>
    <row r="1835" customHeight="1" spans="1:20">
      <c r="A1835" s="170">
        <v>64061</v>
      </c>
      <c r="B1835" s="78" t="s">
        <v>2043</v>
      </c>
      <c r="C1835" s="78"/>
      <c r="D1835" s="166">
        <v>1</v>
      </c>
      <c r="E1835" s="171" t="s">
        <v>816</v>
      </c>
      <c r="F1835" s="44">
        <f t="shared" si="60"/>
        <v>1</v>
      </c>
      <c r="G1835" s="85" t="s">
        <v>3086</v>
      </c>
      <c r="H1835" s="46" t="s">
        <v>18</v>
      </c>
      <c r="I1835" s="47"/>
      <c r="J1835" s="48" t="s">
        <v>42</v>
      </c>
      <c r="K1835" s="196">
        <v>64061</v>
      </c>
      <c r="L1835" s="78" t="s">
        <v>780</v>
      </c>
      <c r="M1835" s="78" t="s">
        <v>781</v>
      </c>
      <c r="N1835" s="14" t="s">
        <v>27</v>
      </c>
      <c r="O1835" s="14" t="s">
        <v>28</v>
      </c>
      <c r="P1835" s="51">
        <v>25</v>
      </c>
      <c r="Q1835" s="47">
        <f t="shared" si="59"/>
        <v>25</v>
      </c>
      <c r="R1835" s="47"/>
      <c r="S1835" s="47"/>
      <c r="T1835" s="47"/>
    </row>
    <row r="1836" customHeight="1" spans="1:20">
      <c r="A1836" s="170">
        <v>64062</v>
      </c>
      <c r="B1836" s="78" t="s">
        <v>2045</v>
      </c>
      <c r="C1836" s="78"/>
      <c r="D1836" s="166">
        <v>1</v>
      </c>
      <c r="E1836" s="171" t="s">
        <v>816</v>
      </c>
      <c r="F1836" s="44">
        <f t="shared" si="60"/>
        <v>1</v>
      </c>
      <c r="G1836" s="91" t="s">
        <v>3087</v>
      </c>
      <c r="H1836" s="46" t="s">
        <v>18</v>
      </c>
      <c r="I1836" s="47"/>
      <c r="J1836" s="48" t="s">
        <v>42</v>
      </c>
      <c r="K1836" s="198">
        <v>64062</v>
      </c>
      <c r="L1836" s="135" t="s">
        <v>780</v>
      </c>
      <c r="M1836" s="135" t="s">
        <v>781</v>
      </c>
      <c r="N1836" s="14" t="s">
        <v>27</v>
      </c>
      <c r="O1836" s="14" t="s">
        <v>28</v>
      </c>
      <c r="P1836" s="51">
        <v>28</v>
      </c>
      <c r="Q1836" s="47">
        <f t="shared" si="59"/>
        <v>28</v>
      </c>
      <c r="R1836" s="47"/>
      <c r="S1836" s="47"/>
      <c r="T1836" s="47"/>
    </row>
    <row r="1837" customHeight="1" spans="1:20">
      <c r="A1837" s="166" t="s">
        <v>3088</v>
      </c>
      <c r="B1837" s="129" t="s">
        <v>2592</v>
      </c>
      <c r="C1837" s="129"/>
      <c r="D1837" s="166">
        <v>120</v>
      </c>
      <c r="E1837" s="167" t="s">
        <v>21</v>
      </c>
      <c r="F1837" s="44">
        <f t="shared" si="60"/>
        <v>120</v>
      </c>
      <c r="G1837" s="91" t="s">
        <v>3089</v>
      </c>
      <c r="H1837" s="46" t="s">
        <v>18</v>
      </c>
      <c r="I1837" s="47"/>
      <c r="J1837" s="48" t="s">
        <v>42</v>
      </c>
      <c r="K1837" s="198" t="s">
        <v>3088</v>
      </c>
      <c r="L1837" s="135" t="s">
        <v>780</v>
      </c>
      <c r="M1837" s="135" t="s">
        <v>781</v>
      </c>
      <c r="N1837" s="14" t="s">
        <v>27</v>
      </c>
      <c r="O1837" s="14" t="s">
        <v>28</v>
      </c>
      <c r="P1837" s="190">
        <v>5</v>
      </c>
      <c r="Q1837" s="47">
        <f t="shared" si="59"/>
        <v>600</v>
      </c>
      <c r="R1837" s="47"/>
      <c r="S1837" s="47"/>
      <c r="T1837" s="47"/>
    </row>
    <row r="1838" customHeight="1" spans="1:20">
      <c r="A1838" s="166" t="s">
        <v>3090</v>
      </c>
      <c r="B1838" s="129" t="s">
        <v>2592</v>
      </c>
      <c r="C1838" s="129"/>
      <c r="D1838" s="166">
        <v>120</v>
      </c>
      <c r="E1838" s="167" t="s">
        <v>21</v>
      </c>
      <c r="F1838" s="44">
        <f t="shared" si="60"/>
        <v>120</v>
      </c>
      <c r="G1838" s="91" t="s">
        <v>3091</v>
      </c>
      <c r="H1838" s="46" t="s">
        <v>18</v>
      </c>
      <c r="I1838" s="47"/>
      <c r="J1838" s="48" t="s">
        <v>42</v>
      </c>
      <c r="K1838" s="198" t="s">
        <v>3090</v>
      </c>
      <c r="L1838" s="135" t="s">
        <v>780</v>
      </c>
      <c r="M1838" s="135" t="s">
        <v>781</v>
      </c>
      <c r="N1838" s="14" t="s">
        <v>27</v>
      </c>
      <c r="O1838" s="14" t="s">
        <v>28</v>
      </c>
      <c r="P1838" s="190">
        <v>6</v>
      </c>
      <c r="Q1838" s="47">
        <f t="shared" si="59"/>
        <v>720</v>
      </c>
      <c r="R1838" s="47"/>
      <c r="S1838" s="47"/>
      <c r="T1838" s="47"/>
    </row>
    <row r="1839" customHeight="1" spans="1:20">
      <c r="A1839" s="166" t="s">
        <v>2337</v>
      </c>
      <c r="B1839" s="129" t="s">
        <v>2059</v>
      </c>
      <c r="C1839" s="129"/>
      <c r="D1839" s="166">
        <v>30</v>
      </c>
      <c r="E1839" s="167" t="s">
        <v>21</v>
      </c>
      <c r="F1839" s="44">
        <f t="shared" si="60"/>
        <v>30</v>
      </c>
      <c r="G1839" s="91" t="s">
        <v>3092</v>
      </c>
      <c r="H1839" s="46" t="s">
        <v>18</v>
      </c>
      <c r="I1839" s="47"/>
      <c r="J1839" s="48" t="s">
        <v>42</v>
      </c>
      <c r="K1839" s="198" t="s">
        <v>2337</v>
      </c>
      <c r="L1839" s="135" t="s">
        <v>780</v>
      </c>
      <c r="M1839" s="135" t="s">
        <v>781</v>
      </c>
      <c r="N1839" s="14" t="s">
        <v>27</v>
      </c>
      <c r="O1839" s="14" t="s">
        <v>28</v>
      </c>
      <c r="P1839" s="51">
        <v>3.75</v>
      </c>
      <c r="Q1839" s="47">
        <f t="shared" si="59"/>
        <v>112.5</v>
      </c>
      <c r="R1839" s="47"/>
      <c r="S1839" s="47"/>
      <c r="T1839" s="47"/>
    </row>
    <row r="1840" customHeight="1" spans="1:20">
      <c r="A1840" s="166" t="s">
        <v>3093</v>
      </c>
      <c r="B1840" s="129" t="s">
        <v>3094</v>
      </c>
      <c r="C1840" s="129"/>
      <c r="D1840" s="166">
        <v>5</v>
      </c>
      <c r="E1840" s="167" t="s">
        <v>21</v>
      </c>
      <c r="F1840" s="44">
        <f t="shared" si="60"/>
        <v>5</v>
      </c>
      <c r="G1840" s="85" t="s">
        <v>3095</v>
      </c>
      <c r="H1840" s="46" t="s">
        <v>18</v>
      </c>
      <c r="I1840" s="47"/>
      <c r="J1840" s="48" t="s">
        <v>42</v>
      </c>
      <c r="K1840" s="196" t="s">
        <v>3093</v>
      </c>
      <c r="L1840" s="78" t="s">
        <v>780</v>
      </c>
      <c r="M1840" s="78" t="s">
        <v>781</v>
      </c>
      <c r="N1840" s="14" t="s">
        <v>27</v>
      </c>
      <c r="O1840" s="14" t="s">
        <v>28</v>
      </c>
      <c r="P1840" s="51">
        <v>11</v>
      </c>
      <c r="Q1840" s="47">
        <f t="shared" si="59"/>
        <v>55</v>
      </c>
      <c r="R1840" s="47"/>
      <c r="S1840" s="47"/>
      <c r="T1840" s="47"/>
    </row>
    <row r="1841" customHeight="1" spans="1:20">
      <c r="A1841" s="166" t="s">
        <v>3096</v>
      </c>
      <c r="B1841" s="129" t="s">
        <v>3097</v>
      </c>
      <c r="C1841" s="129"/>
      <c r="D1841" s="166">
        <f>D1557/2</f>
        <v>28</v>
      </c>
      <c r="E1841" s="167" t="s">
        <v>2445</v>
      </c>
      <c r="F1841" s="44">
        <f t="shared" si="60"/>
        <v>28</v>
      </c>
      <c r="G1841" s="85" t="s">
        <v>3098</v>
      </c>
      <c r="H1841" s="46" t="s">
        <v>18</v>
      </c>
      <c r="I1841" s="47"/>
      <c r="J1841" s="48" t="s">
        <v>42</v>
      </c>
      <c r="K1841" s="196" t="s">
        <v>3096</v>
      </c>
      <c r="L1841" s="78" t="s">
        <v>25</v>
      </c>
      <c r="M1841" s="78" t="s">
        <v>26</v>
      </c>
      <c r="N1841" s="14" t="s">
        <v>27</v>
      </c>
      <c r="O1841" s="14" t="s">
        <v>28</v>
      </c>
      <c r="P1841" s="51">
        <v>20</v>
      </c>
      <c r="Q1841" s="47">
        <f t="shared" si="59"/>
        <v>560</v>
      </c>
      <c r="R1841" s="47"/>
      <c r="S1841" s="47"/>
      <c r="T1841" s="47"/>
    </row>
    <row r="1842" customHeight="1" spans="1:20">
      <c r="A1842" s="108" t="s">
        <v>3099</v>
      </c>
      <c r="B1842" s="142" t="s">
        <v>3100</v>
      </c>
      <c r="C1842" s="142"/>
      <c r="D1842" s="166"/>
      <c r="E1842" s="167"/>
      <c r="F1842" s="44">
        <f t="shared" si="60"/>
        <v>0</v>
      </c>
      <c r="G1842" s="131"/>
      <c r="H1842" s="46"/>
      <c r="I1842" s="47"/>
      <c r="J1842" s="48"/>
      <c r="K1842" s="154"/>
      <c r="L1842" s="129"/>
      <c r="M1842" s="129"/>
      <c r="O1842" s="14" t="s">
        <v>28</v>
      </c>
      <c r="P1842" s="51"/>
      <c r="Q1842" s="47">
        <f t="shared" si="59"/>
        <v>0</v>
      </c>
      <c r="R1842" s="47"/>
      <c r="S1842" s="47"/>
      <c r="T1842" s="47"/>
    </row>
    <row r="1843" customHeight="1" spans="1:20">
      <c r="A1843" s="43">
        <v>80301</v>
      </c>
      <c r="B1843" s="78" t="s">
        <v>3101</v>
      </c>
      <c r="C1843" s="78"/>
      <c r="D1843" s="43">
        <f>D1557</f>
        <v>56</v>
      </c>
      <c r="E1843" s="78" t="s">
        <v>32</v>
      </c>
      <c r="F1843" s="44">
        <f t="shared" si="60"/>
        <v>56</v>
      </c>
      <c r="G1843" s="85" t="s">
        <v>3102</v>
      </c>
      <c r="H1843" s="46" t="s">
        <v>18</v>
      </c>
      <c r="I1843" s="47"/>
      <c r="J1843" s="48" t="s">
        <v>42</v>
      </c>
      <c r="K1843" s="196">
        <v>80301</v>
      </c>
      <c r="L1843" s="78" t="s">
        <v>25</v>
      </c>
      <c r="M1843" s="78" t="s">
        <v>26</v>
      </c>
      <c r="N1843" s="14" t="s">
        <v>27</v>
      </c>
      <c r="O1843" s="14" t="s">
        <v>28</v>
      </c>
      <c r="P1843" s="51">
        <v>32</v>
      </c>
      <c r="Q1843" s="47">
        <f t="shared" si="59"/>
        <v>1792</v>
      </c>
      <c r="R1843" s="47"/>
      <c r="S1843" s="47"/>
      <c r="T1843" s="47"/>
    </row>
    <row r="1844" customHeight="1" spans="1:20">
      <c r="A1844" s="166" t="s">
        <v>3103</v>
      </c>
      <c r="B1844" s="129" t="s">
        <v>3104</v>
      </c>
      <c r="C1844" s="129"/>
      <c r="D1844" s="166">
        <v>10</v>
      </c>
      <c r="E1844" s="167" t="s">
        <v>169</v>
      </c>
      <c r="F1844" s="44">
        <f t="shared" si="60"/>
        <v>10</v>
      </c>
      <c r="G1844" s="85" t="s">
        <v>3105</v>
      </c>
      <c r="H1844" s="46" t="s">
        <v>18</v>
      </c>
      <c r="I1844" s="47"/>
      <c r="J1844" s="48" t="s">
        <v>42</v>
      </c>
      <c r="K1844" s="196" t="s">
        <v>3103</v>
      </c>
      <c r="L1844" s="78" t="s">
        <v>25</v>
      </c>
      <c r="M1844" s="78" t="s">
        <v>26</v>
      </c>
      <c r="N1844" s="14" t="s">
        <v>27</v>
      </c>
      <c r="O1844" s="14" t="s">
        <v>28</v>
      </c>
      <c r="P1844" s="51">
        <v>3</v>
      </c>
      <c r="Q1844" s="47">
        <f t="shared" si="59"/>
        <v>30</v>
      </c>
      <c r="R1844" s="47"/>
      <c r="S1844" s="47"/>
      <c r="T1844" s="47"/>
    </row>
    <row r="1845" customHeight="1" spans="1:20">
      <c r="A1845" s="166" t="s">
        <v>3106</v>
      </c>
      <c r="B1845" s="129" t="s">
        <v>3107</v>
      </c>
      <c r="C1845" s="129"/>
      <c r="D1845" s="166">
        <f>D1557</f>
        <v>56</v>
      </c>
      <c r="E1845" s="167" t="s">
        <v>2465</v>
      </c>
      <c r="F1845" s="44">
        <f t="shared" si="60"/>
        <v>56</v>
      </c>
      <c r="G1845" s="85" t="s">
        <v>3108</v>
      </c>
      <c r="H1845" s="46" t="s">
        <v>18</v>
      </c>
      <c r="I1845" s="47"/>
      <c r="J1845" s="48" t="s">
        <v>42</v>
      </c>
      <c r="K1845" s="196" t="s">
        <v>3106</v>
      </c>
      <c r="L1845" s="78" t="s">
        <v>25</v>
      </c>
      <c r="M1845" s="78" t="s">
        <v>26</v>
      </c>
      <c r="N1845" s="14" t="s">
        <v>27</v>
      </c>
      <c r="O1845" s="14" t="s">
        <v>28</v>
      </c>
      <c r="P1845" s="51">
        <v>2</v>
      </c>
      <c r="Q1845" s="47">
        <f t="shared" si="59"/>
        <v>112</v>
      </c>
      <c r="R1845" s="47"/>
      <c r="S1845" s="47"/>
      <c r="T1845" s="47"/>
    </row>
    <row r="1846" customHeight="1" spans="1:20">
      <c r="A1846" s="166" t="s">
        <v>3109</v>
      </c>
      <c r="B1846" s="129" t="s">
        <v>3110</v>
      </c>
      <c r="C1846" s="129"/>
      <c r="D1846" s="166">
        <f>D1557/2</f>
        <v>28</v>
      </c>
      <c r="E1846" s="167" t="s">
        <v>221</v>
      </c>
      <c r="F1846" s="44">
        <f t="shared" si="60"/>
        <v>28</v>
      </c>
      <c r="G1846" s="85" t="s">
        <v>3111</v>
      </c>
      <c r="H1846" s="46" t="s">
        <v>18</v>
      </c>
      <c r="I1846" s="47"/>
      <c r="J1846" s="48" t="s">
        <v>42</v>
      </c>
      <c r="K1846" s="196" t="s">
        <v>3109</v>
      </c>
      <c r="L1846" s="78" t="s">
        <v>3112</v>
      </c>
      <c r="M1846" s="78" t="s">
        <v>3113</v>
      </c>
      <c r="N1846" s="14" t="s">
        <v>27</v>
      </c>
      <c r="O1846" s="14" t="s">
        <v>28</v>
      </c>
      <c r="P1846" s="51">
        <v>2</v>
      </c>
      <c r="Q1846" s="47">
        <f t="shared" si="59"/>
        <v>56</v>
      </c>
      <c r="R1846" s="47"/>
      <c r="S1846" s="47"/>
      <c r="T1846" s="47"/>
    </row>
    <row r="1847" customHeight="1" spans="1:20">
      <c r="A1847" s="43">
        <v>80305</v>
      </c>
      <c r="B1847" s="78" t="s">
        <v>3114</v>
      </c>
      <c r="C1847" s="78"/>
      <c r="D1847" s="43">
        <v>5</v>
      </c>
      <c r="E1847" s="78" t="s">
        <v>845</v>
      </c>
      <c r="F1847" s="44">
        <f t="shared" si="60"/>
        <v>5</v>
      </c>
      <c r="G1847" s="85" t="s">
        <v>3115</v>
      </c>
      <c r="H1847" s="46" t="s">
        <v>18</v>
      </c>
      <c r="I1847" s="47"/>
      <c r="J1847" s="48" t="s">
        <v>42</v>
      </c>
      <c r="K1847" s="196">
        <v>80305</v>
      </c>
      <c r="L1847" s="78" t="s">
        <v>25</v>
      </c>
      <c r="M1847" s="78" t="s">
        <v>26</v>
      </c>
      <c r="N1847" s="14" t="s">
        <v>27</v>
      </c>
      <c r="O1847" s="14" t="s">
        <v>28</v>
      </c>
      <c r="P1847" s="51">
        <v>14</v>
      </c>
      <c r="Q1847" s="47">
        <f t="shared" si="59"/>
        <v>70</v>
      </c>
      <c r="R1847" s="47"/>
      <c r="S1847" s="47"/>
      <c r="T1847" s="47"/>
    </row>
    <row r="1848" customHeight="1" spans="1:20">
      <c r="A1848" s="43">
        <v>80306</v>
      </c>
      <c r="B1848" s="78" t="s">
        <v>3116</v>
      </c>
      <c r="C1848" s="78"/>
      <c r="D1848" s="43">
        <v>1</v>
      </c>
      <c r="E1848" s="78" t="s">
        <v>816</v>
      </c>
      <c r="F1848" s="44">
        <f t="shared" si="60"/>
        <v>1</v>
      </c>
      <c r="G1848" s="85" t="s">
        <v>3117</v>
      </c>
      <c r="H1848" s="46" t="s">
        <v>18</v>
      </c>
      <c r="I1848" s="47"/>
      <c r="J1848" s="48" t="s">
        <v>42</v>
      </c>
      <c r="K1848" s="196">
        <v>80306</v>
      </c>
      <c r="L1848" s="78" t="s">
        <v>25</v>
      </c>
      <c r="M1848" s="78" t="s">
        <v>26</v>
      </c>
      <c r="N1848" s="14" t="s">
        <v>27</v>
      </c>
      <c r="O1848" s="14" t="s">
        <v>28</v>
      </c>
      <c r="P1848" s="51">
        <v>35</v>
      </c>
      <c r="Q1848" s="47">
        <f t="shared" si="59"/>
        <v>35</v>
      </c>
      <c r="R1848" s="47"/>
      <c r="S1848" s="47"/>
      <c r="T1848" s="47"/>
    </row>
    <row r="1849" customHeight="1" spans="1:20">
      <c r="A1849" s="43">
        <v>80307</v>
      </c>
      <c r="B1849" s="78" t="s">
        <v>3118</v>
      </c>
      <c r="C1849" s="78"/>
      <c r="D1849" s="43">
        <v>1</v>
      </c>
      <c r="E1849" s="78" t="s">
        <v>816</v>
      </c>
      <c r="F1849" s="44">
        <f t="shared" si="60"/>
        <v>1</v>
      </c>
      <c r="G1849" s="85" t="s">
        <v>3119</v>
      </c>
      <c r="H1849" s="46" t="s">
        <v>18</v>
      </c>
      <c r="I1849" s="47"/>
      <c r="J1849" s="48" t="s">
        <v>42</v>
      </c>
      <c r="K1849" s="196">
        <v>80307</v>
      </c>
      <c r="L1849" s="78" t="s">
        <v>25</v>
      </c>
      <c r="M1849" s="78" t="s">
        <v>26</v>
      </c>
      <c r="N1849" s="14" t="s">
        <v>27</v>
      </c>
      <c r="O1849" s="14" t="s">
        <v>28</v>
      </c>
      <c r="P1849" s="51">
        <v>45</v>
      </c>
      <c r="Q1849" s="47">
        <f t="shared" si="59"/>
        <v>45</v>
      </c>
      <c r="R1849" s="47"/>
      <c r="S1849" s="47"/>
      <c r="T1849" s="47"/>
    </row>
    <row r="1850" customHeight="1" spans="1:20">
      <c r="A1850" s="170">
        <v>80308</v>
      </c>
      <c r="B1850" s="78" t="s">
        <v>3120</v>
      </c>
      <c r="C1850" s="78"/>
      <c r="D1850" s="170">
        <v>1</v>
      </c>
      <c r="E1850" s="171" t="s">
        <v>169</v>
      </c>
      <c r="F1850" s="44">
        <f t="shared" si="60"/>
        <v>1</v>
      </c>
      <c r="G1850" s="85" t="s">
        <v>3121</v>
      </c>
      <c r="H1850" s="46" t="s">
        <v>18</v>
      </c>
      <c r="I1850" s="47"/>
      <c r="J1850" s="48" t="s">
        <v>42</v>
      </c>
      <c r="K1850" s="196">
        <v>80308</v>
      </c>
      <c r="L1850" s="78" t="s">
        <v>25</v>
      </c>
      <c r="M1850" s="78" t="s">
        <v>26</v>
      </c>
      <c r="N1850" s="14" t="s">
        <v>27</v>
      </c>
      <c r="O1850" s="14" t="s">
        <v>28</v>
      </c>
      <c r="P1850" s="51">
        <v>38</v>
      </c>
      <c r="Q1850" s="47">
        <f t="shared" si="59"/>
        <v>38</v>
      </c>
      <c r="R1850" s="47"/>
      <c r="S1850" s="47"/>
      <c r="T1850" s="47"/>
    </row>
    <row r="1851" customHeight="1" spans="1:20">
      <c r="A1851" s="43">
        <v>80309</v>
      </c>
      <c r="B1851" s="78" t="s">
        <v>3122</v>
      </c>
      <c r="C1851" s="78"/>
      <c r="D1851" s="43">
        <v>2</v>
      </c>
      <c r="E1851" s="78" t="s">
        <v>32</v>
      </c>
      <c r="F1851" s="44">
        <f t="shared" si="60"/>
        <v>2</v>
      </c>
      <c r="G1851" s="85" t="s">
        <v>3123</v>
      </c>
      <c r="H1851" s="46" t="s">
        <v>18</v>
      </c>
      <c r="I1851" s="47"/>
      <c r="J1851" s="48" t="s">
        <v>42</v>
      </c>
      <c r="K1851" s="196">
        <v>80309</v>
      </c>
      <c r="L1851" s="78" t="s">
        <v>25</v>
      </c>
      <c r="M1851" s="78" t="s">
        <v>26</v>
      </c>
      <c r="N1851" s="14" t="s">
        <v>27</v>
      </c>
      <c r="O1851" s="14" t="s">
        <v>28</v>
      </c>
      <c r="P1851" s="51">
        <v>45</v>
      </c>
      <c r="Q1851" s="47">
        <f t="shared" si="59"/>
        <v>90</v>
      </c>
      <c r="R1851" s="47"/>
      <c r="S1851" s="47"/>
      <c r="T1851" s="47"/>
    </row>
    <row r="1852" customHeight="1" spans="1:20">
      <c r="A1852" s="170">
        <v>80310</v>
      </c>
      <c r="B1852" s="78" t="s">
        <v>3124</v>
      </c>
      <c r="C1852" s="78"/>
      <c r="D1852" s="166">
        <v>5</v>
      </c>
      <c r="E1852" s="171" t="s">
        <v>169</v>
      </c>
      <c r="F1852" s="44">
        <f t="shared" si="60"/>
        <v>5</v>
      </c>
      <c r="G1852" s="85" t="s">
        <v>3125</v>
      </c>
      <c r="H1852" s="46" t="s">
        <v>18</v>
      </c>
      <c r="I1852" s="47"/>
      <c r="J1852" s="48" t="s">
        <v>42</v>
      </c>
      <c r="K1852" s="196">
        <v>80310</v>
      </c>
      <c r="L1852" s="78" t="s">
        <v>25</v>
      </c>
      <c r="M1852" s="78" t="s">
        <v>26</v>
      </c>
      <c r="N1852" s="14" t="s">
        <v>27</v>
      </c>
      <c r="O1852" s="14" t="s">
        <v>28</v>
      </c>
      <c r="P1852" s="51">
        <v>12</v>
      </c>
      <c r="Q1852" s="47">
        <f t="shared" si="59"/>
        <v>60</v>
      </c>
      <c r="R1852" s="47"/>
      <c r="S1852" s="47"/>
      <c r="T1852" s="47"/>
    </row>
    <row r="1853" customHeight="1" spans="1:20">
      <c r="A1853" s="170">
        <v>80311</v>
      </c>
      <c r="B1853" s="78" t="s">
        <v>3126</v>
      </c>
      <c r="C1853" s="78"/>
      <c r="D1853" s="170">
        <v>10</v>
      </c>
      <c r="E1853" s="171" t="s">
        <v>169</v>
      </c>
      <c r="F1853" s="44">
        <f t="shared" si="60"/>
        <v>10</v>
      </c>
      <c r="G1853" s="85" t="s">
        <v>3127</v>
      </c>
      <c r="H1853" s="46" t="s">
        <v>18</v>
      </c>
      <c r="I1853" s="47"/>
      <c r="J1853" s="48" t="s">
        <v>42</v>
      </c>
      <c r="K1853" s="196">
        <v>80311</v>
      </c>
      <c r="L1853" s="78" t="s">
        <v>25</v>
      </c>
      <c r="M1853" s="78" t="s">
        <v>26</v>
      </c>
      <c r="N1853" s="14" t="s">
        <v>27</v>
      </c>
      <c r="O1853" s="14" t="s">
        <v>28</v>
      </c>
      <c r="P1853" s="51">
        <v>6</v>
      </c>
      <c r="Q1853" s="47">
        <f t="shared" si="59"/>
        <v>60</v>
      </c>
      <c r="R1853" s="47"/>
      <c r="S1853" s="47"/>
      <c r="T1853" s="47"/>
    </row>
    <row r="1854" customHeight="1" spans="1:20">
      <c r="A1854" s="193">
        <v>81</v>
      </c>
      <c r="B1854" s="142" t="s">
        <v>930</v>
      </c>
      <c r="C1854" s="142"/>
      <c r="D1854" s="166"/>
      <c r="E1854" s="167"/>
      <c r="F1854" s="44">
        <f t="shared" si="60"/>
        <v>0</v>
      </c>
      <c r="G1854" s="85"/>
      <c r="H1854" s="46"/>
      <c r="I1854" s="47"/>
      <c r="J1854" s="48" t="s">
        <v>42</v>
      </c>
      <c r="K1854" s="196"/>
      <c r="L1854" s="78"/>
      <c r="M1854" s="78"/>
      <c r="O1854" s="14" t="s">
        <v>28</v>
      </c>
      <c r="P1854" s="51"/>
      <c r="Q1854" s="47">
        <f t="shared" si="59"/>
        <v>0</v>
      </c>
      <c r="R1854" s="47"/>
      <c r="S1854" s="47"/>
      <c r="T1854" s="47">
        <v>81</v>
      </c>
    </row>
    <row r="1855" customHeight="1" spans="1:20">
      <c r="A1855" s="166" t="s">
        <v>1618</v>
      </c>
      <c r="B1855" s="129" t="s">
        <v>931</v>
      </c>
      <c r="C1855" s="129"/>
      <c r="D1855" s="166">
        <v>1</v>
      </c>
      <c r="E1855" s="167" t="s">
        <v>172</v>
      </c>
      <c r="F1855" s="44">
        <f t="shared" si="60"/>
        <v>1</v>
      </c>
      <c r="G1855" s="85" t="s">
        <v>1619</v>
      </c>
      <c r="H1855" s="46" t="s">
        <v>18</v>
      </c>
      <c r="I1855" s="47"/>
      <c r="J1855" s="48" t="s">
        <v>42</v>
      </c>
      <c r="K1855" s="196" t="s">
        <v>1618</v>
      </c>
      <c r="L1855" s="78" t="s">
        <v>25</v>
      </c>
      <c r="M1855" s="78" t="s">
        <v>26</v>
      </c>
      <c r="N1855" s="14" t="s">
        <v>27</v>
      </c>
      <c r="O1855" s="14" t="s">
        <v>28</v>
      </c>
      <c r="P1855" s="51">
        <v>4</v>
      </c>
      <c r="Q1855" s="47">
        <f t="shared" si="59"/>
        <v>4</v>
      </c>
      <c r="R1855" s="47"/>
      <c r="S1855" s="47"/>
      <c r="T1855" s="47">
        <v>81001</v>
      </c>
    </row>
    <row r="1856" customHeight="1" spans="1:20">
      <c r="A1856" s="166" t="s">
        <v>1620</v>
      </c>
      <c r="B1856" s="129" t="s">
        <v>933</v>
      </c>
      <c r="C1856" s="129"/>
      <c r="D1856" s="166">
        <v>1</v>
      </c>
      <c r="E1856" s="167" t="s">
        <v>32</v>
      </c>
      <c r="F1856" s="44">
        <f t="shared" si="60"/>
        <v>1</v>
      </c>
      <c r="G1856" s="85" t="s">
        <v>1621</v>
      </c>
      <c r="H1856" s="46" t="s">
        <v>18</v>
      </c>
      <c r="I1856" s="47"/>
      <c r="J1856" s="48" t="s">
        <v>42</v>
      </c>
      <c r="K1856" s="196" t="s">
        <v>1620</v>
      </c>
      <c r="L1856" s="78" t="s">
        <v>25</v>
      </c>
      <c r="M1856" s="78" t="s">
        <v>26</v>
      </c>
      <c r="N1856" s="14" t="s">
        <v>27</v>
      </c>
      <c r="O1856" s="14" t="s">
        <v>28</v>
      </c>
      <c r="P1856" s="51">
        <v>4</v>
      </c>
      <c r="Q1856" s="47">
        <f t="shared" si="59"/>
        <v>4</v>
      </c>
      <c r="R1856" s="47"/>
      <c r="S1856" s="47"/>
      <c r="T1856" s="47">
        <v>81002</v>
      </c>
    </row>
    <row r="1857" customHeight="1" spans="1:20">
      <c r="A1857" s="166" t="s">
        <v>2351</v>
      </c>
      <c r="B1857" s="129" t="s">
        <v>935</v>
      </c>
      <c r="C1857" s="129"/>
      <c r="D1857" s="166">
        <v>1</v>
      </c>
      <c r="E1857" s="167" t="s">
        <v>32</v>
      </c>
      <c r="F1857" s="44">
        <f t="shared" si="60"/>
        <v>1</v>
      </c>
      <c r="G1857" s="85" t="s">
        <v>1622</v>
      </c>
      <c r="H1857" s="46" t="s">
        <v>18</v>
      </c>
      <c r="I1857" s="47"/>
      <c r="J1857" s="48" t="s">
        <v>42</v>
      </c>
      <c r="K1857" s="196" t="s">
        <v>2351</v>
      </c>
      <c r="L1857" s="78" t="s">
        <v>25</v>
      </c>
      <c r="M1857" s="78" t="s">
        <v>26</v>
      </c>
      <c r="N1857" s="14" t="s">
        <v>27</v>
      </c>
      <c r="O1857" s="14" t="s">
        <v>28</v>
      </c>
      <c r="P1857" s="51">
        <v>4</v>
      </c>
      <c r="Q1857" s="47">
        <f t="shared" si="59"/>
        <v>4</v>
      </c>
      <c r="R1857" s="47"/>
      <c r="S1857" s="47"/>
      <c r="T1857" s="47">
        <v>81003</v>
      </c>
    </row>
    <row r="1858" customHeight="1" spans="1:20">
      <c r="A1858" s="166" t="s">
        <v>3128</v>
      </c>
      <c r="B1858" s="129" t="s">
        <v>947</v>
      </c>
      <c r="C1858" s="129"/>
      <c r="D1858" s="166">
        <v>1</v>
      </c>
      <c r="E1858" s="167" t="s">
        <v>172</v>
      </c>
      <c r="F1858" s="44">
        <f t="shared" si="60"/>
        <v>1</v>
      </c>
      <c r="G1858" s="85" t="s">
        <v>3129</v>
      </c>
      <c r="H1858" s="46" t="s">
        <v>18</v>
      </c>
      <c r="I1858" s="47"/>
      <c r="J1858" s="48" t="s">
        <v>42</v>
      </c>
      <c r="K1858" s="196" t="s">
        <v>3128</v>
      </c>
      <c r="L1858" s="78" t="s">
        <v>25</v>
      </c>
      <c r="M1858" s="78" t="s">
        <v>26</v>
      </c>
      <c r="N1858" s="14" t="s">
        <v>27</v>
      </c>
      <c r="O1858" s="14" t="s">
        <v>28</v>
      </c>
      <c r="P1858" s="51">
        <v>15</v>
      </c>
      <c r="Q1858" s="47">
        <f t="shared" si="59"/>
        <v>15</v>
      </c>
      <c r="R1858" s="47"/>
      <c r="S1858" s="47"/>
      <c r="T1858" s="47">
        <v>81012</v>
      </c>
    </row>
    <row r="1859" customHeight="1" spans="1:20">
      <c r="A1859" s="166" t="s">
        <v>3130</v>
      </c>
      <c r="B1859" s="129" t="s">
        <v>949</v>
      </c>
      <c r="C1859" s="129"/>
      <c r="D1859" s="166">
        <v>1</v>
      </c>
      <c r="E1859" s="167" t="s">
        <v>172</v>
      </c>
      <c r="F1859" s="44">
        <f t="shared" si="60"/>
        <v>1</v>
      </c>
      <c r="G1859" s="91" t="s">
        <v>1639</v>
      </c>
      <c r="H1859" s="46" t="s">
        <v>18</v>
      </c>
      <c r="I1859" s="47"/>
      <c r="J1859" s="48" t="s">
        <v>42</v>
      </c>
      <c r="K1859" s="198" t="s">
        <v>3130</v>
      </c>
      <c r="L1859" s="135" t="s">
        <v>25</v>
      </c>
      <c r="M1859" s="135" t="s">
        <v>26</v>
      </c>
      <c r="N1859" s="14" t="s">
        <v>27</v>
      </c>
      <c r="O1859" s="14" t="s">
        <v>28</v>
      </c>
      <c r="P1859" s="51">
        <v>12</v>
      </c>
      <c r="Q1859" s="47">
        <f t="shared" si="59"/>
        <v>12</v>
      </c>
      <c r="R1859" s="47"/>
      <c r="S1859" s="47"/>
      <c r="T1859" s="47">
        <v>81013</v>
      </c>
    </row>
    <row r="1860" customHeight="1" spans="1:20">
      <c r="A1860" s="166" t="s">
        <v>2352</v>
      </c>
      <c r="B1860" s="129" t="s">
        <v>951</v>
      </c>
      <c r="C1860" s="129"/>
      <c r="D1860" s="166">
        <v>1</v>
      </c>
      <c r="E1860" s="167" t="s">
        <v>172</v>
      </c>
      <c r="F1860" s="44">
        <f t="shared" si="60"/>
        <v>1</v>
      </c>
      <c r="G1860" s="79" t="s">
        <v>2597</v>
      </c>
      <c r="H1860" s="46" t="s">
        <v>18</v>
      </c>
      <c r="I1860" s="47"/>
      <c r="J1860" s="48" t="s">
        <v>42</v>
      </c>
      <c r="K1860" s="197" t="s">
        <v>2352</v>
      </c>
      <c r="L1860" s="126" t="s">
        <v>25</v>
      </c>
      <c r="M1860" s="126" t="s">
        <v>26</v>
      </c>
      <c r="N1860" s="14" t="s">
        <v>27</v>
      </c>
      <c r="O1860" s="14" t="s">
        <v>28</v>
      </c>
      <c r="P1860" s="51">
        <v>22</v>
      </c>
      <c r="Q1860" s="47">
        <f t="shared" ref="Q1860:Q1896" si="61">P1860*F1860</f>
        <v>22</v>
      </c>
      <c r="R1860" s="47"/>
      <c r="S1860" s="47"/>
      <c r="T1860" s="47">
        <v>81014</v>
      </c>
    </row>
    <row r="1861" customHeight="1" spans="1:20">
      <c r="A1861" s="166" t="s">
        <v>2353</v>
      </c>
      <c r="B1861" s="129" t="s">
        <v>953</v>
      </c>
      <c r="C1861" s="129"/>
      <c r="D1861" s="166">
        <v>1</v>
      </c>
      <c r="E1861" s="167" t="s">
        <v>172</v>
      </c>
      <c r="F1861" s="44">
        <f t="shared" si="60"/>
        <v>1</v>
      </c>
      <c r="G1861" s="123" t="s">
        <v>1641</v>
      </c>
      <c r="H1861" s="46" t="s">
        <v>18</v>
      </c>
      <c r="I1861" s="47"/>
      <c r="J1861" s="48" t="s">
        <v>42</v>
      </c>
      <c r="K1861" s="212" t="s">
        <v>2353</v>
      </c>
      <c r="L1861" s="213" t="s">
        <v>25</v>
      </c>
      <c r="M1861" s="213" t="s">
        <v>26</v>
      </c>
      <c r="N1861" s="14" t="s">
        <v>27</v>
      </c>
      <c r="O1861" s="14" t="s">
        <v>28</v>
      </c>
      <c r="P1861" s="51">
        <v>11</v>
      </c>
      <c r="Q1861" s="47">
        <f t="shared" si="61"/>
        <v>11</v>
      </c>
      <c r="R1861" s="47"/>
      <c r="S1861" s="47"/>
      <c r="T1861" s="47">
        <v>81015</v>
      </c>
    </row>
    <row r="1862" customHeight="1" spans="1:20">
      <c r="A1862" s="166" t="s">
        <v>3131</v>
      </c>
      <c r="B1862" s="129" t="s">
        <v>962</v>
      </c>
      <c r="C1862" s="129"/>
      <c r="D1862" s="166">
        <v>1</v>
      </c>
      <c r="E1862" s="167" t="s">
        <v>172</v>
      </c>
      <c r="F1862" s="44">
        <f t="shared" si="60"/>
        <v>1</v>
      </c>
      <c r="G1862" s="91" t="s">
        <v>1647</v>
      </c>
      <c r="H1862" s="46" t="s">
        <v>18</v>
      </c>
      <c r="I1862" s="47"/>
      <c r="J1862" s="48" t="s">
        <v>42</v>
      </c>
      <c r="K1862" s="198" t="s">
        <v>3131</v>
      </c>
      <c r="L1862" s="135" t="s">
        <v>25</v>
      </c>
      <c r="M1862" s="135" t="s">
        <v>26</v>
      </c>
      <c r="N1862" s="14" t="s">
        <v>27</v>
      </c>
      <c r="O1862" s="14" t="s">
        <v>28</v>
      </c>
      <c r="P1862" s="51">
        <v>12</v>
      </c>
      <c r="Q1862" s="47">
        <f t="shared" si="61"/>
        <v>12</v>
      </c>
      <c r="R1862" s="47"/>
      <c r="S1862" s="47"/>
      <c r="T1862" s="47">
        <v>81020</v>
      </c>
    </row>
    <row r="1863" customHeight="1" spans="1:20">
      <c r="A1863" s="166" t="s">
        <v>3132</v>
      </c>
      <c r="B1863" s="129" t="s">
        <v>3133</v>
      </c>
      <c r="C1863" s="129"/>
      <c r="D1863" s="166">
        <v>5</v>
      </c>
      <c r="E1863" s="171" t="s">
        <v>32</v>
      </c>
      <c r="F1863" s="44">
        <f t="shared" si="60"/>
        <v>5</v>
      </c>
      <c r="G1863" s="91" t="s">
        <v>3134</v>
      </c>
      <c r="H1863" s="46" t="s">
        <v>18</v>
      </c>
      <c r="I1863" s="47"/>
      <c r="J1863" s="48" t="s">
        <v>42</v>
      </c>
      <c r="K1863" s="198" t="s">
        <v>3132</v>
      </c>
      <c r="L1863" s="135" t="s">
        <v>25</v>
      </c>
      <c r="M1863" s="135" t="s">
        <v>26</v>
      </c>
      <c r="N1863" s="14" t="s">
        <v>27</v>
      </c>
      <c r="O1863" s="14" t="s">
        <v>28</v>
      </c>
      <c r="P1863" s="51">
        <v>3</v>
      </c>
      <c r="Q1863" s="47">
        <f t="shared" si="61"/>
        <v>15</v>
      </c>
      <c r="R1863" s="47"/>
      <c r="S1863" s="47"/>
      <c r="T1863" s="47"/>
    </row>
    <row r="1864" customHeight="1" spans="1:20">
      <c r="A1864" s="170">
        <v>81106</v>
      </c>
      <c r="B1864" s="78" t="s">
        <v>3135</v>
      </c>
      <c r="C1864" s="78"/>
      <c r="D1864" s="170">
        <v>1</v>
      </c>
      <c r="E1864" s="171" t="s">
        <v>32</v>
      </c>
      <c r="F1864" s="44">
        <f t="shared" si="60"/>
        <v>1</v>
      </c>
      <c r="G1864" s="82" t="s">
        <v>3136</v>
      </c>
      <c r="H1864" s="46" t="s">
        <v>18</v>
      </c>
      <c r="I1864" s="47"/>
      <c r="J1864" s="48" t="s">
        <v>42</v>
      </c>
      <c r="K1864" s="194">
        <v>81106</v>
      </c>
      <c r="L1864" s="195" t="s">
        <v>25</v>
      </c>
      <c r="M1864" s="195" t="s">
        <v>26</v>
      </c>
      <c r="N1864" s="14" t="s">
        <v>27</v>
      </c>
      <c r="O1864" s="14" t="s">
        <v>28</v>
      </c>
      <c r="P1864" s="51">
        <v>60</v>
      </c>
      <c r="Q1864" s="47">
        <f t="shared" si="61"/>
        <v>60</v>
      </c>
      <c r="R1864" s="47"/>
      <c r="S1864" s="47"/>
      <c r="T1864" s="47"/>
    </row>
    <row r="1865" customHeight="1" spans="1:20">
      <c r="A1865" s="134">
        <v>81107</v>
      </c>
      <c r="B1865" s="136" t="s">
        <v>3137</v>
      </c>
      <c r="C1865" s="136"/>
      <c r="D1865" s="134">
        <v>2</v>
      </c>
      <c r="E1865" s="135" t="s">
        <v>21</v>
      </c>
      <c r="F1865" s="44">
        <f t="shared" si="60"/>
        <v>2</v>
      </c>
      <c r="G1865" s="82" t="s">
        <v>3138</v>
      </c>
      <c r="H1865" s="46" t="s">
        <v>18</v>
      </c>
      <c r="I1865" s="47"/>
      <c r="J1865" s="48" t="s">
        <v>42</v>
      </c>
      <c r="K1865" s="194">
        <v>81107</v>
      </c>
      <c r="L1865" s="195" t="s">
        <v>25</v>
      </c>
      <c r="M1865" s="195" t="s">
        <v>26</v>
      </c>
      <c r="N1865" s="14" t="s">
        <v>27</v>
      </c>
      <c r="O1865" s="14" t="s">
        <v>28</v>
      </c>
      <c r="P1865" s="51">
        <v>35</v>
      </c>
      <c r="Q1865" s="47">
        <f t="shared" si="61"/>
        <v>70</v>
      </c>
      <c r="R1865" s="47"/>
      <c r="S1865" s="47"/>
      <c r="T1865" s="47"/>
    </row>
    <row r="1866" customHeight="1" spans="1:20">
      <c r="A1866" s="134">
        <v>81108</v>
      </c>
      <c r="B1866" s="136" t="s">
        <v>3137</v>
      </c>
      <c r="C1866" s="136"/>
      <c r="D1866" s="134">
        <v>5</v>
      </c>
      <c r="E1866" s="135" t="s">
        <v>21</v>
      </c>
      <c r="F1866" s="44">
        <f t="shared" si="60"/>
        <v>5</v>
      </c>
      <c r="G1866" s="82" t="s">
        <v>3139</v>
      </c>
      <c r="H1866" s="46" t="s">
        <v>18</v>
      </c>
      <c r="I1866" s="47"/>
      <c r="J1866" s="48" t="s">
        <v>42</v>
      </c>
      <c r="K1866" s="194">
        <v>81108</v>
      </c>
      <c r="L1866" s="195" t="s">
        <v>25</v>
      </c>
      <c r="M1866" s="195" t="s">
        <v>26</v>
      </c>
      <c r="N1866" s="14" t="s">
        <v>27</v>
      </c>
      <c r="O1866" s="14" t="s">
        <v>28</v>
      </c>
      <c r="P1866" s="51">
        <v>18</v>
      </c>
      <c r="Q1866" s="47">
        <f t="shared" si="61"/>
        <v>90</v>
      </c>
      <c r="R1866" s="47"/>
      <c r="S1866" s="47"/>
      <c r="T1866" s="47"/>
    </row>
    <row r="1867" customHeight="1" spans="1:20">
      <c r="A1867" s="170">
        <v>81109</v>
      </c>
      <c r="B1867" s="78" t="s">
        <v>3140</v>
      </c>
      <c r="C1867" s="78"/>
      <c r="D1867" s="170">
        <v>1</v>
      </c>
      <c r="E1867" s="171" t="s">
        <v>21</v>
      </c>
      <c r="F1867" s="44">
        <f t="shared" si="60"/>
        <v>1</v>
      </c>
      <c r="G1867" s="85" t="s">
        <v>3141</v>
      </c>
      <c r="H1867" s="46" t="s">
        <v>18</v>
      </c>
      <c r="I1867" s="47"/>
      <c r="J1867" s="48" t="s">
        <v>42</v>
      </c>
      <c r="K1867" s="196">
        <v>81109</v>
      </c>
      <c r="L1867" s="78" t="s">
        <v>25</v>
      </c>
      <c r="M1867" s="78" t="s">
        <v>26</v>
      </c>
      <c r="N1867" s="14" t="s">
        <v>27</v>
      </c>
      <c r="O1867" s="14" t="s">
        <v>28</v>
      </c>
      <c r="P1867" s="51">
        <v>5</v>
      </c>
      <c r="Q1867" s="47">
        <f t="shared" si="61"/>
        <v>5</v>
      </c>
      <c r="R1867" s="47"/>
      <c r="S1867" s="47"/>
      <c r="T1867" s="47"/>
    </row>
    <row r="1868" customHeight="1" spans="1:20">
      <c r="A1868" s="134">
        <v>81110</v>
      </c>
      <c r="B1868" s="136" t="s">
        <v>3142</v>
      </c>
      <c r="C1868" s="136"/>
      <c r="D1868" s="134">
        <v>8</v>
      </c>
      <c r="E1868" s="135" t="s">
        <v>21</v>
      </c>
      <c r="F1868" s="44">
        <f t="shared" si="60"/>
        <v>8</v>
      </c>
      <c r="G1868" s="91" t="s">
        <v>3143</v>
      </c>
      <c r="H1868" s="46" t="s">
        <v>18</v>
      </c>
      <c r="I1868" s="47"/>
      <c r="J1868" s="48" t="s">
        <v>42</v>
      </c>
      <c r="K1868" s="198">
        <v>81110</v>
      </c>
      <c r="L1868" s="135" t="s">
        <v>25</v>
      </c>
      <c r="M1868" s="135" t="s">
        <v>26</v>
      </c>
      <c r="N1868" s="14" t="s">
        <v>27</v>
      </c>
      <c r="O1868" s="14" t="s">
        <v>28</v>
      </c>
      <c r="P1868" s="51">
        <v>6</v>
      </c>
      <c r="Q1868" s="47">
        <f t="shared" si="61"/>
        <v>48</v>
      </c>
      <c r="R1868" s="47"/>
      <c r="S1868" s="47"/>
      <c r="T1868" s="47"/>
    </row>
    <row r="1869" customHeight="1" spans="1:20">
      <c r="A1869" s="166" t="s">
        <v>3144</v>
      </c>
      <c r="B1869" s="129" t="s">
        <v>3145</v>
      </c>
      <c r="C1869" s="129"/>
      <c r="D1869" s="166">
        <v>8</v>
      </c>
      <c r="E1869" s="167" t="s">
        <v>172</v>
      </c>
      <c r="F1869" s="44">
        <f t="shared" si="60"/>
        <v>8</v>
      </c>
      <c r="G1869" s="85" t="s">
        <v>3146</v>
      </c>
      <c r="H1869" s="46" t="s">
        <v>18</v>
      </c>
      <c r="I1869" s="47"/>
      <c r="J1869" s="48" t="s">
        <v>42</v>
      </c>
      <c r="K1869" s="196" t="s">
        <v>3144</v>
      </c>
      <c r="L1869" s="78" t="s">
        <v>25</v>
      </c>
      <c r="M1869" s="78" t="s">
        <v>26</v>
      </c>
      <c r="N1869" s="14" t="s">
        <v>27</v>
      </c>
      <c r="O1869" s="14" t="s">
        <v>28</v>
      </c>
      <c r="P1869" s="51">
        <v>8</v>
      </c>
      <c r="Q1869" s="47">
        <f t="shared" si="61"/>
        <v>64</v>
      </c>
      <c r="R1869" s="47"/>
      <c r="S1869" s="47"/>
      <c r="T1869" s="47"/>
    </row>
    <row r="1870" customHeight="1" spans="1:20">
      <c r="A1870" s="166" t="s">
        <v>3147</v>
      </c>
      <c r="B1870" s="129" t="s">
        <v>3148</v>
      </c>
      <c r="C1870" s="129"/>
      <c r="D1870" s="166">
        <v>8</v>
      </c>
      <c r="E1870" s="167" t="s">
        <v>172</v>
      </c>
      <c r="F1870" s="44">
        <f t="shared" si="60"/>
        <v>8</v>
      </c>
      <c r="G1870" s="85" t="s">
        <v>3149</v>
      </c>
      <c r="H1870" s="46" t="s">
        <v>18</v>
      </c>
      <c r="I1870" s="47"/>
      <c r="J1870" s="48" t="s">
        <v>42</v>
      </c>
      <c r="K1870" s="196" t="s">
        <v>3147</v>
      </c>
      <c r="L1870" s="78" t="s">
        <v>25</v>
      </c>
      <c r="M1870" s="78" t="s">
        <v>26</v>
      </c>
      <c r="N1870" s="14" t="s">
        <v>27</v>
      </c>
      <c r="O1870" s="14" t="s">
        <v>28</v>
      </c>
      <c r="P1870" s="51">
        <v>10</v>
      </c>
      <c r="Q1870" s="47">
        <f t="shared" si="61"/>
        <v>80</v>
      </c>
      <c r="R1870" s="47"/>
      <c r="S1870" s="47"/>
      <c r="T1870" s="47"/>
    </row>
    <row r="1871" customHeight="1" spans="1:20">
      <c r="A1871" s="166" t="s">
        <v>3150</v>
      </c>
      <c r="B1871" s="129" t="s">
        <v>3151</v>
      </c>
      <c r="C1871" s="129"/>
      <c r="D1871" s="166">
        <v>8</v>
      </c>
      <c r="E1871" s="167" t="s">
        <v>172</v>
      </c>
      <c r="F1871" s="44">
        <f t="shared" si="60"/>
        <v>8</v>
      </c>
      <c r="G1871" s="82" t="s">
        <v>3152</v>
      </c>
      <c r="H1871" s="46" t="s">
        <v>18</v>
      </c>
      <c r="I1871" s="47"/>
      <c r="J1871" s="48" t="s">
        <v>42</v>
      </c>
      <c r="K1871" s="194" t="s">
        <v>3150</v>
      </c>
      <c r="L1871" s="195" t="s">
        <v>25</v>
      </c>
      <c r="M1871" s="195" t="s">
        <v>26</v>
      </c>
      <c r="N1871" s="14" t="s">
        <v>27</v>
      </c>
      <c r="O1871" s="14" t="s">
        <v>28</v>
      </c>
      <c r="P1871" s="51">
        <v>7</v>
      </c>
      <c r="Q1871" s="47">
        <f t="shared" si="61"/>
        <v>56</v>
      </c>
      <c r="R1871" s="47"/>
      <c r="S1871" s="47"/>
      <c r="T1871" s="47"/>
    </row>
    <row r="1872" customHeight="1" spans="1:20">
      <c r="A1872" s="166" t="s">
        <v>3153</v>
      </c>
      <c r="B1872" s="129" t="s">
        <v>3154</v>
      </c>
      <c r="C1872" s="129"/>
      <c r="D1872" s="166">
        <v>8</v>
      </c>
      <c r="E1872" s="167" t="s">
        <v>172</v>
      </c>
      <c r="F1872" s="44">
        <f t="shared" si="60"/>
        <v>8</v>
      </c>
      <c r="G1872" s="91" t="s">
        <v>3155</v>
      </c>
      <c r="H1872" s="46" t="s">
        <v>18</v>
      </c>
      <c r="I1872" s="47"/>
      <c r="J1872" s="48" t="s">
        <v>42</v>
      </c>
      <c r="K1872" s="198" t="s">
        <v>3153</v>
      </c>
      <c r="L1872" s="135" t="s">
        <v>25</v>
      </c>
      <c r="M1872" s="135" t="s">
        <v>26</v>
      </c>
      <c r="N1872" s="14" t="s">
        <v>27</v>
      </c>
      <c r="O1872" s="14" t="s">
        <v>28</v>
      </c>
      <c r="P1872" s="51">
        <v>11</v>
      </c>
      <c r="Q1872" s="47">
        <f t="shared" si="61"/>
        <v>88</v>
      </c>
      <c r="R1872" s="47"/>
      <c r="S1872" s="47"/>
      <c r="T1872" s="47"/>
    </row>
    <row r="1873" customHeight="1" spans="1:20">
      <c r="A1873" s="193" t="s">
        <v>2361</v>
      </c>
      <c r="B1873" s="142" t="s">
        <v>1000</v>
      </c>
      <c r="C1873" s="142"/>
      <c r="D1873" s="166"/>
      <c r="E1873" s="167"/>
      <c r="F1873" s="44">
        <f t="shared" si="60"/>
        <v>0</v>
      </c>
      <c r="G1873" s="131"/>
      <c r="H1873" s="46"/>
      <c r="I1873" s="47"/>
      <c r="J1873" s="48" t="s">
        <v>42</v>
      </c>
      <c r="K1873" s="154"/>
      <c r="L1873" s="129"/>
      <c r="M1873" s="129"/>
      <c r="O1873" s="14" t="s">
        <v>28</v>
      </c>
      <c r="P1873" s="51"/>
      <c r="Q1873" s="47">
        <f t="shared" si="61"/>
        <v>0</v>
      </c>
      <c r="R1873" s="47"/>
      <c r="S1873" s="47"/>
      <c r="T1873" s="47">
        <v>82</v>
      </c>
    </row>
    <row r="1874" customHeight="1" spans="1:20">
      <c r="A1874" s="166" t="s">
        <v>3156</v>
      </c>
      <c r="B1874" s="129" t="s">
        <v>1001</v>
      </c>
      <c r="C1874" s="129"/>
      <c r="D1874" s="166">
        <v>10</v>
      </c>
      <c r="E1874" s="167" t="s">
        <v>1002</v>
      </c>
      <c r="F1874" s="44">
        <f t="shared" si="60"/>
        <v>10</v>
      </c>
      <c r="G1874" s="123" t="s">
        <v>1672</v>
      </c>
      <c r="H1874" s="46" t="s">
        <v>18</v>
      </c>
      <c r="I1874" s="47"/>
      <c r="J1874" s="48" t="s">
        <v>42</v>
      </c>
      <c r="K1874" s="212" t="s">
        <v>3156</v>
      </c>
      <c r="L1874" s="213" t="s">
        <v>25</v>
      </c>
      <c r="M1874" s="213" t="s">
        <v>26</v>
      </c>
      <c r="N1874" s="14" t="s">
        <v>27</v>
      </c>
      <c r="O1874" s="14" t="s">
        <v>28</v>
      </c>
      <c r="P1874" s="51">
        <v>29</v>
      </c>
      <c r="Q1874" s="47">
        <f t="shared" si="61"/>
        <v>290</v>
      </c>
      <c r="R1874" s="47"/>
      <c r="S1874" s="47"/>
      <c r="T1874" s="47">
        <v>82001</v>
      </c>
    </row>
    <row r="1875" customHeight="1" spans="1:20">
      <c r="A1875" s="166" t="s">
        <v>3157</v>
      </c>
      <c r="B1875" s="129" t="s">
        <v>1004</v>
      </c>
      <c r="C1875" s="129"/>
      <c r="D1875" s="166">
        <f>D1557*2</f>
        <v>112</v>
      </c>
      <c r="E1875" s="167" t="s">
        <v>21</v>
      </c>
      <c r="F1875" s="44">
        <f t="shared" si="60"/>
        <v>112</v>
      </c>
      <c r="G1875" s="85" t="s">
        <v>2085</v>
      </c>
      <c r="H1875" s="46" t="s">
        <v>18</v>
      </c>
      <c r="I1875" s="47"/>
      <c r="J1875" s="48" t="s">
        <v>42</v>
      </c>
      <c r="K1875" s="196" t="s">
        <v>3157</v>
      </c>
      <c r="L1875" s="78" t="s">
        <v>25</v>
      </c>
      <c r="M1875" s="78" t="s">
        <v>26</v>
      </c>
      <c r="N1875" s="14" t="s">
        <v>27</v>
      </c>
      <c r="O1875" s="14" t="s">
        <v>28</v>
      </c>
      <c r="P1875" s="51">
        <v>15</v>
      </c>
      <c r="Q1875" s="47">
        <f t="shared" si="61"/>
        <v>1680</v>
      </c>
      <c r="R1875" s="47"/>
      <c r="S1875" s="47"/>
      <c r="T1875" s="47">
        <v>82002</v>
      </c>
    </row>
    <row r="1876" customHeight="1" spans="1:20">
      <c r="A1876" s="166" t="s">
        <v>3158</v>
      </c>
      <c r="B1876" s="129" t="s">
        <v>2600</v>
      </c>
      <c r="C1876" s="129"/>
      <c r="D1876" s="166">
        <v>10</v>
      </c>
      <c r="E1876" s="167" t="s">
        <v>2601</v>
      </c>
      <c r="F1876" s="44">
        <f t="shared" si="60"/>
        <v>10</v>
      </c>
      <c r="G1876" s="123" t="s">
        <v>3159</v>
      </c>
      <c r="H1876" s="46" t="s">
        <v>18</v>
      </c>
      <c r="I1876" s="47"/>
      <c r="J1876" s="48" t="s">
        <v>42</v>
      </c>
      <c r="K1876" s="212" t="s">
        <v>3158</v>
      </c>
      <c r="L1876" s="213" t="s">
        <v>2603</v>
      </c>
      <c r="M1876" s="213" t="s">
        <v>2604</v>
      </c>
      <c r="N1876" s="14" t="s">
        <v>27</v>
      </c>
      <c r="O1876" s="14" t="s">
        <v>28</v>
      </c>
      <c r="P1876" s="51">
        <v>8</v>
      </c>
      <c r="Q1876" s="47">
        <f t="shared" si="61"/>
        <v>80</v>
      </c>
      <c r="R1876" s="47"/>
      <c r="S1876" s="47"/>
      <c r="T1876" s="47"/>
    </row>
    <row r="1877" customHeight="1" spans="1:20">
      <c r="A1877" s="166" t="s">
        <v>3160</v>
      </c>
      <c r="B1877" s="129" t="s">
        <v>2605</v>
      </c>
      <c r="C1877" s="129"/>
      <c r="D1877" s="166">
        <v>1</v>
      </c>
      <c r="E1877" s="167" t="s">
        <v>21</v>
      </c>
      <c r="F1877" s="44">
        <f t="shared" si="60"/>
        <v>1</v>
      </c>
      <c r="G1877" s="82" t="s">
        <v>2606</v>
      </c>
      <c r="H1877" s="46" t="s">
        <v>18</v>
      </c>
      <c r="I1877" s="47"/>
      <c r="J1877" s="48" t="s">
        <v>42</v>
      </c>
      <c r="K1877" s="194" t="s">
        <v>3160</v>
      </c>
      <c r="L1877" s="195" t="s">
        <v>1053</v>
      </c>
      <c r="M1877" s="195" t="s">
        <v>1054</v>
      </c>
      <c r="N1877" s="14" t="s">
        <v>27</v>
      </c>
      <c r="O1877" s="14" t="s">
        <v>28</v>
      </c>
      <c r="P1877" s="51">
        <v>80</v>
      </c>
      <c r="Q1877" s="47">
        <f t="shared" si="61"/>
        <v>80</v>
      </c>
      <c r="R1877" s="47"/>
      <c r="S1877" s="47"/>
      <c r="T1877" s="47"/>
    </row>
    <row r="1878" customHeight="1" spans="1:20">
      <c r="A1878" s="214">
        <v>72061</v>
      </c>
      <c r="B1878" s="215" t="s">
        <v>2377</v>
      </c>
      <c r="C1878" s="215"/>
      <c r="D1878" s="216">
        <v>1</v>
      </c>
      <c r="E1878" s="217" t="s">
        <v>2378</v>
      </c>
      <c r="F1878" s="44">
        <f t="shared" si="60"/>
        <v>1</v>
      </c>
      <c r="G1878" s="218" t="s">
        <v>2379</v>
      </c>
      <c r="H1878" s="46" t="s">
        <v>18</v>
      </c>
      <c r="I1878" s="47"/>
      <c r="J1878" s="48" t="s">
        <v>42</v>
      </c>
      <c r="K1878" s="219">
        <v>72061</v>
      </c>
      <c r="L1878" s="220" t="s">
        <v>2380</v>
      </c>
      <c r="M1878" s="220" t="s">
        <v>2381</v>
      </c>
      <c r="N1878" s="14" t="s">
        <v>27</v>
      </c>
      <c r="O1878" s="14" t="s">
        <v>28</v>
      </c>
      <c r="P1878" s="51">
        <v>3</v>
      </c>
      <c r="Q1878" s="47">
        <f t="shared" si="61"/>
        <v>3</v>
      </c>
      <c r="R1878" s="47"/>
      <c r="S1878" s="47"/>
      <c r="T1878" s="47"/>
    </row>
    <row r="1879" customHeight="1" spans="1:20">
      <c r="A1879" s="214" t="s">
        <v>3161</v>
      </c>
      <c r="B1879" s="215" t="s">
        <v>3162</v>
      </c>
      <c r="C1879" s="215"/>
      <c r="D1879" s="216">
        <v>1</v>
      </c>
      <c r="E1879" s="217" t="s">
        <v>169</v>
      </c>
      <c r="F1879" s="44">
        <f t="shared" si="60"/>
        <v>1</v>
      </c>
      <c r="G1879" s="79" t="s">
        <v>3163</v>
      </c>
      <c r="H1879" s="46" t="s">
        <v>18</v>
      </c>
      <c r="I1879" s="47"/>
      <c r="J1879" s="48" t="s">
        <v>42</v>
      </c>
      <c r="K1879" s="197" t="s">
        <v>3161</v>
      </c>
      <c r="L1879" s="126" t="s">
        <v>3164</v>
      </c>
      <c r="M1879" s="126" t="s">
        <v>3165</v>
      </c>
      <c r="N1879" s="14" t="s">
        <v>27</v>
      </c>
      <c r="O1879" s="14" t="s">
        <v>28</v>
      </c>
      <c r="P1879" s="51">
        <v>8.5</v>
      </c>
      <c r="Q1879" s="47">
        <f t="shared" si="61"/>
        <v>8.5</v>
      </c>
      <c r="R1879" s="47"/>
      <c r="S1879" s="47"/>
      <c r="T1879" s="47"/>
    </row>
    <row r="1880" customHeight="1" spans="1:20">
      <c r="A1880" s="214">
        <v>72091</v>
      </c>
      <c r="B1880" s="215" t="s">
        <v>2386</v>
      </c>
      <c r="C1880" s="215"/>
      <c r="D1880" s="216">
        <v>1</v>
      </c>
      <c r="E1880" s="217" t="s">
        <v>169</v>
      </c>
      <c r="F1880" s="44">
        <f t="shared" si="60"/>
        <v>1</v>
      </c>
      <c r="G1880" s="79" t="s">
        <v>3166</v>
      </c>
      <c r="H1880" s="46" t="s">
        <v>18</v>
      </c>
      <c r="I1880" s="47"/>
      <c r="J1880" s="48" t="s">
        <v>42</v>
      </c>
      <c r="K1880" s="197">
        <v>72091</v>
      </c>
      <c r="L1880" s="126" t="s">
        <v>2380</v>
      </c>
      <c r="M1880" s="126" t="s">
        <v>2381</v>
      </c>
      <c r="N1880" s="14" t="s">
        <v>27</v>
      </c>
      <c r="O1880" s="14" t="s">
        <v>28</v>
      </c>
      <c r="P1880" s="51">
        <v>10</v>
      </c>
      <c r="Q1880" s="47">
        <f t="shared" si="61"/>
        <v>10</v>
      </c>
      <c r="R1880" s="47"/>
      <c r="S1880" s="47"/>
      <c r="T1880" s="47"/>
    </row>
    <row r="1881" s="13" customFormat="1" ht="27" customHeight="1" spans="1:20">
      <c r="A1881" s="52" t="s">
        <v>1009</v>
      </c>
      <c r="B1881" s="53"/>
      <c r="C1881" s="53"/>
      <c r="D1881" s="53"/>
      <c r="E1881" s="53"/>
      <c r="F1881" s="54"/>
      <c r="G1881" s="55"/>
      <c r="H1881" s="56"/>
      <c r="I1881" s="57"/>
      <c r="J1881" s="48"/>
      <c r="K1881" s="58"/>
      <c r="L1881" s="58"/>
      <c r="M1881" s="59"/>
      <c r="P1881" s="60"/>
      <c r="Q1881" s="47">
        <f t="shared" si="61"/>
        <v>0</v>
      </c>
      <c r="R1881" s="57"/>
      <c r="S1881" s="57"/>
      <c r="T1881" s="57"/>
    </row>
    <row r="1882" s="13" customFormat="1" ht="27" customHeight="1" spans="1:20">
      <c r="A1882" s="61" t="s">
        <v>3167</v>
      </c>
      <c r="B1882" s="62"/>
      <c r="C1882" s="62"/>
      <c r="D1882" s="62"/>
      <c r="E1882" s="62"/>
      <c r="F1882" s="63"/>
      <c r="G1882" s="64"/>
      <c r="H1882" s="65"/>
      <c r="I1882" s="66"/>
      <c r="J1882" s="48"/>
      <c r="K1882" s="58"/>
      <c r="L1882" s="58"/>
      <c r="M1882" s="59"/>
      <c r="P1882" s="67"/>
      <c r="Q1882" s="47">
        <f t="shared" si="61"/>
        <v>0</v>
      </c>
      <c r="R1882" s="66"/>
      <c r="S1882" s="66"/>
      <c r="T1882" s="66"/>
    </row>
    <row r="1883" customHeight="1" spans="1:20">
      <c r="A1883" s="1" t="s">
        <v>3168</v>
      </c>
      <c r="B1883" s="2" t="s">
        <v>3169</v>
      </c>
      <c r="C1883" s="2"/>
      <c r="D1883" s="6">
        <v>1</v>
      </c>
      <c r="E1883" s="2" t="s">
        <v>16</v>
      </c>
      <c r="F1883" s="76"/>
      <c r="G1883" s="221" t="s">
        <v>3170</v>
      </c>
      <c r="H1883" s="46" t="s">
        <v>18</v>
      </c>
      <c r="I1883" s="47"/>
      <c r="J1883" s="48"/>
      <c r="K1883" s="73"/>
      <c r="L1883" s="73"/>
      <c r="M1883" s="74"/>
      <c r="P1883" s="51"/>
      <c r="Q1883" s="47">
        <f t="shared" si="61"/>
        <v>0</v>
      </c>
      <c r="R1883" s="47"/>
      <c r="S1883" s="47"/>
      <c r="T1883" s="47"/>
    </row>
    <row r="1884" customHeight="1" spans="1:20">
      <c r="A1884" s="222">
        <v>1</v>
      </c>
      <c r="B1884" s="10" t="s">
        <v>3171</v>
      </c>
      <c r="C1884" s="10"/>
      <c r="D1884" s="6">
        <v>1</v>
      </c>
      <c r="E1884" s="2" t="s">
        <v>16</v>
      </c>
      <c r="F1884" s="76"/>
      <c r="G1884" s="223" t="s">
        <v>2393</v>
      </c>
      <c r="H1884" s="46" t="s">
        <v>18</v>
      </c>
      <c r="I1884" s="47"/>
      <c r="J1884" s="48"/>
      <c r="K1884" s="73"/>
      <c r="L1884" s="73"/>
      <c r="M1884" s="74"/>
      <c r="P1884" s="51"/>
      <c r="Q1884" s="47">
        <f t="shared" si="61"/>
        <v>0</v>
      </c>
      <c r="R1884" s="47"/>
      <c r="S1884" s="47"/>
      <c r="T1884" s="47"/>
    </row>
    <row r="1885" customHeight="1" spans="1:20">
      <c r="A1885" s="247" t="s">
        <v>2394</v>
      </c>
      <c r="B1885" s="3" t="s">
        <v>2395</v>
      </c>
      <c r="C1885" s="3"/>
      <c r="D1885" s="41">
        <v>54</v>
      </c>
      <c r="E1885" s="71" t="s">
        <v>2396</v>
      </c>
      <c r="F1885" s="44"/>
      <c r="G1885" s="186"/>
      <c r="H1885" s="46"/>
      <c r="I1885" s="47"/>
      <c r="J1885" s="48"/>
      <c r="K1885" s="73"/>
      <c r="L1885" s="73"/>
      <c r="M1885" s="74"/>
      <c r="P1885" s="51"/>
      <c r="Q1885" s="47">
        <f t="shared" si="61"/>
        <v>0</v>
      </c>
      <c r="R1885" s="47"/>
      <c r="S1885" s="47"/>
      <c r="T1885" s="47"/>
    </row>
    <row r="1886" customHeight="1" spans="1:20">
      <c r="A1886" s="247" t="s">
        <v>2397</v>
      </c>
      <c r="B1886" s="3" t="s">
        <v>3172</v>
      </c>
      <c r="C1886" s="3"/>
      <c r="D1886" s="3"/>
      <c r="E1886" s="4"/>
      <c r="F1886" s="225"/>
      <c r="G1886" s="186"/>
      <c r="H1886" s="46"/>
      <c r="I1886" s="47"/>
      <c r="J1886" s="48"/>
      <c r="K1886" s="73"/>
      <c r="L1886" s="73"/>
      <c r="M1886" s="74"/>
      <c r="P1886" s="51"/>
      <c r="Q1886" s="47">
        <f t="shared" si="61"/>
        <v>0</v>
      </c>
      <c r="R1886" s="47"/>
      <c r="S1886" s="47"/>
      <c r="T1886" s="47"/>
    </row>
    <row r="1887" customHeight="1" spans="1:20">
      <c r="A1887" s="247" t="s">
        <v>3173</v>
      </c>
      <c r="B1887" s="3" t="s">
        <v>3174</v>
      </c>
      <c r="C1887" s="3"/>
      <c r="D1887" s="222"/>
      <c r="E1887" s="226"/>
      <c r="F1887" s="44">
        <f t="shared" ref="F1887:F1889" si="62">D1887*1</f>
        <v>0</v>
      </c>
      <c r="G1887" s="186"/>
      <c r="H1887" s="46"/>
      <c r="I1887" s="47"/>
      <c r="J1887" s="48"/>
      <c r="K1887" s="227"/>
      <c r="L1887" s="228"/>
      <c r="M1887" s="229"/>
      <c r="P1887" s="51"/>
      <c r="Q1887" s="47">
        <f t="shared" si="61"/>
        <v>0</v>
      </c>
      <c r="R1887" s="47"/>
      <c r="S1887" s="47"/>
      <c r="T1887" s="47"/>
    </row>
    <row r="1888" customHeight="1" spans="1:20">
      <c r="A1888" s="247" t="s">
        <v>3175</v>
      </c>
      <c r="B1888" s="184" t="s">
        <v>3176</v>
      </c>
      <c r="C1888" s="184"/>
      <c r="D1888" s="222"/>
      <c r="E1888" s="226"/>
      <c r="F1888" s="44">
        <f t="shared" si="62"/>
        <v>0</v>
      </c>
      <c r="G1888" s="176"/>
      <c r="H1888" s="46"/>
      <c r="I1888" s="47"/>
      <c r="J1888" s="48"/>
      <c r="K1888" s="230"/>
      <c r="L1888" s="229"/>
      <c r="M1888" s="229"/>
      <c r="P1888" s="51"/>
      <c r="Q1888" s="47">
        <f t="shared" si="61"/>
        <v>0</v>
      </c>
      <c r="R1888" s="47"/>
      <c r="S1888" s="47"/>
      <c r="T1888" s="47"/>
    </row>
    <row r="1889" customHeight="1" spans="1:20">
      <c r="A1889" s="247" t="s">
        <v>3177</v>
      </c>
      <c r="B1889" s="184" t="s">
        <v>3178</v>
      </c>
      <c r="C1889" s="184"/>
      <c r="D1889" s="222"/>
      <c r="E1889" s="226"/>
      <c r="F1889" s="44">
        <f t="shared" si="62"/>
        <v>0</v>
      </c>
      <c r="G1889" s="176"/>
      <c r="H1889" s="46"/>
      <c r="I1889" s="47"/>
      <c r="J1889" s="48"/>
      <c r="K1889" s="230"/>
      <c r="L1889" s="229"/>
      <c r="M1889" s="229"/>
      <c r="P1889" s="51"/>
      <c r="Q1889" s="47">
        <f t="shared" si="61"/>
        <v>0</v>
      </c>
      <c r="R1889" s="47"/>
      <c r="S1889" s="47"/>
      <c r="T1889" s="47"/>
    </row>
    <row r="1890" customHeight="1" spans="1:20">
      <c r="A1890" s="247" t="s">
        <v>3179</v>
      </c>
      <c r="B1890" s="226" t="s">
        <v>3180</v>
      </c>
      <c r="C1890" s="226"/>
      <c r="D1890" s="41">
        <v>54</v>
      </c>
      <c r="E1890" s="71" t="s">
        <v>2396</v>
      </c>
      <c r="F1890" s="44"/>
      <c r="G1890" s="231"/>
      <c r="H1890" s="46"/>
      <c r="I1890" s="47"/>
      <c r="J1890" s="48"/>
      <c r="K1890" s="232"/>
      <c r="L1890" s="233"/>
      <c r="M1890" s="233"/>
      <c r="P1890" s="51"/>
      <c r="Q1890" s="47">
        <f t="shared" si="61"/>
        <v>0</v>
      </c>
      <c r="R1890" s="47"/>
      <c r="S1890" s="47"/>
      <c r="T1890" s="47"/>
    </row>
    <row r="1891" s="13" customFormat="1" ht="21" customHeight="1" spans="1:20">
      <c r="A1891" s="52" t="s">
        <v>29</v>
      </c>
      <c r="B1891" s="53"/>
      <c r="C1891" s="53"/>
      <c r="D1891" s="53"/>
      <c r="E1891" s="53"/>
      <c r="F1891" s="54"/>
      <c r="G1891" s="55"/>
      <c r="H1891" s="56"/>
      <c r="I1891" s="57"/>
      <c r="J1891" s="48"/>
      <c r="K1891" s="58"/>
      <c r="L1891" s="58"/>
      <c r="M1891" s="59"/>
      <c r="P1891" s="60"/>
      <c r="Q1891" s="47">
        <f t="shared" si="61"/>
        <v>0</v>
      </c>
      <c r="R1891" s="57"/>
      <c r="S1891" s="57"/>
      <c r="T1891" s="57"/>
    </row>
    <row r="1892" s="13" customFormat="1" ht="21" customHeight="1" spans="1:20">
      <c r="A1892" s="61" t="s">
        <v>1676</v>
      </c>
      <c r="B1892" s="62"/>
      <c r="C1892" s="62"/>
      <c r="D1892" s="62"/>
      <c r="E1892" s="62"/>
      <c r="F1892" s="63"/>
      <c r="G1892" s="64"/>
      <c r="H1892" s="65"/>
      <c r="I1892" s="66"/>
      <c r="J1892" s="48"/>
      <c r="K1892" s="58"/>
      <c r="L1892" s="58"/>
      <c r="M1892" s="59"/>
      <c r="P1892" s="67"/>
      <c r="Q1892" s="47">
        <f t="shared" si="61"/>
        <v>0</v>
      </c>
      <c r="R1892" s="66"/>
      <c r="S1892" s="66"/>
      <c r="T1892" s="66"/>
    </row>
    <row r="1893" customHeight="1" spans="1:20">
      <c r="A1893" s="234">
        <v>2</v>
      </c>
      <c r="B1893" s="10" t="s">
        <v>3181</v>
      </c>
      <c r="C1893" s="10"/>
      <c r="D1893" s="6">
        <v>1</v>
      </c>
      <c r="E1893" s="2" t="s">
        <v>16</v>
      </c>
      <c r="F1893" s="76"/>
      <c r="G1893" s="72" t="s">
        <v>3182</v>
      </c>
      <c r="H1893" s="46" t="s">
        <v>18</v>
      </c>
      <c r="I1893" s="47"/>
      <c r="J1893" s="48"/>
      <c r="K1893" s="73"/>
      <c r="L1893" s="73"/>
      <c r="M1893" s="74"/>
      <c r="P1893" s="51"/>
      <c r="Q1893" s="47">
        <f t="shared" si="61"/>
        <v>0</v>
      </c>
      <c r="R1893" s="47"/>
      <c r="S1893" s="47"/>
      <c r="T1893" s="47"/>
    </row>
    <row r="1894" customHeight="1" spans="1:20">
      <c r="A1894" s="244" t="s">
        <v>3183</v>
      </c>
      <c r="B1894" s="42" t="s">
        <v>20</v>
      </c>
      <c r="C1894" s="42"/>
      <c r="D1894" s="41">
        <v>1</v>
      </c>
      <c r="E1894" s="42" t="s">
        <v>21</v>
      </c>
      <c r="F1894" s="44">
        <f>D1894*1</f>
        <v>1</v>
      </c>
      <c r="G1894" s="45" t="s">
        <v>22</v>
      </c>
      <c r="H1894" s="46" t="s">
        <v>18</v>
      </c>
      <c r="I1894" s="47"/>
      <c r="J1894" s="48" t="s">
        <v>23</v>
      </c>
      <c r="K1894" s="245" t="s">
        <v>24</v>
      </c>
      <c r="L1894" s="50" t="s">
        <v>25</v>
      </c>
      <c r="M1894" s="50" t="s">
        <v>26</v>
      </c>
      <c r="N1894" s="14" t="s">
        <v>27</v>
      </c>
      <c r="O1894" s="14" t="s">
        <v>28</v>
      </c>
      <c r="P1894" s="51">
        <v>270</v>
      </c>
      <c r="Q1894" s="47">
        <f t="shared" si="61"/>
        <v>270</v>
      </c>
      <c r="R1894" s="47"/>
      <c r="S1894" s="47"/>
      <c r="T1894" s="47"/>
    </row>
    <row r="1895" s="13" customFormat="1" ht="21" customHeight="1" spans="1:20">
      <c r="A1895" s="52" t="s">
        <v>29</v>
      </c>
      <c r="B1895" s="53"/>
      <c r="C1895" s="53"/>
      <c r="D1895" s="53"/>
      <c r="E1895" s="53"/>
      <c r="F1895" s="54"/>
      <c r="G1895" s="55"/>
      <c r="H1895" s="56"/>
      <c r="I1895" s="57"/>
      <c r="J1895" s="48"/>
      <c r="K1895" s="58"/>
      <c r="L1895" s="58"/>
      <c r="M1895" s="59"/>
      <c r="P1895" s="60"/>
      <c r="Q1895" s="47">
        <f t="shared" si="61"/>
        <v>0</v>
      </c>
      <c r="R1895" s="57"/>
      <c r="S1895" s="57"/>
      <c r="T1895" s="57"/>
    </row>
    <row r="1896" s="13" customFormat="1" ht="21" customHeight="1" spans="1:20">
      <c r="A1896" s="61" t="s">
        <v>1676</v>
      </c>
      <c r="B1896" s="62"/>
      <c r="C1896" s="62"/>
      <c r="D1896" s="62"/>
      <c r="E1896" s="62"/>
      <c r="F1896" s="63"/>
      <c r="G1896" s="64"/>
      <c r="H1896" s="65"/>
      <c r="I1896" s="66"/>
      <c r="J1896" s="48"/>
      <c r="K1896" s="58"/>
      <c r="L1896" s="58"/>
      <c r="M1896" s="59"/>
      <c r="P1896" s="67"/>
      <c r="Q1896" s="47">
        <f t="shared" si="61"/>
        <v>0</v>
      </c>
      <c r="R1896" s="66"/>
      <c r="S1896" s="66"/>
      <c r="T1896" s="66"/>
    </row>
    <row r="1897" customHeight="1" spans="1:20">
      <c r="A1897" s="235" t="s">
        <v>3184</v>
      </c>
      <c r="B1897" s="236" t="s">
        <v>3185</v>
      </c>
      <c r="C1897" s="236"/>
      <c r="D1897" s="6">
        <v>1</v>
      </c>
      <c r="E1897" s="2" t="s">
        <v>32</v>
      </c>
      <c r="F1897" s="76"/>
      <c r="G1897" s="237" t="s">
        <v>2608</v>
      </c>
      <c r="H1897" s="46" t="s">
        <v>18</v>
      </c>
      <c r="I1897" s="47"/>
      <c r="J1897" s="48"/>
      <c r="K1897" s="73"/>
      <c r="L1897" s="73"/>
      <c r="M1897" s="74"/>
      <c r="P1897" s="51"/>
      <c r="Q1897" s="47"/>
      <c r="R1897" s="47"/>
      <c r="S1897" s="47"/>
      <c r="T1897" s="47"/>
    </row>
    <row r="1898" customHeight="1" spans="1:20">
      <c r="A1898" s="238">
        <v>1</v>
      </c>
      <c r="B1898" s="239" t="s">
        <v>3186</v>
      </c>
      <c r="C1898" s="239"/>
      <c r="D1898" s="240">
        <v>56</v>
      </c>
      <c r="E1898" s="241" t="s">
        <v>2396</v>
      </c>
      <c r="F1898" s="242"/>
      <c r="G1898" s="243"/>
      <c r="H1898" s="46"/>
      <c r="I1898" s="47"/>
      <c r="J1898" s="48"/>
      <c r="K1898" s="73"/>
      <c r="L1898" s="73"/>
      <c r="M1898" s="74"/>
      <c r="P1898" s="51"/>
      <c r="Q1898" s="47"/>
      <c r="R1898" s="47"/>
      <c r="S1898" s="47"/>
      <c r="T1898" s="47"/>
    </row>
  </sheetData>
  <autoFilter xmlns:etc="http://www.wps.cn/officeDocument/2017/etCustomData" ref="A1:O1898" etc:filterBottomFollowUsedRange="0">
    <extLst/>
  </autoFilter>
  <mergeCells count="26">
    <mergeCell ref="A4:G4"/>
    <mergeCell ref="A5:G5"/>
    <mergeCell ref="A463:G463"/>
    <mergeCell ref="A464:G464"/>
    <mergeCell ref="A830:G830"/>
    <mergeCell ref="A831:G831"/>
    <mergeCell ref="A1130:G1130"/>
    <mergeCell ref="A1131:G1131"/>
    <mergeCell ref="A1356:G1356"/>
    <mergeCell ref="A1357:G1357"/>
    <mergeCell ref="A1362:G1362"/>
    <mergeCell ref="A1363:G1363"/>
    <mergeCell ref="A1367:G1367"/>
    <mergeCell ref="A1368:G1368"/>
    <mergeCell ref="A1370:G1370"/>
    <mergeCell ref="A1371:G1371"/>
    <mergeCell ref="A1373:G1373"/>
    <mergeCell ref="A1374:G1374"/>
    <mergeCell ref="A1554:G1554"/>
    <mergeCell ref="A1555:G1555"/>
    <mergeCell ref="A1881:G1881"/>
    <mergeCell ref="A1882:G1882"/>
    <mergeCell ref="A1891:G1891"/>
    <mergeCell ref="A1892:G1892"/>
    <mergeCell ref="A1895:G1895"/>
    <mergeCell ref="A1896:G1896"/>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
  <sheetViews>
    <sheetView workbookViewId="0">
      <selection activeCell="F13" sqref="F13"/>
    </sheetView>
  </sheetViews>
  <sheetFormatPr defaultColWidth="8.8" defaultRowHeight="15.6" outlineLevelRow="6" outlineLevelCol="5"/>
  <cols>
    <col min="2" max="2" width="17.1" customWidth="1"/>
    <col min="5" max="5" width="33.6" customWidth="1"/>
  </cols>
  <sheetData>
    <row r="1" ht="17" customHeight="1" spans="1:6">
      <c r="A1" s="1">
        <v>3</v>
      </c>
      <c r="B1" s="2" t="s">
        <v>15</v>
      </c>
      <c r="C1" s="3">
        <v>2</v>
      </c>
      <c r="D1" s="4" t="s">
        <v>16</v>
      </c>
      <c r="E1" s="5" t="s">
        <v>17</v>
      </c>
      <c r="F1" t="s">
        <v>3187</v>
      </c>
    </row>
    <row r="2" spans="1:6">
      <c r="A2" s="6">
        <v>5</v>
      </c>
      <c r="B2" s="2" t="s">
        <v>31</v>
      </c>
      <c r="C2" s="6">
        <v>2</v>
      </c>
      <c r="D2" s="2" t="s">
        <v>32</v>
      </c>
      <c r="E2" s="7" t="s">
        <v>33</v>
      </c>
    </row>
    <row r="3" ht="24" spans="1:6">
      <c r="A3" s="1">
        <v>6</v>
      </c>
      <c r="B3" s="2" t="s">
        <v>1011</v>
      </c>
      <c r="C3" s="6">
        <v>2</v>
      </c>
      <c r="D3" s="8" t="s">
        <v>1012</v>
      </c>
      <c r="E3" s="7" t="s">
        <v>33</v>
      </c>
    </row>
    <row r="4" spans="1:6">
      <c r="A4" s="1">
        <v>7</v>
      </c>
      <c r="B4" s="8" t="s">
        <v>1677</v>
      </c>
      <c r="C4" s="1">
        <v>2</v>
      </c>
      <c r="D4" s="8" t="s">
        <v>1012</v>
      </c>
      <c r="E4" s="7" t="s">
        <v>33</v>
      </c>
    </row>
    <row r="5" spans="1:6">
      <c r="A5" s="6">
        <v>7</v>
      </c>
      <c r="B5" s="8" t="s">
        <v>2105</v>
      </c>
      <c r="C5" s="1">
        <v>2</v>
      </c>
      <c r="D5" s="8" t="s">
        <v>1012</v>
      </c>
      <c r="E5" s="7" t="s">
        <v>33</v>
      </c>
    </row>
    <row r="6" spans="1:6">
      <c r="A6" s="6">
        <v>5</v>
      </c>
      <c r="B6" s="2" t="s">
        <v>2407</v>
      </c>
      <c r="C6" s="6">
        <v>2</v>
      </c>
      <c r="D6" s="2" t="s">
        <v>32</v>
      </c>
      <c r="E6" s="7" t="s">
        <v>33</v>
      </c>
    </row>
    <row r="7" spans="1:6">
      <c r="A7" s="9">
        <v>6</v>
      </c>
      <c r="B7" s="10" t="s">
        <v>2607</v>
      </c>
      <c r="C7" s="6">
        <v>1</v>
      </c>
      <c r="D7" s="2" t="s">
        <v>32</v>
      </c>
      <c r="E7" s="7" t="s">
        <v>2608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Sky123.Org</Company>
  <Application>Microsoft Excel</Application>
  <HeadingPairs>
    <vt:vector size="2" baseType="variant">
      <vt:variant>
        <vt:lpstr>工作表</vt:lpstr>
      </vt:variant>
      <vt:variant>
        <vt:i4>2</vt:i4>
      </vt:variant>
    </vt:vector>
  </HeadingPairs>
  <TitlesOfParts>
    <vt:vector size="2" baseType="lpstr">
      <vt:lpstr>凯迪</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沁璇</cp:lastModifiedBy>
  <dcterms:created xsi:type="dcterms:W3CDTF">2022-02-22T05:13:00Z</dcterms:created>
  <dcterms:modified xsi:type="dcterms:W3CDTF">2025-11-07T09:18:10Z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638A92B448704C3D892D6E010EFB8B77_13</vt:lpwstr>
  </property>
  <property fmtid="{D5CDD505-2E9C-101B-9397-08002B2CF9AE}" pid="3" name="KSOProductBuildVer">
    <vt:lpwstr>2052-12.1.0.23542</vt:lpwstr>
  </property>
  <property fmtid="{D5CDD505-2E9C-101B-9397-08002B2CF9AE}" pid="4" name="KSOReadingLayout">
    <vt:bool>true</vt:bool>
  </property>
</Properties>
</file>